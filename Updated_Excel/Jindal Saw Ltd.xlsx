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431C46C-EFDA-4ED6-BF1B-38B49DA8448A}" xr6:coauthVersionLast="47" xr6:coauthVersionMax="47" xr10:uidLastSave="{00000000-0000-0000-0000-000000000000}"/>
  <bookViews>
    <workbookView xWindow="4455" yWindow="4455" windowWidth="21600" windowHeight="12735" tabRatio="818" xr2:uid="{00000000-000D-0000-FFFF-FFFF00000000}"/>
  </bookViews>
  <sheets>
    <sheet name="Template" sheetId="1" r:id="rId1"/>
    <sheet name="Notes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CL7" i="1"/>
  <c r="CL258" i="1"/>
  <c r="CI4" i="1"/>
  <c r="CJ4" i="1" s="1"/>
  <c r="CK4" i="1" s="1"/>
  <c r="CL4" i="1" s="1"/>
  <c r="Z4" i="1"/>
  <c r="CH4" i="1" s="1"/>
  <c r="CG4" i="1" s="1"/>
  <c r="CF4" i="1" s="1"/>
  <c r="CE4" i="1" s="1"/>
  <c r="X4" i="1"/>
  <c r="Y14" i="1"/>
  <c r="Z14" i="1"/>
  <c r="Z15" i="1"/>
  <c r="U11" i="1"/>
  <c r="T11" i="1"/>
  <c r="S11" i="1"/>
  <c r="R11" i="1"/>
  <c r="T7" i="1"/>
  <c r="T6" i="1" s="1"/>
  <c r="S7" i="1"/>
  <c r="S6" i="1" s="1"/>
  <c r="R7" i="1"/>
  <c r="Q7" i="1"/>
  <c r="R6" i="1"/>
  <c r="Q6" i="1"/>
  <c r="W7" i="1" l="1"/>
  <c r="U7" i="1"/>
  <c r="U6" i="1" s="1"/>
  <c r="V7" i="1"/>
  <c r="V6" i="1" s="1"/>
  <c r="BS7" i="1"/>
  <c r="BW7" i="1"/>
  <c r="CG7" i="1"/>
  <c r="CD7" i="1"/>
  <c r="CD9" i="1" s="1"/>
  <c r="CM4" i="1"/>
  <c r="CN4" i="1"/>
  <c r="CO4" i="1" s="1"/>
  <c r="CP4" i="1" s="1"/>
  <c r="CQ4" i="1" s="1"/>
  <c r="CR4" i="1" s="1"/>
  <c r="Y11" i="1"/>
  <c r="X11" i="1"/>
  <c r="Z11" i="1"/>
  <c r="CB11" i="1"/>
  <c r="CA11" i="1"/>
  <c r="BZ11" i="1"/>
  <c r="BY11" i="1"/>
  <c r="BX11" i="1"/>
  <c r="BW11" i="1"/>
  <c r="CI11" i="1"/>
  <c r="CG11" i="1"/>
  <c r="CE11" i="1"/>
  <c r="CD11" i="1"/>
  <c r="CC11" i="1"/>
  <c r="CK11" i="1"/>
  <c r="AB9" i="1"/>
  <c r="AC9" i="1"/>
  <c r="AD9" i="1"/>
  <c r="AE9" i="1"/>
  <c r="AE7" i="1"/>
  <c r="AD7" i="1"/>
  <c r="AC7" i="1"/>
  <c r="AB7" i="1"/>
  <c r="CN8" i="1"/>
  <c r="CR8" i="1" s="1"/>
  <c r="CV8" i="1" s="1"/>
  <c r="CZ8" i="1" s="1"/>
  <c r="CO8" i="1"/>
  <c r="CS8" i="1"/>
  <c r="CW8" i="1" s="1"/>
  <c r="DA8" i="1" s="1"/>
  <c r="CM8" i="1"/>
  <c r="BL8" i="1"/>
  <c r="BM8" i="1"/>
  <c r="BN8" i="1"/>
  <c r="BO8" i="1"/>
  <c r="BS11" i="1" s="1"/>
  <c r="BK8" i="1"/>
  <c r="CG9" i="1"/>
  <c r="BT9" i="1"/>
  <c r="BU9" i="1"/>
  <c r="BV9" i="1"/>
  <c r="BW9" i="1"/>
  <c r="BX9" i="1"/>
  <c r="BY9" i="1"/>
  <c r="BZ9" i="1"/>
  <c r="CA9" i="1"/>
  <c r="CB9" i="1"/>
  <c r="CC9" i="1"/>
  <c r="BS9" i="1"/>
  <c r="BR9" i="1" s="1"/>
  <c r="CG13" i="1"/>
  <c r="CH13" i="1"/>
  <c r="Z13" i="1" s="1"/>
  <c r="CF8" i="1"/>
  <c r="CH10" i="1"/>
  <c r="CH11" i="1" s="1"/>
  <c r="X7" i="1"/>
  <c r="CK7" i="1"/>
  <c r="CK9" i="1" s="1"/>
  <c r="CJ13" i="1"/>
  <c r="CI13" i="1"/>
  <c r="CK13" i="1"/>
  <c r="CE7" i="1"/>
  <c r="CE9" i="1" s="1"/>
  <c r="CI7" i="1"/>
  <c r="CF7" i="1"/>
  <c r="CJ7" i="1"/>
  <c r="CJ9" i="1" s="1"/>
  <c r="CH7" i="1"/>
  <c r="CH9" i="1" s="1"/>
  <c r="CF13" i="1"/>
  <c r="CE13" i="1"/>
  <c r="CD13" i="1"/>
  <c r="Y13" i="1" s="1"/>
  <c r="CC13" i="1"/>
  <c r="CB13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5" i="1"/>
  <c r="AB28" i="1"/>
  <c r="AC28" i="1"/>
  <c r="AD28" i="1"/>
  <c r="AE28" i="1"/>
  <c r="AB41" i="1"/>
  <c r="AC41" i="1"/>
  <c r="AD41" i="1"/>
  <c r="AE41" i="1"/>
  <c r="AE40" i="1"/>
  <c r="AD40" i="1"/>
  <c r="AC40" i="1"/>
  <c r="AB40" i="1"/>
  <c r="AJ228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64" i="1" s="1"/>
  <c r="AB85" i="2"/>
  <c r="AA189" i="1" s="1"/>
  <c r="AB93" i="2"/>
  <c r="AA191" i="1" s="1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E99" i="2"/>
  <c r="AD81" i="2"/>
  <c r="AD97" i="2"/>
  <c r="AC82" i="2"/>
  <c r="AC110" i="2"/>
  <c r="AB98" i="2"/>
  <c r="AC62" i="2"/>
  <c r="AF25" i="2"/>
  <c r="AE89" i="2"/>
  <c r="AF81" i="2"/>
  <c r="AC57" i="2"/>
  <c r="AB70" i="2"/>
  <c r="AC9" i="2"/>
  <c r="AB6" i="2"/>
  <c r="AA27" i="1" s="1"/>
  <c r="AB12" i="2"/>
  <c r="AA34" i="1" s="1"/>
  <c r="AE33" i="2"/>
  <c r="AC84" i="2"/>
  <c r="AF10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A138" i="1" s="1"/>
  <c r="AE15" i="2"/>
  <c r="AB72" i="2"/>
  <c r="AA161" i="1" s="1"/>
  <c r="AB88" i="2"/>
  <c r="AB108" i="2"/>
  <c r="AA98" i="1" s="1"/>
  <c r="AE71" i="2"/>
  <c r="AE95" i="2"/>
  <c r="AE58" i="2"/>
  <c r="AB78" i="2"/>
  <c r="AA179" i="1" s="1"/>
  <c r="AB94" i="2"/>
  <c r="AC24" i="2"/>
  <c r="AC78" i="2"/>
  <c r="AC106" i="2"/>
  <c r="AF62" i="2"/>
  <c r="AC49" i="2"/>
  <c r="AE90" i="2"/>
  <c r="AF49" i="2"/>
  <c r="AD75" i="2"/>
  <c r="AD91" i="2"/>
  <c r="AE75" i="2"/>
  <c r="AE63" i="2"/>
  <c r="AC43" i="2"/>
  <c r="AC86" i="2"/>
  <c r="AF33" i="2"/>
  <c r="AF52" i="2"/>
  <c r="AC81" i="2"/>
  <c r="AB96" i="2"/>
  <c r="AB86" i="2"/>
  <c r="AA154" i="1" s="1"/>
  <c r="AC66" i="2"/>
  <c r="AB11" i="2"/>
  <c r="AA32" i="1" s="1"/>
  <c r="AB35" i="2"/>
  <c r="AA70" i="1" s="1"/>
  <c r="AC21" i="2"/>
  <c r="AB22" i="2"/>
  <c r="AD74" i="2"/>
  <c r="AD98" i="2"/>
  <c r="AC59" i="2"/>
  <c r="AC83" i="2"/>
  <c r="AD61" i="2"/>
  <c r="AC51" i="2"/>
  <c r="AF72" i="2"/>
  <c r="AE93" i="2"/>
  <c r="AB7" i="2"/>
  <c r="AA28" i="1" s="1"/>
  <c r="AB15" i="2"/>
  <c r="AA42" i="1" s="1"/>
  <c r="AB23" i="2"/>
  <c r="AA54" i="1" s="1"/>
  <c r="AB31" i="2"/>
  <c r="AB42" i="2"/>
  <c r="AA137" i="1" s="1"/>
  <c r="AB50" i="2"/>
  <c r="AA168" i="1" s="1"/>
  <c r="AB58" i="2"/>
  <c r="AC15" i="2"/>
  <c r="AC27" i="2"/>
  <c r="AC42" i="2"/>
  <c r="AC54" i="2"/>
  <c r="AB14" i="2"/>
  <c r="AA39" i="1" s="1"/>
  <c r="AB30" i="2"/>
  <c r="AA58" i="1" s="1"/>
  <c r="AB49" i="2"/>
  <c r="AA182" i="1" s="1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B71" i="2"/>
  <c r="AA159" i="1" s="1"/>
  <c r="AB87" i="2"/>
  <c r="AA145" i="1" s="1"/>
  <c r="AB107" i="2"/>
  <c r="AA97" i="1" s="1"/>
  <c r="AC109" i="2"/>
  <c r="AB73" i="2"/>
  <c r="AA162" i="1" s="1"/>
  <c r="AB97" i="2"/>
  <c r="AD42" i="2"/>
  <c r="AE29" i="2"/>
  <c r="AC32" i="2"/>
  <c r="AE65" i="2"/>
  <c r="AF73" i="2"/>
  <c r="AC6" i="2"/>
  <c r="AB46" i="2"/>
  <c r="AC33" i="2"/>
  <c r="AD66" i="2"/>
  <c r="AD82" i="2"/>
  <c r="AD110" i="2"/>
  <c r="AE98" i="2"/>
  <c r="AF82" i="2"/>
  <c r="AC2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51" i="1" s="1"/>
  <c r="AB79" i="2"/>
  <c r="AA165" i="1" s="1"/>
  <c r="AB95" i="2"/>
  <c r="AA190" i="1" s="1"/>
  <c r="AD31" i="2"/>
  <c r="AC22" i="2"/>
  <c r="AE66" i="2"/>
  <c r="AE78" i="2"/>
  <c r="AF14" i="2"/>
  <c r="AE31" i="2"/>
  <c r="AF44" i="2"/>
  <c r="AC19" i="2"/>
  <c r="AC46" i="2"/>
  <c r="AF20" i="2"/>
  <c r="AF55" i="2"/>
  <c r="AD7" i="2"/>
  <c r="AE56" i="2"/>
  <c r="AF22" i="2"/>
  <c r="AE59" i="2"/>
  <c r="AD95" i="2"/>
  <c r="AC80" i="2"/>
  <c r="AD5" i="2"/>
  <c r="AD111" i="2" s="1"/>
  <c r="AF10" i="2"/>
  <c r="AE70" i="2"/>
  <c r="AB27" i="2"/>
  <c r="AA51" i="1" s="1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34" i="2"/>
  <c r="AD63" i="2"/>
  <c r="AE25" i="2"/>
  <c r="AE52" i="2"/>
  <c r="AC67" i="2"/>
  <c r="AC79" i="2"/>
  <c r="AC91" i="2"/>
  <c r="AB16" i="2"/>
  <c r="AB51" i="2"/>
  <c r="AA169" i="1" s="1"/>
  <c r="AC47" i="2"/>
  <c r="AB76" i="2"/>
  <c r="AA163" i="1" s="1"/>
  <c r="AB92" i="2"/>
  <c r="AC16" i="2"/>
  <c r="AC76" i="2"/>
  <c r="AC104" i="2"/>
  <c r="AB66" i="2"/>
  <c r="AB82" i="2"/>
  <c r="AE46" i="2"/>
  <c r="AF17" i="2"/>
  <c r="AC7" i="2"/>
  <c r="AC31" i="2"/>
  <c r="AC58" i="2"/>
  <c r="AF36" i="2"/>
  <c r="AB81" i="2"/>
  <c r="AB109" i="2"/>
  <c r="AE94" i="2"/>
  <c r="AF57" i="2"/>
  <c r="AD79" i="2"/>
  <c r="AC108" i="2"/>
  <c r="AD105" i="2"/>
  <c r="AD21" i="2"/>
  <c r="AF109" i="2"/>
  <c r="AC30" i="2"/>
  <c r="AB54" i="2"/>
  <c r="AA172" i="1" s="1"/>
  <c r="AC48" i="2"/>
  <c r="AB57" i="2"/>
  <c r="AA174" i="1" s="1"/>
  <c r="AE9" i="2"/>
  <c r="AC71" i="2"/>
  <c r="AD27" i="2"/>
  <c r="AF98" i="2"/>
  <c r="AF88" i="2"/>
  <c r="AB9" i="2"/>
  <c r="AB17" i="2"/>
  <c r="AA40" i="1" s="1"/>
  <c r="AB25" i="2"/>
  <c r="AA55" i="1" s="1"/>
  <c r="AB33" i="2"/>
  <c r="AA65" i="1" s="1"/>
  <c r="AB44" i="2"/>
  <c r="AB52" i="2"/>
  <c r="AA170" i="1" s="1"/>
  <c r="AE6" i="2"/>
  <c r="AE18" i="2"/>
  <c r="AE30" i="2"/>
  <c r="AE45" i="2"/>
  <c r="AE57" i="2"/>
  <c r="AB18" i="2"/>
  <c r="AA44" i="1" s="1"/>
  <c r="AB34" i="2"/>
  <c r="AB53" i="2"/>
  <c r="AD64" i="2"/>
  <c r="AD72" i="2"/>
  <c r="AD80" i="2"/>
  <c r="AD88" i="2"/>
  <c r="AD96" i="2"/>
  <c r="AD108" i="2"/>
  <c r="AF6" i="2"/>
  <c r="AB36" i="2"/>
  <c r="AB64" i="2"/>
  <c r="AA152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B65" i="2"/>
  <c r="AD85" i="2"/>
  <c r="AF65" i="2"/>
  <c r="AF45" i="2"/>
  <c r="AE82" i="2"/>
  <c r="AB24" i="2"/>
  <c r="AF60" i="2"/>
  <c r="AC64" i="2"/>
  <c r="AE83" i="2"/>
  <c r="AD10" i="2"/>
  <c r="AD18" i="2"/>
  <c r="AD26" i="2"/>
  <c r="AD34" i="2"/>
  <c r="AD45" i="2"/>
  <c r="AD53" i="2"/>
  <c r="AE8" i="2"/>
  <c r="AE20" i="2"/>
  <c r="AE32" i="2"/>
  <c r="AE47" i="2"/>
  <c r="AD40" i="2"/>
  <c r="AF97" i="2"/>
  <c r="AC95" i="2"/>
  <c r="AB80" i="2"/>
  <c r="AA166" i="1" s="1"/>
  <c r="AE7" i="2"/>
  <c r="AB106" i="2"/>
  <c r="AA96" i="1" s="1"/>
  <c r="AC90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56" i="1" s="1"/>
  <c r="AB75" i="2"/>
  <c r="AA178" i="1" s="1"/>
  <c r="AA180" i="1" s="1"/>
  <c r="AB83" i="2"/>
  <c r="AA183" i="1" s="1"/>
  <c r="AB91" i="2"/>
  <c r="AB99" i="2"/>
  <c r="AC93" i="2"/>
  <c r="AD15" i="2"/>
  <c r="AD50" i="2"/>
  <c r="AC10" i="2"/>
  <c r="AC34" i="2"/>
  <c r="AE60" i="2"/>
  <c r="AE72" i="2"/>
  <c r="AE84" i="2"/>
  <c r="AC99" i="2"/>
  <c r="AF30" i="2"/>
  <c r="AB62" i="2"/>
  <c r="AA150" i="1" s="1"/>
  <c r="AA153" i="1" s="1"/>
  <c r="AA157" i="1" s="1"/>
  <c r="AD67" i="2"/>
  <c r="AD83" i="2"/>
  <c r="AD99" i="2"/>
  <c r="AE54" i="2"/>
  <c r="AE87" i="2"/>
  <c r="AE23" i="2"/>
  <c r="AD73" i="2"/>
  <c r="AD89" i="2"/>
  <c r="AD109" i="2"/>
  <c r="AC70" i="2"/>
  <c r="AC94" i="2"/>
  <c r="AB21" i="2"/>
  <c r="AE36" i="2"/>
  <c r="AB10" i="2"/>
  <c r="AB45" i="2"/>
  <c r="AA141" i="1" s="1"/>
  <c r="AC41" i="2"/>
  <c r="AC98" i="2"/>
  <c r="AE85" i="2"/>
  <c r="AF9" i="2"/>
  <c r="AB89" i="2"/>
  <c r="AE5" i="2"/>
  <c r="AC69" i="2"/>
  <c r="AD69" i="2"/>
  <c r="AD56" i="2"/>
  <c r="AF8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A64" i="1" s="1"/>
  <c r="AF64" i="2"/>
  <c r="AB68" i="2"/>
  <c r="AA155" i="1" s="1"/>
  <c r="AB84" i="2"/>
  <c r="AB104" i="2"/>
  <c r="AE61" i="2"/>
  <c r="AC88" i="2"/>
  <c r="AC36" i="2"/>
  <c r="AB74" i="2"/>
  <c r="AB90" i="2"/>
  <c r="AB110" i="2"/>
  <c r="AA86" i="1" s="1"/>
  <c r="AE73" i="2"/>
  <c r="AE97" i="2"/>
  <c r="AB5" i="2"/>
  <c r="AB13" i="2"/>
  <c r="AA43" i="1" s="1"/>
  <c r="AB29" i="2"/>
  <c r="AA66" i="1" s="1"/>
  <c r="AB40" i="2"/>
  <c r="AB48" i="2"/>
  <c r="AA144" i="1" s="1"/>
  <c r="AB56" i="2"/>
  <c r="AA146" i="1" s="1"/>
  <c r="AE12" i="2"/>
  <c r="AE24" i="2"/>
  <c r="AE51" i="2"/>
  <c r="AB26" i="2"/>
  <c r="AD60" i="2"/>
  <c r="AD68" i="2"/>
  <c r="AD76" i="2"/>
  <c r="AD84" i="2"/>
  <c r="AD92" i="2"/>
  <c r="AD104" i="2"/>
  <c r="AC97" i="2"/>
  <c r="AB20" i="2"/>
  <c r="AB55" i="2"/>
  <c r="AC14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8" i="2"/>
  <c r="AC74" i="2"/>
  <c r="AE35" i="2"/>
  <c r="AB19" i="2"/>
  <c r="AA41" i="1" s="1"/>
  <c r="AB41" i="2"/>
  <c r="AA136" i="1" s="1"/>
  <c r="AD90" i="2"/>
  <c r="AB47" i="2"/>
  <c r="AA143" i="1" s="1"/>
  <c r="AF66" i="2"/>
  <c r="AE69" i="2"/>
  <c r="AA139" i="1" l="1"/>
  <c r="AA147" i="1"/>
  <c r="AA173" i="1"/>
  <c r="AA175" i="1" s="1"/>
  <c r="AA192" i="1"/>
  <c r="AA194" i="1"/>
  <c r="AA250" i="1"/>
  <c r="AA29" i="1"/>
  <c r="AA213" i="1"/>
  <c r="AA52" i="1"/>
  <c r="AA272" i="1"/>
  <c r="AA271" i="1"/>
  <c r="AA56" i="1"/>
  <c r="AA199" i="1"/>
  <c r="AA167" i="1"/>
  <c r="AA45" i="1"/>
  <c r="AA198" i="1"/>
  <c r="AA202" i="1"/>
  <c r="AA267" i="1"/>
  <c r="AA148" i="1"/>
  <c r="AA187" i="1"/>
  <c r="AA128" i="1" s="1"/>
  <c r="CF9" i="1"/>
  <c r="CL11" i="1"/>
  <c r="Y7" i="1"/>
  <c r="Y6" i="1" s="1"/>
  <c r="CJ11" i="1"/>
  <c r="CF11" i="1"/>
  <c r="CQ8" i="1"/>
  <c r="AA8" i="1"/>
  <c r="CP8" i="1"/>
  <c r="AA10" i="1"/>
  <c r="BR8" i="1"/>
  <c r="BQ9" i="1"/>
  <c r="X9" i="1"/>
  <c r="X6" i="1"/>
  <c r="AA7" i="1"/>
  <c r="CI9" i="1"/>
  <c r="AA9" i="1" s="1"/>
  <c r="Z7" i="1"/>
  <c r="Z6" i="1" s="1"/>
  <c r="B1" i="9"/>
  <c r="AE111" i="2"/>
  <c r="AC112" i="2"/>
  <c r="AD112" i="2"/>
  <c r="AC111" i="2"/>
  <c r="AF112" i="2"/>
  <c r="AE112" i="2"/>
  <c r="AB111" i="2"/>
  <c r="AB113" i="2"/>
  <c r="AA93" i="1" s="1"/>
  <c r="L1" i="9"/>
  <c r="AE113" i="2"/>
  <c r="AB112" i="2"/>
  <c r="AA92" i="1" s="1"/>
  <c r="AF111" i="2"/>
  <c r="AD113" i="2"/>
  <c r="A1" i="9"/>
  <c r="AF113" i="2"/>
  <c r="AA117" i="1" l="1"/>
  <c r="AA35" i="1"/>
  <c r="AA263" i="1"/>
  <c r="AA201" i="1"/>
  <c r="AA176" i="1"/>
  <c r="AA184" i="1" s="1"/>
  <c r="AA185" i="1" s="1"/>
  <c r="AA265" i="1"/>
  <c r="AA46" i="1"/>
  <c r="AA204" i="1"/>
  <c r="AA203" i="1" s="1"/>
  <c r="Y9" i="1"/>
  <c r="CM11" i="1"/>
  <c r="AA11" i="1"/>
  <c r="BV11" i="1"/>
  <c r="BR11" i="1"/>
  <c r="CU8" i="1"/>
  <c r="CN10" i="1"/>
  <c r="BQ8" i="1"/>
  <c r="BP9" i="1"/>
  <c r="BP8" i="1" s="1"/>
  <c r="CT8" i="1"/>
  <c r="AB8" i="1"/>
  <c r="Z9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K258" i="1"/>
  <c r="CK155" i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H171" i="1"/>
  <c r="CJ258" i="1"/>
  <c r="Z258" i="1"/>
  <c r="AA47" i="1" l="1"/>
  <c r="AA36" i="1"/>
  <c r="AA205" i="1"/>
  <c r="AA200" i="1"/>
  <c r="AA131" i="1"/>
  <c r="AA48" i="1"/>
  <c r="AA53" i="1"/>
  <c r="AA251" i="1"/>
  <c r="AA252" i="1" s="1"/>
  <c r="BT11" i="1"/>
  <c r="CN11" i="1"/>
  <c r="BU11" i="1"/>
  <c r="BQ11" i="1"/>
  <c r="CX8" i="1"/>
  <c r="AD8" i="1" s="1"/>
  <c r="AC8" i="1"/>
  <c r="CY8" i="1"/>
  <c r="CO10" i="1"/>
  <c r="CI258" i="1"/>
  <c r="CG155" i="1"/>
  <c r="CG258" i="1"/>
  <c r="CH258" i="1"/>
  <c r="AB32" i="1"/>
  <c r="AC32" i="1"/>
  <c r="AD32" i="1"/>
  <c r="AE32" i="1"/>
  <c r="AB33" i="1"/>
  <c r="AC33" i="1"/>
  <c r="AD33" i="1"/>
  <c r="AE33" i="1"/>
  <c r="AB43" i="1"/>
  <c r="AC43" i="1"/>
  <c r="AD43" i="1"/>
  <c r="AE43" i="1"/>
  <c r="AB44" i="1"/>
  <c r="AC44" i="1"/>
  <c r="AD44" i="1"/>
  <c r="AE44" i="1"/>
  <c r="AB66" i="1"/>
  <c r="AC66" i="1"/>
  <c r="AD66" i="1"/>
  <c r="AE66" i="1"/>
  <c r="AB178" i="1"/>
  <c r="AC178" i="1"/>
  <c r="AD178" i="1"/>
  <c r="AE178" i="1"/>
  <c r="AB192" i="1"/>
  <c r="AC192" i="1"/>
  <c r="AD192" i="1"/>
  <c r="AE192" i="1"/>
  <c r="CE155" i="1"/>
  <c r="CE258" i="1"/>
  <c r="CF258" i="1"/>
  <c r="AI216" i="1"/>
  <c r="AI221" i="1"/>
  <c r="AI225" i="1"/>
  <c r="AI228" i="1"/>
  <c r="AI258" i="1"/>
  <c r="Y258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BU155" i="1"/>
  <c r="BW155" i="1"/>
  <c r="BY155" i="1"/>
  <c r="CA155" i="1"/>
  <c r="CC155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74" i="1" l="1"/>
  <c r="AA57" i="1"/>
  <c r="CP10" i="1"/>
  <c r="AB10" i="1" s="1"/>
  <c r="AB11" i="1" s="1"/>
  <c r="CO11" i="1"/>
  <c r="DB8" i="1"/>
  <c r="AE8" i="1" s="1"/>
  <c r="V11" i="1"/>
  <c r="W11" i="1"/>
  <c r="Y1" i="1"/>
  <c r="Z1" i="1" s="1"/>
  <c r="AA59" i="1" l="1"/>
  <c r="AA60" i="1"/>
  <c r="CP11" i="1"/>
  <c r="CQ10" i="1"/>
  <c r="CR10" i="1" s="1"/>
  <c r="AA1" i="1"/>
  <c r="AB1" i="1" s="1"/>
  <c r="AC1" i="1" s="1"/>
  <c r="AD1" i="1" s="1"/>
  <c r="AE1" i="1" s="1"/>
  <c r="AA61" i="1" l="1"/>
  <c r="AA264" i="1" s="1"/>
  <c r="AA253" i="1"/>
  <c r="AA67" i="1"/>
  <c r="CR11" i="1"/>
  <c r="CS10" i="1"/>
  <c r="CQ11" i="1"/>
  <c r="A1" i="3"/>
  <c r="AA71" i="1" l="1"/>
  <c r="AA73" i="1"/>
  <c r="AA212" i="1"/>
  <c r="AA214" i="1" s="1"/>
  <c r="CS11" i="1"/>
  <c r="CT10" i="1"/>
  <c r="AC10" i="1"/>
  <c r="AC11" i="1" s="1"/>
  <c r="CT11" i="1"/>
  <c r="CU10" i="1"/>
  <c r="A1" i="6"/>
  <c r="A1" i="4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83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F16" i="3"/>
  <c r="CL39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C23" i="3"/>
  <c r="Z58" i="2"/>
  <c r="BD15" i="3"/>
  <c r="Z69" i="2"/>
  <c r="FD7" i="4" a="1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34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A11" i="3"/>
  <c r="BA34" i="3"/>
  <c r="BD24" i="3"/>
  <c r="Z33" i="2"/>
  <c r="AA75" i="2"/>
  <c r="Y54" i="2"/>
  <c r="Y87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8" i="1" s="1"/>
  <c r="BR18" i="3"/>
  <c r="BR24" i="3"/>
  <c r="BR30" i="3"/>
  <c r="BR36" i="3"/>
  <c r="BR42" i="3"/>
  <c r="BO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27" i="1" s="1"/>
  <c r="CL18" i="1" s="1"/>
  <c r="BH25" i="3"/>
  <c r="BL45" i="3"/>
  <c r="BN20" i="3"/>
  <c r="BH35" i="3"/>
  <c r="BT45" i="3"/>
  <c r="BM25" i="3"/>
  <c r="BI41" i="3"/>
  <c r="BL18" i="3"/>
  <c r="BF35" i="3"/>
  <c r="CL65" i="1" s="1"/>
  <c r="BG11" i="3"/>
  <c r="BE28" i="3"/>
  <c r="BJ8" i="3"/>
  <c r="BF28" i="3"/>
  <c r="CL51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41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H62" i="3" s="1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64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32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70" i="1" s="1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4" i="1" s="1"/>
  <c r="BG5" i="3"/>
  <c r="BK25" i="3"/>
  <c r="BF18" i="3"/>
  <c r="CL44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42" i="1" s="1"/>
  <c r="BH33" i="3"/>
  <c r="BH19" i="3"/>
  <c r="BL17" i="3"/>
  <c r="BP6" i="3"/>
  <c r="BP8" i="3"/>
  <c r="BG32" i="3"/>
  <c r="BL8" i="3"/>
  <c r="BF25" i="3"/>
  <c r="CL55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Q9" i="3"/>
  <c r="BQ15" i="3"/>
  <c r="BQ21" i="3"/>
  <c r="BQ27" i="3"/>
  <c r="BQ33" i="3"/>
  <c r="BQ39" i="3"/>
  <c r="BR10" i="3"/>
  <c r="BO39" i="3"/>
  <c r="BU9" i="3"/>
  <c r="BG28" i="3"/>
  <c r="BR16" i="3"/>
  <c r="BO12" i="3"/>
  <c r="BO37" i="3"/>
  <c r="BF29" i="3"/>
  <c r="CL58" i="1" s="1"/>
  <c r="BT20" i="3"/>
  <c r="BI13" i="3"/>
  <c r="BL16" i="3"/>
  <c r="BL21" i="3"/>
  <c r="BN36" i="3"/>
  <c r="BJ11" i="3"/>
  <c r="BG37" i="3"/>
  <c r="Y76" i="2"/>
  <c r="AA105" i="2"/>
  <c r="BD22" i="3"/>
  <c r="Z25" i="2"/>
  <c r="Z5" i="2"/>
  <c r="Z91" i="2"/>
  <c r="BC7" i="3"/>
  <c r="AA56" i="2"/>
  <c r="Z46" i="2"/>
  <c r="AA32" i="2"/>
  <c r="BD9" i="3"/>
  <c r="Y67" i="2"/>
  <c r="BC6" i="3"/>
  <c r="Z52" i="2"/>
  <c r="BB28" i="3"/>
  <c r="Z17" i="2"/>
  <c r="FF13" i="4" a="1"/>
  <c r="EZ11" i="4" a="1"/>
  <c r="FD12" i="4" a="1"/>
  <c r="FE6" i="4" a="1"/>
  <c r="FB6" i="4" a="1"/>
  <c r="FC11" i="4" a="1"/>
  <c r="EY6" i="4" a="1"/>
  <c r="FB7" i="4" a="1"/>
  <c r="AA20" i="2"/>
  <c r="Z105" i="2"/>
  <c r="Z27" i="2"/>
  <c r="BB29" i="3"/>
  <c r="FF12" i="4" a="1"/>
  <c r="Z31" i="2"/>
  <c r="BC5" i="3"/>
  <c r="FD15" i="4" a="1"/>
  <c r="EY9" i="4" a="1"/>
  <c r="FB15" i="4" a="1"/>
  <c r="BD13" i="3"/>
  <c r="BA8" i="3"/>
  <c r="Y27" i="2"/>
  <c r="FB14" i="4" a="1"/>
  <c r="BF27" i="3"/>
  <c r="BU15" i="3"/>
  <c r="BN5" i="3"/>
  <c r="BV21" i="3"/>
  <c r="BO14" i="3"/>
  <c r="BO41" i="3"/>
  <c r="BL36" i="3"/>
  <c r="BT36" i="3"/>
  <c r="BE15" i="3"/>
  <c r="BJ23" i="3"/>
  <c r="BJ29" i="3"/>
  <c r="BN28" i="3"/>
  <c r="BF17" i="3"/>
  <c r="CL40" i="1" s="1"/>
  <c r="BI42" i="3"/>
  <c r="AA17" i="2"/>
  <c r="AA78" i="2"/>
  <c r="BB32" i="3"/>
  <c r="Z107" i="2"/>
  <c r="Z11" i="2"/>
  <c r="Z19" i="2"/>
  <c r="BA36" i="3"/>
  <c r="Y16" i="2"/>
  <c r="AA98" i="2"/>
  <c r="Y30" i="2"/>
  <c r="BB27" i="3"/>
  <c r="Z16" i="2"/>
  <c r="BD12" i="3"/>
  <c r="Y95" i="2"/>
  <c r="Z78" i="2"/>
  <c r="Y29" i="2"/>
  <c r="FD14" i="4" a="1"/>
  <c r="EX16" i="4" a="1"/>
  <c r="FA12" i="4" a="1"/>
  <c r="EX9" i="4" a="1"/>
  <c r="FD16" i="4" a="1"/>
  <c r="EZ5" i="4" a="1"/>
  <c r="Z84" i="2"/>
  <c r="Y40" i="2"/>
  <c r="Y96" i="2"/>
  <c r="Y55" i="2"/>
  <c r="AA34" i="2"/>
  <c r="Y86" i="2"/>
  <c r="Y107" i="2"/>
  <c r="BD34" i="3"/>
  <c r="EZ14" i="4" a="1"/>
  <c r="FB12" i="4" a="1"/>
  <c r="Z40" i="2"/>
  <c r="BA42" i="3"/>
  <c r="BD16" i="3"/>
  <c r="Y79" i="2"/>
  <c r="FA5" i="4" a="1"/>
  <c r="AA62" i="2"/>
  <c r="AV10" i="3"/>
  <c r="BC24" i="3"/>
  <c r="FF8" i="4" a="1"/>
  <c r="BU21" i="3"/>
  <c r="BJ7" i="3"/>
  <c r="BR22" i="3"/>
  <c r="BS17" i="3"/>
  <c r="BT21" i="3"/>
  <c r="BM6" i="3"/>
  <c r="BP41" i="3"/>
  <c r="BM17" i="3"/>
  <c r="BH34" i="3"/>
  <c r="BL15" i="3"/>
  <c r="BT9" i="3"/>
  <c r="BH26" i="3"/>
  <c r="BJ40" i="3"/>
  <c r="Z48" i="2"/>
  <c r="AA94" i="2"/>
  <c r="BC32" i="3"/>
  <c r="Z20" i="2"/>
  <c r="AA91" i="2"/>
  <c r="Y71" i="2"/>
  <c r="BB5" i="3"/>
  <c r="Z57" i="2"/>
  <c r="Z94" i="2"/>
  <c r="AA60" i="2"/>
  <c r="BD7" i="3"/>
  <c r="Y70" i="2"/>
  <c r="Z97" i="2"/>
  <c r="AA59" i="2"/>
  <c r="FC14" i="4" a="1"/>
  <c r="FC7" i="4" a="1"/>
  <c r="FD8" i="4" a="1"/>
  <c r="FE14" i="4" a="1"/>
  <c r="FB11" i="4" a="1"/>
  <c r="EZ13" i="4" a="1"/>
  <c r="Y32" i="2"/>
  <c r="BB25" i="3"/>
  <c r="Y9" i="2"/>
  <c r="Z44" i="2"/>
  <c r="Y61" i="2"/>
  <c r="BB14" i="3"/>
  <c r="BC9" i="3"/>
  <c r="AA43" i="2"/>
  <c r="BD40" i="3"/>
  <c r="FC12" i="4" a="1"/>
  <c r="FD13" i="4" a="1"/>
  <c r="EX12" i="4" a="1"/>
  <c r="Z86" i="2"/>
  <c r="AA64" i="2"/>
  <c r="BA33" i="3"/>
  <c r="BC29" i="3"/>
  <c r="AA96" i="2"/>
  <c r="BC36" i="3"/>
  <c r="Z8" i="2"/>
  <c r="EY14" i="4" a="1"/>
  <c r="BC19" i="3"/>
  <c r="Z65" i="2"/>
  <c r="BB34" i="3"/>
  <c r="FC6" i="4" a="1"/>
  <c r="BT16" i="3"/>
  <c r="Y94" i="2"/>
  <c r="AA88" i="2"/>
  <c r="BA10" i="3"/>
  <c r="Y63" i="2"/>
  <c r="FB16" i="4" a="1"/>
  <c r="BU27" i="3"/>
  <c r="BJ25" i="3"/>
  <c r="BV27" i="3"/>
  <c r="BO18" i="3"/>
  <c r="BT27" i="3"/>
  <c r="BI8" i="3"/>
  <c r="BP21" i="3"/>
  <c r="BG18" i="3"/>
  <c r="BN35" i="3"/>
  <c r="BH17" i="3"/>
  <c r="BT13" i="3"/>
  <c r="BJ27" i="3"/>
  <c r="BH45" i="3"/>
  <c r="Y75" i="2"/>
  <c r="BU33" i="3"/>
  <c r="BL26" i="3"/>
  <c r="BR28" i="3"/>
  <c r="BO20" i="3"/>
  <c r="BT22" i="3"/>
  <c r="BE16" i="3"/>
  <c r="BP39" i="3"/>
  <c r="BM19" i="3"/>
  <c r="BL42" i="3"/>
  <c r="BL23" i="3"/>
  <c r="BT37" i="3"/>
  <c r="BN33" i="3"/>
  <c r="BH23" i="3"/>
  <c r="Y46" i="2"/>
  <c r="Z64" i="2"/>
  <c r="BC27" i="3"/>
  <c r="AA86" i="2"/>
  <c r="Y105" i="2"/>
  <c r="FA8" i="4" a="1"/>
  <c r="FC16" i="4" a="1"/>
  <c r="EY8" i="4" a="1"/>
  <c r="FF5" i="4" a="1"/>
  <c r="AA82" i="2"/>
  <c r="BC33" i="3"/>
  <c r="Z93" i="2"/>
  <c r="BB40" i="3"/>
  <c r="FD6" i="4" a="1"/>
  <c r="FF6" i="4" a="1"/>
  <c r="BD26" i="3"/>
  <c r="Y84" i="2"/>
  <c r="BO36" i="3"/>
  <c r="BD5" i="3"/>
  <c r="FF11" i="4" a="1"/>
  <c r="BU39" i="3"/>
  <c r="BG7" i="3"/>
  <c r="BV33" i="3"/>
  <c r="BS23" i="3"/>
  <c r="BP42" i="3"/>
  <c r="BK27" i="3"/>
  <c r="BP13" i="3"/>
  <c r="BK22" i="3"/>
  <c r="BM14" i="3"/>
  <c r="BN34" i="3"/>
  <c r="BP14" i="3"/>
  <c r="BF45" i="3"/>
  <c r="CL82" i="1" s="1"/>
  <c r="AA14" i="2"/>
  <c r="AA47" i="2"/>
  <c r="BD39" i="3"/>
  <c r="Y44" i="2"/>
  <c r="AA50" i="2"/>
  <c r="Z15" i="2"/>
  <c r="BM8" i="3"/>
  <c r="BR34" i="3"/>
  <c r="BO24" i="3"/>
  <c r="BG29" i="3"/>
  <c r="BP29" i="3"/>
  <c r="BE23" i="3"/>
  <c r="BI16" i="3"/>
  <c r="BJ36" i="3"/>
  <c r="BP20" i="3"/>
  <c r="BK5" i="3"/>
  <c r="Z104" i="2"/>
  <c r="BB24" i="3"/>
  <c r="BB41" i="3"/>
  <c r="AA9" i="2"/>
  <c r="Y91" i="2"/>
  <c r="Y78" i="2"/>
  <c r="BC42" i="3"/>
  <c r="Z75" i="2"/>
  <c r="AA46" i="2"/>
  <c r="X6" i="2"/>
  <c r="BB7" i="3"/>
  <c r="BC34" i="3"/>
  <c r="BD31" i="3"/>
  <c r="BA25" i="3"/>
  <c r="Z43" i="2"/>
  <c r="Y53" i="2"/>
  <c r="FC9" i="4" a="1"/>
  <c r="FB8" i="4" a="1"/>
  <c r="FE8" i="4" a="1"/>
  <c r="EZ15" i="4" a="1"/>
  <c r="FE7" i="4" a="1"/>
  <c r="FF7" i="4" a="1"/>
  <c r="BB37" i="3"/>
  <c r="BD10" i="3"/>
  <c r="AA22" i="2"/>
  <c r="Y7" i="2"/>
  <c r="BA21" i="3"/>
  <c r="BA38" i="3"/>
  <c r="Z7" i="2"/>
  <c r="FA15" i="4" a="1"/>
  <c r="BO6" i="3"/>
  <c r="BL12" i="3"/>
  <c r="BF12" i="3"/>
  <c r="CL33" i="1" s="1"/>
  <c r="BG10" i="3"/>
  <c r="BK46" i="3"/>
  <c r="BG40" i="3"/>
  <c r="AA61" i="2"/>
  <c r="Z41" i="2"/>
  <c r="FF14" i="4" a="1"/>
  <c r="BV15" i="3"/>
  <c r="BH15" i="3"/>
  <c r="BB17" i="3"/>
  <c r="AA79" i="2"/>
  <c r="BD6" i="3"/>
  <c r="C5" i="2"/>
  <c r="Z83" i="2"/>
  <c r="EZ8" i="4" a="1"/>
  <c r="BV10" i="3"/>
  <c r="BG27" i="3"/>
  <c r="BV39" i="3"/>
  <c r="BO26" i="3"/>
  <c r="BI31" i="3"/>
  <c r="BE36" i="3"/>
  <c r="BI5" i="3"/>
  <c r="BK24" i="3"/>
  <c r="BG23" i="3"/>
  <c r="BN42" i="3"/>
  <c r="BP40" i="3"/>
  <c r="BM10" i="3"/>
  <c r="AB39" i="3"/>
  <c r="Y10" i="2"/>
  <c r="BD33" i="3"/>
  <c r="BD23" i="3"/>
  <c r="Y19" i="2"/>
  <c r="AA11" i="2"/>
  <c r="BC28" i="3"/>
  <c r="BB21" i="3"/>
  <c r="AA104" i="2"/>
  <c r="AA13" i="2"/>
  <c r="BB13" i="3"/>
  <c r="Y48" i="2"/>
  <c r="BB31" i="3"/>
  <c r="BA18" i="3"/>
  <c r="BC26" i="3"/>
  <c r="Z63" i="2"/>
  <c r="AA15" i="2"/>
  <c r="EZ12" i="4" a="1"/>
  <c r="EX13" i="4" a="1"/>
  <c r="FF9" i="4" a="1"/>
  <c r="EZ7" i="4" a="1"/>
  <c r="FC15" i="4" a="1"/>
  <c r="FE15" i="4" a="1"/>
  <c r="Z14" i="2"/>
  <c r="BA35" i="3"/>
  <c r="BC46" i="3"/>
  <c r="FC13" i="4" a="1"/>
  <c r="BN6" i="3"/>
  <c r="BI26" i="3"/>
  <c r="AA8" i="2"/>
  <c r="BB46" i="3"/>
  <c r="BC40" i="3"/>
  <c r="FA7" i="4" a="1"/>
  <c r="BS11" i="3"/>
  <c r="BE13" i="3"/>
  <c r="BF15" i="3"/>
  <c r="CL43" i="1" s="1"/>
  <c r="BF24" i="3"/>
  <c r="BS40" i="3"/>
  <c r="BK29" i="3"/>
  <c r="BR40" i="3"/>
  <c r="BS29" i="3"/>
  <c r="BE45" i="3"/>
  <c r="BF26" i="3"/>
  <c r="CL66" i="1" s="1"/>
  <c r="BG8" i="3"/>
  <c r="BK36" i="3"/>
  <c r="BG35" i="3"/>
  <c r="BL25" i="3"/>
  <c r="BI33" i="3"/>
  <c r="BK19" i="3"/>
  <c r="AA40" i="2"/>
  <c r="Y23" i="2"/>
  <c r="BC18" i="3"/>
  <c r="BB15" i="3"/>
  <c r="AA48" i="2"/>
  <c r="Z79" i="2"/>
  <c r="BC13" i="3"/>
  <c r="BA27" i="3"/>
  <c r="Y8" i="2"/>
  <c r="Z45" i="2"/>
  <c r="BD28" i="3"/>
  <c r="Y93" i="2"/>
  <c r="BB6" i="3"/>
  <c r="AA69" i="2"/>
  <c r="BD14" i="3"/>
  <c r="AA95" i="2"/>
  <c r="Y97" i="2"/>
  <c r="FF16" i="4" a="1"/>
  <c r="EX5" i="4" a="1"/>
  <c r="FA16" i="4" a="1"/>
  <c r="EX15" i="4" a="1"/>
  <c r="EX14" i="4" a="1"/>
  <c r="FA14" i="4" a="1"/>
  <c r="Y73" i="2"/>
  <c r="Z108" i="2"/>
  <c r="BC37" i="3"/>
  <c r="AA63" i="2"/>
  <c r="Y47" i="2"/>
  <c r="BA14" i="3"/>
  <c r="FB9" i="4" a="1"/>
  <c r="BJ32" i="3"/>
  <c r="BO32" i="3"/>
  <c r="BN9" i="3"/>
  <c r="Y72" i="2"/>
  <c r="Y90" i="2"/>
  <c r="EY16" i="4" a="1"/>
  <c r="BT41" i="3"/>
  <c r="BJ24" i="3"/>
  <c r="BS5" i="3"/>
  <c r="BO30" i="3"/>
  <c r="BH6" i="3"/>
  <c r="BN30" i="3"/>
  <c r="BK8" i="3"/>
  <c r="BG38" i="3"/>
  <c r="BM36" i="3"/>
  <c r="BF32" i="3"/>
  <c r="BK34" i="3"/>
  <c r="BG21" i="3"/>
  <c r="Y69" i="2"/>
  <c r="EX11" i="4" a="1"/>
  <c r="EX7" i="4" a="1"/>
  <c r="FD9" i="4" a="1"/>
  <c r="BU66" i="3"/>
  <c r="BJ14" i="3"/>
  <c r="Z30" i="2"/>
  <c r="Z70" i="2"/>
  <c r="Y92" i="2"/>
  <c r="BD38" i="3"/>
  <c r="EY15" i="4" a="1"/>
  <c r="FE13" i="4" a="1"/>
  <c r="BK35" i="3"/>
  <c r="BK26" i="3"/>
  <c r="Z80" i="2"/>
  <c r="Y52" i="2"/>
  <c r="EZ16" i="4" a="1"/>
  <c r="BQ56" i="3" l="1"/>
  <c r="BQ62" i="3"/>
  <c r="BP57" i="3"/>
  <c r="CM18" i="1"/>
  <c r="CN18" i="1" s="1"/>
  <c r="CL250" i="1"/>
  <c r="CL29" i="1"/>
  <c r="CL272" i="1"/>
  <c r="CL213" i="1"/>
  <c r="CL271" i="1"/>
  <c r="CL84" i="1"/>
  <c r="CL45" i="1"/>
  <c r="CL46" i="1" s="1"/>
  <c r="CK82" i="1"/>
  <c r="CK54" i="1"/>
  <c r="CK39" i="1"/>
  <c r="CK43" i="1"/>
  <c r="CK44" i="1"/>
  <c r="CK65" i="1"/>
  <c r="CK66" i="1"/>
  <c r="CK40" i="1"/>
  <c r="CK32" i="1"/>
  <c r="CK58" i="1"/>
  <c r="CK41" i="1"/>
  <c r="CK27" i="1"/>
  <c r="CK34" i="1"/>
  <c r="CK51" i="1"/>
  <c r="CK55" i="1"/>
  <c r="CK70" i="1"/>
  <c r="CK42" i="1"/>
  <c r="CK64" i="1"/>
  <c r="CK83" i="1"/>
  <c r="CK84" i="1" s="1"/>
  <c r="CK28" i="1"/>
  <c r="CK33" i="1"/>
  <c r="CV10" i="1"/>
  <c r="CU11" i="1"/>
  <c r="CK45" i="1"/>
  <c r="Z66" i="1"/>
  <c r="CH64" i="1"/>
  <c r="CH34" i="1"/>
  <c r="X145" i="1"/>
  <c r="X173" i="1" s="1"/>
  <c r="Z141" i="1"/>
  <c r="CH141" i="1" s="1"/>
  <c r="CI141" i="1" s="1"/>
  <c r="Z42" i="1"/>
  <c r="Z174" i="1"/>
  <c r="CH174" i="1" s="1"/>
  <c r="CJ64" i="1"/>
  <c r="CJ28" i="1"/>
  <c r="X86" i="1"/>
  <c r="Y137" i="1"/>
  <c r="X66" i="1"/>
  <c r="Y40" i="1"/>
  <c r="X151" i="1"/>
  <c r="X136" i="1"/>
  <c r="Y136" i="1"/>
  <c r="Y28" i="1"/>
  <c r="Z190" i="1"/>
  <c r="Z97" i="1"/>
  <c r="Y169" i="1"/>
  <c r="Y151" i="1"/>
  <c r="X172" i="1"/>
  <c r="Y138" i="1"/>
  <c r="Y191" i="1"/>
  <c r="CI65" i="1"/>
  <c r="Y179" i="1"/>
  <c r="Z178" i="1"/>
  <c r="X44" i="1"/>
  <c r="CH51" i="1"/>
  <c r="CH213" i="1" s="1"/>
  <c r="CJ42" i="1"/>
  <c r="CJ43" i="1"/>
  <c r="CH54" i="1"/>
  <c r="CG55" i="1"/>
  <c r="X165" i="1"/>
  <c r="Y146" i="1"/>
  <c r="X97" i="1"/>
  <c r="Z55" i="1"/>
  <c r="Z183" i="1"/>
  <c r="CH183" i="1" s="1"/>
  <c r="CI183" i="1" s="1"/>
  <c r="X190" i="1"/>
  <c r="Y65" i="1"/>
  <c r="Z182" i="1"/>
  <c r="CH182" i="1" s="1"/>
  <c r="CI182" i="1" s="1"/>
  <c r="Y170" i="1"/>
  <c r="X170" i="1"/>
  <c r="X51" i="1"/>
  <c r="X213" i="1" s="1"/>
  <c r="Z156" i="1"/>
  <c r="CH156" i="1" s="1"/>
  <c r="CI156" i="1" s="1"/>
  <c r="CH32" i="1"/>
  <c r="CG44" i="1"/>
  <c r="CJ40" i="1"/>
  <c r="Y51" i="1"/>
  <c r="Y159" i="1"/>
  <c r="Z138" i="1"/>
  <c r="CH138" i="1" s="1"/>
  <c r="CJ33" i="1"/>
  <c r="CG64" i="1"/>
  <c r="CG54" i="1"/>
  <c r="CI27" i="1"/>
  <c r="CG32" i="1"/>
  <c r="CG41" i="1"/>
  <c r="CH65" i="1"/>
  <c r="CH27" i="1"/>
  <c r="CH18" i="1" s="1"/>
  <c r="CH70" i="1"/>
  <c r="CG34" i="1"/>
  <c r="CJ55" i="1"/>
  <c r="CI64" i="1"/>
  <c r="CJ39" i="1"/>
  <c r="CN39" i="1" s="1"/>
  <c r="CR39" i="1" s="1"/>
  <c r="CV39" i="1" s="1"/>
  <c r="CZ39" i="1" s="1"/>
  <c r="X154" i="1"/>
  <c r="X150" i="1" s="1"/>
  <c r="Y145" i="1"/>
  <c r="Y173" i="1" s="1"/>
  <c r="Z54" i="1"/>
  <c r="Y64" i="1"/>
  <c r="X156" i="1"/>
  <c r="Y183" i="1"/>
  <c r="X28" i="1"/>
  <c r="X191" i="1"/>
  <c r="Z51" i="1"/>
  <c r="Z213" i="1" s="1"/>
  <c r="X146" i="1"/>
  <c r="X144" i="1"/>
  <c r="CI54" i="1"/>
  <c r="CH33" i="1"/>
  <c r="CI41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CG42" i="1"/>
  <c r="CJ51" i="1"/>
  <c r="CG33" i="1"/>
  <c r="Z65" i="1"/>
  <c r="Z170" i="1"/>
  <c r="CH170" i="1" s="1"/>
  <c r="X58" i="1"/>
  <c r="Z64" i="1"/>
  <c r="X164" i="1"/>
  <c r="Y141" i="1"/>
  <c r="X174" i="1"/>
  <c r="Z43" i="1"/>
  <c r="X141" i="1"/>
  <c r="Z152" i="1"/>
  <c r="CH152" i="1" s="1"/>
  <c r="CI152" i="1" s="1"/>
  <c r="Z159" i="1"/>
  <c r="AA221" i="1" s="1"/>
  <c r="Z34" i="1"/>
  <c r="X32" i="1"/>
  <c r="Y96" i="1"/>
  <c r="Y189" i="1"/>
  <c r="Z189" i="1"/>
  <c r="X143" i="1"/>
  <c r="Y70" i="1"/>
  <c r="Y44" i="1"/>
  <c r="Y178" i="1"/>
  <c r="Y180" i="1" s="1"/>
  <c r="Z137" i="1"/>
  <c r="CH137" i="1" s="1"/>
  <c r="CI137" i="1" s="1"/>
  <c r="Y54" i="1"/>
  <c r="Y174" i="1"/>
  <c r="Z98" i="1"/>
  <c r="Z162" i="1"/>
  <c r="CH162" i="1" s="1"/>
  <c r="Z146" i="1"/>
  <c r="CH146" i="1" s="1"/>
  <c r="CI146" i="1" s="1"/>
  <c r="Y162" i="1"/>
  <c r="Y27" i="1"/>
  <c r="CG65" i="1"/>
  <c r="CJ82" i="1"/>
  <c r="CI82" i="1" s="1"/>
  <c r="CH82" i="1" s="1"/>
  <c r="CG82" i="1" s="1"/>
  <c r="CF82" i="1" s="1"/>
  <c r="CE82" i="1" s="1"/>
  <c r="CD82" i="1" s="1"/>
  <c r="CC82" i="1" s="1"/>
  <c r="CB82" i="1" s="1"/>
  <c r="CA82" i="1" s="1"/>
  <c r="BZ82" i="1" s="1"/>
  <c r="BY82" i="1" s="1"/>
  <c r="BX82" i="1" s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K82" i="1" s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AK82" i="1" s="1"/>
  <c r="AJ82" i="1" s="1"/>
  <c r="AI82" i="1" s="1"/>
  <c r="CH44" i="1"/>
  <c r="CH41" i="1"/>
  <c r="CJ65" i="1"/>
  <c r="CG51" i="1"/>
  <c r="CI70" i="1"/>
  <c r="CG70" i="1"/>
  <c r="CH42" i="1"/>
  <c r="CJ27" i="1"/>
  <c r="CJ18" i="1" s="1"/>
  <c r="CI42" i="1"/>
  <c r="CJ34" i="1"/>
  <c r="CJ32" i="1"/>
  <c r="CG27" i="1"/>
  <c r="CG18" i="1" s="1"/>
  <c r="CI40" i="1"/>
  <c r="CH39" i="1"/>
  <c r="CP39" i="1" s="1"/>
  <c r="CT39" i="1" s="1"/>
  <c r="CX39" i="1" s="1"/>
  <c r="DB39" i="1" s="1"/>
  <c r="CI51" i="1"/>
  <c r="CI213" i="1" s="1"/>
  <c r="CG43" i="1"/>
  <c r="X179" i="1"/>
  <c r="Y155" i="1"/>
  <c r="Y42" i="1"/>
  <c r="Z136" i="1"/>
  <c r="CH136" i="1" s="1"/>
  <c r="CI136" i="1" s="1"/>
  <c r="X55" i="1"/>
  <c r="Y154" i="1"/>
  <c r="Y150" i="1" s="1"/>
  <c r="Y66" i="1"/>
  <c r="Y34" i="1"/>
  <c r="X159" i="1"/>
  <c r="Y41" i="1"/>
  <c r="X42" i="1"/>
  <c r="X168" i="1"/>
  <c r="X96" i="1"/>
  <c r="Y166" i="1"/>
  <c r="Y190" i="1"/>
  <c r="Z163" i="1"/>
  <c r="CH163" i="1" s="1"/>
  <c r="Z151" i="1"/>
  <c r="CH151" i="1" s="1"/>
  <c r="Y165" i="1"/>
  <c r="Z32" i="1"/>
  <c r="Z27" i="1"/>
  <c r="Y164" i="1"/>
  <c r="Z70" i="1"/>
  <c r="Z168" i="1"/>
  <c r="CH168" i="1" s="1"/>
  <c r="Z154" i="1"/>
  <c r="CH154" i="1" s="1"/>
  <c r="CI154" i="1" s="1"/>
  <c r="Y32" i="1"/>
  <c r="Y182" i="1"/>
  <c r="X65" i="1"/>
  <c r="X166" i="1"/>
  <c r="Z165" i="1"/>
  <c r="CH165" i="1" s="1"/>
  <c r="Z58" i="1"/>
  <c r="Y39" i="1"/>
  <c r="X182" i="1"/>
  <c r="Z144" i="1"/>
  <c r="CH144" i="1" s="1"/>
  <c r="CI144" i="1" s="1"/>
  <c r="X98" i="1"/>
  <c r="X41" i="1"/>
  <c r="X137" i="1"/>
  <c r="Y86" i="1"/>
  <c r="Z96" i="1"/>
  <c r="X40" i="1"/>
  <c r="X138" i="1"/>
  <c r="Y97" i="1"/>
  <c r="Z145" i="1"/>
  <c r="Y55" i="1"/>
  <c r="Y143" i="1"/>
  <c r="X27" i="1"/>
  <c r="X18" i="1" s="1"/>
  <c r="CI43" i="1"/>
  <c r="CJ58" i="1"/>
  <c r="CH43" i="1"/>
  <c r="CI33" i="1"/>
  <c r="CJ54" i="1"/>
  <c r="CI34" i="1"/>
  <c r="CI32" i="1"/>
  <c r="CG58" i="1"/>
  <c r="CG39" i="1"/>
  <c r="CH55" i="1"/>
  <c r="CI55" i="1"/>
  <c r="CI39" i="1"/>
  <c r="CM39" i="1" s="1"/>
  <c r="CQ39" i="1" s="1"/>
  <c r="CU39" i="1" s="1"/>
  <c r="CY39" i="1" s="1"/>
  <c r="CJ41" i="1"/>
  <c r="CJ44" i="1"/>
  <c r="CH40" i="1"/>
  <c r="CE58" i="1"/>
  <c r="CG66" i="1"/>
  <c r="CJ66" i="1"/>
  <c r="CG28" i="1"/>
  <c r="CG40" i="1"/>
  <c r="CI44" i="1"/>
  <c r="CJ70" i="1"/>
  <c r="CH28" i="1"/>
  <c r="CI28" i="1"/>
  <c r="Y161" i="1"/>
  <c r="X70" i="1"/>
  <c r="Z143" i="1"/>
  <c r="CH143" i="1" s="1"/>
  <c r="CI143" i="1" s="1"/>
  <c r="Y152" i="1"/>
  <c r="Y43" i="1"/>
  <c r="X64" i="1"/>
  <c r="Z191" i="1"/>
  <c r="X34" i="1"/>
  <c r="Y168" i="1"/>
  <c r="Z179" i="1"/>
  <c r="CH179" i="1" s="1"/>
  <c r="X161" i="1"/>
  <c r="Y172" i="1"/>
  <c r="Y58" i="1"/>
  <c r="Z28" i="1"/>
  <c r="Z169" i="1"/>
  <c r="CH169" i="1" s="1"/>
  <c r="Y98" i="1"/>
  <c r="X54" i="1"/>
  <c r="X155" i="1"/>
  <c r="Z155" i="1"/>
  <c r="CH155" i="1" s="1"/>
  <c r="CI155" i="1" s="1"/>
  <c r="Z166" i="1"/>
  <c r="CH166" i="1" s="1"/>
  <c r="X152" i="1"/>
  <c r="Z39" i="1"/>
  <c r="Z164" i="1"/>
  <c r="CH164" i="1" s="1"/>
  <c r="Z161" i="1"/>
  <c r="CH161" i="1" s="1"/>
  <c r="X178" i="1"/>
  <c r="X169" i="1"/>
  <c r="Y144" i="1"/>
  <c r="Z40" i="1"/>
  <c r="Z41" i="1"/>
  <c r="Z86" i="1"/>
  <c r="Z44" i="1"/>
  <c r="X163" i="1"/>
  <c r="Y156" i="1"/>
  <c r="Y163" i="1"/>
  <c r="X183" i="1"/>
  <c r="X43" i="1"/>
  <c r="X39" i="1"/>
  <c r="Z172" i="1"/>
  <c r="CH172" i="1" s="1"/>
  <c r="X162" i="1"/>
  <c r="X189" i="1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63" i="1" s="1"/>
  <c r="CL198" i="1" s="1"/>
  <c r="Y111" i="2"/>
  <c r="BO83" i="3"/>
  <c r="BS81" i="3"/>
  <c r="BG48" i="3"/>
  <c r="BL73" i="3"/>
  <c r="BE69" i="3"/>
  <c r="BI87" i="3"/>
  <c r="BM63" i="3"/>
  <c r="BF56" i="3"/>
  <c r="CL136" i="1" s="1"/>
  <c r="BJ72" i="3"/>
  <c r="BJ48" i="3"/>
  <c r="BJ69" i="3"/>
  <c r="BK82" i="3"/>
  <c r="BK66" i="3"/>
  <c r="BK91" i="3"/>
  <c r="BK61" i="3"/>
  <c r="FX6" i="4" a="1"/>
  <c r="BK84" i="3"/>
  <c r="BV48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72" i="1" s="1"/>
  <c r="CL202" i="1" s="1"/>
  <c r="BF66" i="3"/>
  <c r="CL170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8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9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65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9" i="1" s="1"/>
  <c r="BF82" i="3"/>
  <c r="CL164" i="1" s="1"/>
  <c r="CL199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53" i="1" s="1"/>
  <c r="CL157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BT4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9" i="1" s="1"/>
  <c r="BB65" i="3"/>
  <c r="BB74" i="3"/>
  <c r="BB78" i="3"/>
  <c r="BG77" i="3"/>
  <c r="BH68" i="3"/>
  <c r="BF88" i="3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BD49" i="3"/>
  <c r="BU54" i="3"/>
  <c r="BI73" i="3"/>
  <c r="BI97" i="3"/>
  <c r="BB57" i="3"/>
  <c r="BA74" i="3"/>
  <c r="BC60" i="3"/>
  <c r="BQ57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4" i="1" s="1"/>
  <c r="BB92" i="3"/>
  <c r="BB85" i="3"/>
  <c r="BB89" i="3"/>
  <c r="BG93" i="3"/>
  <c r="BH76" i="3"/>
  <c r="BF90" i="3"/>
  <c r="CL145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4" i="1" s="1"/>
  <c r="BF85" i="3"/>
  <c r="CL166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8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41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8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BE85" i="3"/>
  <c r="BK70" i="3"/>
  <c r="BF87" i="3"/>
  <c r="CL171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3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3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BP67" i="3"/>
  <c r="BF79" i="3"/>
  <c r="CL162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3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7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82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BG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92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52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BP92" i="3"/>
  <c r="BG76" i="3"/>
  <c r="BP58" i="3"/>
  <c r="BL60" i="3"/>
  <c r="BF78" i="3"/>
  <c r="CL161" i="1" s="1"/>
  <c r="BT50" i="3"/>
  <c r="BS86" i="3"/>
  <c r="BR83" i="3"/>
  <c r="BN57" i="3"/>
  <c r="BO86" i="3"/>
  <c r="BI77" i="3"/>
  <c r="BJ91" i="3"/>
  <c r="BK56" i="3"/>
  <c r="FI6" i="4" a="1"/>
  <c r="GA5" i="4" a="1"/>
  <c r="FX9" i="4" a="1"/>
  <c r="FQ6" i="4" a="1"/>
  <c r="FT5" i="4" a="1"/>
  <c r="FZ9" i="4" a="1"/>
  <c r="GK6" i="4" a="1"/>
  <c r="HD9" i="4" a="1"/>
  <c r="GY5" i="4" a="1"/>
  <c r="HB7" i="4" a="1"/>
  <c r="GL13" i="4" a="1"/>
  <c r="GN11" i="4" a="1"/>
  <c r="FI13" i="4" a="1"/>
  <c r="FK9" i="4" a="1"/>
  <c r="GN12" i="4" a="1"/>
  <c r="GU13" i="4" a="1"/>
  <c r="GZ14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FX15" i="4" a="1"/>
  <c r="FI16" i="4" a="1"/>
  <c r="BC87" i="3"/>
  <c r="BD63" i="3"/>
  <c r="BO67" i="3"/>
  <c r="GS5" i="4" a="1"/>
  <c r="FP14" i="4" a="1"/>
  <c r="GJ13" i="4" a="1"/>
  <c r="GB14" i="4" a="1"/>
  <c r="GL16" i="4" a="1"/>
  <c r="GL12" i="4" a="1"/>
  <c r="GW15" i="4" a="1"/>
  <c r="GQ16" i="4" a="1"/>
  <c r="BC92" i="3"/>
  <c r="BC97" i="3"/>
  <c r="BD77" i="3"/>
  <c r="FU16" i="4" a="1"/>
  <c r="HD13" i="4" a="1"/>
  <c r="BC84" i="3"/>
  <c r="BG80" i="3"/>
  <c r="BI72" i="3"/>
  <c r="BL82" i="3"/>
  <c r="BF93" i="3"/>
  <c r="BT84" i="3"/>
  <c r="BS57" i="3"/>
  <c r="BV79" i="3"/>
  <c r="BN67" i="3"/>
  <c r="BO96" i="3"/>
  <c r="BI91" i="3"/>
  <c r="BJ55" i="3"/>
  <c r="BK54" i="3"/>
  <c r="GH6" i="4" a="1"/>
  <c r="HD6" i="4" a="1"/>
  <c r="HG13" i="4" a="1"/>
  <c r="FV7" i="4" a="1"/>
  <c r="GT5" i="4" a="1"/>
  <c r="GT9" i="4" a="1"/>
  <c r="FZ7" i="4" a="1"/>
  <c r="GF11" i="4" a="1"/>
  <c r="FU6" i="4" a="1"/>
  <c r="FT9" i="4" a="1"/>
  <c r="FM14" i="4" a="1"/>
  <c r="GS11" i="4" a="1"/>
  <c r="FL13" i="4" a="1"/>
  <c r="FP9" i="4" a="1"/>
  <c r="GS12" i="4" a="1"/>
  <c r="GX13" i="4" a="1"/>
  <c r="HE14" i="4" a="1"/>
  <c r="FU13" i="4" a="1"/>
  <c r="GC15" i="4" a="1"/>
  <c r="HD15" i="4" a="1"/>
  <c r="GB16" i="4" a="1"/>
  <c r="HB16" i="4" a="1"/>
  <c r="GJ7" i="4" a="1"/>
  <c r="FX13" i="4" a="1"/>
  <c r="GU9" i="4" a="1"/>
  <c r="FW14" i="4" a="1"/>
  <c r="GM15" i="4" a="1"/>
  <c r="GG16" i="4" a="1"/>
  <c r="HE16" i="4" a="1"/>
  <c r="BC96" i="3"/>
  <c r="BC78" i="3"/>
  <c r="BD60" i="3"/>
  <c r="BU97" i="3"/>
  <c r="FY6" i="4" a="1"/>
  <c r="GG8" i="4" a="1"/>
  <c r="GA6" i="4" a="1"/>
  <c r="GW9" i="4" a="1"/>
  <c r="FJ13" i="4" a="1"/>
  <c r="GN15" i="4" a="1"/>
  <c r="FU11" i="4" a="1"/>
  <c r="FQ15" i="4" a="1"/>
  <c r="BC66" i="3"/>
  <c r="FM15" i="4" a="1"/>
  <c r="BC69" i="3"/>
  <c r="BP77" i="3"/>
  <c r="BM95" i="3"/>
  <c r="BB81" i="3"/>
  <c r="BL91" i="3"/>
  <c r="BQ70" i="3"/>
  <c r="BN92" i="3"/>
  <c r="BU49" i="3"/>
  <c r="BV93" i="3"/>
  <c r="BN93" i="3"/>
  <c r="BS76" i="3"/>
  <c r="BM69" i="3"/>
  <c r="BJ92" i="3"/>
  <c r="BK97" i="3"/>
  <c r="HH7" i="4" a="1"/>
  <c r="GX7" i="4" a="1"/>
  <c r="HD14" i="4" a="1"/>
  <c r="GN8" i="4" a="1"/>
  <c r="FP6" i="4" a="1"/>
  <c r="FP11" i="4" a="1"/>
  <c r="GZ5" i="4" a="1"/>
  <c r="GY7" i="4" a="1"/>
  <c r="GS6" i="4" a="1"/>
  <c r="GM9" i="4" a="1"/>
  <c r="GK14" i="4" a="1"/>
  <c r="GV11" i="4" a="1"/>
  <c r="FQ13" i="4" a="1"/>
  <c r="GA9" i="4" a="1"/>
  <c r="GV12" i="4" a="1"/>
  <c r="HC13" i="4" a="1"/>
  <c r="FY7" i="4" a="1"/>
  <c r="GF13" i="4" a="1"/>
  <c r="GF15" i="4" a="1"/>
  <c r="HF15" i="4" a="1"/>
  <c r="GD16" i="4" a="1"/>
  <c r="HD16" i="4" a="1"/>
  <c r="FV8" i="4" a="1"/>
  <c r="GS13" i="4" a="1"/>
  <c r="GA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C48" i="3"/>
  <c r="GA12" i="4" a="1"/>
  <c r="GO16" i="4" a="1"/>
  <c r="BC95" i="3"/>
  <c r="BD97" i="3"/>
  <c r="BE87" i="3"/>
  <c r="BN83" i="3"/>
  <c r="HA6" i="4" a="1"/>
  <c r="HB13" i="4" a="1"/>
  <c r="FL16" i="4" a="1"/>
  <c r="HE13" i="4" a="1"/>
  <c r="FN15" i="4" a="1"/>
  <c r="FS16" i="4" a="1"/>
  <c r="GC11" i="4" a="1"/>
  <c r="BC59" i="3"/>
  <c r="BD56" i="3"/>
  <c r="GS16" i="4" a="1"/>
  <c r="BD65" i="3"/>
  <c r="BA65" i="3"/>
  <c r="FV15" i="4" a="1"/>
  <c r="BD95" i="3"/>
  <c r="BJ56" i="3"/>
  <c r="BM62" i="3"/>
  <c r="BA76" i="3"/>
  <c r="BL79" i="3"/>
  <c r="BQ63" i="3"/>
  <c r="BO59" i="3"/>
  <c r="BU71" i="3"/>
  <c r="BV80" i="3"/>
  <c r="BN48" i="3"/>
  <c r="BS54" i="3"/>
  <c r="BM58" i="3"/>
  <c r="BJ65" i="3"/>
  <c r="BK89" i="3"/>
  <c r="GB8" i="4" a="1"/>
  <c r="GW5" i="4" a="1"/>
  <c r="FW15" i="4" a="1"/>
  <c r="GK9" i="4" a="1"/>
  <c r="GV6" i="4" a="1"/>
  <c r="FI12" i="4" a="1"/>
  <c r="GF7" i="4" a="1"/>
  <c r="GN9" i="4" a="1"/>
  <c r="GM7" i="4" a="1"/>
  <c r="GJ8" i="4" a="1"/>
  <c r="GV5" i="4" a="1"/>
  <c r="FG12" i="4" a="1"/>
  <c r="FY13" i="4" a="1"/>
  <c r="GL11" i="4" a="1"/>
  <c r="HA12" i="4" a="1"/>
  <c r="HF13" i="4" a="1"/>
  <c r="GT8" i="4" a="1"/>
  <c r="HA13" i="4" a="1"/>
  <c r="GH15" i="4" a="1"/>
  <c r="HH15" i="4" a="1"/>
  <c r="GF16" i="4" a="1"/>
  <c r="HF16" i="4" a="1"/>
  <c r="HB8" i="4" a="1"/>
  <c r="HH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C13" i="4" a="1"/>
  <c r="HC14" i="4" a="1"/>
  <c r="FQ16" i="4" a="1"/>
  <c r="GY9" i="4" a="1"/>
  <c r="BC61" i="3"/>
  <c r="BD66" i="3"/>
  <c r="Y113" i="2"/>
  <c r="BQ59" i="3"/>
  <c r="BQ96" i="3"/>
  <c r="BV87" i="3"/>
  <c r="BL95" i="3"/>
  <c r="BF72" i="3"/>
  <c r="CL154" i="1" s="1"/>
  <c r="BK81" i="3"/>
  <c r="GQ5" i="4" a="1"/>
  <c r="GW8" i="4" a="1"/>
  <c r="FH11" i="4" a="1"/>
  <c r="HB11" i="4" a="1"/>
  <c r="HC9" i="4" a="1"/>
  <c r="FS12" i="4" a="1"/>
  <c r="BC62" i="3"/>
  <c r="BD80" i="3"/>
  <c r="Z112" i="2"/>
  <c r="GI15" i="4" a="1"/>
  <c r="BA72" i="3"/>
  <c r="Z111" i="2"/>
  <c r="BA61" i="3"/>
  <c r="BE83" i="3"/>
  <c r="BQ67" i="3"/>
  <c r="BO76" i="3"/>
  <c r="BU86" i="3"/>
  <c r="BV82" i="3"/>
  <c r="BN71" i="3"/>
  <c r="BG82" i="3"/>
  <c r="BM89" i="3"/>
  <c r="BJ71" i="3"/>
  <c r="GT14" i="4" a="1"/>
  <c r="GH9" i="4" a="1"/>
  <c r="HG6" i="4" a="1"/>
  <c r="GS9" i="4" a="1"/>
  <c r="GZ9" i="4" a="1"/>
  <c r="GP7" i="4" a="1"/>
  <c r="HH12" i="4" a="1"/>
  <c r="FW8" i="4" a="1"/>
  <c r="GZ12" i="4" a="1"/>
  <c r="FL8" i="4" a="1"/>
  <c r="GC9" i="4" a="1"/>
  <c r="FR8" i="4" a="1"/>
  <c r="FO12" i="4" a="1"/>
  <c r="GB13" i="4" a="1"/>
  <c r="GT11" i="4" a="1"/>
  <c r="HD12" i="4" a="1"/>
  <c r="FI14" i="4" a="1"/>
  <c r="FQ9" i="4" a="1"/>
  <c r="FJ14" i="4" a="1"/>
  <c r="GJ15" i="4" a="1"/>
  <c r="FH16" i="4" a="1"/>
  <c r="GH16" i="4" a="1"/>
  <c r="HH16" i="4" a="1"/>
  <c r="FV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GA14" i="4" a="1"/>
  <c r="GU15" i="4" a="1"/>
  <c r="BC76" i="3"/>
  <c r="BH83" i="3"/>
  <c r="BC55" i="3"/>
  <c r="BD84" i="3"/>
  <c r="BA91" i="3"/>
  <c r="BB58" i="3"/>
  <c r="BD73" i="3"/>
  <c r="BE80" i="3"/>
  <c r="BQ82" i="3"/>
  <c r="BO94" i="3"/>
  <c r="BU90" i="3"/>
  <c r="BV63" i="3"/>
  <c r="BN70" i="3"/>
  <c r="BG90" i="3"/>
  <c r="BF74" i="3"/>
  <c r="CL156" i="1" s="1"/>
  <c r="BJ77" i="3"/>
  <c r="FM5" i="4" a="1"/>
  <c r="FZ6" i="4" a="1"/>
  <c r="HC8" i="4" a="1"/>
  <c r="FH6" i="4" a="1"/>
  <c r="FJ11" i="4" a="1"/>
  <c r="HD7" i="4" a="1"/>
  <c r="GD13" i="4" a="1"/>
  <c r="GI8" i="4" a="1"/>
  <c r="GT13" i="4" a="1"/>
  <c r="HH5" i="4" a="1"/>
  <c r="GV9" i="4" a="1"/>
  <c r="FN9" i="4" a="1"/>
  <c r="FR12" i="4" a="1"/>
  <c r="GG13" i="4" a="1"/>
  <c r="GY11" i="4" a="1"/>
  <c r="FG13" i="4" a="1"/>
  <c r="FT14" i="4" a="1"/>
  <c r="GL9" i="4" a="1"/>
  <c r="FO14" i="4" a="1"/>
  <c r="GL15" i="4" a="1"/>
  <c r="FJ16" i="4" a="1"/>
  <c r="GJ16" i="4" a="1"/>
  <c r="HE7" i="4" a="1"/>
  <c r="HG9" i="4" a="1"/>
  <c r="BB66" i="3"/>
  <c r="GI9" i="4" a="1"/>
  <c r="FW12" i="4" a="1"/>
  <c r="FZ14" i="4" a="1"/>
  <c r="GL14" i="4" a="1"/>
  <c r="BB93" i="3"/>
  <c r="GC16" i="4" a="1"/>
  <c r="BH47" i="3"/>
  <c r="BB83" i="3"/>
  <c r="BH58" i="3"/>
  <c r="BE88" i="3"/>
  <c r="BU76" i="3"/>
  <c r="BO82" i="3"/>
  <c r="BU70" i="3"/>
  <c r="BT59" i="3"/>
  <c r="BP69" i="3"/>
  <c r="BL50" i="3"/>
  <c r="BF50" i="3"/>
  <c r="CL93" i="1" s="1"/>
  <c r="BK77" i="3"/>
  <c r="GN6" i="4" a="1"/>
  <c r="GX11" i="4" a="1"/>
  <c r="GG6" i="4" a="1"/>
  <c r="FW7" i="4" a="1"/>
  <c r="GW12" i="4" a="1"/>
  <c r="GS8" i="4" a="1"/>
  <c r="GV14" i="4" a="1"/>
  <c r="FT6" i="4" a="1"/>
  <c r="GN14" i="4" a="1"/>
  <c r="FJ8" i="4" a="1"/>
  <c r="GD11" i="4" a="1"/>
  <c r="FK11" i="4" a="1"/>
  <c r="GE12" i="4" a="1"/>
  <c r="GW13" i="4" a="1"/>
  <c r="FH12" i="4" a="1"/>
  <c r="FO13" i="4" a="1"/>
  <c r="GG14" i="4" a="1"/>
  <c r="FQ11" i="4" a="1"/>
  <c r="GE14" i="4" a="1"/>
  <c r="GP15" i="4" a="1"/>
  <c r="FN16" i="4" a="1"/>
  <c r="GP16" i="4" a="1"/>
  <c r="FH13" i="4" a="1"/>
  <c r="GJ11" i="4" a="1"/>
  <c r="GQ14" i="4" a="1"/>
  <c r="GI14" i="4" a="1"/>
  <c r="HG12" i="4" a="1"/>
  <c r="GY15" i="4" a="1"/>
  <c r="GZ11" i="4" a="1"/>
  <c r="BC75" i="3"/>
  <c r="BL86" i="3"/>
  <c r="BG95" i="3"/>
  <c r="BH94" i="3"/>
  <c r="BI62" i="3"/>
  <c r="BR92" i="3"/>
  <c r="BS71" i="3"/>
  <c r="BR78" i="3"/>
  <c r="BT96" i="3"/>
  <c r="BP82" i="3"/>
  <c r="BE79" i="3"/>
  <c r="BJ82" i="3"/>
  <c r="BK83" i="3"/>
  <c r="HF7" i="4" a="1"/>
  <c r="HE12" i="4" a="1"/>
  <c r="GJ9" i="4" a="1"/>
  <c r="FK6" i="4" a="1"/>
  <c r="GY13" i="4" a="1"/>
  <c r="GP5" i="4" a="1"/>
  <c r="GZ7" i="4" a="1"/>
  <c r="GL7" i="4" a="1"/>
  <c r="GE6" i="4" a="1"/>
  <c r="GO8" i="4" a="1"/>
  <c r="GO6" i="4" a="1"/>
  <c r="FS11" i="4" a="1"/>
  <c r="GH12" i="4" a="1"/>
  <c r="HE6" i="4" a="1"/>
  <c r="FM12" i="4" a="1"/>
  <c r="FZ13" i="4" a="1"/>
  <c r="GJ14" i="4" a="1"/>
  <c r="GG11" i="4" a="1"/>
  <c r="GP14" i="4" a="1"/>
  <c r="GR15" i="4" a="1"/>
  <c r="FR16" i="4" a="1"/>
  <c r="GR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GD8" i="4" a="1"/>
  <c r="BD58" i="3"/>
  <c r="BC82" i="3"/>
  <c r="BM81" i="3"/>
  <c r="BH82" i="3"/>
  <c r="BI57" i="3"/>
  <c r="BR54" i="3"/>
  <c r="BS73" i="3"/>
  <c r="BR59" i="3"/>
  <c r="BT55" i="3"/>
  <c r="BF69" i="3"/>
  <c r="BE59" i="3"/>
  <c r="BJ68" i="3"/>
  <c r="BK85" i="3"/>
  <c r="GS7" i="4" a="1"/>
  <c r="FR15" i="4" a="1"/>
  <c r="GP9" i="4" a="1"/>
  <c r="GC8" i="4" a="1"/>
  <c r="FU14" i="4" a="1"/>
  <c r="FR6" i="4" a="1"/>
  <c r="FN5" i="4" a="1"/>
  <c r="FX8" i="4" a="1"/>
  <c r="GD9" i="4" a="1"/>
  <c r="HA8" i="4" a="1"/>
  <c r="FS7" i="4" a="1"/>
  <c r="FW11" i="4" a="1"/>
  <c r="GM12" i="4" a="1"/>
  <c r="FN7" i="4" a="1"/>
  <c r="FP12" i="4" a="1"/>
  <c r="GH13" i="4" a="1"/>
  <c r="GO14" i="4" a="1"/>
  <c r="GR11" i="4" a="1"/>
  <c r="GU14" i="4" a="1"/>
  <c r="GV15" i="4" a="1"/>
  <c r="FT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BD89" i="3"/>
  <c r="BF47" i="3"/>
  <c r="BV60" i="3"/>
  <c r="BS77" i="3"/>
  <c r="BR96" i="3"/>
  <c r="BT62" i="3"/>
  <c r="BO54" i="3"/>
  <c r="BI63" i="3"/>
  <c r="BJ96" i="3"/>
  <c r="BK76" i="3"/>
  <c r="GK8" i="4" a="1"/>
  <c r="FY9" i="4" a="1"/>
  <c r="GX5" i="4" a="1"/>
  <c r="FI7" i="4" a="1"/>
  <c r="HD8" i="4" a="1"/>
  <c r="GW6" i="4" a="1"/>
  <c r="GR12" i="4" a="1"/>
  <c r="HC12" i="4" a="1"/>
  <c r="FM8" i="4" a="1"/>
  <c r="GP13" i="4" a="1"/>
  <c r="GQ12" i="4" a="1"/>
  <c r="GZ15" i="4" a="1"/>
  <c r="GT12" i="4" a="1"/>
  <c r="HG15" i="4" a="1"/>
  <c r="HA16" i="4" a="1"/>
  <c r="BM60" i="3"/>
  <c r="BP97" i="3"/>
  <c r="BL58" i="3"/>
  <c r="BI85" i="3"/>
  <c r="BV56" i="3"/>
  <c r="BS65" i="3"/>
  <c r="BR66" i="3"/>
  <c r="BT83" i="3"/>
  <c r="AA113" i="2"/>
  <c r="BE73" i="3"/>
  <c r="BJ76" i="3"/>
  <c r="BK60" i="3"/>
  <c r="FY8" i="4" a="1"/>
  <c r="GH8" i="4" a="1"/>
  <c r="FL11" i="4" a="1"/>
  <c r="GY8" i="4" a="1"/>
  <c r="GS14" i="4" a="1"/>
  <c r="GW7" i="4" a="1"/>
  <c r="GJ5" i="4" a="1"/>
  <c r="FU9" i="4" a="1"/>
  <c r="FK5" i="4" a="1"/>
  <c r="HF5" i="4" a="1"/>
  <c r="FS9" i="4" a="1"/>
  <c r="GA11" i="4" a="1"/>
  <c r="GP12" i="4" a="1"/>
  <c r="GI7" i="4" a="1"/>
  <c r="FU12" i="4" a="1"/>
  <c r="GM13" i="4" a="1"/>
  <c r="GR14" i="4" a="1"/>
  <c r="FK12" i="4" a="1"/>
  <c r="FL15" i="4" a="1"/>
  <c r="GX15" i="4" a="1"/>
  <c r="FV16" i="4" a="1"/>
  <c r="GV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BP76" i="3"/>
  <c r="BL93" i="3"/>
  <c r="GB11" i="4" a="1"/>
  <c r="FM6" i="4" a="1"/>
  <c r="GR9" i="4" a="1"/>
  <c r="FR5" i="4" a="1"/>
  <c r="GK11" i="4" a="1"/>
  <c r="GF12" i="4" a="1"/>
  <c r="GW14" i="4" a="1"/>
  <c r="FP15" i="4" a="1"/>
  <c r="FX16" i="4" a="1"/>
  <c r="GX16" i="4" a="1"/>
  <c r="CO39" i="1" l="1"/>
  <c r="CS39" i="1" s="1"/>
  <c r="JO16" i="4" s="1"/>
  <c r="JO9" i="4" s="1"/>
  <c r="JN9" i="4" s="1"/>
  <c r="JN16" i="4" s="1"/>
  <c r="Y213" i="1"/>
  <c r="JP9" i="4" s="1"/>
  <c r="JP16" i="4" s="1"/>
  <c r="CL147" i="1"/>
  <c r="CH159" i="1"/>
  <c r="CI159" i="1" s="1"/>
  <c r="CL117" i="1"/>
  <c r="CL118" i="1" s="1"/>
  <c r="CH145" i="1"/>
  <c r="CI145" i="1" s="1"/>
  <c r="Z173" i="1"/>
  <c r="CH173" i="1" s="1"/>
  <c r="CL167" i="1"/>
  <c r="CL35" i="1"/>
  <c r="CL20" i="1" s="1"/>
  <c r="Y202" i="1"/>
  <c r="X167" i="1"/>
  <c r="Y18" i="1"/>
  <c r="Y272" i="1"/>
  <c r="Z18" i="1"/>
  <c r="Z199" i="1"/>
  <c r="CL180" i="1"/>
  <c r="CL201" i="1"/>
  <c r="CL139" i="1"/>
  <c r="CL148" i="1" s="1"/>
  <c r="CL175" i="1"/>
  <c r="CK29" i="1"/>
  <c r="CK46" i="1" s="1"/>
  <c r="Z139" i="1"/>
  <c r="AA226" i="1" s="1"/>
  <c r="Y29" i="1"/>
  <c r="Y167" i="1"/>
  <c r="Y250" i="1"/>
  <c r="Z167" i="1"/>
  <c r="AA215" i="1" s="1"/>
  <c r="CJ163" i="1"/>
  <c r="CJ198" i="1" s="1"/>
  <c r="CK198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E16" i="4" s="1"/>
  <c r="JW16" i="4" s="1"/>
  <c r="KD16" i="4" s="1"/>
  <c r="JU9" i="4" s="1"/>
  <c r="Z93" i="1"/>
  <c r="CJ172" i="1"/>
  <c r="CJ202" i="1" s="1"/>
  <c r="CK202" i="1" s="1"/>
  <c r="CJ153" i="1"/>
  <c r="CK52" i="1" s="1"/>
  <c r="CJ173" i="1"/>
  <c r="JX9" i="4" s="1"/>
  <c r="KB9" i="4" s="1"/>
  <c r="CJ138" i="1"/>
  <c r="CJ168" i="1"/>
  <c r="JT16" i="4" s="1"/>
  <c r="JZ9" i="4" s="1"/>
  <c r="KB16" i="4" s="1"/>
  <c r="JZ16" i="4" s="1"/>
  <c r="JZ21" i="4" s="1"/>
  <c r="KD9" i="4" s="1"/>
  <c r="CJ165" i="1"/>
  <c r="JY9" i="4" s="1"/>
  <c r="KA16" i="4" s="1"/>
  <c r="JS16" i="4" s="1"/>
  <c r="KH16" i="4" s="1"/>
  <c r="KC9" i="4" s="1"/>
  <c r="CJ178" i="1"/>
  <c r="CJ170" i="1"/>
  <c r="KE9" i="4" s="1"/>
  <c r="CJ171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CJ169" i="1"/>
  <c r="KC16" i="4" s="1"/>
  <c r="CJ136" i="1"/>
  <c r="JR16" i="4" s="1"/>
  <c r="CJ182" i="1"/>
  <c r="CK182" i="1" s="1"/>
  <c r="CM182" i="1" s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JZ14" i="4" s="1"/>
  <c r="JX16" i="4" s="1"/>
  <c r="JW9" i="4" s="1"/>
  <c r="KA9" i="4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KG16" i="4" s="1"/>
  <c r="JY16" i="4" s="1"/>
  <c r="KF16" i="4" s="1"/>
  <c r="JU16" i="4" s="1"/>
  <c r="CJ159" i="1"/>
  <c r="CJ144" i="1"/>
  <c r="JQ16" i="4" s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54" i="1"/>
  <c r="CK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KF14" i="4" s="1"/>
  <c r="JV9" i="4" s="1"/>
  <c r="X92" i="1"/>
  <c r="CJ166" i="1"/>
  <c r="Y93" i="1"/>
  <c r="CI93" i="1"/>
  <c r="KG9" i="4" s="1"/>
  <c r="KC8" i="4" s="1"/>
  <c r="Z92" i="1"/>
  <c r="CJ179" i="1"/>
  <c r="JS9" i="4" s="1"/>
  <c r="JQ9" i="4" s="1"/>
  <c r="CK93" i="1"/>
  <c r="CJ161" i="1"/>
  <c r="CH92" i="1"/>
  <c r="KH9" i="4" s="1"/>
  <c r="CJ93" i="1"/>
  <c r="CJ174" i="1"/>
  <c r="CJ143" i="1"/>
  <c r="CK143" i="1" s="1"/>
  <c r="CG92" i="1"/>
  <c r="CJ92" i="1"/>
  <c r="CG93" i="1"/>
  <c r="JR9" i="4" s="1"/>
  <c r="JT9" i="4" s="1"/>
  <c r="CJ152" i="1"/>
  <c r="CK152" i="1" s="1"/>
  <c r="CI92" i="1"/>
  <c r="CK92" i="1"/>
  <c r="CJ146" i="1"/>
  <c r="CK146" i="1" s="1"/>
  <c r="CJ164" i="1"/>
  <c r="CJ199" i="1" s="1"/>
  <c r="CK199" i="1" s="1"/>
  <c r="CH93" i="1"/>
  <c r="X199" i="1"/>
  <c r="Z202" i="1"/>
  <c r="CI18" i="1"/>
  <c r="Z150" i="1"/>
  <c r="Z153" i="1" s="1"/>
  <c r="Z198" i="1"/>
  <c r="Z272" i="1"/>
  <c r="X192" i="1"/>
  <c r="CK18" i="1"/>
  <c r="CV11" i="1"/>
  <c r="CW10" i="1"/>
  <c r="CG250" i="1"/>
  <c r="CH178" i="1"/>
  <c r="CH180" i="1" s="1"/>
  <c r="CI228" i="1" s="1"/>
  <c r="Z180" i="1"/>
  <c r="AA228" i="1" s="1"/>
  <c r="X198" i="1"/>
  <c r="X250" i="1"/>
  <c r="X271" i="1"/>
  <c r="X202" i="1"/>
  <c r="X29" i="1"/>
  <c r="X272" i="1"/>
  <c r="Y192" i="1"/>
  <c r="CK117" i="1"/>
  <c r="CK118" i="1" s="1"/>
  <c r="Y45" i="1"/>
  <c r="Y271" i="1"/>
  <c r="Y153" i="1"/>
  <c r="CJ156" i="1"/>
  <c r="CJ162" i="1"/>
  <c r="Y198" i="1"/>
  <c r="Z250" i="1"/>
  <c r="Z271" i="1"/>
  <c r="CG213" i="1"/>
  <c r="CG272" i="1"/>
  <c r="Y175" i="1"/>
  <c r="CH272" i="1"/>
  <c r="CG271" i="1"/>
  <c r="X153" i="1"/>
  <c r="CH198" i="1"/>
  <c r="CI198" i="1" s="1"/>
  <c r="CI250" i="1"/>
  <c r="CI29" i="1"/>
  <c r="CJ117" i="1"/>
  <c r="Y221" i="1"/>
  <c r="Y199" i="1"/>
  <c r="CG29" i="1"/>
  <c r="Z192" i="1"/>
  <c r="Z29" i="1"/>
  <c r="X175" i="1"/>
  <c r="Y139" i="1"/>
  <c r="X147" i="1"/>
  <c r="X180" i="1"/>
  <c r="X139" i="1"/>
  <c r="X194" i="1" s="1"/>
  <c r="Y147" i="1"/>
  <c r="Z45" i="1"/>
  <c r="X45" i="1"/>
  <c r="CI151" i="1"/>
  <c r="CJ151" i="1" s="1"/>
  <c r="CH271" i="1"/>
  <c r="CJ45" i="1"/>
  <c r="CG45" i="1"/>
  <c r="CH29" i="1"/>
  <c r="CL30" i="1" s="1"/>
  <c r="CH45" i="1"/>
  <c r="CI271" i="1"/>
  <c r="CJ272" i="1"/>
  <c r="CH250" i="1"/>
  <c r="CJ250" i="1"/>
  <c r="CI272" i="1"/>
  <c r="CH199" i="1"/>
  <c r="CI199" i="1" s="1"/>
  <c r="CH202" i="1"/>
  <c r="CI202" i="1" s="1"/>
  <c r="CJ271" i="1"/>
  <c r="CJ29" i="1"/>
  <c r="Y92" i="1"/>
  <c r="X93" i="1"/>
  <c r="Z221" i="1"/>
  <c r="CI45" i="1"/>
  <c r="CI84" i="1"/>
  <c r="CJ213" i="1"/>
  <c r="Z147" i="1"/>
  <c r="CH84" i="1"/>
  <c r="CG84" i="1"/>
  <c r="CJ84" i="1"/>
  <c r="CH167" i="1"/>
  <c r="CH201" i="1" s="1"/>
  <c r="Z228" i="1"/>
  <c r="CH139" i="1"/>
  <c r="JP15" i="4"/>
  <c r="JP14" i="4"/>
  <c r="JP8" i="4"/>
  <c r="JP7" i="4"/>
  <c r="CM143" i="1"/>
  <c r="CW39" i="1"/>
  <c r="DA39" i="1" s="1"/>
  <c r="JP21" i="4"/>
  <c r="CJ96" i="1" s="1"/>
  <c r="JO21" i="4"/>
  <c r="CI96" i="1" s="1"/>
  <c r="JO7" i="4"/>
  <c r="JO15" i="4"/>
  <c r="JO14" i="4"/>
  <c r="JO8" i="4"/>
  <c r="JN21" i="4"/>
  <c r="CH96" i="1" s="1"/>
  <c r="JN15" i="4"/>
  <c r="JN14" i="4"/>
  <c r="JN7" i="4"/>
  <c r="JN8" i="4"/>
  <c r="CB32" i="1"/>
  <c r="CL187" i="1" l="1"/>
  <c r="CL128" i="1" s="1"/>
  <c r="AA30" i="1"/>
  <c r="AA207" i="1"/>
  <c r="AA225" i="1"/>
  <c r="AA224" i="1" s="1"/>
  <c r="AA268" i="1"/>
  <c r="CI147" i="1"/>
  <c r="CI221" i="1"/>
  <c r="CH175" i="1"/>
  <c r="CH204" i="1" s="1"/>
  <c r="CH147" i="1"/>
  <c r="Z175" i="1"/>
  <c r="AA216" i="1" s="1"/>
  <c r="AA217" i="1" s="1"/>
  <c r="AA218" i="1" s="1"/>
  <c r="X201" i="1"/>
  <c r="JV16" i="4"/>
  <c r="JV21" i="4" s="1"/>
  <c r="KF9" i="4" s="1"/>
  <c r="KC14" i="4"/>
  <c r="KB21" i="4"/>
  <c r="JU14" i="4"/>
  <c r="KG8" i="4"/>
  <c r="KE21" i="4"/>
  <c r="KC15" i="4"/>
  <c r="JZ15" i="4"/>
  <c r="JX8" i="4"/>
  <c r="JV15" i="4"/>
  <c r="KF21" i="4"/>
  <c r="JW21" i="4"/>
  <c r="KE7" i="4"/>
  <c r="KF15" i="4"/>
  <c r="JV7" i="4"/>
  <c r="JQ21" i="4"/>
  <c r="CK96" i="1" s="1"/>
  <c r="KA15" i="4"/>
  <c r="JY7" i="4"/>
  <c r="CL19" i="1"/>
  <c r="Z194" i="1"/>
  <c r="Z201" i="1"/>
  <c r="JV8" i="4"/>
  <c r="KA14" i="4"/>
  <c r="KA21" i="4"/>
  <c r="JY21" i="4"/>
  <c r="KG14" i="4"/>
  <c r="JQ14" i="4"/>
  <c r="JR8" i="4"/>
  <c r="JT8" i="4"/>
  <c r="JR14" i="4"/>
  <c r="CJ180" i="1"/>
  <c r="JU8" i="4"/>
  <c r="KH7" i="4"/>
  <c r="KC7" i="4"/>
  <c r="KF7" i="4"/>
  <c r="KH21" i="4"/>
  <c r="JW15" i="4"/>
  <c r="JQ8" i="4"/>
  <c r="JQ15" i="4"/>
  <c r="JS7" i="4"/>
  <c r="JS15" i="4"/>
  <c r="JS20" i="4" s="1"/>
  <c r="JT21" i="4"/>
  <c r="JZ7" i="4"/>
  <c r="KF8" i="4"/>
  <c r="KD8" i="4"/>
  <c r="JR7" i="4"/>
  <c r="Z267" i="1"/>
  <c r="Y46" i="1"/>
  <c r="CK30" i="1"/>
  <c r="X176" i="1"/>
  <c r="CK31" i="1"/>
  <c r="Y117" i="1"/>
  <c r="Y35" i="1"/>
  <c r="Y215" i="1"/>
  <c r="Y201" i="1"/>
  <c r="Y200" i="1" s="1"/>
  <c r="Z215" i="1"/>
  <c r="CJ1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J221" i="1"/>
  <c r="CK159" i="1"/>
  <c r="CL47" i="1"/>
  <c r="CL22" i="1" s="1"/>
  <c r="CL21" i="1" s="1"/>
  <c r="CL36" i="1"/>
  <c r="CL265" i="1"/>
  <c r="CL267" i="1"/>
  <c r="CL200" i="1"/>
  <c r="CL111" i="1"/>
  <c r="JT15" i="4"/>
  <c r="KG15" i="4"/>
  <c r="JY15" i="4"/>
  <c r="KD21" i="4"/>
  <c r="KE15" i="4"/>
  <c r="JR15" i="4"/>
  <c r="JU21" i="4"/>
  <c r="KE8" i="4"/>
  <c r="KH15" i="4"/>
  <c r="KD14" i="4"/>
  <c r="JU7" i="4"/>
  <c r="JX21" i="4"/>
  <c r="KB14" i="4"/>
  <c r="JY14" i="4"/>
  <c r="JS14" i="4"/>
  <c r="JZ8" i="4"/>
  <c r="JW14" i="4"/>
  <c r="JS21" i="4"/>
  <c r="KC21" i="4"/>
  <c r="KB15" i="4"/>
  <c r="JV14" i="4"/>
  <c r="JX15" i="4"/>
  <c r="JX14" i="4"/>
  <c r="CJ147" i="1"/>
  <c r="JU15" i="4"/>
  <c r="JS8" i="4"/>
  <c r="KH8" i="4"/>
  <c r="JY8" i="4"/>
  <c r="JT14" i="4"/>
  <c r="JX7" i="4"/>
  <c r="JW8" i="4"/>
  <c r="CL204" i="1"/>
  <c r="CL176" i="1"/>
  <c r="CL184" i="1" s="1"/>
  <c r="CL185" i="1" s="1"/>
  <c r="CK35" i="1"/>
  <c r="CL207" i="1"/>
  <c r="CL31" i="1"/>
  <c r="CI35" i="1"/>
  <c r="CI20" i="1" s="1"/>
  <c r="CI19" i="1" s="1"/>
  <c r="CL263" i="1"/>
  <c r="CL244" i="1"/>
  <c r="CJ175" i="1"/>
  <c r="CJ204" i="1" s="1"/>
  <c r="CJ203" i="1" s="1"/>
  <c r="CK203" i="1" s="1"/>
  <c r="JQ7" i="4"/>
  <c r="KG7" i="4"/>
  <c r="KG21" i="4"/>
  <c r="JT7" i="4"/>
  <c r="CK144" i="1"/>
  <c r="CK147" i="1" s="1"/>
  <c r="JR21" i="4"/>
  <c r="CL96" i="1" s="1"/>
  <c r="KA7" i="4"/>
  <c r="KB8" i="4"/>
  <c r="KH14" i="4"/>
  <c r="CJ150" i="1"/>
  <c r="CK150" i="1" s="1"/>
  <c r="KB7" i="4"/>
  <c r="JW7" i="4"/>
  <c r="KA8" i="4"/>
  <c r="KD15" i="4"/>
  <c r="KE14" i="4"/>
  <c r="Z46" i="1"/>
  <c r="KD7" i="4"/>
  <c r="CN27" i="1"/>
  <c r="CM27" i="1"/>
  <c r="CJ167" i="1"/>
  <c r="CH150" i="1"/>
  <c r="CI150" i="1" s="1"/>
  <c r="CI153" i="1" s="1"/>
  <c r="CJ52" i="1" s="1"/>
  <c r="CM152" i="1"/>
  <c r="CN152" i="1" s="1"/>
  <c r="CO152" i="1" s="1"/>
  <c r="CP152" i="1" s="1"/>
  <c r="X46" i="1"/>
  <c r="CX10" i="1"/>
  <c r="AD10" i="1" s="1"/>
  <c r="AD11" i="1" s="1"/>
  <c r="CW11" i="1"/>
  <c r="Y30" i="1"/>
  <c r="Y207" i="1"/>
  <c r="CK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J157" i="1"/>
  <c r="X35" i="1"/>
  <c r="X20" i="1" s="1"/>
  <c r="X117" i="1"/>
  <c r="Y157" i="1"/>
  <c r="Y52" i="1"/>
  <c r="CG46" i="1"/>
  <c r="CG35" i="1"/>
  <c r="CG20" i="1" s="1"/>
  <c r="X148" i="1"/>
  <c r="CI46" i="1"/>
  <c r="Y204" i="1"/>
  <c r="Y176" i="1"/>
  <c r="X157" i="1"/>
  <c r="X265" i="1" s="1"/>
  <c r="X52" i="1"/>
  <c r="X267" i="1"/>
  <c r="Y228" i="1"/>
  <c r="Z207" i="1"/>
  <c r="Z30" i="1"/>
  <c r="Z35" i="1"/>
  <c r="AA37" i="1" s="1"/>
  <c r="Z117" i="1"/>
  <c r="Y194" i="1"/>
  <c r="Y267" i="1"/>
  <c r="X56" i="1"/>
  <c r="X187" i="1"/>
  <c r="X128" i="1" s="1"/>
  <c r="CH111" i="1"/>
  <c r="CH113" i="1" s="1"/>
  <c r="X204" i="1"/>
  <c r="Y216" i="1"/>
  <c r="Y268" i="1"/>
  <c r="Y225" i="1"/>
  <c r="Y187" i="1"/>
  <c r="Y128" i="1" s="1"/>
  <c r="Y56" i="1"/>
  <c r="Y148" i="1"/>
  <c r="Z187" i="1"/>
  <c r="Z128" i="1" s="1"/>
  <c r="Z225" i="1"/>
  <c r="CI31" i="1"/>
  <c r="CJ35" i="1"/>
  <c r="CJ20" i="1" s="1"/>
  <c r="CJ118" i="1"/>
  <c r="CJ121" i="1" s="1"/>
  <c r="CH46" i="1"/>
  <c r="CJ244" i="1"/>
  <c r="CJ31" i="1"/>
  <c r="CJ46" i="1"/>
  <c r="CH35" i="1"/>
  <c r="CH31" i="1"/>
  <c r="Z148" i="1"/>
  <c r="Z56" i="1"/>
  <c r="Z268" i="1"/>
  <c r="CH267" i="1"/>
  <c r="Z157" i="1"/>
  <c r="AA222" i="1" s="1"/>
  <c r="AA220" i="1" s="1"/>
  <c r="Z52" i="1"/>
  <c r="CN143" i="1"/>
  <c r="CM199" i="1"/>
  <c r="CM202" i="1"/>
  <c r="CX182" i="1"/>
  <c r="JP20" i="4"/>
  <c r="CJ98" i="1" s="1"/>
  <c r="JP19" i="4"/>
  <c r="CJ97" i="1" s="1"/>
  <c r="JO19" i="4"/>
  <c r="CI97" i="1" s="1"/>
  <c r="JO20" i="4"/>
  <c r="CI98" i="1" s="1"/>
  <c r="JN20" i="4"/>
  <c r="CH98" i="1" s="1"/>
  <c r="JN19" i="4"/>
  <c r="CH97" i="1" s="1"/>
  <c r="CH200" i="1"/>
  <c r="CI200" i="1" s="1"/>
  <c r="AA232" i="1" l="1"/>
  <c r="AA229" i="1"/>
  <c r="AA230" i="1" s="1"/>
  <c r="KD20" i="4"/>
  <c r="JT19" i="4"/>
  <c r="JX19" i="4"/>
  <c r="CH203" i="1"/>
  <c r="CI203" i="1" s="1"/>
  <c r="CI225" i="1"/>
  <c r="CH176" i="1"/>
  <c r="CH187" i="1"/>
  <c r="CI268" i="1"/>
  <c r="Z204" i="1"/>
  <c r="Z176" i="1"/>
  <c r="Z216" i="1"/>
  <c r="X200" i="1"/>
  <c r="CH148" i="1"/>
  <c r="CI36" i="1"/>
  <c r="CI47" i="1"/>
  <c r="CH205" i="1"/>
  <c r="Z200" i="1"/>
  <c r="CK121" i="1"/>
  <c r="KA20" i="4"/>
  <c r="KC20" i="4"/>
  <c r="KG20" i="4"/>
  <c r="JU19" i="4"/>
  <c r="JY19" i="4"/>
  <c r="JV20" i="4"/>
  <c r="KE20" i="4"/>
  <c r="KG19" i="4"/>
  <c r="JY20" i="4"/>
  <c r="KD19" i="4"/>
  <c r="JV19" i="4"/>
  <c r="JQ20" i="4"/>
  <c r="CK98" i="1" s="1"/>
  <c r="JZ19" i="4"/>
  <c r="JW20" i="4"/>
  <c r="KC19" i="4"/>
  <c r="JX20" i="4"/>
  <c r="JQ19" i="4"/>
  <c r="CK97" i="1" s="1"/>
  <c r="Y217" i="1"/>
  <c r="JR19" i="4"/>
  <c r="CL97" i="1" s="1"/>
  <c r="JT20" i="4"/>
  <c r="JU20" i="4"/>
  <c r="JZ20" i="4"/>
  <c r="KF20" i="4"/>
  <c r="KH20" i="4"/>
  <c r="JS19" i="4"/>
  <c r="KA19" i="4"/>
  <c r="KE19" i="4"/>
  <c r="KF19" i="4"/>
  <c r="CK228" i="1"/>
  <c r="CJ267" i="1"/>
  <c r="JR20" i="4"/>
  <c r="CL98" i="1" s="1"/>
  <c r="CH153" i="1"/>
  <c r="Z20" i="1"/>
  <c r="CO18" i="1"/>
  <c r="CO27" i="1" s="1"/>
  <c r="CJ268" i="1"/>
  <c r="CJ225" i="1"/>
  <c r="AB152" i="1"/>
  <c r="CQ152" i="1"/>
  <c r="CR152" i="1" s="1"/>
  <c r="CS152" i="1" s="1"/>
  <c r="CT152" i="1" s="1"/>
  <c r="KB20" i="4"/>
  <c r="KH19" i="4"/>
  <c r="KB19" i="4"/>
  <c r="JW19" i="4"/>
  <c r="CJ176" i="1"/>
  <c r="CJ184" i="1" s="1"/>
  <c r="Y20" i="1"/>
  <c r="Y19" i="1" s="1"/>
  <c r="Y47" i="1"/>
  <c r="Y36" i="1"/>
  <c r="CJ111" i="1"/>
  <c r="CJ148" i="1"/>
  <c r="CL221" i="1"/>
  <c r="CK221" i="1"/>
  <c r="CL203" i="1"/>
  <c r="CL205" i="1"/>
  <c r="CL38" i="1"/>
  <c r="CK20" i="1"/>
  <c r="CK19" i="1" s="1"/>
  <c r="CK36" i="1"/>
  <c r="CK47" i="1"/>
  <c r="CL50" i="1"/>
  <c r="CL251" i="1"/>
  <c r="CL252" i="1" s="1"/>
  <c r="CL53" i="1"/>
  <c r="CL57" i="1" s="1"/>
  <c r="CL48" i="1"/>
  <c r="CL121" i="1"/>
  <c r="CL113" i="1"/>
  <c r="CL225" i="1"/>
  <c r="CL268" i="1"/>
  <c r="CH20" i="1"/>
  <c r="CL37" i="1"/>
  <c r="CJ19" i="1"/>
  <c r="CG19" i="1"/>
  <c r="CH19" i="1"/>
  <c r="CJ201" i="1"/>
  <c r="X19" i="1"/>
  <c r="CX11" i="1"/>
  <c r="CY10" i="1"/>
  <c r="CJ263" i="1"/>
  <c r="CJ265" i="1"/>
  <c r="Y184" i="1"/>
  <c r="Y185" i="1" s="1"/>
  <c r="Y37" i="1"/>
  <c r="X47" i="1"/>
  <c r="X22" i="1" s="1"/>
  <c r="X21" i="1" s="1"/>
  <c r="X36" i="1"/>
  <c r="CK37" i="1"/>
  <c r="CK38" i="1"/>
  <c r="Y265" i="1"/>
  <c r="Y263" i="1"/>
  <c r="CK123" i="1"/>
  <c r="Z37" i="1"/>
  <c r="Z47" i="1"/>
  <c r="Z36" i="1"/>
  <c r="X263" i="1"/>
  <c r="X184" i="1"/>
  <c r="X185" i="1" s="1"/>
  <c r="Y222" i="1"/>
  <c r="Y220" i="1" s="1"/>
  <c r="CH115" i="1"/>
  <c r="CG47" i="1"/>
  <c r="CG22" i="1" s="1"/>
  <c r="CG21" i="1" s="1"/>
  <c r="CG36" i="1"/>
  <c r="CK204" i="1"/>
  <c r="Y203" i="1"/>
  <c r="Y205" i="1"/>
  <c r="CM159" i="1"/>
  <c r="CH114" i="1"/>
  <c r="CI38" i="1"/>
  <c r="CH36" i="1"/>
  <c r="X203" i="1"/>
  <c r="X205" i="1"/>
  <c r="CM144" i="1"/>
  <c r="CJ38" i="1"/>
  <c r="CJ47" i="1"/>
  <c r="CJ22" i="1" s="1"/>
  <c r="CJ21" i="1" s="1"/>
  <c r="CJ36" i="1"/>
  <c r="CK225" i="1"/>
  <c r="CK268" i="1"/>
  <c r="CH47" i="1"/>
  <c r="CH38" i="1"/>
  <c r="CI157" i="1"/>
  <c r="CJ222" i="1" s="1"/>
  <c r="CJ220" i="1" s="1"/>
  <c r="Z222" i="1"/>
  <c r="Z220" i="1" s="1"/>
  <c r="Z265" i="1"/>
  <c r="Z263" i="1"/>
  <c r="CJ127" i="1"/>
  <c r="CJ123" i="1"/>
  <c r="CH127" i="1"/>
  <c r="CI126" i="1"/>
  <c r="CH126" i="1"/>
  <c r="CI127" i="1"/>
  <c r="CJ126" i="1"/>
  <c r="CJ122" i="1"/>
  <c r="CN199" i="1"/>
  <c r="CO143" i="1"/>
  <c r="CI201" i="1"/>
  <c r="CI165" i="1"/>
  <c r="CN202" i="1"/>
  <c r="CN198" i="1"/>
  <c r="CY136" i="1"/>
  <c r="CY182" i="1"/>
  <c r="CI22" i="1" l="1"/>
  <c r="CI21" i="1" s="1"/>
  <c r="AA49" i="1"/>
  <c r="AA269" i="1"/>
  <c r="AA270" i="1" s="1"/>
  <c r="CL269" i="1"/>
  <c r="CK127" i="1"/>
  <c r="CK122" i="1"/>
  <c r="CK126" i="1"/>
  <c r="CU152" i="1"/>
  <c r="CV152" i="1" s="1"/>
  <c r="CW152" i="1" s="1"/>
  <c r="CX152" i="1" s="1"/>
  <c r="Z217" i="1"/>
  <c r="CL208" i="1"/>
  <c r="CL122" i="1"/>
  <c r="CL126" i="1"/>
  <c r="CL129" i="1" s="1"/>
  <c r="CL114" i="1"/>
  <c r="CL123" i="1"/>
  <c r="CL127" i="1"/>
  <c r="CL130" i="1" s="1"/>
  <c r="CL115" i="1"/>
  <c r="Z19" i="1"/>
  <c r="CP18" i="1"/>
  <c r="CP27" i="1" s="1"/>
  <c r="AC152" i="1"/>
  <c r="CI204" i="1"/>
  <c r="CI171" i="1"/>
  <c r="CI56" i="1"/>
  <c r="CH128" i="1"/>
  <c r="Z205" i="1"/>
  <c r="AA208" i="1" s="1"/>
  <c r="AA209" i="1" s="1"/>
  <c r="Z203" i="1"/>
  <c r="Z184" i="1"/>
  <c r="Z185" i="1" s="1"/>
  <c r="CI53" i="1"/>
  <c r="CI251" i="1"/>
  <c r="CI252" i="1" s="1"/>
  <c r="CI48" i="1"/>
  <c r="CI52" i="1"/>
  <c r="CH157" i="1"/>
  <c r="CL245" i="1"/>
  <c r="CL131" i="1"/>
  <c r="Z22" i="1"/>
  <c r="Z21" i="1" s="1"/>
  <c r="CJ185" i="1"/>
  <c r="CM19" i="1"/>
  <c r="CK48" i="1"/>
  <c r="CK53" i="1"/>
  <c r="CK22" i="1"/>
  <c r="CK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Y22" i="1"/>
  <c r="Y21" i="1" s="1"/>
  <c r="Y131" i="1"/>
  <c r="Y53" i="1"/>
  <c r="Y48" i="1"/>
  <c r="Y251" i="1"/>
  <c r="Y252" i="1" s="1"/>
  <c r="CJ113" i="1"/>
  <c r="CJ115" i="1"/>
  <c r="CJ114" i="1"/>
  <c r="CL59" i="1"/>
  <c r="CL60" i="1"/>
  <c r="CJ200" i="1"/>
  <c r="CK200" i="1" s="1"/>
  <c r="CK201" i="1" s="1"/>
  <c r="CK205" i="1" s="1"/>
  <c r="CJ205" i="1"/>
  <c r="CH22" i="1"/>
  <c r="CH21" i="1" s="1"/>
  <c r="CL49" i="1"/>
  <c r="CY11" i="1"/>
  <c r="CZ10" i="1"/>
  <c r="X251" i="1"/>
  <c r="X252" i="1" s="1"/>
  <c r="Y269" i="1"/>
  <c r="Y270" i="1" s="1"/>
  <c r="X53" i="1"/>
  <c r="X57" i="1" s="1"/>
  <c r="X131" i="1"/>
  <c r="X48" i="1"/>
  <c r="Y49" i="1"/>
  <c r="CK50" i="1"/>
  <c r="CK49" i="1"/>
  <c r="CG251" i="1"/>
  <c r="CG252" i="1" s="1"/>
  <c r="Z269" i="1"/>
  <c r="Z270" i="1" s="1"/>
  <c r="Z53" i="1"/>
  <c r="Z131" i="1"/>
  <c r="Z48" i="1"/>
  <c r="Z251" i="1"/>
  <c r="Z252" i="1" s="1"/>
  <c r="Z49" i="1"/>
  <c r="CI269" i="1"/>
  <c r="CI270" i="1" s="1"/>
  <c r="CK131" i="1"/>
  <c r="CG48" i="1"/>
  <c r="CG53" i="1"/>
  <c r="CG57" i="1" s="1"/>
  <c r="CM221" i="1"/>
  <c r="CN159" i="1"/>
  <c r="Y208" i="1"/>
  <c r="Y209" i="1" s="1"/>
  <c r="CJ50" i="1"/>
  <c r="CJ269" i="1"/>
  <c r="CJ270" i="1" s="1"/>
  <c r="CJ251" i="1"/>
  <c r="CJ252" i="1" s="1"/>
  <c r="CH48" i="1"/>
  <c r="CH53" i="1"/>
  <c r="CH57" i="1" s="1"/>
  <c r="CH58" i="1" s="1"/>
  <c r="CH50" i="1"/>
  <c r="CH269" i="1"/>
  <c r="CI50" i="1"/>
  <c r="CH251" i="1"/>
  <c r="CH252" i="1" s="1"/>
  <c r="CJ245" i="1"/>
  <c r="CJ131" i="1"/>
  <c r="CJ48" i="1"/>
  <c r="CJ53" i="1"/>
  <c r="CJ57" i="1" s="1"/>
  <c r="CN144" i="1"/>
  <c r="CM147" i="1"/>
  <c r="CM268" i="1" s="1"/>
  <c r="CK213" i="1"/>
  <c r="CK151" i="1"/>
  <c r="CP143" i="1"/>
  <c r="CO198" i="1"/>
  <c r="CO199" i="1"/>
  <c r="CO202" i="1"/>
  <c r="CZ182" i="1"/>
  <c r="CZ136" i="1"/>
  <c r="CM64" i="1"/>
  <c r="CN64" i="1" s="1"/>
  <c r="CO64" i="1" s="1"/>
  <c r="CP64" i="1" s="1"/>
  <c r="CQ64" i="1" s="1"/>
  <c r="CR64" i="1" s="1"/>
  <c r="CS64" i="1" s="1"/>
  <c r="CT64" i="1" s="1"/>
  <c r="CU64" i="1" s="1"/>
  <c r="CM65" i="1"/>
  <c r="CL270" i="1" l="1"/>
  <c r="AD152" i="1"/>
  <c r="CY152" i="1"/>
  <c r="CZ152" i="1" s="1"/>
  <c r="DA152" i="1" s="1"/>
  <c r="DB152" i="1" s="1"/>
  <c r="AE152" i="1" s="1"/>
  <c r="CI57" i="1"/>
  <c r="CI58" i="1" s="1"/>
  <c r="CQ18" i="1"/>
  <c r="CQ27" i="1" s="1"/>
  <c r="Z208" i="1"/>
  <c r="Z209" i="1" s="1"/>
  <c r="CI222" i="1"/>
  <c r="CI220" i="1" s="1"/>
  <c r="CH129" i="1"/>
  <c r="CH130" i="1"/>
  <c r="CH265" i="1"/>
  <c r="CH184" i="1"/>
  <c r="CH185" i="1" s="1"/>
  <c r="Y74" i="1"/>
  <c r="Y57" i="1"/>
  <c r="CL133" i="1"/>
  <c r="CL132" i="1"/>
  <c r="CI60" i="1"/>
  <c r="CN19" i="1"/>
  <c r="CM20" i="1"/>
  <c r="CK57" i="1"/>
  <c r="CL74" i="1"/>
  <c r="CL253" i="1"/>
  <c r="CL67" i="1"/>
  <c r="CL61" i="1"/>
  <c r="CL264" i="1" s="1"/>
  <c r="CK153" i="1"/>
  <c r="CL151" i="1"/>
  <c r="CL150" i="1" s="1"/>
  <c r="X74" i="1"/>
  <c r="DA10" i="1"/>
  <c r="CZ11" i="1"/>
  <c r="Z57" i="1"/>
  <c r="Z74" i="1"/>
  <c r="CJ60" i="1"/>
  <c r="CJ59" i="1"/>
  <c r="CN221" i="1"/>
  <c r="CO159" i="1"/>
  <c r="CG60" i="1"/>
  <c r="CG59" i="1"/>
  <c r="CH60" i="1"/>
  <c r="CL62" i="1" s="1"/>
  <c r="CH59" i="1"/>
  <c r="CN203" i="1"/>
  <c r="CM204" i="1"/>
  <c r="CO144" i="1"/>
  <c r="CN147" i="1"/>
  <c r="CN268" i="1" s="1"/>
  <c r="CM225" i="1"/>
  <c r="X59" i="1"/>
  <c r="X60" i="1"/>
  <c r="CP202" i="1"/>
  <c r="CP199" i="1"/>
  <c r="CP198" i="1"/>
  <c r="CQ143" i="1"/>
  <c r="DA136" i="1"/>
  <c r="DA182" i="1"/>
  <c r="CE84" i="1"/>
  <c r="AB64" i="1"/>
  <c r="AC64" i="1"/>
  <c r="CV64" i="1"/>
  <c r="CW64" i="1" s="1"/>
  <c r="CX64" i="1" s="1"/>
  <c r="CY64" i="1" s="1"/>
  <c r="AB54" i="1"/>
  <c r="CN65" i="1"/>
  <c r="CO65" i="1" s="1"/>
  <c r="CP65" i="1" s="1"/>
  <c r="CQ65" i="1" s="1"/>
  <c r="CI59" i="1" l="1"/>
  <c r="CR18" i="1"/>
  <c r="CR27" i="1" s="1"/>
  <c r="Y59" i="1"/>
  <c r="Y60" i="1"/>
  <c r="CI61" i="1"/>
  <c r="CI264" i="1" s="1"/>
  <c r="CI253" i="1"/>
  <c r="CI67" i="1"/>
  <c r="CO19" i="1"/>
  <c r="CN20" i="1"/>
  <c r="CM35" i="1"/>
  <c r="CM22" i="1"/>
  <c r="CM47" i="1" s="1"/>
  <c r="CK59" i="1"/>
  <c r="CK60" i="1"/>
  <c r="CL52" i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K157" i="1"/>
  <c r="CL71" i="1"/>
  <c r="CL212" i="1"/>
  <c r="CL214" i="1" s="1"/>
  <c r="CL85" i="1"/>
  <c r="CM150" i="1"/>
  <c r="CN150" i="1" s="1"/>
  <c r="CO150" i="1" s="1"/>
  <c r="CP150" i="1" s="1"/>
  <c r="CJ63" i="1"/>
  <c r="CJ61" i="1"/>
  <c r="CJ264" i="1" s="1"/>
  <c r="CJ253" i="1"/>
  <c r="CL246" i="1"/>
  <c r="CK222" i="1"/>
  <c r="CK220" i="1" s="1"/>
  <c r="CL222" i="1"/>
  <c r="CL220" i="1" s="1"/>
  <c r="CI138" i="1"/>
  <c r="DA11" i="1"/>
  <c r="DB10" i="1"/>
  <c r="AE10" i="1" s="1"/>
  <c r="AE11" i="1" s="1"/>
  <c r="CS18" i="1"/>
  <c r="CS27" i="1" s="1"/>
  <c r="CK63" i="1"/>
  <c r="CJ67" i="1"/>
  <c r="Z60" i="1"/>
  <c r="AA62" i="1" s="1"/>
  <c r="Z59" i="1"/>
  <c r="CO221" i="1"/>
  <c r="CP159" i="1"/>
  <c r="CJ246" i="1"/>
  <c r="CG61" i="1"/>
  <c r="CG264" i="1" s="1"/>
  <c r="CG253" i="1"/>
  <c r="CG67" i="1"/>
  <c r="CH63" i="1"/>
  <c r="CI63" i="1"/>
  <c r="CH67" i="1"/>
  <c r="CH61" i="1"/>
  <c r="CH264" i="1" s="1"/>
  <c r="CH253" i="1"/>
  <c r="CN204" i="1"/>
  <c r="CO203" i="1"/>
  <c r="CM201" i="1"/>
  <c r="CM205" i="1" s="1"/>
  <c r="CN200" i="1"/>
  <c r="CP144" i="1"/>
  <c r="CO147" i="1"/>
  <c r="CO268" i="1" s="1"/>
  <c r="CN225" i="1"/>
  <c r="X253" i="1"/>
  <c r="X61" i="1"/>
  <c r="X264" i="1" s="1"/>
  <c r="Y62" i="1"/>
  <c r="X67" i="1"/>
  <c r="Y253" i="1"/>
  <c r="Z62" i="1"/>
  <c r="Y61" i="1"/>
  <c r="Y264" i="1" s="1"/>
  <c r="Y67" i="1"/>
  <c r="CB84" i="1"/>
  <c r="BL84" i="1"/>
  <c r="CR143" i="1"/>
  <c r="CQ198" i="1"/>
  <c r="CQ202" i="1"/>
  <c r="CC84" i="1"/>
  <c r="CQ199" i="1"/>
  <c r="DB136" i="1"/>
  <c r="DB182" i="1"/>
  <c r="AL84" i="1"/>
  <c r="CF84" i="1"/>
  <c r="CD84" i="1"/>
  <c r="BY84" i="1"/>
  <c r="BZ84" i="1"/>
  <c r="CA84" i="1"/>
  <c r="CI139" i="1"/>
  <c r="CI71" i="1"/>
  <c r="CI85" i="1"/>
  <c r="CI212" i="1"/>
  <c r="CI214" i="1" s="1"/>
  <c r="AD64" i="1"/>
  <c r="AB65" i="1"/>
  <c r="CZ64" i="1"/>
  <c r="DA64" i="1" s="1"/>
  <c r="DB64" i="1" s="1"/>
  <c r="AE64" i="1" s="1"/>
  <c r="AC54" i="1"/>
  <c r="CR65" i="1"/>
  <c r="CS65" i="1" s="1"/>
  <c r="CT65" i="1" s="1"/>
  <c r="CU65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M16" i="4" a="1"/>
  <c r="EP14" i="4" a="1"/>
  <c r="EL16" i="4" a="1"/>
  <c r="EN15" i="4" a="1"/>
  <c r="AS13" i="3"/>
  <c r="AT6" i="6" a="1"/>
  <c r="AU25" i="3"/>
  <c r="AI6" i="6" a="1"/>
  <c r="J5" i="6" a="1"/>
  <c r="AT19" i="3"/>
  <c r="EN5" i="4" a="1"/>
  <c r="EN6" i="4" a="1"/>
  <c r="EQ7" i="4" a="1"/>
  <c r="AY35" i="3"/>
  <c r="AZ33" i="3"/>
  <c r="AU37" i="3"/>
  <c r="ER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7" i="3"/>
  <c r="AT45" i="3"/>
  <c r="AU6" i="3"/>
  <c r="AT11" i="3"/>
  <c r="AX8" i="3"/>
  <c r="AZ29" i="3"/>
  <c r="AW25" i="3"/>
  <c r="ET16" i="4" a="1"/>
  <c r="EU9" i="4" a="1"/>
  <c r="EN8" i="4" a="1"/>
  <c r="EW13" i="4" a="1"/>
  <c r="AV42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19" i="3"/>
  <c r="AV41" i="3"/>
  <c r="AF9" i="3"/>
  <c r="AY36" i="3"/>
  <c r="AW36" i="3"/>
  <c r="AS32" i="3"/>
  <c r="AV36" i="3"/>
  <c r="AV16" i="3"/>
  <c r="AW8" i="3"/>
  <c r="AH6" i="6" a="1"/>
  <c r="AU8" i="3"/>
  <c r="AF13" i="3"/>
  <c r="AW9" i="3"/>
  <c r="AS27" i="3"/>
  <c r="EM15" i="4" a="1"/>
  <c r="EP9" i="4" a="1"/>
  <c r="EL11" i="4" a="1"/>
  <c r="ES6" i="4" a="1"/>
  <c r="EV6" i="4" a="1"/>
  <c r="ES14" i="4" a="1"/>
  <c r="ET5" i="4" a="1"/>
  <c r="EP7" i="4" a="1"/>
  <c r="EO5" i="4" a="1"/>
  <c r="ET7" i="4" a="1"/>
  <c r="EL15" i="4" a="1"/>
  <c r="EO9" i="4" a="1"/>
  <c r="EV7" i="4" a="1"/>
  <c r="AY40" i="3"/>
  <c r="AU17" i="3"/>
  <c r="AX23" i="3"/>
  <c r="G5" i="6" a="1"/>
  <c r="AX18" i="3"/>
  <c r="D5" i="6" a="1"/>
  <c r="EQ6" i="4" a="1"/>
  <c r="ES9" i="4" a="1"/>
  <c r="AT27" i="3"/>
  <c r="AY8" i="3"/>
  <c r="AF31" i="3"/>
  <c r="AF39" i="3"/>
  <c r="EM9" i="4" a="1"/>
  <c r="EW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V34" i="3"/>
  <c r="AF38" i="3"/>
  <c r="AS23" i="3"/>
  <c r="AS16" i="3"/>
  <c r="AY39" i="3"/>
  <c r="AC6" i="6" a="1"/>
  <c r="EW8" i="4" a="1"/>
  <c r="EO8" i="4" a="1"/>
  <c r="EO15" i="4" a="1"/>
  <c r="EW6" i="4" a="1"/>
  <c r="AU6" i="6" a="1"/>
  <c r="AV20" i="3"/>
  <c r="AS25" i="3"/>
  <c r="D6" i="6" a="1"/>
  <c r="EV15" i="4" a="1"/>
  <c r="ES8" i="4" a="1"/>
  <c r="ET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AV27" i="3"/>
  <c r="AV12" i="3"/>
  <c r="AP7" i="3"/>
  <c r="AF5" i="6" a="1"/>
  <c r="EU14" i="4" a="1"/>
  <c r="EO7" i="4" a="1"/>
  <c r="EU6" i="4" a="1"/>
  <c r="EU5" i="4" a="1"/>
  <c r="EN12" i="4" a="1"/>
  <c r="O6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L8" i="4" a="1"/>
  <c r="EN13" i="4" a="1"/>
  <c r="EP6" i="4" a="1"/>
  <c r="EU13" i="4" a="1"/>
  <c r="EW7" i="4" a="1"/>
  <c r="EV14" i="4" a="1"/>
  <c r="AF40" i="3"/>
  <c r="AZ7" i="3"/>
  <c r="K5" i="6" a="1"/>
  <c r="AZ37" i="3"/>
  <c r="AY23" i="3"/>
  <c r="AS41" i="3"/>
  <c r="AS6" i="3"/>
  <c r="AW10" i="3"/>
  <c r="AF34" i="3"/>
  <c r="AS22" i="3"/>
  <c r="AU40" i="3"/>
  <c r="AU26" i="3"/>
  <c r="AB5" i="6" a="1"/>
  <c r="EN16" i="4" a="1"/>
  <c r="I5" i="6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R15" i="4" a="1"/>
  <c r="EW11" i="4" a="1"/>
  <c r="AU34" i="3"/>
  <c r="AY30" i="3"/>
  <c r="AT39" i="3"/>
  <c r="AW37" i="3"/>
  <c r="AW39" i="3"/>
  <c r="AF11" i="3"/>
  <c r="AY7" i="3"/>
  <c r="AZ16" i="3"/>
  <c r="AF30" i="3"/>
  <c r="AW30" i="3"/>
  <c r="AU22" i="3"/>
  <c r="AX5" i="3"/>
  <c r="AX21" i="3"/>
  <c r="AX35" i="3"/>
  <c r="AY17" i="3"/>
  <c r="AT29" i="3"/>
  <c r="AT5" i="6" a="1"/>
  <c r="AD6" i="6" a="1"/>
  <c r="AV13" i="3"/>
  <c r="AZ34" i="3"/>
  <c r="EP15" i="4" a="1"/>
  <c r="EM8" i="4" a="1"/>
  <c r="EN9" i="4" a="1"/>
  <c r="AY24" i="3"/>
  <c r="AS45" i="3"/>
  <c r="Z6" i="6" a="1"/>
  <c r="AZ42" i="3"/>
  <c r="AL5" i="6" a="1"/>
  <c r="AZ8" i="3"/>
  <c r="AV46" i="3"/>
  <c r="AZ5" i="3"/>
  <c r="AN5" i="6" a="1"/>
  <c r="AF15" i="3"/>
  <c r="ET6" i="4" a="1"/>
  <c r="AI5" i="6" a="1"/>
  <c r="AV23" i="3"/>
  <c r="AX27" i="3"/>
  <c r="AZ19" i="3"/>
  <c r="EO16" i="4" a="1"/>
  <c r="AT7" i="3"/>
  <c r="AW21" i="3"/>
  <c r="C5" i="6" a="1"/>
  <c r="AR6" i="6" a="1"/>
  <c r="AW20" i="3"/>
  <c r="AS9" i="3"/>
  <c r="AW31" i="3"/>
  <c r="AV7" i="3"/>
  <c r="AV35" i="3"/>
  <c r="AS31" i="3"/>
  <c r="ER14" i="4" a="1"/>
  <c r="AZ23" i="3"/>
  <c r="EM7" i="4" a="1"/>
  <c r="ET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Y25" i="3"/>
  <c r="AQ6" i="6" a="1"/>
  <c r="AT35" i="3"/>
  <c r="J6" i="6" a="1"/>
  <c r="AU12" i="3"/>
  <c r="AZ46" i="3"/>
  <c r="AX46" i="3"/>
  <c r="AU7" i="3"/>
  <c r="AY42" i="3"/>
  <c r="AY37" i="3"/>
  <c r="ET12" i="4" a="1"/>
  <c r="ER11" i="4" a="1"/>
  <c r="EN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U5" i="3"/>
  <c r="C5" i="3"/>
  <c r="AZ11" i="3"/>
  <c r="AZ24" i="3"/>
  <c r="AX9" i="3"/>
  <c r="AX42" i="3"/>
  <c r="AY15" i="3"/>
  <c r="EM5" i="4" a="1"/>
  <c r="EV13" i="4" a="1"/>
  <c r="ET15" i="4" a="1"/>
  <c r="EL13" i="4" a="1"/>
  <c r="EO6" i="4" a="1"/>
  <c r="EQ8" i="4" a="1"/>
  <c r="EW9" i="4" a="1"/>
  <c r="ES13" i="4" a="1"/>
  <c r="AT31" i="3"/>
  <c r="AX38" i="3"/>
  <c r="AZ31" i="3"/>
  <c r="AX30" i="3"/>
  <c r="AV29" i="3"/>
  <c r="F45" i="3"/>
  <c r="AW13" i="3"/>
  <c r="AU23" i="3"/>
  <c r="AY13" i="3"/>
  <c r="AS34" i="3"/>
  <c r="AX45" i="3"/>
  <c r="ET11" i="4" a="1"/>
  <c r="EP16" i="4" a="1"/>
  <c r="F5" i="6" a="1"/>
  <c r="AF26" i="3"/>
  <c r="AF25" i="3"/>
  <c r="AE6" i="6" a="1"/>
  <c r="AW6" i="3"/>
  <c r="AV38" i="3"/>
  <c r="AV25" i="3"/>
  <c r="AW45" i="3"/>
  <c r="E5" i="6" a="1"/>
  <c r="AW46" i="3"/>
  <c r="AV45" i="3"/>
  <c r="AF16" i="3"/>
  <c r="Z67" i="1" l="1"/>
  <c r="CP19" i="1"/>
  <c r="CO20" i="1"/>
  <c r="CN35" i="1"/>
  <c r="CN22" i="1"/>
  <c r="CN47" i="1" s="1"/>
  <c r="CK62" i="1"/>
  <c r="CL63" i="1"/>
  <c r="CK61" i="1"/>
  <c r="CK67" i="1"/>
  <c r="CM45" i="1"/>
  <c r="AB150" i="1"/>
  <c r="CQ150" i="1"/>
  <c r="CR150" i="1" s="1"/>
  <c r="CS150" i="1" s="1"/>
  <c r="CT150" i="1" s="1"/>
  <c r="Z61" i="1"/>
  <c r="Z264" i="1" s="1"/>
  <c r="Z253" i="1"/>
  <c r="DB11" i="1"/>
  <c r="CT18" i="1"/>
  <c r="CT27" i="1" s="1"/>
  <c r="CP221" i="1"/>
  <c r="CQ159" i="1"/>
  <c r="CJ85" i="1"/>
  <c r="CJ212" i="1"/>
  <c r="CJ214" i="1" s="1"/>
  <c r="CJ71" i="1"/>
  <c r="CJ73" i="1"/>
  <c r="CG212" i="1"/>
  <c r="CG214" i="1" s="1"/>
  <c r="CG71" i="1"/>
  <c r="CG85" i="1"/>
  <c r="CH212" i="1"/>
  <c r="CH214" i="1" s="1"/>
  <c r="CH85" i="1"/>
  <c r="CH71" i="1"/>
  <c r="CP203" i="1"/>
  <c r="CO204" i="1"/>
  <c r="CN201" i="1"/>
  <c r="CN205" i="1" s="1"/>
  <c r="CO200" i="1"/>
  <c r="CQ144" i="1"/>
  <c r="CP147" i="1"/>
  <c r="CP268" i="1" s="1"/>
  <c r="CO225" i="1"/>
  <c r="BY41" i="1"/>
  <c r="CA28" i="1"/>
  <c r="CE41" i="1"/>
  <c r="CA41" i="1"/>
  <c r="CF41" i="1"/>
  <c r="CD41" i="1"/>
  <c r="BZ41" i="1"/>
  <c r="BL41" i="1"/>
  <c r="CC41" i="1"/>
  <c r="CB41" i="1"/>
  <c r="CF28" i="1"/>
  <c r="CD28" i="1"/>
  <c r="BY28" i="1"/>
  <c r="CE28" i="1"/>
  <c r="BZ28" i="1"/>
  <c r="CC28" i="1"/>
  <c r="CB28" i="1"/>
  <c r="BL28" i="1"/>
  <c r="Y212" i="1"/>
  <c r="Y214" i="1" s="1"/>
  <c r="Y218" i="1" s="1"/>
  <c r="Y232" i="1" s="1"/>
  <c r="Y226" i="1"/>
  <c r="Y224" i="1" s="1"/>
  <c r="Y73" i="1"/>
  <c r="Y71" i="1"/>
  <c r="X212" i="1"/>
  <c r="X214" i="1" s="1"/>
  <c r="X71" i="1"/>
  <c r="X73" i="1"/>
  <c r="Z212" i="1"/>
  <c r="Z214" i="1" s="1"/>
  <c r="Z218" i="1" s="1"/>
  <c r="Z232" i="1" s="1"/>
  <c r="Z226" i="1"/>
  <c r="Z224" i="1" s="1"/>
  <c r="Z73" i="1"/>
  <c r="Z71" i="1"/>
  <c r="CD44" i="1"/>
  <c r="CC64" i="1"/>
  <c r="CA27" i="1"/>
  <c r="CA18" i="1" s="1"/>
  <c r="CD58" i="1"/>
  <c r="AH7" i="6" s="1"/>
  <c r="CD54" i="1"/>
  <c r="CF55" i="1"/>
  <c r="BY64" i="1"/>
  <c r="BL64" i="1"/>
  <c r="CD65" i="1"/>
  <c r="AV7" i="6" s="1"/>
  <c r="CB39" i="1"/>
  <c r="R7" i="6" s="1"/>
  <c r="X7" i="6" s="1"/>
  <c r="CD64" i="1"/>
  <c r="CD34" i="1"/>
  <c r="V7" i="6" s="1"/>
  <c r="BY34" i="1"/>
  <c r="CB27" i="1"/>
  <c r="CB18" i="1" s="1"/>
  <c r="BY70" i="1"/>
  <c r="BL27" i="1"/>
  <c r="AW7" i="6" s="1"/>
  <c r="BY40" i="1"/>
  <c r="CA32" i="1"/>
  <c r="CB42" i="1"/>
  <c r="BZ55" i="1"/>
  <c r="O7" i="6" s="1"/>
  <c r="BL66" i="1"/>
  <c r="AQ7" i="6" s="1"/>
  <c r="CF27" i="1"/>
  <c r="CF18" i="1" s="1"/>
  <c r="JJ9" i="4" s="1"/>
  <c r="BY65" i="1"/>
  <c r="AM7" i="6" s="1"/>
  <c r="JM16" i="4" s="1"/>
  <c r="CF66" i="1"/>
  <c r="CA43" i="1"/>
  <c r="BL42" i="1"/>
  <c r="BL65" i="1"/>
  <c r="CF54" i="1"/>
  <c r="BL55" i="1"/>
  <c r="BZ64" i="1"/>
  <c r="CC44" i="1"/>
  <c r="CC40" i="1"/>
  <c r="JM9" i="4" s="1"/>
  <c r="CA40" i="1"/>
  <c r="JL16" i="4" s="1"/>
  <c r="BZ43" i="1"/>
  <c r="CB40" i="1"/>
  <c r="CC32" i="1"/>
  <c r="JK16" i="4" s="1"/>
  <c r="CA70" i="1"/>
  <c r="BZ33" i="1"/>
  <c r="CE34" i="1"/>
  <c r="CC33" i="1"/>
  <c r="C7" i="6" s="1"/>
  <c r="T7" i="6" s="1"/>
  <c r="BY43" i="1"/>
  <c r="CC65" i="1"/>
  <c r="CC27" i="1"/>
  <c r="CC18" i="1" s="1"/>
  <c r="CB54" i="1"/>
  <c r="JL9" i="4" s="1"/>
  <c r="CF58" i="1"/>
  <c r="AL7" i="6" s="1"/>
  <c r="BZ51" i="1"/>
  <c r="BZ213" i="1" s="1"/>
  <c r="BZ54" i="1"/>
  <c r="J7" i="6" s="1"/>
  <c r="BY66" i="1"/>
  <c r="Z7" i="6" s="1"/>
  <c r="BL39" i="1"/>
  <c r="CF32" i="1"/>
  <c r="CF42" i="1"/>
  <c r="BZ32" i="1"/>
  <c r="CA34" i="1"/>
  <c r="CD33" i="1"/>
  <c r="BL40" i="1"/>
  <c r="BY33" i="1"/>
  <c r="CE51" i="1"/>
  <c r="CE213" i="1" s="1"/>
  <c r="AD7" i="6" s="1"/>
  <c r="CF44" i="1"/>
  <c r="CE39" i="1"/>
  <c r="CA66" i="1"/>
  <c r="CD55" i="1"/>
  <c r="CB43" i="1"/>
  <c r="CD66" i="1"/>
  <c r="AP7" i="6" s="1"/>
  <c r="Y7" i="6" s="1"/>
  <c r="CA44" i="1"/>
  <c r="AA7" i="6" s="1"/>
  <c r="AJ7" i="6" s="1"/>
  <c r="BY27" i="1"/>
  <c r="BY18" i="1" s="1"/>
  <c r="BY42" i="1"/>
  <c r="CB58" i="1"/>
  <c r="CE44" i="1"/>
  <c r="I7" i="6" s="1"/>
  <c r="AK7" i="6" s="1"/>
  <c r="CE33" i="1"/>
  <c r="K7" i="6" s="1"/>
  <c r="F7" i="6" s="1"/>
  <c r="CB64" i="1"/>
  <c r="CF43" i="1"/>
  <c r="AC7" i="6" s="1"/>
  <c r="AE7" i="6" s="1"/>
  <c r="M7" i="6" s="1"/>
  <c r="Q7" i="6" s="1"/>
  <c r="CA65" i="1"/>
  <c r="BZ65" i="1"/>
  <c r="CA55" i="1"/>
  <c r="CF65" i="1"/>
  <c r="AU7" i="6" s="1"/>
  <c r="BL34" i="1"/>
  <c r="CE43" i="1"/>
  <c r="CB51" i="1"/>
  <c r="CB213" i="1" s="1"/>
  <c r="CC66" i="1"/>
  <c r="CC70" i="1"/>
  <c r="AX7" i="6" s="1"/>
  <c r="BZ42" i="1"/>
  <c r="AT7" i="6" s="1"/>
  <c r="S7" i="6" s="1"/>
  <c r="BY32" i="1"/>
  <c r="CE54" i="1"/>
  <c r="CA64" i="1"/>
  <c r="CB66" i="1"/>
  <c r="CA54" i="1"/>
  <c r="CF70" i="1"/>
  <c r="CF40" i="1"/>
  <c r="CA39" i="1"/>
  <c r="AN7" i="6" s="1"/>
  <c r="CE65" i="1"/>
  <c r="CC34" i="1"/>
  <c r="CE70" i="1"/>
  <c r="CF34" i="1"/>
  <c r="G7" i="6" s="1"/>
  <c r="BL51" i="1"/>
  <c r="AF7" i="6" s="1"/>
  <c r="CC39" i="1"/>
  <c r="CD39" i="1"/>
  <c r="JJ16" i="4" s="1"/>
  <c r="BY44" i="1"/>
  <c r="CB65" i="1"/>
  <c r="CE27" i="1"/>
  <c r="CE18" i="1" s="1"/>
  <c r="AB7" i="6" s="1"/>
  <c r="BL33" i="1"/>
  <c r="CD70" i="1"/>
  <c r="BY39" i="1"/>
  <c r="BZ34" i="1"/>
  <c r="CD40" i="1"/>
  <c r="L7" i="6" s="1"/>
  <c r="BL58" i="1"/>
  <c r="BZ27" i="1"/>
  <c r="BZ18" i="1" s="1"/>
  <c r="CA51" i="1"/>
  <c r="BZ58" i="1"/>
  <c r="BY51" i="1"/>
  <c r="BY213" i="1" s="1"/>
  <c r="AI7" i="6" s="1"/>
  <c r="CC58" i="1"/>
  <c r="D7" i="6" s="1"/>
  <c r="BZ40" i="1"/>
  <c r="AG7" i="6" s="1"/>
  <c r="BZ39" i="1"/>
  <c r="BL70" i="1"/>
  <c r="W7" i="6" s="1"/>
  <c r="CB70" i="1"/>
  <c r="CE66" i="1"/>
  <c r="CF39" i="1"/>
  <c r="CC42" i="1"/>
  <c r="CD42" i="1"/>
  <c r="CE32" i="1"/>
  <c r="BY54" i="1"/>
  <c r="CC54" i="1"/>
  <c r="BZ70" i="1"/>
  <c r="AS7" i="6" s="1"/>
  <c r="BZ66" i="1"/>
  <c r="CE55" i="1"/>
  <c r="CD32" i="1"/>
  <c r="BL54" i="1"/>
  <c r="CB33" i="1"/>
  <c r="CC51" i="1"/>
  <c r="CC213" i="1" s="1"/>
  <c r="BY58" i="1"/>
  <c r="H7" i="6" s="1"/>
  <c r="CA42" i="1"/>
  <c r="BZ44" i="1"/>
  <c r="CD27" i="1"/>
  <c r="CD18" i="1" s="1"/>
  <c r="AR7" i="6" s="1"/>
  <c r="CF33" i="1"/>
  <c r="BL32" i="1"/>
  <c r="BL43" i="1"/>
  <c r="JK9" i="4" s="1"/>
  <c r="AO7" i="6" s="1"/>
  <c r="CA58" i="1"/>
  <c r="BL44" i="1"/>
  <c r="CA33" i="1"/>
  <c r="CE64" i="1"/>
  <c r="CD43" i="1"/>
  <c r="P7" i="6" s="1"/>
  <c r="E7" i="6" s="1"/>
  <c r="U7" i="6" s="1"/>
  <c r="CC43" i="1"/>
  <c r="AY7" i="6" s="1"/>
  <c r="CD51" i="1"/>
  <c r="CB34" i="1"/>
  <c r="CC55" i="1"/>
  <c r="CB55" i="1"/>
  <c r="CE42" i="1"/>
  <c r="CE40" i="1"/>
  <c r="CF51" i="1"/>
  <c r="CF213" i="1" s="1"/>
  <c r="CB44" i="1"/>
  <c r="BY55" i="1"/>
  <c r="CF64" i="1"/>
  <c r="N7" i="6" s="1"/>
  <c r="CI148" i="1"/>
  <c r="CI111" i="1"/>
  <c r="CS143" i="1"/>
  <c r="CR199" i="1"/>
  <c r="CR202" i="1"/>
  <c r="CR198" i="1"/>
  <c r="CJ226" i="1"/>
  <c r="CJ224" i="1" s="1"/>
  <c r="CJ74" i="1"/>
  <c r="CI226" i="1"/>
  <c r="CI224" i="1" s="1"/>
  <c r="AC65" i="1"/>
  <c r="CV65" i="1"/>
  <c r="CW65" i="1" s="1"/>
  <c r="CX65" i="1" s="1"/>
  <c r="CY65" i="1" s="1"/>
  <c r="AD54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74" i="3"/>
  <c r="AT91" i="3"/>
  <c r="AS56" i="3"/>
  <c r="C57" i="3"/>
  <c r="AZ50" i="3"/>
  <c r="AT75" i="3"/>
  <c r="AV63" i="3"/>
  <c r="AF82" i="3"/>
  <c r="AF79" i="3"/>
  <c r="AU76" i="3"/>
  <c r="AX87" i="3"/>
  <c r="AY60" i="3"/>
  <c r="AS61" i="3"/>
  <c r="AX78" i="3"/>
  <c r="C63" i="3"/>
  <c r="AZ95" i="3"/>
  <c r="AX59" i="3"/>
  <c r="AU49" i="3"/>
  <c r="AT95" i="3"/>
  <c r="C58" i="3"/>
  <c r="AU63" i="3"/>
  <c r="AY75" i="3"/>
  <c r="AW65" i="3"/>
  <c r="AX70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Z81" i="3"/>
  <c r="AU61" i="3"/>
  <c r="AT93" i="3"/>
  <c r="AV95" i="3"/>
  <c r="C87" i="3"/>
  <c r="AY77" i="3"/>
  <c r="AY86" i="3"/>
  <c r="AY91" i="3"/>
  <c r="AW80" i="3"/>
  <c r="AV57" i="3"/>
  <c r="AZ94" i="3"/>
  <c r="AX68" i="3"/>
  <c r="AX50" i="3"/>
  <c r="AU73" i="3"/>
  <c r="AV81" i="3"/>
  <c r="AS76" i="3"/>
  <c r="AY73" i="3"/>
  <c r="AF68" i="3"/>
  <c r="AW64" i="3"/>
  <c r="C72" i="3"/>
  <c r="AV82" i="3"/>
  <c r="AZ97" i="3"/>
  <c r="AS93" i="3"/>
  <c r="AX62" i="3"/>
  <c r="C7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U83" i="3"/>
  <c r="AF72" i="3"/>
  <c r="AX67" i="3"/>
  <c r="AT65" i="3"/>
  <c r="AY81" i="3"/>
  <c r="AS78" i="3"/>
  <c r="AU57" i="3"/>
  <c r="AZ5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Y97" i="3"/>
  <c r="AW85" i="3"/>
  <c r="AU59" i="3"/>
  <c r="AY65" i="3"/>
  <c r="AT97" i="3"/>
  <c r="AS87" i="3"/>
  <c r="AU96" i="3"/>
  <c r="AT76" i="3"/>
  <c r="AZ64" i="3"/>
  <c r="AT67" i="3"/>
  <c r="AV74" i="3"/>
  <c r="AV59" i="3"/>
  <c r="C85" i="3"/>
  <c r="AZ70" i="3"/>
  <c r="AU60" i="3"/>
  <c r="AY78" i="3"/>
  <c r="AT89" i="3"/>
  <c r="AV88" i="3"/>
  <c r="AW78" i="3"/>
  <c r="AU56" i="3"/>
  <c r="AT59" i="3"/>
  <c r="AS83" i="3"/>
  <c r="AX74" i="3"/>
  <c r="AF86" i="3"/>
  <c r="AW96" i="3"/>
  <c r="AX66" i="3"/>
  <c r="AW63" i="3"/>
  <c r="AS73" i="3"/>
  <c r="AU72" i="3"/>
  <c r="AF49" i="3"/>
  <c r="AX48" i="3"/>
  <c r="AU54" i="3"/>
  <c r="AT70" i="3"/>
  <c r="AW86" i="3"/>
  <c r="AW77" i="3"/>
  <c r="AZ93" i="3"/>
  <c r="AZ49" i="3"/>
  <c r="AX75" i="3"/>
  <c r="AZ85" i="3"/>
  <c r="AW62" i="3"/>
  <c r="AT86" i="3"/>
  <c r="AX82" i="3"/>
  <c r="AF55" i="3"/>
  <c r="AF76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S68" i="3"/>
  <c r="C66" i="3"/>
  <c r="AF91" i="3"/>
  <c r="AX71" i="3"/>
  <c r="AW60" i="3"/>
  <c r="AY72" i="3"/>
  <c r="AZ69" i="3"/>
  <c r="AW59" i="3"/>
  <c r="AW48" i="3"/>
  <c r="AF93" i="3"/>
  <c r="C67" i="3"/>
  <c r="AU77" i="3"/>
  <c r="AV84" i="3"/>
  <c r="AF54" i="3"/>
  <c r="AX85" i="3"/>
  <c r="AZ89" i="3"/>
  <c r="AT68" i="3"/>
  <c r="C5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96" i="3"/>
  <c r="AY55" i="3"/>
  <c r="AZ84" i="3"/>
  <c r="AY71" i="3"/>
  <c r="AT71" i="3"/>
  <c r="AW89" i="3"/>
  <c r="AX89" i="3"/>
  <c r="AW97" i="3"/>
  <c r="AT80" i="3"/>
  <c r="AV64" i="3"/>
  <c r="AT69" i="3"/>
  <c r="AU58" i="3"/>
  <c r="AT92" i="3"/>
  <c r="AU91" i="3"/>
  <c r="AW74" i="3"/>
  <c r="C68" i="3"/>
  <c r="AW47" i="3"/>
  <c r="AU85" i="3"/>
  <c r="AV71" i="3"/>
  <c r="AW5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V83" i="3"/>
  <c r="C91" i="3"/>
  <c r="AY82" i="3"/>
  <c r="AZ73" i="3"/>
  <c r="AZ88" i="3"/>
  <c r="AZ82" i="3"/>
  <c r="AT72" i="3"/>
  <c r="AU88" i="3"/>
  <c r="AY50" i="3"/>
  <c r="AF60" i="3"/>
  <c r="AT63" i="3"/>
  <c r="C61" i="3"/>
  <c r="AT83" i="3"/>
  <c r="AT79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Y56" i="3"/>
  <c r="C77" i="3"/>
  <c r="AV97" i="3"/>
  <c r="AY85" i="3"/>
  <c r="AT66" i="3"/>
  <c r="AX96" i="3"/>
  <c r="AW87" i="3"/>
  <c r="AZ90" i="3"/>
  <c r="AF57" i="3"/>
  <c r="C89" i="3"/>
  <c r="AZ78" i="3"/>
  <c r="AW61" i="3"/>
  <c r="AF77" i="3"/>
  <c r="AS77" i="3"/>
  <c r="AW82" i="3"/>
  <c r="AU89" i="3"/>
  <c r="AV87" i="3"/>
  <c r="AS8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Q19" i="1" l="1"/>
  <c r="CP20" i="1"/>
  <c r="CO35" i="1"/>
  <c r="CO22" i="1"/>
  <c r="CO47" i="1" s="1"/>
  <c r="CL73" i="1"/>
  <c r="CK85" i="1"/>
  <c r="CL88" i="1" s="1"/>
  <c r="CL105" i="1" s="1"/>
  <c r="CK71" i="1"/>
  <c r="CN45" i="1"/>
  <c r="AC150" i="1"/>
  <c r="CU150" i="1"/>
  <c r="CV150" i="1" s="1"/>
  <c r="CW150" i="1" s="1"/>
  <c r="CX150" i="1" s="1"/>
  <c r="CQ221" i="1"/>
  <c r="CR159" i="1"/>
  <c r="CK88" i="1"/>
  <c r="CK106" i="1" s="1"/>
  <c r="CU18" i="1"/>
  <c r="CU27" i="1" s="1"/>
  <c r="CA250" i="1"/>
  <c r="CB250" i="1"/>
  <c r="CC250" i="1"/>
  <c r="BZ250" i="1"/>
  <c r="CD250" i="1"/>
  <c r="CJ88" i="1"/>
  <c r="CJ104" i="1" s="1"/>
  <c r="CQ203" i="1"/>
  <c r="CP204" i="1"/>
  <c r="CO201" i="1"/>
  <c r="CO205" i="1" s="1"/>
  <c r="CP200" i="1"/>
  <c r="CR144" i="1"/>
  <c r="CQ147" i="1"/>
  <c r="CQ268" i="1" s="1"/>
  <c r="CP225" i="1"/>
  <c r="BZ144" i="1"/>
  <c r="CA144" i="1" s="1"/>
  <c r="BL92" i="1"/>
  <c r="CF93" i="1"/>
  <c r="CB165" i="1"/>
  <c r="CC165" i="1" s="1"/>
  <c r="CD172" i="1"/>
  <c r="CD202" i="1" s="1"/>
  <c r="CE202" i="1" s="1"/>
  <c r="CB183" i="1"/>
  <c r="CC183" i="1" s="1"/>
  <c r="BL143" i="1"/>
  <c r="BM143" i="1" s="1"/>
  <c r="CD152" i="1"/>
  <c r="CD143" i="1"/>
  <c r="CE143" i="1" s="1"/>
  <c r="CF146" i="1"/>
  <c r="CG146" i="1" s="1"/>
  <c r="CB146" i="1"/>
  <c r="CC146" i="1" s="1"/>
  <c r="CB171" i="1"/>
  <c r="CC171" i="1" s="1"/>
  <c r="CB163" i="1"/>
  <c r="CB198" i="1" s="1"/>
  <c r="CC198" i="1" s="1"/>
  <c r="BZ172" i="1"/>
  <c r="BZ202" i="1" s="1"/>
  <c r="CA202" i="1" s="1"/>
  <c r="BZ183" i="1"/>
  <c r="CA183" i="1" s="1"/>
  <c r="BZ173" i="1"/>
  <c r="CA173" i="1" s="1"/>
  <c r="BZ179" i="1"/>
  <c r="BZ169" i="1"/>
  <c r="CA169" i="1" s="1"/>
  <c r="BZ151" i="1"/>
  <c r="BL164" i="1"/>
  <c r="BL199" i="1" s="1"/>
  <c r="BM199" i="1" s="1"/>
  <c r="BL172" i="1"/>
  <c r="BL202" i="1" s="1"/>
  <c r="BM202" i="1" s="1"/>
  <c r="BL141" i="1"/>
  <c r="BM141" i="1" s="1"/>
  <c r="CA92" i="1"/>
  <c r="CF92" i="1"/>
  <c r="CF165" i="1"/>
  <c r="CG165" i="1" s="1"/>
  <c r="CF152" i="1"/>
  <c r="CB93" i="1"/>
  <c r="CF163" i="1"/>
  <c r="CF198" i="1" s="1"/>
  <c r="CG198" i="1" s="1"/>
  <c r="CG163" i="1" s="1"/>
  <c r="CF141" i="1"/>
  <c r="CG141" i="1" s="1"/>
  <c r="CB168" i="1"/>
  <c r="CC168" i="1" s="1"/>
  <c r="CF183" i="1"/>
  <c r="CG183" i="1" s="1"/>
  <c r="CB144" i="1"/>
  <c r="CC144" i="1" s="1"/>
  <c r="CB182" i="1"/>
  <c r="CC182" i="1" s="1"/>
  <c r="CD93" i="1"/>
  <c r="CB178" i="1"/>
  <c r="CD164" i="1"/>
  <c r="CD199" i="1" s="1"/>
  <c r="CE199" i="1" s="1"/>
  <c r="CD141" i="1"/>
  <c r="CE141" i="1" s="1"/>
  <c r="BL144" i="1"/>
  <c r="CD150" i="1"/>
  <c r="CD170" i="1"/>
  <c r="CE170" i="1" s="1"/>
  <c r="CD178" i="1"/>
  <c r="CD161" i="1"/>
  <c r="CE161" i="1" s="1"/>
  <c r="CF159" i="1"/>
  <c r="CF145" i="1"/>
  <c r="CG145" i="1" s="1"/>
  <c r="CB161" i="1"/>
  <c r="CC161" i="1" s="1"/>
  <c r="BL173" i="1"/>
  <c r="BM173" i="1" s="1"/>
  <c r="BL182" i="1"/>
  <c r="BM182" i="1" s="1"/>
  <c r="BL183" i="1"/>
  <c r="CB145" i="1"/>
  <c r="CC145" i="1" s="1"/>
  <c r="CE93" i="1"/>
  <c r="BZ178" i="1"/>
  <c r="BZ182" i="1"/>
  <c r="CA182" i="1" s="1"/>
  <c r="BZ138" i="1"/>
  <c r="BZ146" i="1"/>
  <c r="CA146" i="1" s="1"/>
  <c r="CF164" i="1"/>
  <c r="CF199" i="1" s="1"/>
  <c r="CG199" i="1" s="1"/>
  <c r="CG164" i="1" s="1"/>
  <c r="CF151" i="1"/>
  <c r="CF168" i="1"/>
  <c r="CB138" i="1"/>
  <c r="CB164" i="1"/>
  <c r="CB199" i="1" s="1"/>
  <c r="CC199" i="1" s="1"/>
  <c r="CD179" i="1"/>
  <c r="CD171" i="1"/>
  <c r="CE171" i="1" s="1"/>
  <c r="CB92" i="1"/>
  <c r="BZ174" i="1"/>
  <c r="CA174" i="1" s="1"/>
  <c r="BZ152" i="1"/>
  <c r="BZ136" i="1"/>
  <c r="BZ166" i="1"/>
  <c r="CA166" i="1" s="1"/>
  <c r="BZ93" i="1"/>
  <c r="BZ143" i="1"/>
  <c r="CA143" i="1" s="1"/>
  <c r="BZ145" i="1"/>
  <c r="CA145" i="1" s="1"/>
  <c r="BZ161" i="1"/>
  <c r="CA161" i="1" s="1"/>
  <c r="BZ150" i="1"/>
  <c r="BL152" i="1"/>
  <c r="BL168" i="1"/>
  <c r="BM168" i="1" s="1"/>
  <c r="CF143" i="1"/>
  <c r="CF172" i="1"/>
  <c r="CF202" i="1" s="1"/>
  <c r="CG202" i="1" s="1"/>
  <c r="CG172" i="1" s="1"/>
  <c r="CD173" i="1"/>
  <c r="CE173" i="1" s="1"/>
  <c r="CF173" i="1"/>
  <c r="CG173" i="1" s="1"/>
  <c r="CB150" i="1"/>
  <c r="CB173" i="1"/>
  <c r="CC173" i="1" s="1"/>
  <c r="BY93" i="1"/>
  <c r="CD182" i="1"/>
  <c r="CE182" i="1" s="1"/>
  <c r="CD154" i="1"/>
  <c r="CE154" i="1" s="1"/>
  <c r="BL179" i="1"/>
  <c r="CB172" i="1"/>
  <c r="CB202" i="1" s="1"/>
  <c r="CC202" i="1" s="1"/>
  <c r="CB137" i="1"/>
  <c r="CC137" i="1" s="1"/>
  <c r="BL169" i="1"/>
  <c r="BM169" i="1" s="1"/>
  <c r="CD146" i="1"/>
  <c r="CE146" i="1" s="1"/>
  <c r="CD166" i="1"/>
  <c r="CE166" i="1" s="1"/>
  <c r="CD138" i="1"/>
  <c r="CD165" i="1"/>
  <c r="CE165" i="1" s="1"/>
  <c r="CD174" i="1"/>
  <c r="CE174" i="1" s="1"/>
  <c r="CD159" i="1"/>
  <c r="CE159" i="1" s="1"/>
  <c r="CF136" i="1"/>
  <c r="CF137" i="1"/>
  <c r="CG137" i="1" s="1"/>
  <c r="CF170" i="1"/>
  <c r="CG170" i="1" s="1"/>
  <c r="CF182" i="1"/>
  <c r="CG182" i="1" s="1"/>
  <c r="CB179" i="1"/>
  <c r="CB159" i="1"/>
  <c r="AI93" i="1"/>
  <c r="BL166" i="1"/>
  <c r="BM166" i="1" s="1"/>
  <c r="BL154" i="1"/>
  <c r="BM154" i="1" s="1"/>
  <c r="BL145" i="1"/>
  <c r="BM145" i="1" s="1"/>
  <c r="CB143" i="1"/>
  <c r="CC143" i="1" s="1"/>
  <c r="BL165" i="1"/>
  <c r="BM165" i="1" s="1"/>
  <c r="BZ154" i="1"/>
  <c r="CA154" i="1" s="1"/>
  <c r="BZ92" i="1"/>
  <c r="BL171" i="1"/>
  <c r="BM171" i="1" s="1"/>
  <c r="CB151" i="1"/>
  <c r="CF166" i="1"/>
  <c r="CG166" i="1" s="1"/>
  <c r="CB166" i="1"/>
  <c r="CC166" i="1" s="1"/>
  <c r="CD92" i="1"/>
  <c r="CC93" i="1"/>
  <c r="CD137" i="1"/>
  <c r="CE137" i="1" s="1"/>
  <c r="BL138" i="1"/>
  <c r="CD144" i="1"/>
  <c r="CE144" i="1" s="1"/>
  <c r="CF178" i="1"/>
  <c r="CF171" i="1"/>
  <c r="CG171" i="1" s="1"/>
  <c r="CE92" i="1"/>
  <c r="BZ164" i="1"/>
  <c r="BZ199" i="1" s="1"/>
  <c r="CA199" i="1" s="1"/>
  <c r="BZ141" i="1"/>
  <c r="CA141" i="1" s="1"/>
  <c r="BZ163" i="1"/>
  <c r="BZ198" i="1" s="1"/>
  <c r="CA198" i="1" s="1"/>
  <c r="BZ137" i="1"/>
  <c r="CA137" i="1" s="1"/>
  <c r="BZ168" i="1"/>
  <c r="BZ170" i="1"/>
  <c r="CA170" i="1" s="1"/>
  <c r="BZ165" i="1"/>
  <c r="CA165" i="1" s="1"/>
  <c r="BZ159" i="1"/>
  <c r="CA159" i="1" s="1"/>
  <c r="BZ171" i="1"/>
  <c r="CA171" i="1" s="1"/>
  <c r="BL174" i="1"/>
  <c r="BM174" i="1" s="1"/>
  <c r="BL163" i="1"/>
  <c r="BL198" i="1" s="1"/>
  <c r="BM198" i="1" s="1"/>
  <c r="BL150" i="1"/>
  <c r="BL151" i="1"/>
  <c r="CA93" i="1"/>
  <c r="CF174" i="1"/>
  <c r="CG174" i="1" s="1"/>
  <c r="CF169" i="1"/>
  <c r="CG169" i="1" s="1"/>
  <c r="CF179" i="1"/>
  <c r="CB136" i="1"/>
  <c r="CC136" i="1" s="1"/>
  <c r="CF150" i="1"/>
  <c r="CF138" i="1"/>
  <c r="CG138" i="1" s="1"/>
  <c r="CF144" i="1"/>
  <c r="CG144" i="1" s="1"/>
  <c r="CD145" i="1"/>
  <c r="CE145" i="1" s="1"/>
  <c r="CB174" i="1"/>
  <c r="CC174" i="1" s="1"/>
  <c r="CB154" i="1"/>
  <c r="CC154" i="1" s="1"/>
  <c r="CB170" i="1"/>
  <c r="CC170" i="1" s="1"/>
  <c r="CD136" i="1"/>
  <c r="BL159" i="1"/>
  <c r="CB152" i="1"/>
  <c r="BL146" i="1"/>
  <c r="BM146" i="1" s="1"/>
  <c r="CD151" i="1"/>
  <c r="CD163" i="1"/>
  <c r="CD198" i="1" s="1"/>
  <c r="CE198" i="1" s="1"/>
  <c r="CD169" i="1"/>
  <c r="CE169" i="1" s="1"/>
  <c r="CD168" i="1"/>
  <c r="CE168" i="1" s="1"/>
  <c r="CD183" i="1"/>
  <c r="CE183" i="1" s="1"/>
  <c r="CF154" i="1"/>
  <c r="CG154" i="1" s="1"/>
  <c r="CF161" i="1"/>
  <c r="CG161" i="1" s="1"/>
  <c r="CC92" i="1"/>
  <c r="CB169" i="1"/>
  <c r="CC169" i="1" s="1"/>
  <c r="CB141" i="1"/>
  <c r="CC141" i="1" s="1"/>
  <c r="BL178" i="1"/>
  <c r="BL136" i="1"/>
  <c r="BM136" i="1" s="1"/>
  <c r="BL170" i="1"/>
  <c r="BM170" i="1" s="1"/>
  <c r="BL161" i="1"/>
  <c r="BM161" i="1" s="1"/>
  <c r="BL137" i="1"/>
  <c r="BM137" i="1" s="1"/>
  <c r="BL272" i="1"/>
  <c r="CH117" i="1"/>
  <c r="CH118" i="1" s="1"/>
  <c r="CB156" i="1"/>
  <c r="CC156" i="1" s="1"/>
  <c r="CF156" i="1"/>
  <c r="CG156" i="1" s="1"/>
  <c r="CD156" i="1"/>
  <c r="CE156" i="1" s="1"/>
  <c r="BL156" i="1"/>
  <c r="BM156" i="1" s="1"/>
  <c r="BZ156" i="1"/>
  <c r="CA156" i="1" s="1"/>
  <c r="BL162" i="1"/>
  <c r="CD162" i="1"/>
  <c r="CB162" i="1"/>
  <c r="CF162" i="1"/>
  <c r="BZ162" i="1"/>
  <c r="CA271" i="1"/>
  <c r="JJ21" i="4"/>
  <c r="CD96" i="1" s="1"/>
  <c r="CA29" i="1"/>
  <c r="CA35" i="1" s="1"/>
  <c r="CA20" i="1" s="1"/>
  <c r="CA19" i="1" s="1"/>
  <c r="JK14" i="4"/>
  <c r="BL29" i="1"/>
  <c r="BL35" i="1" s="1"/>
  <c r="BY29" i="1"/>
  <c r="BY35" i="1" s="1"/>
  <c r="BY20" i="1" s="1"/>
  <c r="BY19" i="1" s="1"/>
  <c r="BL213" i="1"/>
  <c r="CF29" i="1"/>
  <c r="AA77" i="1" s="1"/>
  <c r="CF271" i="1"/>
  <c r="JL21" i="4"/>
  <c r="CF96" i="1" s="1"/>
  <c r="Y229" i="1"/>
  <c r="Y230" i="1" s="1"/>
  <c r="CF117" i="1"/>
  <c r="CF118" i="1" s="1"/>
  <c r="CB45" i="1"/>
  <c r="CE250" i="1"/>
  <c r="CC272" i="1"/>
  <c r="CA45" i="1"/>
  <c r="CE271" i="1"/>
  <c r="CC271" i="1"/>
  <c r="JM7" i="4"/>
  <c r="CA272" i="1"/>
  <c r="JJ8" i="4"/>
  <c r="Z229" i="1"/>
  <c r="Z230" i="1" s="1"/>
  <c r="CF45" i="1"/>
  <c r="BZ271" i="1"/>
  <c r="BZ29" i="1"/>
  <c r="CA213" i="1"/>
  <c r="CD272" i="1"/>
  <c r="CB117" i="1"/>
  <c r="CB118" i="1" s="1"/>
  <c r="JK21" i="4"/>
  <c r="CE96" i="1" s="1"/>
  <c r="JK15" i="4"/>
  <c r="CD271" i="1"/>
  <c r="JL14" i="4"/>
  <c r="CC45" i="1"/>
  <c r="BY45" i="1"/>
  <c r="CI117" i="1"/>
  <c r="CI118" i="1" s="1"/>
  <c r="CI121" i="1" s="1"/>
  <c r="CF250" i="1"/>
  <c r="BY272" i="1"/>
  <c r="JL8" i="4"/>
  <c r="CE45" i="1"/>
  <c r="BL271" i="1"/>
  <c r="CE117" i="1"/>
  <c r="CE118" i="1" s="1"/>
  <c r="CD29" i="1"/>
  <c r="CD35" i="1" s="1"/>
  <c r="CD20" i="1" s="1"/>
  <c r="CC29" i="1"/>
  <c r="CD213" i="1"/>
  <c r="CE29" i="1"/>
  <c r="CG117" i="1"/>
  <c r="CG118" i="1" s="1"/>
  <c r="CD117" i="1"/>
  <c r="CD118" i="1" s="1"/>
  <c r="CB29" i="1"/>
  <c r="CB35" i="1" s="1"/>
  <c r="CB20" i="1" s="1"/>
  <c r="CB271" i="1"/>
  <c r="CC117" i="1"/>
  <c r="CC118" i="1" s="1"/>
  <c r="JJ15" i="4"/>
  <c r="CB272" i="1"/>
  <c r="BY271" i="1"/>
  <c r="CD45" i="1"/>
  <c r="JM8" i="4"/>
  <c r="JL7" i="4"/>
  <c r="CF272" i="1"/>
  <c r="JJ7" i="4"/>
  <c r="JK8" i="4"/>
  <c r="JM21" i="4"/>
  <c r="CG96" i="1" s="1"/>
  <c r="BZ272" i="1"/>
  <c r="CE272" i="1"/>
  <c r="JK7" i="4"/>
  <c r="BL45" i="1"/>
  <c r="JL15" i="4"/>
  <c r="BZ45" i="1"/>
  <c r="JM14" i="4"/>
  <c r="JM15" i="4"/>
  <c r="JJ14" i="4"/>
  <c r="CI113" i="1"/>
  <c r="CI115" i="1"/>
  <c r="CI114" i="1"/>
  <c r="CS199" i="1"/>
  <c r="CS202" i="1"/>
  <c r="CS198" i="1"/>
  <c r="CT143" i="1"/>
  <c r="AD65" i="1"/>
  <c r="CZ65" i="1"/>
  <c r="DA65" i="1" s="1"/>
  <c r="DB65" i="1" s="1"/>
  <c r="AE54" i="1"/>
  <c r="U27" i="1"/>
  <c r="U18" i="1" s="1"/>
  <c r="V27" i="1"/>
  <c r="V18" i="1" s="1"/>
  <c r="W27" i="1"/>
  <c r="W18" i="1" s="1"/>
  <c r="CL106" i="1" l="1"/>
  <c r="CL104" i="1"/>
  <c r="CJ105" i="1"/>
  <c r="CK105" i="1"/>
  <c r="CK104" i="1"/>
  <c r="CJ106" i="1"/>
  <c r="CR221" i="1"/>
  <c r="CS159" i="1"/>
  <c r="CS221" i="1" s="1"/>
  <c r="CR19" i="1"/>
  <c r="CQ20" i="1"/>
  <c r="CP35" i="1"/>
  <c r="CP22" i="1"/>
  <c r="CP47" i="1" s="1"/>
  <c r="CO45" i="1"/>
  <c r="AD150" i="1"/>
  <c r="CY150" i="1"/>
  <c r="CZ150" i="1" s="1"/>
  <c r="DA150" i="1" s="1"/>
  <c r="DB150" i="1" s="1"/>
  <c r="AE150" i="1" s="1"/>
  <c r="CD19" i="1"/>
  <c r="CB19" i="1"/>
  <c r="CV18" i="1"/>
  <c r="CV27" i="1" s="1"/>
  <c r="CA36" i="1"/>
  <c r="CH37" i="1"/>
  <c r="CR203" i="1"/>
  <c r="CQ204" i="1"/>
  <c r="CP201" i="1"/>
  <c r="CP205" i="1" s="1"/>
  <c r="CQ200" i="1"/>
  <c r="CS144" i="1"/>
  <c r="CR147" i="1"/>
  <c r="CR268" i="1" s="1"/>
  <c r="CQ225" i="1"/>
  <c r="BZ180" i="1"/>
  <c r="BL180" i="1"/>
  <c r="CB221" i="1"/>
  <c r="CA136" i="1"/>
  <c r="BZ139" i="1"/>
  <c r="BZ111" i="1" s="1"/>
  <c r="BL139" i="1"/>
  <c r="BL111" i="1" s="1"/>
  <c r="CB180" i="1"/>
  <c r="CC228" i="1" s="1"/>
  <c r="CG143" i="1"/>
  <c r="CG147" i="1" s="1"/>
  <c r="CF147" i="1"/>
  <c r="CD153" i="1"/>
  <c r="CE52" i="1" s="1"/>
  <c r="CC159" i="1"/>
  <c r="CE136" i="1"/>
  <c r="CD139" i="1"/>
  <c r="CD111" i="1" s="1"/>
  <c r="CD113" i="1" s="1"/>
  <c r="BM159" i="1"/>
  <c r="BM221" i="1" s="1"/>
  <c r="CD180" i="1"/>
  <c r="CF221" i="1"/>
  <c r="CE147" i="1"/>
  <c r="BM144" i="1"/>
  <c r="BM147" i="1" s="1"/>
  <c r="BL147" i="1"/>
  <c r="CG159" i="1"/>
  <c r="CG168" i="1"/>
  <c r="CG175" i="1" s="1"/>
  <c r="CF175" i="1"/>
  <c r="CF204" i="1" s="1"/>
  <c r="CF203" i="1" s="1"/>
  <c r="CG136" i="1"/>
  <c r="CG139" i="1" s="1"/>
  <c r="CF139" i="1"/>
  <c r="CF111" i="1" s="1"/>
  <c r="CF113" i="1" s="1"/>
  <c r="CA168" i="1"/>
  <c r="BZ175" i="1"/>
  <c r="BZ204" i="1" s="1"/>
  <c r="BZ203" i="1" s="1"/>
  <c r="BZ153" i="1"/>
  <c r="BZ157" i="1" s="1"/>
  <c r="CA147" i="1"/>
  <c r="CB153" i="1"/>
  <c r="CF180" i="1"/>
  <c r="BL153" i="1"/>
  <c r="CF153" i="1"/>
  <c r="CF157" i="1" s="1"/>
  <c r="CC147" i="1"/>
  <c r="CB147" i="1"/>
  <c r="CE221" i="1"/>
  <c r="BZ147" i="1"/>
  <c r="CB175" i="1"/>
  <c r="CB204" i="1" s="1"/>
  <c r="CB203" i="1" s="1"/>
  <c r="BL175" i="1"/>
  <c r="BL204" i="1" s="1"/>
  <c r="BL203" i="1" s="1"/>
  <c r="CD175" i="1"/>
  <c r="CD204" i="1" s="1"/>
  <c r="CD203" i="1" s="1"/>
  <c r="CB139" i="1"/>
  <c r="CD147" i="1"/>
  <c r="CH121" i="1"/>
  <c r="CH122" i="1"/>
  <c r="CH123" i="1"/>
  <c r="BM162" i="1"/>
  <c r="BL167" i="1"/>
  <c r="CE162" i="1"/>
  <c r="CD167" i="1"/>
  <c r="CC162" i="1"/>
  <c r="CB167" i="1"/>
  <c r="CG162" i="1"/>
  <c r="CG167" i="1" s="1"/>
  <c r="CG201" i="1" s="1"/>
  <c r="CG200" i="1" s="1"/>
  <c r="CF167" i="1"/>
  <c r="CA162" i="1"/>
  <c r="BZ167" i="1"/>
  <c r="CD121" i="1"/>
  <c r="CA46" i="1"/>
  <c r="CA31" i="1"/>
  <c r="JK19" i="4"/>
  <c r="CE97" i="1" s="1"/>
  <c r="BL46" i="1"/>
  <c r="CC30" i="1"/>
  <c r="CC46" i="1"/>
  <c r="CI244" i="1"/>
  <c r="CF35" i="1"/>
  <c r="AA78" i="1" s="1"/>
  <c r="CG31" i="1"/>
  <c r="CJ30" i="1"/>
  <c r="BY46" i="1"/>
  <c r="JL20" i="4"/>
  <c r="CF98" i="1" s="1"/>
  <c r="CF123" i="1" s="1"/>
  <c r="BZ35" i="1"/>
  <c r="BZ20" i="1" s="1"/>
  <c r="CF46" i="1"/>
  <c r="Y77" i="1"/>
  <c r="JJ19" i="4"/>
  <c r="CD97" i="1" s="1"/>
  <c r="CD126" i="1" s="1"/>
  <c r="JM20" i="4"/>
  <c r="CG98" i="1" s="1"/>
  <c r="CD46" i="1"/>
  <c r="JM19" i="4"/>
  <c r="CG97" i="1" s="1"/>
  <c r="CE172" i="1"/>
  <c r="CE175" i="1" s="1"/>
  <c r="CE204" i="1" s="1"/>
  <c r="CE203" i="1" s="1"/>
  <c r="CF121" i="1"/>
  <c r="JJ20" i="4"/>
  <c r="CD98" i="1" s="1"/>
  <c r="CD127" i="1" s="1"/>
  <c r="JL19" i="4"/>
  <c r="CF97" i="1" s="1"/>
  <c r="JK20" i="4"/>
  <c r="CE98" i="1" s="1"/>
  <c r="CE127" i="1" s="1"/>
  <c r="CA47" i="1"/>
  <c r="CA22" i="1" s="1"/>
  <c r="CA21" i="1" s="1"/>
  <c r="CD207" i="1"/>
  <c r="CD30" i="1"/>
  <c r="BZ31" i="1"/>
  <c r="CD244" i="1"/>
  <c r="BZ46" i="1"/>
  <c r="CE163" i="1"/>
  <c r="CE207" i="1"/>
  <c r="CG207" i="1"/>
  <c r="CF30" i="1"/>
  <c r="CH244" i="1"/>
  <c r="CJ207" i="1"/>
  <c r="CE46" i="1"/>
  <c r="CC35" i="1"/>
  <c r="CC20" i="1" s="1"/>
  <c r="CF244" i="1"/>
  <c r="CB31" i="1"/>
  <c r="CH263" i="1"/>
  <c r="Z77" i="1"/>
  <c r="CE30" i="1"/>
  <c r="CG121" i="1"/>
  <c r="CE121" i="1"/>
  <c r="CG244" i="1"/>
  <c r="CF31" i="1"/>
  <c r="CF207" i="1"/>
  <c r="CE244" i="1"/>
  <c r="CC31" i="1"/>
  <c r="CC244" i="1"/>
  <c r="CE164" i="1"/>
  <c r="CB46" i="1"/>
  <c r="CB36" i="1"/>
  <c r="CB47" i="1"/>
  <c r="CB22" i="1" s="1"/>
  <c r="CB21" i="1" s="1"/>
  <c r="CB38" i="1"/>
  <c r="CD47" i="1"/>
  <c r="CD22" i="1" s="1"/>
  <c r="CD21" i="1" s="1"/>
  <c r="CD31" i="1"/>
  <c r="CH30" i="1"/>
  <c r="CI207" i="1"/>
  <c r="CI122" i="1"/>
  <c r="CE35" i="1"/>
  <c r="CE20" i="1" s="1"/>
  <c r="CI30" i="1"/>
  <c r="CD36" i="1"/>
  <c r="CI123" i="1"/>
  <c r="CG30" i="1"/>
  <c r="CE31" i="1"/>
  <c r="CH207" i="1"/>
  <c r="CA221" i="1"/>
  <c r="BL36" i="1"/>
  <c r="BL47" i="1"/>
  <c r="BY36" i="1"/>
  <c r="BY47" i="1"/>
  <c r="BY22" i="1" s="1"/>
  <c r="BY21" i="1" s="1"/>
  <c r="CT198" i="1"/>
  <c r="CT202" i="1"/>
  <c r="CU143" i="1"/>
  <c r="CT199" i="1"/>
  <c r="AE65" i="1"/>
  <c r="V250" i="1"/>
  <c r="W250" i="1"/>
  <c r="U250" i="1"/>
  <c r="CT159" i="1" l="1"/>
  <c r="CT221" i="1" s="1"/>
  <c r="CF20" i="1"/>
  <c r="CS19" i="1"/>
  <c r="CR20" i="1"/>
  <c r="CQ35" i="1"/>
  <c r="CQ22" i="1"/>
  <c r="CQ47" i="1" s="1"/>
  <c r="CP45" i="1"/>
  <c r="CE19" i="1"/>
  <c r="BZ19" i="1"/>
  <c r="CF19" i="1"/>
  <c r="CC19" i="1"/>
  <c r="CW18" i="1"/>
  <c r="CW27" i="1" s="1"/>
  <c r="CF47" i="1"/>
  <c r="AA79" i="1" s="1"/>
  <c r="CD37" i="1"/>
  <c r="CA251" i="1"/>
  <c r="CA252" i="1" s="1"/>
  <c r="CC38" i="1"/>
  <c r="CH49" i="1"/>
  <c r="CE38" i="1"/>
  <c r="CS203" i="1"/>
  <c r="CR204" i="1"/>
  <c r="CD221" i="1"/>
  <c r="CC221" i="1"/>
  <c r="CG268" i="1"/>
  <c r="CQ201" i="1"/>
  <c r="CQ205" i="1" s="1"/>
  <c r="CR200" i="1"/>
  <c r="CH221" i="1"/>
  <c r="CG221" i="1"/>
  <c r="CA228" i="1"/>
  <c r="BZ267" i="1"/>
  <c r="CT144" i="1"/>
  <c r="CS147" i="1"/>
  <c r="CS268" i="1" s="1"/>
  <c r="CD225" i="1"/>
  <c r="CF268" i="1"/>
  <c r="BM228" i="1"/>
  <c r="BL267" i="1"/>
  <c r="CF225" i="1"/>
  <c r="CF148" i="1"/>
  <c r="CR225" i="1"/>
  <c r="BL148" i="1"/>
  <c r="BL187" i="1"/>
  <c r="BL128" i="1" s="1"/>
  <c r="CA52" i="1"/>
  <c r="CA153" i="1"/>
  <c r="CB157" i="1"/>
  <c r="CC52" i="1"/>
  <c r="CC153" i="1"/>
  <c r="BZ187" i="1"/>
  <c r="BZ148" i="1"/>
  <c r="CF114" i="1"/>
  <c r="CD157" i="1"/>
  <c r="CE153" i="1"/>
  <c r="CE228" i="1"/>
  <c r="CD267" i="1"/>
  <c r="CA268" i="1"/>
  <c r="CA225" i="1"/>
  <c r="BM225" i="1"/>
  <c r="BM268" i="1"/>
  <c r="CH226" i="1"/>
  <c r="CG111" i="1"/>
  <c r="CG114" i="1" s="1"/>
  <c r="CG226" i="1"/>
  <c r="CG228" i="1"/>
  <c r="CF187" i="1"/>
  <c r="CF267" i="1"/>
  <c r="BM153" i="1"/>
  <c r="BM157" i="1" s="1"/>
  <c r="BL157" i="1"/>
  <c r="BL265" i="1" s="1"/>
  <c r="CG52" i="1"/>
  <c r="CG153" i="1"/>
  <c r="CH268" i="1"/>
  <c r="CH270" i="1" s="1"/>
  <c r="CH225" i="1"/>
  <c r="CG148" i="1"/>
  <c r="CG225" i="1"/>
  <c r="CB268" i="1"/>
  <c r="CB148" i="1"/>
  <c r="CB187" i="1"/>
  <c r="CB225" i="1"/>
  <c r="CB111" i="1"/>
  <c r="CB267" i="1"/>
  <c r="CC268" i="1"/>
  <c r="CC225" i="1"/>
  <c r="CE225" i="1"/>
  <c r="CD268" i="1"/>
  <c r="CD148" i="1"/>
  <c r="CD187" i="1"/>
  <c r="CE268" i="1"/>
  <c r="BL201" i="1"/>
  <c r="BL176" i="1"/>
  <c r="CD201" i="1"/>
  <c r="CD176" i="1"/>
  <c r="CB201" i="1"/>
  <c r="CB176" i="1"/>
  <c r="CF201" i="1"/>
  <c r="CF176" i="1"/>
  <c r="CF184" i="1" s="1"/>
  <c r="BZ201" i="1"/>
  <c r="BZ176" i="1"/>
  <c r="BZ184" i="1" s="1"/>
  <c r="CE122" i="1"/>
  <c r="CE126" i="1"/>
  <c r="BZ38" i="1"/>
  <c r="BZ47" i="1"/>
  <c r="BZ22" i="1" s="1"/>
  <c r="BZ21" i="1" s="1"/>
  <c r="BZ36" i="1"/>
  <c r="CA38" i="1"/>
  <c r="CG204" i="1"/>
  <c r="CH216" i="1"/>
  <c r="CG216" i="1"/>
  <c r="CJ37" i="1"/>
  <c r="CF36" i="1"/>
  <c r="CG38" i="1"/>
  <c r="CF37" i="1"/>
  <c r="BZ265" i="1"/>
  <c r="CF265" i="1"/>
  <c r="CF263" i="1"/>
  <c r="CF127" i="1"/>
  <c r="CF115" i="1"/>
  <c r="CG127" i="1"/>
  <c r="CG123" i="1"/>
  <c r="CG126" i="1"/>
  <c r="CG122" i="1"/>
  <c r="CF126" i="1"/>
  <c r="CF122" i="1"/>
  <c r="CG37" i="1"/>
  <c r="CC36" i="1"/>
  <c r="Y78" i="1"/>
  <c r="CC47" i="1"/>
  <c r="CC22" i="1" s="1"/>
  <c r="CC21" i="1" s="1"/>
  <c r="CD38" i="1"/>
  <c r="CC37" i="1"/>
  <c r="CD115" i="1"/>
  <c r="CD122" i="1"/>
  <c r="CE167" i="1"/>
  <c r="CD114" i="1"/>
  <c r="CE216" i="1"/>
  <c r="CG215" i="1"/>
  <c r="CD123" i="1"/>
  <c r="CF216" i="1"/>
  <c r="CA53" i="1"/>
  <c r="CA57" i="1" s="1"/>
  <c r="CA60" i="1" s="1"/>
  <c r="CA67" i="1" s="1"/>
  <c r="CA212" i="1" s="1"/>
  <c r="CA214" i="1" s="1"/>
  <c r="CA48" i="1"/>
  <c r="CE123" i="1"/>
  <c r="CG176" i="1"/>
  <c r="CH215" i="1"/>
  <c r="CD48" i="1"/>
  <c r="CB48" i="1"/>
  <c r="CB251" i="1"/>
  <c r="CB252" i="1" s="1"/>
  <c r="CB53" i="1"/>
  <c r="CB57" i="1" s="1"/>
  <c r="CB50" i="1"/>
  <c r="CB269" i="1"/>
  <c r="CD251" i="1"/>
  <c r="CD252" i="1" s="1"/>
  <c r="CD53" i="1"/>
  <c r="CD57" i="1" s="1"/>
  <c r="CD60" i="1" s="1"/>
  <c r="CD253" i="1" s="1"/>
  <c r="CF38" i="1"/>
  <c r="CE37" i="1"/>
  <c r="CI37" i="1"/>
  <c r="Z78" i="1"/>
  <c r="CE47" i="1"/>
  <c r="CE22" i="1" s="1"/>
  <c r="CE21" i="1" s="1"/>
  <c r="CE36" i="1"/>
  <c r="BY53" i="1"/>
  <c r="BY57" i="1" s="1"/>
  <c r="BY48" i="1"/>
  <c r="BL53" i="1"/>
  <c r="BL57" i="1" s="1"/>
  <c r="BL48" i="1"/>
  <c r="CU198" i="1"/>
  <c r="CV143" i="1"/>
  <c r="CU199" i="1"/>
  <c r="CU202" i="1"/>
  <c r="AB169" i="1"/>
  <c r="A1" i="1"/>
  <c r="CU159" i="1" l="1"/>
  <c r="CF22" i="1"/>
  <c r="CF21" i="1" s="1"/>
  <c r="CT19" i="1"/>
  <c r="CS20" i="1"/>
  <c r="CR35" i="1"/>
  <c r="CR22" i="1"/>
  <c r="CR47" i="1" s="1"/>
  <c r="CQ45" i="1"/>
  <c r="CF53" i="1"/>
  <c r="CG50" i="1"/>
  <c r="CF48" i="1"/>
  <c r="CF49" i="1"/>
  <c r="CG269" i="1"/>
  <c r="CJ49" i="1"/>
  <c r="CF251" i="1"/>
  <c r="CF252" i="1" s="1"/>
  <c r="CI245" i="1"/>
  <c r="CI131" i="1"/>
  <c r="CX18" i="1"/>
  <c r="CX27" i="1" s="1"/>
  <c r="CC53" i="1"/>
  <c r="CC57" i="1" s="1"/>
  <c r="CC60" i="1" s="1"/>
  <c r="CG245" i="1"/>
  <c r="CS204" i="1"/>
  <c r="CT203" i="1"/>
  <c r="CF185" i="1"/>
  <c r="CR201" i="1"/>
  <c r="CR205" i="1" s="1"/>
  <c r="CS200" i="1"/>
  <c r="CA157" i="1"/>
  <c r="CB52" i="1"/>
  <c r="CB184" i="1"/>
  <c r="CB185" i="1" s="1"/>
  <c r="CD184" i="1"/>
  <c r="CD185" i="1" s="1"/>
  <c r="CU144" i="1"/>
  <c r="CT147" i="1"/>
  <c r="CT268" i="1" s="1"/>
  <c r="CB265" i="1"/>
  <c r="CB263" i="1"/>
  <c r="CE157" i="1"/>
  <c r="CF52" i="1"/>
  <c r="CS225" i="1"/>
  <c r="CB270" i="1"/>
  <c r="CG224" i="1"/>
  <c r="BZ185" i="1"/>
  <c r="CD52" i="1"/>
  <c r="CC157" i="1"/>
  <c r="BZ128" i="1"/>
  <c r="CA56" i="1"/>
  <c r="CD263" i="1"/>
  <c r="CD265" i="1"/>
  <c r="CH224" i="1"/>
  <c r="CG113" i="1"/>
  <c r="CG115" i="1"/>
  <c r="CF128" i="1"/>
  <c r="CG56" i="1"/>
  <c r="CH52" i="1"/>
  <c r="CG157" i="1"/>
  <c r="CB128" i="1"/>
  <c r="CC56" i="1"/>
  <c r="CD128" i="1"/>
  <c r="CD130" i="1" s="1"/>
  <c r="CE56" i="1"/>
  <c r="CD129" i="1"/>
  <c r="CF200" i="1"/>
  <c r="CF205" i="1"/>
  <c r="CJ208" i="1" s="1"/>
  <c r="BL205" i="1"/>
  <c r="BL200" i="1"/>
  <c r="CD205" i="1"/>
  <c r="CD200" i="1"/>
  <c r="CB205" i="1"/>
  <c r="CB200" i="1"/>
  <c r="BZ200" i="1"/>
  <c r="BZ205" i="1"/>
  <c r="CG217" i="1"/>
  <c r="CG218" i="1" s="1"/>
  <c r="BZ48" i="1"/>
  <c r="BZ53" i="1"/>
  <c r="CA269" i="1"/>
  <c r="CA270" i="1" s="1"/>
  <c r="CA50" i="1"/>
  <c r="BZ251" i="1"/>
  <c r="BZ252" i="1" s="1"/>
  <c r="CD49" i="1"/>
  <c r="BZ50" i="1"/>
  <c r="BZ269" i="1"/>
  <c r="CB131" i="1"/>
  <c r="CH217" i="1"/>
  <c r="CH218" i="1" s="1"/>
  <c r="CD131" i="1"/>
  <c r="CC269" i="1"/>
  <c r="CC270" i="1" s="1"/>
  <c r="CE215" i="1"/>
  <c r="CE217" i="1" s="1"/>
  <c r="CE176" i="1"/>
  <c r="CG203" i="1"/>
  <c r="CG205" i="1"/>
  <c r="CC251" i="1"/>
  <c r="CC252" i="1" s="1"/>
  <c r="CG49" i="1"/>
  <c r="Y79" i="1"/>
  <c r="CC48" i="1"/>
  <c r="CC245" i="1"/>
  <c r="CD269" i="1"/>
  <c r="CD270" i="1" s="1"/>
  <c r="CC131" i="1"/>
  <c r="CD245" i="1"/>
  <c r="CC50" i="1"/>
  <c r="CD50" i="1"/>
  <c r="CC49" i="1"/>
  <c r="CE201" i="1"/>
  <c r="CF215" i="1"/>
  <c r="CF217" i="1" s="1"/>
  <c r="CA59" i="1"/>
  <c r="CA85" i="1"/>
  <c r="CA138" i="1"/>
  <c r="CA139" i="1" s="1"/>
  <c r="CA111" i="1" s="1"/>
  <c r="CH62" i="1"/>
  <c r="CD59" i="1"/>
  <c r="CA71" i="1"/>
  <c r="CA253" i="1"/>
  <c r="CA61" i="1"/>
  <c r="CA264" i="1" s="1"/>
  <c r="CD61" i="1"/>
  <c r="CD264" i="1" s="1"/>
  <c r="CF131" i="1"/>
  <c r="CD67" i="1"/>
  <c r="CD71" i="1" s="1"/>
  <c r="CE50" i="1"/>
  <c r="CE131" i="1"/>
  <c r="CE245" i="1"/>
  <c r="CB59" i="1"/>
  <c r="CB60" i="1"/>
  <c r="CE269" i="1"/>
  <c r="CE270" i="1" s="1"/>
  <c r="CF269" i="1"/>
  <c r="CF270" i="1" s="1"/>
  <c r="CE251" i="1"/>
  <c r="CE252" i="1" s="1"/>
  <c r="Z79" i="1"/>
  <c r="CE49" i="1"/>
  <c r="CH131" i="1"/>
  <c r="CE48" i="1"/>
  <c r="CG131" i="1"/>
  <c r="CE53" i="1"/>
  <c r="CH245" i="1"/>
  <c r="CF50" i="1"/>
  <c r="CI49" i="1"/>
  <c r="CF245" i="1"/>
  <c r="BL60" i="1"/>
  <c r="BL59" i="1"/>
  <c r="BY59" i="1"/>
  <c r="BY60" i="1"/>
  <c r="CW143" i="1"/>
  <c r="CV198" i="1"/>
  <c r="CV202" i="1"/>
  <c r="CV199" i="1"/>
  <c r="AC169" i="1"/>
  <c r="CV159" i="1" l="1"/>
  <c r="CU221" i="1"/>
  <c r="CG270" i="1"/>
  <c r="CU19" i="1"/>
  <c r="CT20" i="1"/>
  <c r="CS35" i="1"/>
  <c r="CS22" i="1"/>
  <c r="CS47" i="1" s="1"/>
  <c r="CR45" i="1"/>
  <c r="CF57" i="1"/>
  <c r="CI74" i="1"/>
  <c r="CD74" i="1"/>
  <c r="CC59" i="1"/>
  <c r="CY18" i="1"/>
  <c r="CY27" i="1" s="1"/>
  <c r="CU203" i="1"/>
  <c r="CT204" i="1"/>
  <c r="CS201" i="1"/>
  <c r="CS205" i="1" s="1"/>
  <c r="CT200" i="1"/>
  <c r="CA222" i="1"/>
  <c r="CA220" i="1" s="1"/>
  <c r="CB222" i="1"/>
  <c r="CB220" i="1" s="1"/>
  <c r="CE222" i="1"/>
  <c r="CE220" i="1" s="1"/>
  <c r="CF222" i="1"/>
  <c r="CF220" i="1" s="1"/>
  <c r="CH222" i="1"/>
  <c r="CH220" i="1" s="1"/>
  <c r="CH232" i="1" s="1"/>
  <c r="CG222" i="1"/>
  <c r="CG220" i="1" s="1"/>
  <c r="CV144" i="1"/>
  <c r="CU147" i="1"/>
  <c r="CU268" i="1" s="1"/>
  <c r="CT225" i="1"/>
  <c r="CD222" i="1"/>
  <c r="CD220" i="1" s="1"/>
  <c r="CC222" i="1"/>
  <c r="CC220" i="1" s="1"/>
  <c r="CF208" i="1"/>
  <c r="CF129" i="1"/>
  <c r="CF132" i="1" s="1"/>
  <c r="CF130" i="1"/>
  <c r="CF133" i="1" s="1"/>
  <c r="CD208" i="1"/>
  <c r="CH208" i="1"/>
  <c r="BZ57" i="1"/>
  <c r="CB74" i="1"/>
  <c r="CD132" i="1"/>
  <c r="CD133" i="1"/>
  <c r="CD246" i="1"/>
  <c r="CC62" i="1"/>
  <c r="CG62" i="1"/>
  <c r="CC253" i="1"/>
  <c r="CC67" i="1"/>
  <c r="CC61" i="1"/>
  <c r="CC264" i="1" s="1"/>
  <c r="CD63" i="1"/>
  <c r="CE200" i="1"/>
  <c r="CE205" i="1"/>
  <c r="CA226" i="1"/>
  <c r="CA224" i="1" s="1"/>
  <c r="CA148" i="1"/>
  <c r="CC63" i="1"/>
  <c r="CD212" i="1"/>
  <c r="CD214" i="1" s="1"/>
  <c r="Y80" i="1"/>
  <c r="CD85" i="1"/>
  <c r="CH132" i="1"/>
  <c r="CH133" i="1"/>
  <c r="CF74" i="1"/>
  <c r="CH74" i="1"/>
  <c r="CG74" i="1"/>
  <c r="CE57" i="1"/>
  <c r="CB67" i="1"/>
  <c r="CB63" i="1"/>
  <c r="CB253" i="1"/>
  <c r="CB61" i="1"/>
  <c r="CB264" i="1" s="1"/>
  <c r="BL67" i="1"/>
  <c r="BL61" i="1"/>
  <c r="BL264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BY61" i="1"/>
  <c r="BY264" i="1" s="1"/>
  <c r="BY67" i="1"/>
  <c r="CX143" i="1"/>
  <c r="CW199" i="1"/>
  <c r="CW198" i="1"/>
  <c r="CW202" i="1"/>
  <c r="AE169" i="1"/>
  <c r="AD169" i="1"/>
  <c r="CW159" i="1" l="1"/>
  <c r="CV221" i="1"/>
  <c r="CV19" i="1"/>
  <c r="CU20" i="1"/>
  <c r="CT35" i="1"/>
  <c r="CT22" i="1"/>
  <c r="CT47" i="1" s="1"/>
  <c r="CS45" i="1"/>
  <c r="CF60" i="1"/>
  <c r="AA80" i="1" s="1"/>
  <c r="CF59" i="1"/>
  <c r="CZ18" i="1"/>
  <c r="CZ27" i="1" s="1"/>
  <c r="CU204" i="1"/>
  <c r="CV203" i="1"/>
  <c r="CG232" i="1"/>
  <c r="CG229" i="1"/>
  <c r="CG179" i="1" s="1"/>
  <c r="CG180" i="1" s="1"/>
  <c r="CG230" i="1" s="1"/>
  <c r="CT201" i="1"/>
  <c r="CT205" i="1" s="1"/>
  <c r="CU200" i="1"/>
  <c r="CW144" i="1"/>
  <c r="CV147" i="1"/>
  <c r="CV268" i="1" s="1"/>
  <c r="CU225" i="1"/>
  <c r="BZ60" i="1"/>
  <c r="BZ59" i="1"/>
  <c r="CD73" i="1"/>
  <c r="CC71" i="1"/>
  <c r="CC138" i="1"/>
  <c r="CC139" i="1" s="1"/>
  <c r="CC85" i="1"/>
  <c r="CC212" i="1"/>
  <c r="CC214" i="1" s="1"/>
  <c r="CB85" i="1"/>
  <c r="CB71" i="1"/>
  <c r="CB212" i="1"/>
  <c r="CB214" i="1" s="1"/>
  <c r="CB226" i="1"/>
  <c r="CB224" i="1" s="1"/>
  <c r="CE60" i="1"/>
  <c r="CE59" i="1"/>
  <c r="BY212" i="1"/>
  <c r="BY214" i="1" s="1"/>
  <c r="BY71" i="1"/>
  <c r="BY85" i="1"/>
  <c r="BL212" i="1"/>
  <c r="BL214" i="1" s="1"/>
  <c r="BL85" i="1"/>
  <c r="BL71" i="1"/>
  <c r="CX202" i="1"/>
  <c r="CX199" i="1"/>
  <c r="CX198" i="1"/>
  <c r="CY143" i="1"/>
  <c r="AB145" i="1"/>
  <c r="AB155" i="1"/>
  <c r="AB154" i="1"/>
  <c r="AB146" i="1"/>
  <c r="AB141" i="1"/>
  <c r="AB170" i="1"/>
  <c r="AB162" i="1"/>
  <c r="AB137" i="1"/>
  <c r="CX159" i="1" l="1"/>
  <c r="CW221" i="1"/>
  <c r="CW19" i="1"/>
  <c r="CV20" i="1"/>
  <c r="CU35" i="1"/>
  <c r="CU22" i="1"/>
  <c r="CU47" i="1" s="1"/>
  <c r="CT45" i="1"/>
  <c r="CF253" i="1"/>
  <c r="CF62" i="1"/>
  <c r="CF61" i="1"/>
  <c r="CF264" i="1" s="1"/>
  <c r="CF67" i="1"/>
  <c r="CF71" i="1" s="1"/>
  <c r="CJ62" i="1"/>
  <c r="CG63" i="1"/>
  <c r="CI246" i="1"/>
  <c r="DA18" i="1"/>
  <c r="DA27" i="1" s="1"/>
  <c r="CW203" i="1"/>
  <c r="CV204" i="1"/>
  <c r="CU201" i="1"/>
  <c r="CU205" i="1" s="1"/>
  <c r="CV200" i="1"/>
  <c r="CX144" i="1"/>
  <c r="CW147" i="1"/>
  <c r="CW268" i="1" s="1"/>
  <c r="CV225" i="1"/>
  <c r="CD88" i="1"/>
  <c r="CD105" i="1" s="1"/>
  <c r="BZ61" i="1"/>
  <c r="BZ264" i="1" s="1"/>
  <c r="BZ63" i="1"/>
  <c r="CC246" i="1"/>
  <c r="BZ67" i="1"/>
  <c r="CC73" i="1" s="1"/>
  <c r="BZ253" i="1"/>
  <c r="CD62" i="1"/>
  <c r="CA63" i="1"/>
  <c r="CG267" i="1"/>
  <c r="CH228" i="1"/>
  <c r="CH229" i="1" s="1"/>
  <c r="CH230" i="1" s="1"/>
  <c r="CG263" i="1"/>
  <c r="CG265" i="1"/>
  <c r="CG184" i="1"/>
  <c r="CG185" i="1" s="1"/>
  <c r="CG187" i="1"/>
  <c r="CC111" i="1"/>
  <c r="CC148" i="1"/>
  <c r="CC74" i="1" s="1"/>
  <c r="CC226" i="1"/>
  <c r="CC224" i="1" s="1"/>
  <c r="CD226" i="1"/>
  <c r="CD224" i="1" s="1"/>
  <c r="CG246" i="1"/>
  <c r="CI62" i="1"/>
  <c r="CH246" i="1"/>
  <c r="CE63" i="1"/>
  <c r="CE61" i="1"/>
  <c r="CE264" i="1" s="1"/>
  <c r="CE62" i="1"/>
  <c r="CF63" i="1"/>
  <c r="CE67" i="1"/>
  <c r="CF246" i="1"/>
  <c r="CE246" i="1"/>
  <c r="Z80" i="1"/>
  <c r="CE253" i="1"/>
  <c r="CY199" i="1"/>
  <c r="CZ143" i="1"/>
  <c r="CY198" i="1"/>
  <c r="CY202" i="1"/>
  <c r="AC155" i="1"/>
  <c r="AC145" i="1"/>
  <c r="AB183" i="1"/>
  <c r="AC141" i="1"/>
  <c r="AC170" i="1"/>
  <c r="AB166" i="1"/>
  <c r="AB173" i="1"/>
  <c r="AC162" i="1"/>
  <c r="AC146" i="1"/>
  <c r="AB174" i="1"/>
  <c r="AC137" i="1"/>
  <c r="AC154" i="1"/>
  <c r="CY159" i="1" l="1"/>
  <c r="CY221" i="1" s="1"/>
  <c r="CX221" i="1"/>
  <c r="CF212" i="1"/>
  <c r="CF214" i="1" s="1"/>
  <c r="CF218" i="1" s="1"/>
  <c r="CF232" i="1" s="1"/>
  <c r="CF85" i="1"/>
  <c r="CI88" i="1" s="1"/>
  <c r="CI73" i="1"/>
  <c r="CX19" i="1"/>
  <c r="CW20" i="1"/>
  <c r="CV22" i="1"/>
  <c r="CV47" i="1" s="1"/>
  <c r="CV35" i="1"/>
  <c r="CU45" i="1"/>
  <c r="DB18" i="1"/>
  <c r="DB27" i="1" s="1"/>
  <c r="CW204" i="1"/>
  <c r="CX203" i="1"/>
  <c r="CV201" i="1"/>
  <c r="CV205" i="1" s="1"/>
  <c r="CW200" i="1"/>
  <c r="CY144" i="1"/>
  <c r="CX147" i="1"/>
  <c r="CX268" i="1" s="1"/>
  <c r="CW225" i="1"/>
  <c r="CD104" i="1"/>
  <c r="CD106" i="1"/>
  <c r="CB73" i="1"/>
  <c r="BZ85" i="1"/>
  <c r="BZ71" i="1"/>
  <c r="BZ212" i="1"/>
  <c r="BZ214" i="1" s="1"/>
  <c r="CH56" i="1"/>
  <c r="CG128" i="1"/>
  <c r="CE71" i="1"/>
  <c r="CE138" i="1"/>
  <c r="CE139" i="1" s="1"/>
  <c r="CE73" i="1" s="1"/>
  <c r="CE212" i="1"/>
  <c r="CE214" i="1" s="1"/>
  <c r="CE218" i="1" s="1"/>
  <c r="CE232" i="1" s="1"/>
  <c r="CE85" i="1"/>
  <c r="CF73" i="1"/>
  <c r="CG73" i="1"/>
  <c r="CH73" i="1"/>
  <c r="DA143" i="1"/>
  <c r="CZ202" i="1"/>
  <c r="CZ199" i="1"/>
  <c r="CZ198" i="1"/>
  <c r="AE155" i="1"/>
  <c r="AD155" i="1"/>
  <c r="AE145" i="1"/>
  <c r="AD145" i="1"/>
  <c r="AC183" i="1"/>
  <c r="AE170" i="1"/>
  <c r="AD170" i="1"/>
  <c r="AE162" i="1"/>
  <c r="AD162" i="1"/>
  <c r="AD137" i="1"/>
  <c r="AE137" i="1"/>
  <c r="AC173" i="1"/>
  <c r="AE146" i="1"/>
  <c r="AD146" i="1"/>
  <c r="AE154" i="1"/>
  <c r="AD154" i="1"/>
  <c r="AC174" i="1"/>
  <c r="AC166" i="1"/>
  <c r="AE141" i="1"/>
  <c r="AD141" i="1"/>
  <c r="CZ159" i="1" l="1"/>
  <c r="CZ221" i="1" s="1"/>
  <c r="CI106" i="1"/>
  <c r="CI104" i="1"/>
  <c r="CI105" i="1"/>
  <c r="CL109" i="1" s="1"/>
  <c r="CV45" i="1"/>
  <c r="CX20" i="1"/>
  <c r="CY19" i="1"/>
  <c r="CW22" i="1"/>
  <c r="CW47" i="1" s="1"/>
  <c r="CW35" i="1"/>
  <c r="CY203" i="1"/>
  <c r="CX204" i="1"/>
  <c r="CW201" i="1"/>
  <c r="CW205" i="1" s="1"/>
  <c r="CX200" i="1"/>
  <c r="CZ144" i="1"/>
  <c r="CY147" i="1"/>
  <c r="CX225" i="1"/>
  <c r="CC88" i="1"/>
  <c r="CB88" i="1"/>
  <c r="CG130" i="1"/>
  <c r="CG133" i="1" s="1"/>
  <c r="CG129" i="1"/>
  <c r="CG132" i="1" s="1"/>
  <c r="CF88" i="1"/>
  <c r="CH88" i="1"/>
  <c r="CL89" i="1" s="1"/>
  <c r="CG88" i="1"/>
  <c r="CK89" i="1" s="1"/>
  <c r="CE88" i="1"/>
  <c r="CE111" i="1"/>
  <c r="CF226" i="1"/>
  <c r="CF224" i="1" s="1"/>
  <c r="CE148" i="1"/>
  <c r="CE74" i="1" s="1"/>
  <c r="CE226" i="1"/>
  <c r="CE224" i="1" s="1"/>
  <c r="CE229" i="1" s="1"/>
  <c r="CE179" i="1" s="1"/>
  <c r="CE180" i="1" s="1"/>
  <c r="CE184" i="1" s="1"/>
  <c r="DA198" i="1"/>
  <c r="DA199" i="1"/>
  <c r="DA202" i="1"/>
  <c r="DB143" i="1"/>
  <c r="AE183" i="1"/>
  <c r="AD183" i="1"/>
  <c r="AE173" i="1"/>
  <c r="AD173" i="1"/>
  <c r="AE174" i="1"/>
  <c r="AD174" i="1"/>
  <c r="AE166" i="1"/>
  <c r="AD166" i="1"/>
  <c r="BY250" i="1"/>
  <c r="DA159" i="1" l="1"/>
  <c r="DB159" i="1" s="1"/>
  <c r="DB221" i="1" s="1"/>
  <c r="CW45" i="1"/>
  <c r="CX22" i="1"/>
  <c r="CX47" i="1" s="1"/>
  <c r="CX35" i="1"/>
  <c r="CZ19" i="1"/>
  <c r="CY20" i="1"/>
  <c r="CZ203" i="1"/>
  <c r="CY204" i="1"/>
  <c r="DA144" i="1"/>
  <c r="CZ147" i="1"/>
  <c r="CY268" i="1"/>
  <c r="CX201" i="1"/>
  <c r="CX205" i="1" s="1"/>
  <c r="CY200" i="1"/>
  <c r="CY225" i="1"/>
  <c r="CE113" i="1"/>
  <c r="CE114" i="1"/>
  <c r="CE115" i="1"/>
  <c r="CE263" i="1"/>
  <c r="CE104" i="1"/>
  <c r="CE105" i="1"/>
  <c r="CI89" i="1"/>
  <c r="CE106" i="1"/>
  <c r="CE267" i="1"/>
  <c r="CG89" i="1"/>
  <c r="CG104" i="1"/>
  <c r="CG106" i="1"/>
  <c r="CG105" i="1"/>
  <c r="CE187" i="1"/>
  <c r="CE128" i="1" s="1"/>
  <c r="CE130" i="1" s="1"/>
  <c r="CE133" i="1" s="1"/>
  <c r="CF228" i="1"/>
  <c r="CF229" i="1" s="1"/>
  <c r="CF230" i="1" s="1"/>
  <c r="CE265" i="1"/>
  <c r="CH89" i="1"/>
  <c r="CH105" i="1"/>
  <c r="CK109" i="1" s="1"/>
  <c r="CH104" i="1"/>
  <c r="CH106" i="1"/>
  <c r="CE230" i="1"/>
  <c r="CF89" i="1"/>
  <c r="CJ89" i="1"/>
  <c r="CF106" i="1"/>
  <c r="CF104" i="1"/>
  <c r="CF105" i="1"/>
  <c r="DB199" i="1"/>
  <c r="DB198" i="1"/>
  <c r="DB202" i="1"/>
  <c r="CE185" i="1"/>
  <c r="AB39" i="1"/>
  <c r="DA221" i="1" l="1"/>
  <c r="CX45" i="1"/>
  <c r="DA19" i="1"/>
  <c r="CZ20" i="1"/>
  <c r="CY35" i="1"/>
  <c r="CY22" i="1"/>
  <c r="CY47" i="1" s="1"/>
  <c r="DA203" i="1"/>
  <c r="CZ204" i="1"/>
  <c r="DA147" i="1"/>
  <c r="DB144" i="1"/>
  <c r="DB147" i="1" s="1"/>
  <c r="CZ268" i="1"/>
  <c r="CZ225" i="1"/>
  <c r="CY201" i="1"/>
  <c r="CY205" i="1" s="1"/>
  <c r="CZ200" i="1"/>
  <c r="CJ109" i="1"/>
  <c r="CH109" i="1"/>
  <c r="CF56" i="1"/>
  <c r="CI109" i="1"/>
  <c r="CG109" i="1"/>
  <c r="CE129" i="1"/>
  <c r="CE132" i="1" s="1"/>
  <c r="AC39" i="1"/>
  <c r="BY251" i="1"/>
  <c r="BY252" i="1" s="1"/>
  <c r="DB19" i="1" l="1"/>
  <c r="DB20" i="1" s="1"/>
  <c r="DA20" i="1"/>
  <c r="CZ35" i="1"/>
  <c r="CZ22" i="1"/>
  <c r="CZ47" i="1" s="1"/>
  <c r="CY45" i="1"/>
  <c r="DB203" i="1"/>
  <c r="DB204" i="1" s="1"/>
  <c r="DA204" i="1"/>
  <c r="DA225" i="1"/>
  <c r="DA268" i="1"/>
  <c r="DB225" i="1"/>
  <c r="DB268" i="1"/>
  <c r="CZ201" i="1"/>
  <c r="CZ205" i="1" s="1"/>
  <c r="DA200" i="1"/>
  <c r="AD39" i="1"/>
  <c r="BY253" i="1"/>
  <c r="DB35" i="1" l="1"/>
  <c r="DB22" i="1"/>
  <c r="DB47" i="1" s="1"/>
  <c r="DA35" i="1"/>
  <c r="DA22" i="1"/>
  <c r="DA47" i="1" s="1"/>
  <c r="CZ45" i="1"/>
  <c r="DA201" i="1"/>
  <c r="DA205" i="1" s="1"/>
  <c r="DB200" i="1"/>
  <c r="DB201" i="1" s="1"/>
  <c r="DB205" i="1" s="1"/>
  <c r="AE39" i="1"/>
  <c r="DB45" i="1" l="1"/>
  <c r="DA45" i="1"/>
  <c r="BI84" i="1"/>
  <c r="AT84" i="1"/>
  <c r="BT84" i="1"/>
  <c r="AV84" i="1"/>
  <c r="AX84" i="1"/>
  <c r="AR84" i="1"/>
  <c r="AO84" i="1" l="1"/>
  <c r="BK84" i="1"/>
  <c r="AN84" i="1"/>
  <c r="AW84" i="1"/>
  <c r="BB84" i="1"/>
  <c r="BM84" i="1"/>
  <c r="BQ84" i="1"/>
  <c r="AJ84" i="1"/>
  <c r="BS84" i="1"/>
  <c r="BR84" i="1"/>
  <c r="BO84" i="1"/>
  <c r="AM84" i="1"/>
  <c r="AI84" i="1"/>
  <c r="AP84" i="1"/>
  <c r="AZ84" i="1"/>
  <c r="AS84" i="1"/>
  <c r="BN84" i="1"/>
  <c r="BU84" i="1"/>
  <c r="BA84" i="1"/>
  <c r="BC84" i="1"/>
  <c r="AU84" i="1"/>
  <c r="BW84" i="1"/>
  <c r="BP84" i="1"/>
  <c r="BJ84" i="1"/>
  <c r="BH84" i="1"/>
  <c r="BX84" i="1"/>
  <c r="BG84" i="1"/>
  <c r="AQ84" i="1"/>
  <c r="AY84" i="1"/>
  <c r="AK84" i="1"/>
  <c r="BE84" i="1"/>
  <c r="BD84" i="1"/>
  <c r="BV84" i="1"/>
  <c r="BF84" i="1"/>
  <c r="BL250" i="1" l="1"/>
  <c r="AB159" i="1" l="1"/>
  <c r="CN96" i="1" l="1"/>
  <c r="AB221" i="1"/>
  <c r="CO96" i="1" l="1"/>
  <c r="CM82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X28" i="2"/>
  <c r="I16" i="2"/>
  <c r="L32" i="2"/>
  <c r="T24" i="2"/>
  <c r="K9" i="2"/>
  <c r="I22" i="2"/>
  <c r="K43" i="2"/>
  <c r="L14" i="2"/>
  <c r="AR64" i="3"/>
  <c r="G21" i="2"/>
  <c r="W22" i="2"/>
  <c r="AR73" i="3"/>
  <c r="V27" i="2"/>
  <c r="AR61" i="3"/>
  <c r="G11" i="3"/>
  <c r="AD15" i="3"/>
  <c r="F12" i="3"/>
  <c r="AR32" i="3"/>
  <c r="AR38" i="3"/>
  <c r="P45" i="3"/>
  <c r="D6" i="3"/>
  <c r="E29" i="3"/>
  <c r="F7" i="3"/>
  <c r="F26" i="3"/>
  <c r="AZ15" i="4" a="1"/>
  <c r="CI7" i="4" a="1"/>
  <c r="BF13" i="4" a="1"/>
  <c r="AV9" i="4" a="1"/>
  <c r="AN7" i="4" a="1"/>
  <c r="AS6" i="4" a="1"/>
  <c r="CZ12" i="4" a="1"/>
  <c r="BQ7" i="4" a="1"/>
  <c r="DV7" i="4" a="1"/>
  <c r="DP9" i="4" a="1"/>
  <c r="AZ7" i="4" a="1"/>
  <c r="EK5" i="4" a="1"/>
  <c r="CQ13" i="4" a="1"/>
  <c r="AK13" i="4" a="1"/>
  <c r="W5" i="4" a="1"/>
  <c r="BS7" i="4" a="1"/>
  <c r="CO9" i="4" a="1"/>
  <c r="DA7" i="4" a="1"/>
  <c r="BR5" i="4" a="1"/>
  <c r="CK14" i="4" a="1"/>
  <c r="J7" i="4" a="1"/>
  <c r="BZ9" i="4" a="1"/>
  <c r="CP14" i="4" a="1"/>
  <c r="BH14" i="4" a="1"/>
  <c r="EK8" i="4" a="1"/>
  <c r="DQ11" i="4" a="1"/>
  <c r="DG5" i="4" a="1"/>
  <c r="DP12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C8" i="2"/>
  <c r="Q30" i="2"/>
  <c r="S9" i="2"/>
  <c r="N26" i="2"/>
  <c r="X18" i="2"/>
  <c r="Q23" i="2"/>
  <c r="J20" i="2"/>
  <c r="J32" i="2"/>
  <c r="AR69" i="3"/>
  <c r="W70" i="2"/>
  <c r="M30" i="2"/>
  <c r="I11" i="2"/>
  <c r="E22" i="2"/>
  <c r="G7" i="3"/>
  <c r="F18" i="3"/>
  <c r="AA45" i="3"/>
  <c r="AN45" i="3"/>
  <c r="D23" i="3"/>
  <c r="G9" i="3"/>
  <c r="E38" i="3"/>
  <c r="G24" i="3"/>
  <c r="F23" i="3"/>
  <c r="AD6" i="3"/>
  <c r="D5" i="3"/>
  <c r="E16" i="4" a="1"/>
  <c r="CY6" i="4" a="1"/>
  <c r="BJ11" i="4" a="1"/>
  <c r="BJ12" i="4" a="1"/>
  <c r="AI16" i="4" a="1"/>
  <c r="DM6" i="4" a="1"/>
  <c r="DG8" i="4" a="1"/>
  <c r="BD6" i="4" a="1"/>
  <c r="K7" i="4" a="1"/>
  <c r="BW15" i="4" a="1"/>
  <c r="DH12" i="4" a="1"/>
  <c r="DE14" i="4" a="1"/>
  <c r="DN9" i="4" a="1"/>
  <c r="J5" i="4" a="1"/>
  <c r="BK6" i="4" a="1"/>
  <c r="DO12" i="4" a="1"/>
  <c r="V14" i="4" a="1"/>
  <c r="CO13" i="4" a="1"/>
  <c r="CV12" i="4" a="1"/>
  <c r="AG9" i="4" a="1"/>
  <c r="CX15" i="4" a="1"/>
  <c r="AX6" i="4" a="1"/>
  <c r="BQ9" i="4" a="1"/>
  <c r="CF14" i="4" a="1"/>
  <c r="EA13" i="4" a="1"/>
  <c r="DN12" i="4" a="1"/>
  <c r="EE11" i="4" a="1"/>
  <c r="CF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V34" i="2"/>
  <c r="I8" i="2"/>
  <c r="H6" i="2"/>
  <c r="V18" i="2"/>
  <c r="T19" i="2"/>
  <c r="X21" i="2"/>
  <c r="G9" i="2"/>
  <c r="M11" i="2"/>
  <c r="AS49" i="3"/>
  <c r="X36" i="2"/>
  <c r="S24" i="2"/>
  <c r="W19" i="2"/>
  <c r="D25" i="2"/>
  <c r="AR34" i="3"/>
  <c r="F20" i="3"/>
  <c r="AC46" i="3"/>
  <c r="E6" i="3"/>
  <c r="AR27" i="3"/>
  <c r="Z45" i="3"/>
  <c r="P46" i="3"/>
  <c r="AJ45" i="3"/>
  <c r="D20" i="3"/>
  <c r="U46" i="3"/>
  <c r="AR16" i="3"/>
  <c r="EJ14" i="4" a="1"/>
  <c r="DM5" i="4" a="1"/>
  <c r="J8" i="4" a="1"/>
  <c r="AO12" i="4" a="1"/>
  <c r="AI14" i="4" a="1"/>
  <c r="D8" i="4" a="1"/>
  <c r="AK8" i="4" a="1"/>
  <c r="C15" i="4" a="1"/>
  <c r="AB13" i="4" a="1"/>
  <c r="CF9" i="4" a="1"/>
  <c r="CB13" i="4" a="1"/>
  <c r="EK15" i="4" a="1"/>
  <c r="EG16" i="4" a="1"/>
  <c r="U16" i="4" a="1"/>
  <c r="CN8" i="4" a="1"/>
  <c r="DU8" i="4" a="1"/>
  <c r="I11" i="4" a="1"/>
  <c r="CZ15" i="4" a="1"/>
  <c r="CU6" i="4" a="1"/>
  <c r="P9" i="4" a="1"/>
  <c r="X15" i="4" a="1"/>
  <c r="CI13" i="4" a="1"/>
  <c r="BR13" i="4" a="1"/>
  <c r="O6" i="4" a="1"/>
  <c r="CM6" i="4" a="1"/>
  <c r="DR11" i="4" a="1"/>
  <c r="EJ7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O8" i="2"/>
  <c r="X8" i="2"/>
  <c r="S20" i="2"/>
  <c r="X20" i="2"/>
  <c r="N7" i="2"/>
  <c r="N6" i="2"/>
  <c r="H10" i="2"/>
  <c r="J17" i="2"/>
  <c r="AR49" i="3"/>
  <c r="D11" i="2"/>
  <c r="R7" i="2"/>
  <c r="P21" i="2"/>
  <c r="U9" i="2"/>
  <c r="AA46" i="3"/>
  <c r="AR12" i="3"/>
  <c r="D26" i="3"/>
  <c r="R46" i="3"/>
  <c r="K46" i="3"/>
  <c r="AQ45" i="3"/>
  <c r="E13" i="3"/>
  <c r="D38" i="3"/>
  <c r="E34" i="3"/>
  <c r="D31" i="3"/>
  <c r="AD11" i="3"/>
  <c r="AF7" i="4" a="1"/>
  <c r="DZ14" i="4" a="1"/>
  <c r="BL13" i="4" a="1"/>
  <c r="BX9" i="4" a="1"/>
  <c r="CM16" i="4" a="1"/>
  <c r="S11" i="4" a="1"/>
  <c r="BH5" i="4" a="1"/>
  <c r="L9" i="4" a="1"/>
  <c r="C9" i="4" a="1"/>
  <c r="CQ14" i="4" a="1"/>
  <c r="T7" i="4" a="1"/>
  <c r="DG15" i="4" a="1"/>
  <c r="AB11" i="4" a="1"/>
  <c r="R14" i="4" a="1"/>
  <c r="BL12" i="4" a="1"/>
  <c r="CJ5" i="4" a="1"/>
  <c r="DI8" i="4" a="1"/>
  <c r="P16" i="4" a="1"/>
  <c r="DE15" i="4" a="1"/>
  <c r="M14" i="4" a="1"/>
  <c r="BI5" i="4" a="1"/>
  <c r="AD5" i="4" a="1"/>
  <c r="DD9" i="4" a="1"/>
  <c r="BE7" i="4" a="1"/>
  <c r="BK12" i="4" a="1"/>
  <c r="AP16" i="4" a="1"/>
  <c r="G12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D16" i="2"/>
  <c r="I9" i="2"/>
  <c r="Q8" i="2"/>
  <c r="F7" i="2"/>
  <c r="F12" i="2"/>
  <c r="X31" i="2"/>
  <c r="C36" i="2"/>
  <c r="L25" i="2"/>
  <c r="AR76" i="3"/>
  <c r="N34" i="2"/>
  <c r="AR85" i="3"/>
  <c r="G12" i="2"/>
  <c r="S11" i="2"/>
  <c r="AQ6" i="3"/>
  <c r="AD10" i="3"/>
  <c r="X45" i="3"/>
  <c r="V45" i="3"/>
  <c r="AR15" i="3"/>
  <c r="G21" i="3"/>
  <c r="AC45" i="3"/>
  <c r="Z46" i="3"/>
  <c r="G30" i="3"/>
  <c r="D7" i="3"/>
  <c r="AR35" i="3"/>
  <c r="CX7" i="4" a="1"/>
  <c r="CI15" i="4" a="1"/>
  <c r="EJ5" i="4" a="1"/>
  <c r="EI16" i="4" a="1"/>
  <c r="CR13" i="4" a="1"/>
  <c r="DU7" i="4" a="1"/>
  <c r="BD15" i="4" a="1"/>
  <c r="AI7" i="4" a="1"/>
  <c r="CX14" i="4" a="1"/>
  <c r="CS14" i="4" a="1"/>
  <c r="EH16" i="4" a="1"/>
  <c r="EG5" i="4" a="1"/>
  <c r="AR11" i="4" a="1"/>
  <c r="DH8" i="4" a="1"/>
  <c r="P7" i="4" a="1"/>
  <c r="CS8" i="4" a="1"/>
  <c r="DC7" i="4" a="1"/>
  <c r="BH6" i="4" a="1"/>
  <c r="AV16" i="4" a="1"/>
  <c r="BI6" i="4" a="1"/>
  <c r="C8" i="4" a="1"/>
  <c r="DL13" i="4" a="1"/>
  <c r="CU9" i="4" a="1"/>
  <c r="BD5" i="4" a="1"/>
  <c r="DB16" i="4" a="1"/>
  <c r="BE6" i="4" a="1"/>
  <c r="BY15" i="4" a="1"/>
  <c r="AZ8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58" i="2"/>
  <c r="G33" i="2"/>
  <c r="H31" i="2"/>
  <c r="G27" i="2"/>
  <c r="M32" i="2"/>
  <c r="S8" i="2"/>
  <c r="I25" i="2"/>
  <c r="R17" i="2"/>
  <c r="T8" i="2"/>
  <c r="E5" i="2"/>
  <c r="AR54" i="3"/>
  <c r="I34" i="2"/>
  <c r="L27" i="2"/>
  <c r="J46" i="3"/>
  <c r="D24" i="3"/>
  <c r="E32" i="3"/>
  <c r="N45" i="3"/>
  <c r="C46" i="3"/>
  <c r="G18" i="3"/>
  <c r="G10" i="3"/>
  <c r="AR14" i="3"/>
  <c r="F15" i="3"/>
  <c r="AR23" i="3"/>
  <c r="F28" i="3"/>
  <c r="AB12" i="4" a="1"/>
  <c r="EC15" i="4" a="1"/>
  <c r="AG7" i="4" a="1"/>
  <c r="CF7" i="4" a="1"/>
  <c r="BE15" i="4" a="1"/>
  <c r="AC11" i="4" a="1"/>
  <c r="AD8" i="4" a="1"/>
  <c r="I14" i="4" a="1"/>
  <c r="CD5" i="4" a="1"/>
  <c r="EI14" i="4" a="1"/>
  <c r="S15" i="4" a="1"/>
  <c r="AH8" i="4" a="1"/>
  <c r="EA5" i="4" a="1"/>
  <c r="DG13" i="4" a="1"/>
  <c r="AC14" i="4" a="1"/>
  <c r="DY16" i="4" a="1"/>
  <c r="D13" i="4" a="1"/>
  <c r="AO5" i="4" a="1"/>
  <c r="DE12" i="4" a="1"/>
  <c r="BY5" i="4" a="1"/>
  <c r="BO12" i="4" a="1"/>
  <c r="AL5" i="4" a="1"/>
  <c r="C7" i="4" a="1"/>
  <c r="EC11" i="4" a="1"/>
  <c r="AU11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U12" i="2"/>
  <c r="G31" i="2"/>
  <c r="P28" i="2"/>
  <c r="O11" i="2"/>
  <c r="V22" i="2"/>
  <c r="D31" i="2"/>
  <c r="M7" i="2"/>
  <c r="T21" i="2"/>
  <c r="E7" i="2"/>
  <c r="Q57" i="2"/>
  <c r="AR80" i="3"/>
  <c r="H33" i="2"/>
  <c r="X12" i="2"/>
  <c r="X46" i="3"/>
  <c r="AR13" i="3"/>
  <c r="AR33" i="3"/>
  <c r="AR40" i="3"/>
  <c r="E42" i="3"/>
  <c r="AD46" i="3"/>
  <c r="D22" i="3"/>
  <c r="AO46" i="3"/>
  <c r="AR28" i="3"/>
  <c r="D35" i="3"/>
  <c r="F35" i="3"/>
  <c r="DO14" i="4" a="1"/>
  <c r="BU6" i="4" a="1"/>
  <c r="AK9" i="4" a="1"/>
  <c r="G16" i="2"/>
  <c r="K23" i="2"/>
  <c r="M27" i="2"/>
  <c r="X25" i="2"/>
  <c r="P24" i="2"/>
  <c r="W15" i="2"/>
  <c r="U26" i="2"/>
  <c r="N21" i="2"/>
  <c r="J5" i="2"/>
  <c r="J23" i="2"/>
  <c r="AR91" i="3"/>
  <c r="N20" i="2"/>
  <c r="J34" i="2"/>
  <c r="W45" i="3"/>
  <c r="E41" i="3"/>
  <c r="F33" i="3"/>
  <c r="E22" i="3"/>
  <c r="U45" i="3"/>
  <c r="O46" i="3"/>
  <c r="AD5" i="3"/>
  <c r="AR20" i="3"/>
  <c r="E45" i="3"/>
  <c r="AM45" i="3"/>
  <c r="AD9" i="4" a="1"/>
  <c r="AL12" i="4" a="1"/>
  <c r="Y5" i="4" a="1"/>
  <c r="CM12" i="4" a="1"/>
  <c r="BR12" i="4" a="1"/>
  <c r="E14" i="4" a="1"/>
  <c r="BV5" i="4" a="1"/>
  <c r="BS6" i="4" a="1"/>
  <c r="AJ14" i="4" a="1"/>
  <c r="EC7" i="4" a="1"/>
  <c r="CM8" i="4" a="1"/>
  <c r="AK14" i="4" a="1"/>
  <c r="K15" i="4" a="1"/>
  <c r="BA9" i="4" a="1"/>
  <c r="AE6" i="4" a="1"/>
  <c r="BT13" i="4" a="1"/>
  <c r="DZ16" i="4" a="1"/>
  <c r="R11" i="4" a="1"/>
  <c r="CJ9" i="4" a="1"/>
  <c r="AI13" i="4" a="1"/>
  <c r="AM5" i="4" a="1"/>
  <c r="DX6" i="4" a="1"/>
  <c r="AD7" i="4" a="1"/>
  <c r="DW6" i="4" a="1"/>
  <c r="DP11" i="4" a="1"/>
  <c r="CP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M18" i="2"/>
  <c r="F35" i="2"/>
  <c r="P8" i="2"/>
  <c r="E10" i="2"/>
  <c r="K59" i="2"/>
  <c r="E11" i="2"/>
  <c r="E6" i="2"/>
  <c r="M23" i="2"/>
  <c r="AR92" i="3"/>
  <c r="T25" i="2"/>
  <c r="D30" i="2"/>
  <c r="C33" i="2"/>
  <c r="AR66" i="3"/>
  <c r="E5" i="3"/>
  <c r="F19" i="3"/>
  <c r="AD18" i="3"/>
  <c r="G45" i="3"/>
  <c r="O45" i="3"/>
  <c r="G15" i="3"/>
  <c r="E31" i="3"/>
  <c r="F5" i="3"/>
  <c r="AD16" i="3"/>
  <c r="I45" i="3"/>
  <c r="CI14" i="4" a="1"/>
  <c r="BY8" i="4" a="1"/>
  <c r="Z8" i="4" a="1"/>
  <c r="BC9" i="4" a="1"/>
  <c r="J16" i="4" a="1"/>
  <c r="BI13" i="4" a="1"/>
  <c r="DT12" i="4" a="1"/>
  <c r="BZ15" i="4" a="1"/>
  <c r="AI11" i="4" a="1"/>
  <c r="Q12" i="4" a="1"/>
  <c r="DQ16" i="4" a="1"/>
  <c r="BG8" i="4" a="1"/>
  <c r="BZ5" i="4" a="1"/>
  <c r="BE12" i="4" a="1"/>
  <c r="BU8" i="4" a="1"/>
  <c r="AG15" i="4" a="1"/>
  <c r="V12" i="4" a="1"/>
  <c r="BP11" i="4" a="1"/>
  <c r="CD8" i="4" a="1"/>
  <c r="CC8" i="4" a="1"/>
  <c r="AY7" i="4" a="1"/>
  <c r="AK7" i="4" a="1"/>
  <c r="BI16" i="4" a="1"/>
  <c r="X8" i="4" a="1"/>
  <c r="AB9" i="4" a="1"/>
  <c r="EB8" i="4" a="1"/>
  <c r="T8" i="4" a="1"/>
  <c r="CS15" i="4" a="1"/>
  <c r="CQ8" i="4" a="1"/>
  <c r="CA9" i="4" a="1"/>
  <c r="S25" i="2"/>
  <c r="J15" i="2"/>
  <c r="S30" i="2"/>
  <c r="X27" i="2"/>
  <c r="T14" i="2"/>
  <c r="H15" i="2"/>
  <c r="U5" i="2"/>
  <c r="Q59" i="2"/>
  <c r="F26" i="2"/>
  <c r="R11" i="2"/>
  <c r="V19" i="2"/>
  <c r="H35" i="2"/>
  <c r="O14" i="2"/>
  <c r="S46" i="3"/>
  <c r="F25" i="3"/>
  <c r="D17" i="3"/>
  <c r="E23" i="3"/>
  <c r="E35" i="3"/>
  <c r="D8" i="3"/>
  <c r="AD12" i="3"/>
  <c r="AR18" i="3"/>
  <c r="AR29" i="3"/>
  <c r="J45" i="3"/>
  <c r="ED16" i="4" a="1"/>
  <c r="DL9" i="4" a="1"/>
  <c r="BK8" i="4" a="1"/>
  <c r="AI9" i="4" a="1"/>
  <c r="DG12" i="4" a="1"/>
  <c r="DL15" i="4" a="1"/>
  <c r="DK5" i="4" a="1"/>
  <c r="DF15" i="4" a="1"/>
  <c r="BL9" i="4" a="1"/>
  <c r="DF5" i="4" a="1"/>
  <c r="BB13" i="4" a="1"/>
  <c r="DI14" i="4" a="1"/>
  <c r="BA5" i="4" a="1"/>
  <c r="M7" i="4" a="1"/>
  <c r="X7" i="4" a="1"/>
  <c r="M5" i="4" a="1"/>
  <c r="AQ13" i="4" a="1"/>
  <c r="P14" i="4" a="1"/>
  <c r="CH7" i="4" a="1"/>
  <c r="CA8" i="4" a="1"/>
  <c r="X5" i="4" a="1"/>
  <c r="DQ9" i="4" a="1"/>
  <c r="F16" i="4" a="1"/>
  <c r="DL11" i="4" a="1"/>
  <c r="CN7" i="4" a="1"/>
  <c r="AH5" i="4" a="1"/>
  <c r="V5" i="4" a="1"/>
  <c r="EE12" i="4" a="1"/>
  <c r="EA15" i="4" a="1"/>
  <c r="BS16" i="4" a="1"/>
  <c r="AY12" i="4" a="1"/>
  <c r="P8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L12" i="2"/>
  <c r="J25" i="2"/>
  <c r="I29" i="2"/>
  <c r="L18" i="2"/>
  <c r="P35" i="2"/>
  <c r="C18" i="2"/>
  <c r="T6" i="2"/>
  <c r="Q36" i="2"/>
  <c r="U28" i="2"/>
  <c r="C23" i="2"/>
  <c r="N8" i="2"/>
  <c r="H5" i="2"/>
  <c r="E45" i="2"/>
  <c r="D13" i="3"/>
  <c r="AR21" i="3"/>
  <c r="D29" i="3"/>
  <c r="AH46" i="3"/>
  <c r="F6" i="3"/>
  <c r="F11" i="3"/>
  <c r="N46" i="3"/>
  <c r="E12" i="3"/>
  <c r="G20" i="3"/>
  <c r="G22" i="3"/>
  <c r="DO5" i="4" a="1"/>
  <c r="BF9" i="4" a="1"/>
  <c r="AK11" i="4" a="1"/>
  <c r="DH14" i="4" a="1"/>
  <c r="CB7" i="4" a="1"/>
  <c r="EG12" i="4" a="1"/>
  <c r="BF7" i="4" a="1"/>
  <c r="CG16" i="4" a="1"/>
  <c r="DP14" i="4" a="1"/>
  <c r="BC12" i="4" a="1"/>
  <c r="BK13" i="4" a="1"/>
  <c r="CG12" i="4" a="1"/>
  <c r="CA15" i="4" a="1"/>
  <c r="ED14" i="4" a="1"/>
  <c r="CX6" i="4" a="1"/>
  <c r="AE16" i="4" a="1"/>
  <c r="AO11" i="4" a="1"/>
  <c r="CV6" i="4" a="1"/>
  <c r="CN14" i="4" a="1"/>
  <c r="BE8" i="4" a="1"/>
  <c r="AC12" i="4" a="1"/>
  <c r="W13" i="4" a="1"/>
  <c r="DD13" i="4" a="1"/>
  <c r="BL8" i="4" a="1"/>
  <c r="CM13" i="4" a="1"/>
  <c r="BO5" i="4" a="1"/>
  <c r="DK13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W21" i="2"/>
  <c r="N15" i="2"/>
  <c r="CY15" i="4" a="1"/>
  <c r="CN11" i="4" a="1"/>
  <c r="DF7" i="4" a="1"/>
  <c r="CB9" i="4" a="1"/>
  <c r="DF11" i="4" a="1"/>
  <c r="EJ16" i="4" a="1"/>
  <c r="BH7" i="4" a="1"/>
  <c r="AT6" i="4" a="1"/>
  <c r="AA16" i="4" a="1"/>
  <c r="CI16" i="4" a="1"/>
  <c r="F9" i="4" a="1"/>
  <c r="DB12" i="4" a="1"/>
  <c r="BP15" i="4" a="1"/>
  <c r="DO8" i="4" a="1"/>
  <c r="DH13" i="4" a="1"/>
  <c r="V9" i="4" a="1"/>
  <c r="CG6" i="4" a="1"/>
  <c r="AE9" i="4" a="1"/>
  <c r="CQ7" i="4" a="1"/>
  <c r="AT13" i="4" a="1"/>
  <c r="DK6" i="4" a="1"/>
  <c r="P12" i="4" a="1"/>
  <c r="DT14" i="4" a="1"/>
  <c r="CC5" i="4" a="1"/>
  <c r="CJ6" i="4" a="1"/>
  <c r="DX16" i="4" a="1"/>
  <c r="CX8" i="4" a="1"/>
  <c r="L14" i="4" a="1"/>
  <c r="AD15" i="4" a="1"/>
  <c r="EK7" i="4" a="1"/>
  <c r="BM12" i="4" a="1"/>
  <c r="BG13" i="4" a="1"/>
  <c r="BX7" i="4" a="1"/>
  <c r="BR9" i="4" a="1"/>
  <c r="AZ11" i="4" a="1"/>
  <c r="CK7" i="4" a="1"/>
  <c r="AY15" i="4" a="1"/>
  <c r="CY5" i="4" a="1"/>
  <c r="DY12" i="4" a="1"/>
  <c r="BA8" i="4" a="1"/>
  <c r="L15" i="4" a="1"/>
  <c r="BP6" i="4" a="1"/>
  <c r="S16" i="4" a="1"/>
  <c r="EK6" i="4" a="1"/>
  <c r="CG13" i="4" a="1"/>
  <c r="CV8" i="4" a="1"/>
  <c r="AQ11" i="4" a="1"/>
  <c r="CZ6" i="4" a="1"/>
  <c r="AD14" i="4" a="1"/>
  <c r="EG13" i="4" a="1"/>
  <c r="CQ16" i="4" a="1"/>
  <c r="DL8" i="4" a="1"/>
  <c r="S6" i="4" a="1"/>
  <c r="AV13" i="4" a="1"/>
  <c r="U13" i="4" a="1"/>
  <c r="DW12" i="4" a="1"/>
  <c r="AX5" i="4" a="1"/>
  <c r="DK8" i="4" a="1"/>
  <c r="AG13" i="4" a="1"/>
  <c r="AM8" i="4" a="1"/>
  <c r="CT16" i="4" a="1"/>
  <c r="AF14" i="4" a="1"/>
  <c r="AO8" i="4" a="1"/>
  <c r="BS8" i="4" a="1"/>
  <c r="DC6" i="4" a="1"/>
  <c r="DE7" i="4" a="1"/>
  <c r="AC8" i="4" a="1"/>
  <c r="BO6" i="4" a="1"/>
  <c r="EB9" i="4" a="1"/>
  <c r="BK7" i="4" a="1"/>
  <c r="DT15" i="4" a="1"/>
  <c r="EB13" i="4" a="1"/>
  <c r="K11" i="4" a="1"/>
  <c r="AL11" i="4" a="1"/>
  <c r="O13" i="4" a="1"/>
  <c r="BF5" i="4" a="1"/>
  <c r="CE14" i="4" a="1"/>
  <c r="G13" i="4" a="1"/>
  <c r="DN13" i="4" a="1"/>
  <c r="CS9" i="4" a="1"/>
  <c r="AQ15" i="4" a="1"/>
  <c r="CN15" i="4" a="1"/>
  <c r="DP8" i="4" a="1"/>
  <c r="EI5" i="4" a="1"/>
  <c r="DO11" i="4" a="1"/>
  <c r="BR15" i="4" a="1"/>
  <c r="EB11" i="4" a="1"/>
  <c r="BV6" i="4" a="1"/>
  <c r="DK15" i="4" a="1"/>
  <c r="DN5" i="4" a="1"/>
  <c r="EA12" i="4" a="1"/>
  <c r="AB8" i="4" a="1"/>
  <c r="CI6" i="4" a="1"/>
  <c r="BQ12" i="4" a="1"/>
  <c r="DA15" i="4" a="1"/>
  <c r="BG9" i="4" a="1"/>
  <c r="AL16" i="4" a="1"/>
  <c r="DW8" i="4" a="1"/>
  <c r="CM5" i="4" a="1"/>
  <c r="AT7" i="4" a="1"/>
  <c r="AS12" i="4" a="1"/>
  <c r="T30" i="2"/>
  <c r="F22" i="3"/>
  <c r="BM8" i="4" a="1"/>
  <c r="AF16" i="4" a="1"/>
  <c r="DQ13" i="4" a="1"/>
  <c r="CW7" i="4" a="1"/>
  <c r="DG16" i="4" a="1"/>
  <c r="DP15" i="4" a="1"/>
  <c r="I5" i="4" a="1"/>
  <c r="CJ8" i="4" a="1"/>
  <c r="DE8" i="4" a="1"/>
  <c r="CB14" i="4" a="1"/>
  <c r="BP12" i="4" a="1"/>
  <c r="DM11" i="4" a="1"/>
  <c r="BA15" i="4" a="1"/>
  <c r="AI15" i="4" a="1"/>
  <c r="T15" i="4" a="1"/>
  <c r="BM6" i="4" a="1"/>
  <c r="BZ6" i="4" a="1"/>
  <c r="J13" i="4" a="1"/>
  <c r="AB14" i="4" a="1"/>
  <c r="EB15" i="4" a="1"/>
  <c r="Q8" i="4" a="1"/>
  <c r="BB12" i="4" a="1"/>
  <c r="DX15" i="4" a="1"/>
  <c r="S9" i="4" a="1"/>
  <c r="AA14" i="4" a="1"/>
  <c r="AR7" i="4" a="1"/>
  <c r="CG9" i="4" a="1"/>
  <c r="V7" i="4" a="1"/>
  <c r="CZ11" i="4" a="1"/>
  <c r="DH9" i="4" a="1"/>
  <c r="AZ16" i="4" a="1"/>
  <c r="P13" i="4" a="1"/>
  <c r="ED8" i="4" a="1"/>
  <c r="AU9" i="4" a="1"/>
  <c r="CP16" i="4" a="1"/>
  <c r="EH15" i="4" a="1"/>
  <c r="BS5" i="4" a="1"/>
  <c r="AF5" i="4" a="1"/>
  <c r="AU6" i="4" a="1"/>
  <c r="AE5" i="4" a="1"/>
  <c r="AH11" i="4" a="1"/>
  <c r="BQ14" i="4" a="1"/>
  <c r="EJ15" i="4" a="1"/>
  <c r="DI12" i="4" a="1"/>
  <c r="EI13" i="4" a="1"/>
  <c r="BW14" i="4" a="1"/>
  <c r="AT12" i="4" a="1"/>
  <c r="CZ14" i="4" a="1"/>
  <c r="AO15" i="4" a="1"/>
  <c r="BS9" i="4" a="1"/>
  <c r="BO11" i="4" a="1"/>
  <c r="DN11" i="4" a="1"/>
  <c r="AI12" i="4" a="1"/>
  <c r="CG15" i="4" a="1"/>
  <c r="BN14" i="4" a="1"/>
  <c r="DE9" i="4" a="1"/>
  <c r="N8" i="4" a="1"/>
  <c r="BV12" i="4" a="1"/>
  <c r="H13" i="4" a="1"/>
  <c r="BD7" i="4" a="1"/>
  <c r="AC7" i="4" a="1"/>
  <c r="BK16" i="4" a="1"/>
  <c r="BU5" i="4" a="1"/>
  <c r="AW6" i="4" a="1"/>
  <c r="Q16" i="4" a="1"/>
  <c r="EI15" i="4" a="1"/>
  <c r="CN5" i="4" a="1"/>
  <c r="AQ7" i="4" a="1"/>
  <c r="BB5" i="4" a="1"/>
  <c r="CA5" i="4" a="1"/>
  <c r="EC5" i="4" a="1"/>
  <c r="Y14" i="4" a="1"/>
  <c r="CC7" i="4" a="1"/>
  <c r="CW6" i="4" a="1"/>
  <c r="BF16" i="4" a="1"/>
  <c r="BN5" i="4" a="1"/>
  <c r="BI11" i="4" a="1"/>
  <c r="CJ15" i="4" a="1"/>
  <c r="DV13" i="4" a="1"/>
  <c r="BU16" i="4" a="1"/>
  <c r="EB14" i="4" a="1"/>
  <c r="DH11" i="4" a="1"/>
  <c r="CK12" i="4" a="1"/>
  <c r="Q9" i="4" a="1"/>
  <c r="X12" i="4" a="1"/>
  <c r="BE16" i="4" a="1"/>
  <c r="CX11" i="4" a="1"/>
  <c r="Y13" i="4" a="1"/>
  <c r="EK13" i="4" a="1"/>
  <c r="BW5" i="4" a="1"/>
  <c r="W14" i="4" a="1"/>
  <c r="DP13" i="4" a="1"/>
  <c r="CJ16" i="4" a="1"/>
  <c r="CU13" i="4" a="1"/>
  <c r="CW8" i="4" a="1"/>
  <c r="BK14" i="4" a="1"/>
  <c r="DT8" i="4" a="1"/>
  <c r="DD16" i="4" a="1"/>
  <c r="DS11" i="4" a="1"/>
  <c r="P6" i="2"/>
  <c r="G5" i="3"/>
  <c r="CZ16" i="4" a="1"/>
  <c r="CQ6" i="4" a="1"/>
  <c r="CV9" i="4" a="1"/>
  <c r="CU8" i="4" a="1"/>
  <c r="Q5" i="4" a="1"/>
  <c r="W8" i="4" a="1"/>
  <c r="AK12" i="4" a="1"/>
  <c r="AR8" i="4" a="1"/>
  <c r="AB15" i="4" a="1"/>
  <c r="DW14" i="4" a="1"/>
  <c r="CD9" i="4" a="1"/>
  <c r="DF14" i="4" a="1"/>
  <c r="M16" i="4" a="1"/>
  <c r="EA6" i="4" a="1"/>
  <c r="AH9" i="4" a="1"/>
  <c r="DA12" i="4" a="1"/>
  <c r="CO5" i="4" a="1"/>
  <c r="BB9" i="4" a="1"/>
  <c r="CW13" i="4" a="1"/>
  <c r="CO16" i="4" a="1"/>
  <c r="CL15" i="4" a="1"/>
  <c r="U15" i="4" a="1"/>
  <c r="P11" i="4" a="1"/>
  <c r="CS13" i="4" a="1"/>
  <c r="DC5" i="4" a="1"/>
  <c r="AW9" i="4" a="1"/>
  <c r="H16" i="4" a="1"/>
  <c r="AI6" i="4" a="1"/>
  <c r="Z6" i="4" a="1"/>
  <c r="CK8" i="4" a="1"/>
  <c r="DH7" i="4" a="1"/>
  <c r="DY7" i="4" a="1"/>
  <c r="EI11" i="4" a="1"/>
  <c r="AL9" i="4" a="1"/>
  <c r="BO7" i="4" a="1"/>
  <c r="S8" i="4" a="1"/>
  <c r="BW8" i="4" a="1"/>
  <c r="CZ7" i="4" a="1"/>
  <c r="CF5" i="4" a="1"/>
  <c r="DS15" i="4" a="1"/>
  <c r="EF12" i="4" a="1"/>
  <c r="CO8" i="4" a="1"/>
  <c r="CL14" i="4" a="1"/>
  <c r="DB5" i="4" a="1"/>
  <c r="BI12" i="4" a="1"/>
  <c r="Q6" i="4" a="1"/>
  <c r="BW9" i="4" a="1"/>
  <c r="EJ9" i="4" a="1"/>
  <c r="AJ15" i="4" a="1"/>
  <c r="DG9" i="4" a="1"/>
  <c r="BL11" i="4" a="1"/>
  <c r="CU14" i="4" a="1"/>
  <c r="C11" i="4" a="1"/>
  <c r="M11" i="4" a="1"/>
  <c r="EK9" i="4" a="1"/>
  <c r="BN12" i="4" a="1"/>
  <c r="EF16" i="4" a="1"/>
  <c r="DU14" i="4" a="1"/>
  <c r="DW9" i="4" a="1"/>
  <c r="E7" i="4" a="1"/>
  <c r="EK11" i="4" a="1"/>
  <c r="BF8" i="4" a="1"/>
  <c r="DD8" i="4" a="1"/>
  <c r="BT12" i="4" a="1"/>
  <c r="AQ14" i="4" a="1"/>
  <c r="O5" i="4" a="1"/>
  <c r="CV16" i="4" a="1"/>
  <c r="O15" i="4" a="1"/>
  <c r="Y15" i="4" a="1"/>
  <c r="DV9" i="4" a="1"/>
  <c r="CA14" i="4" a="1"/>
  <c r="G16" i="4" a="1"/>
  <c r="DZ5" i="4" a="1"/>
  <c r="BT11" i="4" a="1"/>
  <c r="BC11" i="4" a="1"/>
  <c r="CO12" i="4" a="1"/>
  <c r="EH14" i="4" a="1"/>
  <c r="DY15" i="4" a="1"/>
  <c r="DA6" i="4" a="1"/>
  <c r="K18" i="2"/>
  <c r="EC13" i="4" a="1"/>
  <c r="E15" i="4" a="1"/>
  <c r="DM7" i="4" a="1"/>
  <c r="E11" i="4" a="1"/>
  <c r="AJ6" i="4" a="1"/>
  <c r="W26" i="2"/>
  <c r="AD13" i="3"/>
  <c r="J9" i="4" a="1"/>
  <c r="CN16" i="4" a="1"/>
  <c r="BH12" i="4" a="1"/>
  <c r="DP16" i="4" a="1"/>
  <c r="DU5" i="4" a="1"/>
  <c r="BX5" i="4" a="1"/>
  <c r="DG14" i="4" a="1"/>
  <c r="AB5" i="4" a="1"/>
  <c r="AA13" i="4" a="1"/>
  <c r="CB12" i="4" a="1"/>
  <c r="EB5" i="4" a="1"/>
  <c r="CV14" i="4" a="1"/>
  <c r="CQ15" i="4" a="1"/>
  <c r="DT13" i="4" a="1"/>
  <c r="DF9" i="4" a="1"/>
  <c r="K8" i="4" a="1"/>
  <c r="BD13" i="4" a="1"/>
  <c r="T14" i="4" a="1"/>
  <c r="CE15" i="4" a="1"/>
  <c r="AL14" i="4" a="1"/>
  <c r="DA5" i="4" a="1"/>
  <c r="BL6" i="4" a="1"/>
  <c r="DV14" i="4" a="1"/>
  <c r="Z14" i="4" a="1"/>
  <c r="EH12" i="4" a="1"/>
  <c r="BH11" i="4" a="1"/>
  <c r="BQ5" i="4" a="1"/>
  <c r="BX14" i="4" a="1"/>
  <c r="S14" i="4" a="1"/>
  <c r="BL15" i="4" a="1"/>
  <c r="DZ15" i="4" a="1"/>
  <c r="CC9" i="4" a="1"/>
  <c r="CY7" i="4" a="1"/>
  <c r="AF6" i="4" a="1"/>
  <c r="BY12" i="4" a="1"/>
  <c r="DY13" i="4" a="1"/>
  <c r="AQ6" i="4" a="1"/>
  <c r="T11" i="4" a="1"/>
  <c r="BU15" i="4" a="1"/>
  <c r="E30" i="3"/>
  <c r="W27" i="2"/>
  <c r="G14" i="3"/>
  <c r="DK7" i="4" a="1"/>
  <c r="CT14" i="4" a="1"/>
  <c r="DC12" i="4" a="1"/>
  <c r="AK6" i="4" a="1"/>
  <c r="Y6" i="4" a="1"/>
  <c r="BO13" i="4" a="1"/>
  <c r="CH6" i="4" a="1"/>
  <c r="BM16" i="4" a="1"/>
  <c r="I7" i="4" a="1"/>
  <c r="DB7" i="4" a="1"/>
  <c r="CE13" i="4" a="1"/>
  <c r="BG15" i="4" a="1"/>
  <c r="T9" i="4" a="1"/>
  <c r="CV13" i="4" a="1"/>
  <c r="E12" i="4" a="1"/>
  <c r="CD11" i="4" a="1"/>
  <c r="CT9" i="4" a="1"/>
  <c r="D16" i="4" a="1"/>
  <c r="H12" i="4" a="1"/>
  <c r="Z9" i="4" a="1"/>
  <c r="BG6" i="4" a="1"/>
  <c r="DT5" i="4" a="1"/>
  <c r="BA14" i="4" a="1"/>
  <c r="CX5" i="4" a="1"/>
  <c r="M13" i="4" a="1"/>
  <c r="R7" i="4" a="1"/>
  <c r="T5" i="4" a="1"/>
  <c r="EH6" i="4" a="1"/>
  <c r="DJ11" i="4" a="1"/>
  <c r="DV12" i="4" a="1"/>
  <c r="BH15" i="4" a="1"/>
  <c r="CL13" i="4" a="1"/>
  <c r="AC13" i="4" a="1"/>
  <c r="CP5" i="4" a="1"/>
  <c r="BH13" i="4" a="1"/>
  <c r="DE6" i="4" a="1"/>
  <c r="CZ13" i="4" a="1"/>
  <c r="EG11" i="4" a="1"/>
  <c r="H11" i="4" a="1"/>
  <c r="AH16" i="4" a="1"/>
  <c r="CL8" i="4" a="1"/>
  <c r="AN14" i="4" a="1"/>
  <c r="W16" i="4" a="1"/>
  <c r="DK11" i="4" a="1"/>
  <c r="AR15" i="4" a="1"/>
  <c r="EC16" i="4" a="1"/>
  <c r="CG11" i="4" a="1"/>
  <c r="CX9" i="4" a="1"/>
  <c r="AP8" i="4" a="1"/>
  <c r="EJ8" i="4" a="1"/>
  <c r="CU11" i="4" a="1"/>
  <c r="AG6" i="4" a="1"/>
  <c r="BM7" i="4" a="1"/>
  <c r="BA16" i="4" a="1"/>
  <c r="CW14" i="4" a="1"/>
  <c r="CJ11" i="4" a="1"/>
  <c r="AN15" i="4" a="1"/>
  <c r="CF11" i="4" a="1"/>
  <c r="C13" i="4" a="1"/>
  <c r="CO15" i="4" a="1"/>
  <c r="AS14" i="4" a="1"/>
  <c r="BM11" i="4" a="1"/>
  <c r="G15" i="4" a="1"/>
  <c r="V9" i="2"/>
  <c r="E37" i="3"/>
  <c r="D14" i="4" a="1"/>
  <c r="DM12" i="4" a="1"/>
  <c r="K14" i="4" a="1"/>
  <c r="BF12" i="4" a="1"/>
  <c r="AY6" i="4" a="1"/>
  <c r="BZ11" i="4" a="1"/>
  <c r="AU16" i="4" a="1"/>
  <c r="DM13" i="4" a="1"/>
  <c r="DK14" i="4" a="1"/>
  <c r="W6" i="4" a="1"/>
  <c r="BJ8" i="4" a="1"/>
  <c r="AG16" i="4" a="1"/>
  <c r="CD16" i="4" a="1"/>
  <c r="DS13" i="4" a="1"/>
  <c r="AT5" i="4" a="1"/>
  <c r="DC16" i="4" a="1"/>
  <c r="CQ12" i="4" a="1"/>
  <c r="DW13" i="4" a="1"/>
  <c r="AA7" i="4" a="1"/>
  <c r="DX14" i="4" a="1"/>
  <c r="DA9" i="4" a="1"/>
  <c r="CV15" i="4" a="1"/>
  <c r="O12" i="4" a="1"/>
  <c r="BL14" i="4" a="1"/>
  <c r="S5" i="4" a="1"/>
  <c r="DI15" i="4" a="1"/>
  <c r="T13" i="4" a="1"/>
  <c r="DN7" i="4" a="1"/>
  <c r="DJ5" i="4" a="1"/>
  <c r="DO13" i="4" a="1"/>
  <c r="EI8" i="4" a="1"/>
  <c r="DQ12" i="4" a="1"/>
  <c r="M15" i="4" a="1"/>
  <c r="AM12" i="4" a="1"/>
  <c r="CC12" i="4" a="1"/>
  <c r="CU12" i="4" a="1"/>
  <c r="DW11" i="4" a="1"/>
  <c r="DH16" i="4" a="1"/>
  <c r="E5" i="4" a="1"/>
  <c r="P15" i="4" a="1"/>
  <c r="DD14" i="4" a="1"/>
  <c r="AN6" i="4" a="1"/>
  <c r="CX13" i="4" a="1"/>
  <c r="DB15" i="4" a="1"/>
  <c r="AN16" i="4" a="1"/>
  <c r="AM9" i="4" a="1"/>
  <c r="BX11" i="4" a="1"/>
  <c r="EC6" i="4" a="1"/>
  <c r="K13" i="4" a="1"/>
  <c r="BI8" i="4" a="1"/>
  <c r="S13" i="4" a="1"/>
  <c r="DG6" i="4" a="1"/>
  <c r="Q11" i="4" a="1"/>
  <c r="CA13" i="4" a="1"/>
  <c r="DD15" i="4" a="1"/>
  <c r="CR14" i="4" a="1"/>
  <c r="AF8" i="4" a="1"/>
  <c r="BK9" i="4" a="1"/>
  <c r="EF6" i="4" a="1"/>
  <c r="CR7" i="4" a="1"/>
  <c r="BQ13" i="4" a="1"/>
  <c r="H7" i="4" a="1"/>
  <c r="DB11" i="4" a="1"/>
  <c r="L12" i="4" a="1"/>
  <c r="AA5" i="4" a="1"/>
  <c r="BF6" i="4" a="1"/>
  <c r="AW16" i="4" a="1"/>
  <c r="G5" i="4" a="1"/>
  <c r="DF8" i="4" a="1"/>
  <c r="CQ9" i="4" a="1"/>
  <c r="H9" i="4" a="1"/>
  <c r="BA13" i="4" a="1"/>
  <c r="DJ15" i="4" a="1"/>
  <c r="BE14" i="4" a="1"/>
  <c r="N16" i="4" a="1"/>
  <c r="DW16" i="4" a="1"/>
  <c r="T20" i="2"/>
  <c r="D27" i="3"/>
  <c r="DE11" i="4" a="1"/>
  <c r="DR5" i="4" a="1"/>
  <c r="AE7" i="4" a="1"/>
  <c r="AY9" i="4" a="1"/>
  <c r="D15" i="4" a="1"/>
  <c r="DQ5" i="4" a="1"/>
  <c r="DY14" i="4" a="1"/>
  <c r="AJ9" i="4" a="1"/>
  <c r="U11" i="4" a="1"/>
  <c r="EC9" i="4" a="1"/>
  <c r="AS5" i="4" a="1"/>
  <c r="EH7" i="4" a="1"/>
  <c r="AZ9" i="4" a="1"/>
  <c r="EK16" i="4" a="1"/>
  <c r="I8" i="4" a="1"/>
  <c r="E8" i="4" a="1"/>
  <c r="BZ7" i="4" a="1"/>
  <c r="AJ8" i="4" a="1"/>
  <c r="BL7" i="4" a="1"/>
  <c r="BT8" i="4" a="1"/>
  <c r="AD6" i="4" a="1"/>
  <c r="BD16" i="4" a="1"/>
  <c r="DQ6" i="4" a="1"/>
  <c r="E17" i="2"/>
  <c r="G23" i="3"/>
  <c r="CR8" i="4" a="1"/>
  <c r="BN16" i="4" a="1"/>
  <c r="BT9" i="4" a="1"/>
  <c r="ED9" i="4" a="1"/>
  <c r="DP5" i="4" a="1"/>
  <c r="AU7" i="4" a="1"/>
  <c r="BJ16" i="4" a="1"/>
  <c r="DI7" i="4" a="1"/>
  <c r="BX12" i="4" a="1"/>
  <c r="BU14" i="4" a="1"/>
  <c r="AR9" i="4" a="1"/>
  <c r="BW6" i="4" a="1"/>
  <c r="CR16" i="4" a="1"/>
  <c r="CN12" i="4" a="1"/>
  <c r="AZ13" i="4" a="1"/>
  <c r="BW13" i="4" a="1"/>
  <c r="G9" i="4" a="1"/>
  <c r="AA8" i="4" a="1"/>
  <c r="I9" i="4" a="1"/>
  <c r="DR8" i="4" a="1"/>
  <c r="EF11" i="4" a="1"/>
  <c r="W7" i="4" a="1"/>
  <c r="W9" i="4" a="1"/>
  <c r="AH6" i="4" a="1"/>
  <c r="CY12" i="4" a="1"/>
  <c r="BZ16" i="4" a="1"/>
  <c r="F14" i="4" a="1"/>
  <c r="V13" i="4" a="1"/>
  <c r="CJ7" i="4" a="1"/>
  <c r="DI9" i="4" a="1"/>
  <c r="CH11" i="4" a="1"/>
  <c r="DU13" i="4" a="1"/>
  <c r="CS11" i="4" a="1"/>
  <c r="CL7" i="4" a="1"/>
  <c r="AA15" i="4" a="1"/>
  <c r="CW12" i="4" a="1"/>
  <c r="H8" i="4" a="1"/>
  <c r="Q7" i="4" a="1"/>
  <c r="AG5" i="4" a="1"/>
  <c r="AT11" i="4" a="1"/>
  <c r="CU15" i="4" a="1"/>
  <c r="Z12" i="4" a="1"/>
  <c r="AO6" i="4" a="1"/>
  <c r="DE13" i="4" a="1"/>
  <c r="CI9" i="4" a="1"/>
  <c r="AJ11" i="4" a="1"/>
  <c r="CE12" i="4" a="1"/>
  <c r="EJ11" i="4" a="1"/>
  <c r="CO11" i="4" a="1"/>
  <c r="BT7" i="4" a="1"/>
  <c r="DO9" i="4" a="1"/>
  <c r="BP16" i="4" a="1"/>
  <c r="CP9" i="4" a="1"/>
  <c r="DS16" i="4" a="1"/>
  <c r="DV8" i="4" a="1"/>
  <c r="DR9" i="4" a="1"/>
  <c r="AW8" i="4" a="1"/>
  <c r="AX12" i="4" a="1"/>
  <c r="BU9" i="4" a="1"/>
  <c r="BB7" i="4" a="1"/>
  <c r="L8" i="4" a="1"/>
  <c r="CK16" i="4" a="1"/>
  <c r="DS14" i="4" a="1"/>
  <c r="R22" i="2"/>
  <c r="AR10" i="3"/>
  <c r="BO8" i="4" a="1"/>
  <c r="DM15" i="4" a="1"/>
  <c r="DG11" i="4" a="1"/>
  <c r="DF13" i="4" a="1"/>
  <c r="BV15" i="4" a="1"/>
  <c r="DC15" i="4" a="1"/>
  <c r="V6" i="4" a="1"/>
  <c r="DJ16" i="4" a="1"/>
  <c r="AJ13" i="4" a="1"/>
  <c r="AN9" i="4" a="1"/>
  <c r="E6" i="4" a="1"/>
  <c r="L7" i="4" a="1"/>
  <c r="CL11" i="4" a="1"/>
  <c r="CT13" i="4" a="1"/>
  <c r="EC12" i="4" a="1"/>
  <c r="BR14" i="4" a="1"/>
  <c r="CN13" i="4" a="1"/>
  <c r="ED7" i="4" a="1"/>
  <c r="AK16" i="4" a="1"/>
  <c r="BN8" i="4" a="1"/>
  <c r="EE8" i="4" a="1"/>
  <c r="M9" i="4" a="1"/>
  <c r="DL7" i="4" a="1"/>
  <c r="G8" i="4" a="1"/>
  <c r="CV11" i="4" a="1"/>
  <c r="EF9" i="4" a="1"/>
  <c r="CB8" i="4" a="1"/>
  <c r="AW11" i="4" a="1"/>
  <c r="BN13" i="4" a="1"/>
  <c r="BJ13" i="4" a="1"/>
  <c r="BR8" i="4" a="1"/>
  <c r="AG8" i="4" a="1"/>
  <c r="AX7" i="4" a="1"/>
  <c r="Q15" i="4" a="1"/>
  <c r="CR15" i="4" a="1"/>
  <c r="DJ13" i="4" a="1"/>
  <c r="O16" i="4" a="1"/>
  <c r="V8" i="2"/>
  <c r="E8" i="3"/>
  <c r="DR16" i="4" a="1"/>
  <c r="CY16" i="4" a="1"/>
  <c r="DQ8" i="4" a="1"/>
  <c r="BI7" i="4" a="1"/>
  <c r="CA12" i="4" a="1"/>
  <c r="DW15" i="4" a="1"/>
  <c r="CT15" i="4" a="1"/>
  <c r="DT16" i="4" a="1"/>
  <c r="AS9" i="4" a="1"/>
  <c r="BW7" i="4" a="1"/>
  <c r="F7" i="4" a="1"/>
  <c r="CR6" i="4" a="1"/>
  <c r="N7" i="4" a="1"/>
  <c r="AC5" i="4" a="1"/>
  <c r="DZ9" i="4" a="1"/>
  <c r="BE9" i="4" a="1"/>
  <c r="BQ16" i="4" a="1"/>
  <c r="CJ14" i="4" a="1"/>
  <c r="CY13" i="4" a="1"/>
  <c r="DU6" i="4" a="1"/>
  <c r="CW5" i="4" a="1"/>
  <c r="CX16" i="4" a="1"/>
  <c r="BY9" i="4" a="1"/>
  <c r="U7" i="4" a="1"/>
  <c r="DU9" i="4" a="1"/>
  <c r="R9" i="4" a="1"/>
  <c r="AO13" i="4" a="1"/>
  <c r="CU16" i="4" a="1"/>
  <c r="M8" i="4" a="1"/>
  <c r="DR15" i="4" a="1"/>
  <c r="AD13" i="4" a="1"/>
  <c r="ED15" i="4" a="1"/>
  <c r="F5" i="4" a="1"/>
  <c r="BA11" i="4" a="1"/>
  <c r="AR6" i="4" a="1"/>
  <c r="CB6" i="4" a="1"/>
  <c r="AU14" i="4" a="1"/>
  <c r="BR16" i="4" a="1"/>
  <c r="CU7" i="4" a="1"/>
  <c r="DS7" i="4" a="1"/>
  <c r="BX15" i="4" a="1"/>
  <c r="BD8" i="4" a="1"/>
  <c r="BY6" i="4" a="1"/>
  <c r="AF15" i="4" a="1"/>
  <c r="J6" i="4" a="1"/>
  <c r="K5" i="4" a="1"/>
  <c r="AS7" i="4" a="1"/>
  <c r="AE8" i="4" a="1"/>
  <c r="N5" i="4" a="1"/>
  <c r="DN16" i="4" a="1"/>
  <c r="DI6" i="4" a="1"/>
  <c r="ED12" i="4" a="1"/>
  <c r="Z11" i="4" a="1"/>
  <c r="DO7" i="4" a="1"/>
  <c r="CH9" i="4" a="1"/>
  <c r="D5" i="4" a="1"/>
  <c r="AH14" i="4" a="1"/>
  <c r="BQ6" i="4" a="1"/>
  <c r="R15" i="4" a="1"/>
  <c r="CW15" i="4" a="1"/>
  <c r="I6" i="4" a="1"/>
  <c r="Q54" i="2"/>
  <c r="DV16" i="4" a="1"/>
  <c r="DS12" i="4" a="1"/>
  <c r="AD11" i="4" a="1"/>
  <c r="Y8" i="4" a="1"/>
  <c r="EI6" i="4" a="1"/>
  <c r="AM6" i="4" a="1"/>
  <c r="EJ13" i="4" a="1"/>
  <c r="CK6" i="4" a="1"/>
  <c r="DW5" i="4" a="1"/>
  <c r="AL13" i="4" a="1"/>
  <c r="CM15" i="4" a="1"/>
  <c r="EA9" i="4" a="1"/>
  <c r="L11" i="4" a="1"/>
  <c r="CP15" i="4" a="1"/>
  <c r="U8" i="4" a="1"/>
  <c r="DB13" i="4" a="1"/>
  <c r="DN14" i="4" a="1"/>
  <c r="H5" i="4" a="1"/>
  <c r="DI5" i="4" a="1"/>
  <c r="CG5" i="4" a="1"/>
  <c r="CI5" i="4" a="1"/>
  <c r="AY14" i="4" a="1"/>
  <c r="DD5" i="4" a="1"/>
  <c r="CR12" i="4" a="1"/>
  <c r="AW15" i="4" a="1"/>
  <c r="CD13" i="4" a="1"/>
  <c r="CH16" i="4" a="1"/>
  <c r="EF8" i="4" a="1"/>
  <c r="DM14" i="4" a="1"/>
  <c r="EG8" i="4" a="1"/>
  <c r="EB12" i="4" a="1"/>
  <c r="AU8" i="4" a="1"/>
  <c r="CW16" i="4" a="1"/>
  <c r="R12" i="4" a="1"/>
  <c r="AM13" i="4" a="1"/>
  <c r="AR14" i="4" a="1"/>
  <c r="CE9" i="4" a="1"/>
  <c r="DV11" i="4" a="1"/>
  <c r="DI11" i="4" a="1"/>
  <c r="ED13" i="4" a="1"/>
  <c r="BL5" i="4" a="1"/>
  <c r="EI7" i="4" a="1"/>
  <c r="CB11" i="4" a="1"/>
  <c r="CP11" i="4" a="1"/>
  <c r="EE7" i="4" a="1"/>
  <c r="BF15" i="4" a="1"/>
  <c r="DR13" i="4" a="1"/>
  <c r="AM15" i="4" a="1"/>
  <c r="E87" i="3"/>
  <c r="D68" i="3"/>
  <c r="D95" i="3"/>
  <c r="F79" i="3"/>
  <c r="E55" i="3"/>
  <c r="D93" i="3"/>
  <c r="AD72" i="3"/>
  <c r="F89" i="3"/>
  <c r="F66" i="3"/>
  <c r="E84" i="3"/>
  <c r="E74" i="3"/>
  <c r="D66" i="3"/>
  <c r="AD79" i="3"/>
  <c r="E82" i="3"/>
  <c r="D88" i="3"/>
  <c r="E62" i="3"/>
  <c r="F94" i="3"/>
  <c r="D87" i="3"/>
  <c r="E76" i="3"/>
  <c r="F82" i="3"/>
  <c r="AD76" i="3"/>
  <c r="D73" i="3"/>
  <c r="AD56" i="3"/>
  <c r="AD73" i="3"/>
  <c r="F88" i="3"/>
  <c r="E61" i="3"/>
  <c r="D63" i="3"/>
  <c r="AD61" i="3"/>
  <c r="E56" i="3"/>
  <c r="D91" i="3"/>
  <c r="AD93" i="3"/>
  <c r="E65" i="3"/>
  <c r="D79" i="3"/>
  <c r="AD55" i="3"/>
  <c r="E78" i="3"/>
  <c r="D96" i="3"/>
  <c r="E75" i="3"/>
  <c r="E96" i="3"/>
  <c r="D78" i="3"/>
  <c r="E77" i="3"/>
  <c r="AD80" i="3"/>
  <c r="F58" i="3"/>
  <c r="AD70" i="3"/>
  <c r="AD54" i="3"/>
  <c r="F86" i="3"/>
  <c r="D75" i="3"/>
  <c r="D85" i="3"/>
  <c r="AD60" i="3"/>
  <c r="AD67" i="3"/>
  <c r="F83" i="3"/>
  <c r="E83" i="3"/>
  <c r="D84" i="3"/>
  <c r="AD87" i="3"/>
  <c r="D55" i="3"/>
  <c r="AD71" i="3"/>
  <c r="D62" i="3"/>
  <c r="D97" i="3"/>
  <c r="E91" i="3"/>
  <c r="E57" i="3"/>
  <c r="E81" i="3"/>
  <c r="D83" i="3"/>
  <c r="F74" i="3"/>
  <c r="E80" i="3"/>
  <c r="F77" i="3"/>
  <c r="AD66" i="3"/>
  <c r="F69" i="3"/>
  <c r="E69" i="3"/>
  <c r="D58" i="3"/>
  <c r="AD77" i="3"/>
  <c r="AD90" i="3"/>
  <c r="F62" i="3"/>
  <c r="E64" i="3"/>
  <c r="D77" i="3"/>
  <c r="AD65" i="3"/>
  <c r="E89" i="3"/>
  <c r="F59" i="3"/>
  <c r="D82" i="3"/>
  <c r="F55" i="3"/>
  <c r="F60" i="3"/>
  <c r="E97" i="3"/>
  <c r="AD95" i="3"/>
  <c r="D64" i="3"/>
  <c r="D59" i="3"/>
  <c r="F95" i="3"/>
  <c r="E66" i="3"/>
  <c r="AD91" i="3"/>
  <c r="E71" i="3"/>
  <c r="D57" i="3"/>
  <c r="AD86" i="3"/>
  <c r="E58" i="3"/>
  <c r="E86" i="3"/>
  <c r="D74" i="3"/>
  <c r="F81" i="3"/>
  <c r="E92" i="3"/>
  <c r="AD82" i="3"/>
  <c r="D71" i="3"/>
  <c r="D65" i="3"/>
  <c r="F63" i="3"/>
  <c r="E63" i="3"/>
  <c r="AD75" i="3"/>
  <c r="D90" i="3"/>
  <c r="AD69" i="3"/>
  <c r="E79" i="3"/>
  <c r="AD85" i="3"/>
  <c r="F92" i="3"/>
  <c r="E73" i="3"/>
  <c r="F73" i="3"/>
  <c r="D86" i="3"/>
  <c r="AD64" i="3"/>
  <c r="AD62" i="3"/>
  <c r="D67" i="3"/>
  <c r="AD78" i="3"/>
  <c r="E59" i="3"/>
  <c r="E94" i="3"/>
  <c r="AD83" i="3"/>
  <c r="F97" i="3"/>
  <c r="E72" i="3"/>
  <c r="AD74" i="3"/>
  <c r="F67" i="3"/>
  <c r="E93" i="3"/>
  <c r="F76" i="3"/>
  <c r="D70" i="3"/>
  <c r="AD89" i="3"/>
  <c r="F90" i="3"/>
  <c r="AD63" i="3"/>
  <c r="E60" i="3"/>
  <c r="AD57" i="3"/>
  <c r="F80" i="3"/>
  <c r="E68" i="3"/>
  <c r="F64" i="3"/>
  <c r="F56" i="3"/>
  <c r="F65" i="3"/>
  <c r="F70" i="3"/>
  <c r="E85" i="3"/>
  <c r="F57" i="3"/>
  <c r="D89" i="3"/>
  <c r="AD96" i="3"/>
  <c r="AD94" i="3"/>
  <c r="E95" i="3"/>
  <c r="F85" i="3"/>
  <c r="E67" i="3"/>
  <c r="F87" i="3"/>
  <c r="D61" i="3"/>
  <c r="AD59" i="3"/>
  <c r="F54" i="3"/>
  <c r="E88" i="3"/>
  <c r="F61" i="3"/>
  <c r="F78" i="3"/>
  <c r="D76" i="3"/>
  <c r="D94" i="3"/>
  <c r="AD81" i="3"/>
  <c r="D69" i="3"/>
  <c r="E70" i="3"/>
  <c r="F93" i="3"/>
  <c r="D56" i="3"/>
  <c r="F84" i="3"/>
  <c r="AD58" i="3"/>
  <c r="AD92" i="3"/>
  <c r="F48" i="3"/>
  <c r="D60" i="3"/>
  <c r="F72" i="3"/>
  <c r="AD88" i="3"/>
  <c r="E54" i="3"/>
  <c r="AD84" i="3"/>
  <c r="F96" i="3"/>
  <c r="F75" i="3"/>
  <c r="D80" i="3"/>
  <c r="D72" i="3"/>
  <c r="F47" i="3"/>
  <c r="D92" i="3"/>
  <c r="D81" i="3"/>
  <c r="F50" i="3"/>
  <c r="E90" i="3"/>
  <c r="F49" i="3"/>
  <c r="D54" i="3"/>
  <c r="F71" i="3"/>
  <c r="AD68" i="3"/>
  <c r="AD97" i="3"/>
  <c r="F91" i="3"/>
  <c r="G55" i="3" l="1"/>
  <c r="G54" i="3"/>
  <c r="G63" i="3"/>
  <c r="G88" i="3"/>
  <c r="G86" i="3"/>
  <c r="G81" i="3"/>
  <c r="G95" i="3"/>
  <c r="G87" i="3"/>
  <c r="G78" i="3"/>
  <c r="G82" i="3"/>
  <c r="G72" i="3"/>
  <c r="G71" i="3"/>
  <c r="G74" i="3"/>
  <c r="G58" i="3"/>
  <c r="G67" i="3"/>
  <c r="G83" i="3"/>
  <c r="G77" i="3"/>
  <c r="G56" i="3"/>
  <c r="G69" i="3"/>
  <c r="G96" i="3"/>
  <c r="G73" i="3"/>
  <c r="G70" i="3"/>
  <c r="G60" i="3"/>
  <c r="G79" i="3"/>
  <c r="G91" i="3"/>
  <c r="G94" i="3"/>
  <c r="G64" i="3"/>
  <c r="G76" i="3"/>
  <c r="G62" i="3"/>
  <c r="G66" i="3"/>
  <c r="G65" i="3"/>
  <c r="G97" i="3"/>
  <c r="G93" i="3"/>
  <c r="G92" i="3"/>
  <c r="G68" i="3"/>
  <c r="G89" i="3"/>
  <c r="G80" i="3"/>
  <c r="G61" i="3"/>
  <c r="G75" i="3"/>
  <c r="G59" i="3"/>
  <c r="G57" i="3"/>
  <c r="G85" i="3"/>
  <c r="G90" i="3"/>
  <c r="F68" i="3"/>
  <c r="G84" i="3"/>
  <c r="JD16" i="4" s="1"/>
  <c r="P172" i="1"/>
  <c r="IU16" i="4" s="1"/>
  <c r="HT9" i="4" s="1"/>
  <c r="IV16" i="4" s="1"/>
  <c r="IK16" i="4" s="1"/>
  <c r="IG9" i="4" s="1"/>
  <c r="IC9" i="4" s="1"/>
  <c r="HS16" i="4" s="1"/>
  <c r="IZ16" i="4" s="1"/>
  <c r="BX32" i="1"/>
  <c r="JC16" i="4" s="1"/>
  <c r="IQ9" i="4" s="1"/>
  <c r="IN16" i="4" s="1"/>
  <c r="HQ9" i="4" s="1"/>
  <c r="IT16" i="4" s="1"/>
  <c r="IL9" i="4" s="1"/>
  <c r="IJ16" i="4" s="1"/>
  <c r="AM54" i="1"/>
  <c r="D40" i="1"/>
  <c r="JI16" i="4" s="1"/>
  <c r="HZ9" i="4" s="1"/>
  <c r="IE9" i="4" s="1"/>
  <c r="II9" i="4" s="1"/>
  <c r="IA9" i="4" s="1"/>
  <c r="IW9" i="4" s="1"/>
  <c r="HY16" i="4" s="1"/>
  <c r="IV9" i="4" s="1"/>
  <c r="AM42" i="1"/>
  <c r="V51" i="1"/>
  <c r="V213" i="1" s="1"/>
  <c r="IO9" i="4" s="1"/>
  <c r="JB16" i="4" s="1"/>
  <c r="J44" i="1"/>
  <c r="JD9" i="4" s="1"/>
  <c r="JI9" i="4" s="1"/>
  <c r="IY9" i="4" s="1"/>
  <c r="IM9" i="4" s="1"/>
  <c r="IS16" i="4" s="1"/>
  <c r="IF9" i="4" s="1"/>
  <c r="O27" i="1"/>
  <c r="IX16" i="4" s="1"/>
  <c r="IG16" i="4" s="1"/>
  <c r="IG21" i="4" s="1"/>
  <c r="BA96" i="1" s="1"/>
  <c r="II16" i="4" s="1"/>
  <c r="II21" i="4" s="1"/>
  <c r="BC96" i="1" s="1"/>
  <c r="IY16" i="4" s="1"/>
  <c r="S58" i="1"/>
  <c r="JF9" i="4" s="1"/>
  <c r="M42" i="1"/>
  <c r="IE16" i="4" s="1"/>
  <c r="HQ7" i="4" s="1"/>
  <c r="IO16" i="4" s="1"/>
  <c r="IO21" i="4" s="1"/>
  <c r="BI96" i="1" s="1"/>
  <c r="AM28" i="1"/>
  <c r="AK33" i="1"/>
  <c r="AL34" i="1"/>
  <c r="AL27" i="1"/>
  <c r="AL250" i="1" s="1"/>
  <c r="AJ58" i="1"/>
  <c r="BX41" i="1"/>
  <c r="D141" i="1"/>
  <c r="B54" i="1"/>
  <c r="S27" i="1"/>
  <c r="B44" i="1"/>
  <c r="O70" i="1"/>
  <c r="K44" i="1"/>
  <c r="H66" i="1"/>
  <c r="I55" i="1"/>
  <c r="K34" i="1"/>
  <c r="HW9" i="4" s="1"/>
  <c r="IR16" i="4" s="1"/>
  <c r="HP16" i="4" s="1"/>
  <c r="BX58" i="1"/>
  <c r="BX44" i="1"/>
  <c r="BJ33" i="1"/>
  <c r="AK65" i="1"/>
  <c r="AK54" i="1"/>
  <c r="AJ40" i="1"/>
  <c r="AL55" i="1"/>
  <c r="N39" i="1"/>
  <c r="G70" i="1"/>
  <c r="U41" i="1"/>
  <c r="Q32" i="1"/>
  <c r="G42" i="1"/>
  <c r="S39" i="1"/>
  <c r="W51" i="1"/>
  <c r="W272" i="1" s="1"/>
  <c r="R58" i="1"/>
  <c r="I42" i="1"/>
  <c r="R55" i="1"/>
  <c r="HV8" i="4" s="1"/>
  <c r="BJ39" i="1"/>
  <c r="AM43" i="1"/>
  <c r="BJ44" i="1"/>
  <c r="BX170" i="1"/>
  <c r="BY170" i="1" s="1"/>
  <c r="B65" i="1"/>
  <c r="C58" i="1"/>
  <c r="S55" i="1"/>
  <c r="BX174" i="1"/>
  <c r="BY174" i="1" s="1"/>
  <c r="L54" i="1"/>
  <c r="D27" i="1"/>
  <c r="D32" i="1"/>
  <c r="E70" i="1"/>
  <c r="L44" i="1"/>
  <c r="HZ16" i="4" s="1"/>
  <c r="HZ21" i="4" s="1"/>
  <c r="AT96" i="1" s="1"/>
  <c r="JE7" i="4" s="1"/>
  <c r="HQ16" i="4" s="1"/>
  <c r="HQ21" i="4" s="1"/>
  <c r="AK96" i="1" s="1"/>
  <c r="HU9" i="4" s="1"/>
  <c r="HX9" i="4" s="1"/>
  <c r="BX28" i="1"/>
  <c r="BX173" i="1"/>
  <c r="BY173" i="1" s="1"/>
  <c r="I54" i="1"/>
  <c r="V42" i="1"/>
  <c r="W55" i="1"/>
  <c r="W271" i="1" s="1"/>
  <c r="L51" i="1"/>
  <c r="J54" i="1"/>
  <c r="AL65" i="1"/>
  <c r="AJ65" i="1"/>
  <c r="BX51" i="1"/>
  <c r="BX213" i="1" s="1"/>
  <c r="AK70" i="1"/>
  <c r="W34" i="1"/>
  <c r="G65" i="1"/>
  <c r="BX178" i="1"/>
  <c r="P174" i="1"/>
  <c r="D28" i="1"/>
  <c r="L28" i="1"/>
  <c r="N32" i="1"/>
  <c r="T34" i="1"/>
  <c r="IH8" i="4" s="1"/>
  <c r="HS9" i="4" s="1"/>
  <c r="IZ9" i="4" s="1"/>
  <c r="HR16" i="4" s="1"/>
  <c r="JH7" i="4" s="1"/>
  <c r="IL16" i="4" s="1"/>
  <c r="IJ14" i="4" s="1"/>
  <c r="IR9" i="4" s="1"/>
  <c r="JE16" i="4" s="1"/>
  <c r="AL51" i="1"/>
  <c r="AL213" i="1" s="1"/>
  <c r="BX54" i="1"/>
  <c r="AL43" i="1"/>
  <c r="BX42" i="1"/>
  <c r="AM32" i="1"/>
  <c r="AM44" i="1"/>
  <c r="K51" i="1"/>
  <c r="K213" i="1" s="1"/>
  <c r="Q40" i="1"/>
  <c r="H55" i="1"/>
  <c r="L64" i="1"/>
  <c r="F51" i="1"/>
  <c r="F65" i="1"/>
  <c r="IW16" i="4" s="1"/>
  <c r="IO15" i="4" s="1"/>
  <c r="JE9" i="4" s="1"/>
  <c r="JG9" i="4" s="1"/>
  <c r="JC9" i="4" s="1"/>
  <c r="HX7" i="4" s="1"/>
  <c r="IC16" i="4" s="1"/>
  <c r="IP7" i="4" s="1"/>
  <c r="JF14" i="4" s="1"/>
  <c r="IJ9" i="4" s="1"/>
  <c r="BX65" i="1"/>
  <c r="AM41" i="1"/>
  <c r="BX43" i="1"/>
  <c r="BJ32" i="1"/>
  <c r="R32" i="1"/>
  <c r="F34" i="1"/>
  <c r="BX166" i="1"/>
  <c r="BY166" i="1" s="1"/>
  <c r="K55" i="1"/>
  <c r="E34" i="1"/>
  <c r="E28" i="1"/>
  <c r="HV16" i="4" s="1"/>
  <c r="JF16" i="4" s="1"/>
  <c r="IH16" i="4" s="1"/>
  <c r="JC14" i="4" s="1"/>
  <c r="IB16" i="4" s="1"/>
  <c r="IX9" i="4" s="1"/>
  <c r="BJ34" i="1"/>
  <c r="AK64" i="1"/>
  <c r="AJ66" i="1"/>
  <c r="BX33" i="1"/>
  <c r="Q28" i="1"/>
  <c r="C32" i="1"/>
  <c r="BX92" i="1"/>
  <c r="I40" i="1"/>
  <c r="M27" i="1"/>
  <c r="M250" i="1" s="1"/>
  <c r="M28" i="1"/>
  <c r="JG16" i="4" s="1"/>
  <c r="JD8" i="4" s="1"/>
  <c r="HU16" i="4" s="1"/>
  <c r="IP9" i="4" s="1"/>
  <c r="BX39" i="1"/>
  <c r="AJ28" i="1"/>
  <c r="AK27" i="1"/>
  <c r="AK250" i="1" s="1"/>
  <c r="AL28" i="1"/>
  <c r="BX64" i="1"/>
  <c r="C55" i="1"/>
  <c r="V41" i="1"/>
  <c r="BY92" i="1"/>
  <c r="L32" i="1"/>
  <c r="S41" i="1"/>
  <c r="U44" i="1"/>
  <c r="G27" i="1"/>
  <c r="G250" i="1" s="1"/>
  <c r="JA16" i="4" s="1"/>
  <c r="IQ15" i="4" s="1"/>
  <c r="HX16" i="4" s="1"/>
  <c r="IK9" i="4" s="1"/>
  <c r="IV15" i="4" s="1"/>
  <c r="HY9" i="4" s="1"/>
  <c r="HY21" i="4" s="1"/>
  <c r="AS96" i="1" s="1"/>
  <c r="BJ27" i="1"/>
  <c r="BJ250" i="1" s="1"/>
  <c r="AL54" i="1"/>
  <c r="AJ54" i="1"/>
  <c r="AL44" i="1"/>
  <c r="H32" i="1"/>
  <c r="L58" i="1"/>
  <c r="BX151" i="1"/>
  <c r="I64" i="1"/>
  <c r="P54" i="1"/>
  <c r="W44" i="1"/>
  <c r="P58" i="1"/>
  <c r="IA16" i="4" s="1"/>
  <c r="IA14" i="4" s="1"/>
  <c r="JA9" i="4" s="1"/>
  <c r="IG7" i="4" s="1"/>
  <c r="IH9" i="4" s="1"/>
  <c r="JH9" i="4" s="1"/>
  <c r="IS14" i="4" s="1"/>
  <c r="HW7" i="4" s="1"/>
  <c r="ID15" i="4" s="1"/>
  <c r="IM16" i="4" s="1"/>
  <c r="JH15" i="4" s="1"/>
  <c r="HV9" i="4" s="1"/>
  <c r="HV21" i="4" s="1"/>
  <c r="AP96" i="1" s="1"/>
  <c r="IN9" i="4" s="1"/>
  <c r="IS9" i="4" s="1"/>
  <c r="IS21" i="4" s="1"/>
  <c r="BM96" i="1" s="1"/>
  <c r="JB9" i="4" s="1"/>
  <c r="ID9" i="4" s="1"/>
  <c r="AL66" i="1"/>
  <c r="AK58" i="1"/>
  <c r="AJ27" i="1"/>
  <c r="AJ250" i="1" s="1"/>
  <c r="AL33" i="1"/>
  <c r="BJ43" i="1"/>
  <c r="AM34" i="1"/>
  <c r="U51" i="1"/>
  <c r="BX168" i="1"/>
  <c r="BY168" i="1" s="1"/>
  <c r="K39" i="1"/>
  <c r="J138" i="1"/>
  <c r="K64" i="1"/>
  <c r="AJ43" i="1"/>
  <c r="AK28" i="1"/>
  <c r="AK66" i="1"/>
  <c r="AK55" i="1"/>
  <c r="B58" i="1"/>
  <c r="W66" i="1"/>
  <c r="BX183" i="1"/>
  <c r="BY183" i="1" s="1"/>
  <c r="S32" i="1"/>
  <c r="O55" i="1"/>
  <c r="B39" i="1"/>
  <c r="D54" i="1"/>
  <c r="K27" i="1"/>
  <c r="K250" i="1" s="1"/>
  <c r="F32" i="1"/>
  <c r="O64" i="1"/>
  <c r="G32" i="1"/>
  <c r="E41" i="1"/>
  <c r="C65" i="1"/>
  <c r="G51" i="1"/>
  <c r="G213" i="1" s="1"/>
  <c r="F55" i="1"/>
  <c r="T43" i="1"/>
  <c r="W151" i="1"/>
  <c r="R42" i="1"/>
  <c r="I28" i="1"/>
  <c r="M39" i="1"/>
  <c r="M70" i="1"/>
  <c r="V34" i="1"/>
  <c r="H41" i="1"/>
  <c r="J40" i="1"/>
  <c r="O54" i="1"/>
  <c r="T32" i="1"/>
  <c r="T55" i="1"/>
  <c r="S34" i="1"/>
  <c r="E27" i="1"/>
  <c r="Q65" i="1"/>
  <c r="J65" i="1"/>
  <c r="P146" i="1"/>
  <c r="C64" i="1"/>
  <c r="M32" i="1"/>
  <c r="F40" i="1"/>
  <c r="C41" i="1"/>
  <c r="W41" i="1"/>
  <c r="S70" i="1"/>
  <c r="O43" i="1"/>
  <c r="F39" i="1"/>
  <c r="G54" i="1"/>
  <c r="S66" i="1"/>
  <c r="V58" i="1"/>
  <c r="M65" i="1"/>
  <c r="Q43" i="1"/>
  <c r="N55" i="1"/>
  <c r="S42" i="1"/>
  <c r="M51" i="1"/>
  <c r="M213" i="1" s="1"/>
  <c r="N41" i="1"/>
  <c r="V40" i="1"/>
  <c r="U70" i="1"/>
  <c r="N27" i="1"/>
  <c r="N250" i="1" s="1"/>
  <c r="N28" i="1"/>
  <c r="N29" i="1" s="1"/>
  <c r="J32" i="1"/>
  <c r="P44" i="1"/>
  <c r="T41" i="1"/>
  <c r="E43" i="1"/>
  <c r="M41" i="1"/>
  <c r="I41" i="1"/>
  <c r="F64" i="1"/>
  <c r="Q54" i="1"/>
  <c r="C28" i="1"/>
  <c r="N34" i="1"/>
  <c r="Q66" i="1"/>
  <c r="N42" i="1"/>
  <c r="J64" i="1"/>
  <c r="N40" i="1"/>
  <c r="O28" i="1"/>
  <c r="K40" i="1"/>
  <c r="E178" i="1"/>
  <c r="H39" i="1"/>
  <c r="P27" i="1"/>
  <c r="F54" i="1"/>
  <c r="L39" i="1"/>
  <c r="U42" i="1"/>
  <c r="J42" i="1"/>
  <c r="C39" i="1"/>
  <c r="J51" i="1"/>
  <c r="J213" i="1" s="1"/>
  <c r="J39" i="1"/>
  <c r="E64" i="1"/>
  <c r="Q41" i="1"/>
  <c r="T65" i="1"/>
  <c r="I32" i="1"/>
  <c r="BX141" i="1"/>
  <c r="BY141" i="1" s="1"/>
  <c r="U32" i="1"/>
  <c r="Q51" i="1"/>
  <c r="Q213" i="1" s="1"/>
  <c r="N54" i="1"/>
  <c r="D34" i="1"/>
  <c r="W58" i="1"/>
  <c r="E66" i="1"/>
  <c r="L43" i="1"/>
  <c r="Q39" i="1"/>
  <c r="F70" i="1"/>
  <c r="H40" i="1"/>
  <c r="H70" i="1"/>
  <c r="P51" i="1"/>
  <c r="P213" i="1" s="1"/>
  <c r="R41" i="1"/>
  <c r="J28" i="1"/>
  <c r="K41" i="1"/>
  <c r="U54" i="1"/>
  <c r="V70" i="1"/>
  <c r="R40" i="1"/>
  <c r="P39" i="1"/>
  <c r="C66" i="1"/>
  <c r="K65" i="1"/>
  <c r="J43" i="1"/>
  <c r="D41" i="1"/>
  <c r="T58" i="1"/>
  <c r="R34" i="1"/>
  <c r="B27" i="1"/>
  <c r="W32" i="1"/>
  <c r="K54" i="1"/>
  <c r="P179" i="1"/>
  <c r="N64" i="1"/>
  <c r="T66" i="1"/>
  <c r="T51" i="1"/>
  <c r="T213" i="1" s="1"/>
  <c r="E54" i="1"/>
  <c r="AL39" i="1"/>
  <c r="AL64" i="1"/>
  <c r="BX34" i="1"/>
  <c r="AJ33" i="1"/>
  <c r="AJ39" i="1"/>
  <c r="F44" i="1"/>
  <c r="B34" i="1"/>
  <c r="L27" i="1"/>
  <c r="L250" i="1" s="1"/>
  <c r="E39" i="1"/>
  <c r="D51" i="1"/>
  <c r="D213" i="1" s="1"/>
  <c r="BX171" i="1"/>
  <c r="BY171" i="1" s="1"/>
  <c r="D44" i="1"/>
  <c r="P28" i="1"/>
  <c r="L40" i="1"/>
  <c r="H28" i="1"/>
  <c r="V28" i="1"/>
  <c r="V29" i="1" s="1"/>
  <c r="V117" i="1" s="1"/>
  <c r="C44" i="1"/>
  <c r="U43" i="1"/>
  <c r="P66" i="1"/>
  <c r="H58" i="1"/>
  <c r="R27" i="1"/>
  <c r="S44" i="1"/>
  <c r="F58" i="1"/>
  <c r="C70" i="1"/>
  <c r="M40" i="1"/>
  <c r="C42" i="1"/>
  <c r="V64" i="1"/>
  <c r="O39" i="1"/>
  <c r="G182" i="1"/>
  <c r="T70" i="1"/>
  <c r="O42" i="1"/>
  <c r="V43" i="1"/>
  <c r="N70" i="1"/>
  <c r="F41" i="1"/>
  <c r="T42" i="1"/>
  <c r="F27" i="1"/>
  <c r="F250" i="1" s="1"/>
  <c r="D65" i="1"/>
  <c r="W28" i="1"/>
  <c r="W29" i="1" s="1"/>
  <c r="W30" i="1" s="1"/>
  <c r="IP16" i="4" s="1"/>
  <c r="AJ55" i="1"/>
  <c r="BJ42" i="1"/>
  <c r="AJ34" i="1"/>
  <c r="AK44" i="1"/>
  <c r="BJ40" i="1"/>
  <c r="BX163" i="1"/>
  <c r="G55" i="1"/>
  <c r="B32" i="1"/>
  <c r="O34" i="1"/>
  <c r="BX179" i="1"/>
  <c r="J41" i="1"/>
  <c r="G39" i="1"/>
  <c r="U40" i="1"/>
  <c r="O44" i="1"/>
  <c r="BX137" i="1"/>
  <c r="BY137" i="1" s="1"/>
  <c r="B28" i="1"/>
  <c r="P64" i="1"/>
  <c r="V39" i="1"/>
  <c r="C43" i="1"/>
  <c r="D42" i="1"/>
  <c r="L42" i="1"/>
  <c r="R28" i="1"/>
  <c r="O58" i="1"/>
  <c r="G44" i="1"/>
  <c r="G28" i="1"/>
  <c r="S43" i="1"/>
  <c r="O65" i="1"/>
  <c r="V66" i="1"/>
  <c r="V32" i="1"/>
  <c r="T28" i="1"/>
  <c r="G172" i="1"/>
  <c r="C34" i="1"/>
  <c r="G43" i="1"/>
  <c r="H42" i="1"/>
  <c r="P34" i="1"/>
  <c r="R43" i="1"/>
  <c r="E40" i="1"/>
  <c r="P65" i="1"/>
  <c r="T44" i="1"/>
  <c r="I65" i="1"/>
  <c r="F66" i="1"/>
  <c r="M44" i="1"/>
  <c r="T54" i="1"/>
  <c r="T39" i="1"/>
  <c r="P41" i="1"/>
  <c r="H54" i="1"/>
  <c r="U66" i="1"/>
  <c r="HT16" i="4" s="1"/>
  <c r="AK43" i="1"/>
  <c r="BX27" i="1"/>
  <c r="BX18" i="1" s="1"/>
  <c r="BX55" i="1"/>
  <c r="AJ41" i="1"/>
  <c r="AK42" i="1"/>
  <c r="AL58" i="1"/>
  <c r="BX182" i="1"/>
  <c r="BY182" i="1" s="1"/>
  <c r="U55" i="1"/>
  <c r="U271" i="1" s="1"/>
  <c r="S40" i="1"/>
  <c r="B42" i="1"/>
  <c r="BX165" i="1"/>
  <c r="BY165" i="1" s="1"/>
  <c r="W64" i="1"/>
  <c r="BX150" i="1"/>
  <c r="BX93" i="1"/>
  <c r="BX145" i="1"/>
  <c r="BY145" i="1" s="1"/>
  <c r="K32" i="1"/>
  <c r="BX172" i="1"/>
  <c r="BX202" i="1" s="1"/>
  <c r="BY202" i="1" s="1"/>
  <c r="B55" i="1"/>
  <c r="B70" i="1"/>
  <c r="V65" i="1"/>
  <c r="L34" i="1"/>
  <c r="K42" i="1"/>
  <c r="I34" i="1"/>
  <c r="D66" i="1"/>
  <c r="S28" i="1"/>
  <c r="N58" i="1"/>
  <c r="C40" i="1"/>
  <c r="D39" i="1"/>
  <c r="J66" i="1"/>
  <c r="B40" i="1"/>
  <c r="Q172" i="1"/>
  <c r="W54" i="1"/>
  <c r="C143" i="1"/>
  <c r="U34" i="1"/>
  <c r="T27" i="1"/>
  <c r="W136" i="1"/>
  <c r="R70" i="1"/>
  <c r="AJ42" i="1"/>
  <c r="AJ44" i="1"/>
  <c r="BX66" i="1"/>
  <c r="BX40" i="1"/>
  <c r="BX70" i="1"/>
  <c r="AJ64" i="1"/>
  <c r="AK51" i="1"/>
  <c r="AK213" i="1" s="1"/>
  <c r="AL40" i="1"/>
  <c r="BX161" i="1"/>
  <c r="BY161" i="1" s="1"/>
  <c r="BX159" i="1"/>
  <c r="I58" i="1"/>
  <c r="E42" i="1"/>
  <c r="B43" i="1"/>
  <c r="BX169" i="1"/>
  <c r="BY169" i="1" s="1"/>
  <c r="I39" i="1"/>
  <c r="S64" i="1"/>
  <c r="BX154" i="1"/>
  <c r="BY154" i="1" s="1"/>
  <c r="BX146" i="1"/>
  <c r="BY146" i="1" s="1"/>
  <c r="BX136" i="1"/>
  <c r="BY136" i="1" s="1"/>
  <c r="G64" i="1"/>
  <c r="K58" i="1"/>
  <c r="J27" i="1"/>
  <c r="B64" i="1"/>
  <c r="E65" i="1"/>
  <c r="L66" i="1"/>
  <c r="Q42" i="1"/>
  <c r="S51" i="1"/>
  <c r="E55" i="1"/>
  <c r="W42" i="1"/>
  <c r="I27" i="1"/>
  <c r="I250" i="1" s="1"/>
  <c r="E32" i="1"/>
  <c r="H64" i="1"/>
  <c r="U65" i="1"/>
  <c r="Q27" i="1"/>
  <c r="Q44" i="1"/>
  <c r="J34" i="1"/>
  <c r="E51" i="1"/>
  <c r="E213" i="1" s="1"/>
  <c r="O51" i="1"/>
  <c r="O213" i="1" s="1"/>
  <c r="U28" i="1"/>
  <c r="U29" i="1" s="1"/>
  <c r="G66" i="1"/>
  <c r="W39" i="1"/>
  <c r="R51" i="1"/>
  <c r="R213" i="1" s="1"/>
  <c r="I44" i="1"/>
  <c r="H51" i="1"/>
  <c r="H213" i="1" s="1"/>
  <c r="W65" i="1"/>
  <c r="V44" i="1"/>
  <c r="L55" i="1"/>
  <c r="D58" i="1"/>
  <c r="Q64" i="1"/>
  <c r="G41" i="1"/>
  <c r="V54" i="1"/>
  <c r="L41" i="1"/>
  <c r="W43" i="1"/>
  <c r="K70" i="1"/>
  <c r="Q34" i="1"/>
  <c r="Q55" i="1"/>
  <c r="Q271" i="1" s="1"/>
  <c r="R65" i="1"/>
  <c r="Q70" i="1"/>
  <c r="F42" i="1"/>
  <c r="T40" i="1"/>
  <c r="F28" i="1"/>
  <c r="R64" i="1"/>
  <c r="U64" i="1"/>
  <c r="IL15" i="4" s="1"/>
  <c r="IT9" i="4" s="1"/>
  <c r="IT21" i="4" s="1"/>
  <c r="BN96" i="1" s="1"/>
  <c r="IB15" i="4" s="1"/>
  <c r="HS7" i="4" s="1"/>
  <c r="JE8" i="4" s="1"/>
  <c r="HX15" i="4" s="1"/>
  <c r="IB9" i="4" s="1"/>
  <c r="AJ51" i="1"/>
  <c r="AJ213" i="1" s="1"/>
  <c r="AL41" i="1"/>
  <c r="AM33" i="1"/>
  <c r="AK39" i="1"/>
  <c r="AM27" i="1"/>
  <c r="AM250" i="1" s="1"/>
  <c r="AJ32" i="1"/>
  <c r="AK41" i="1"/>
  <c r="AL70" i="1"/>
  <c r="AM40" i="1"/>
  <c r="F43" i="1"/>
  <c r="BX164" i="1"/>
  <c r="T64" i="1"/>
  <c r="H43" i="1"/>
  <c r="M64" i="1"/>
  <c r="W70" i="1"/>
  <c r="BX162" i="1"/>
  <c r="BY162" i="1" s="1"/>
  <c r="BX138" i="1"/>
  <c r="BY138" i="1" s="1"/>
  <c r="BX156" i="1"/>
  <c r="BY156" i="1" s="1"/>
  <c r="H27" i="1"/>
  <c r="M43" i="1"/>
  <c r="BL93" i="1"/>
  <c r="BX152" i="1"/>
  <c r="R44" i="1"/>
  <c r="P55" i="1"/>
  <c r="I70" i="1"/>
  <c r="C51" i="1"/>
  <c r="P43" i="1"/>
  <c r="M58" i="1"/>
  <c r="D55" i="1"/>
  <c r="O32" i="1"/>
  <c r="L70" i="1"/>
  <c r="O41" i="1"/>
  <c r="C54" i="1"/>
  <c r="J70" i="1"/>
  <c r="N44" i="1"/>
  <c r="B51" i="1"/>
  <c r="B41" i="1"/>
  <c r="L65" i="1"/>
  <c r="P40" i="1"/>
  <c r="N65" i="1"/>
  <c r="H44" i="1"/>
  <c r="G58" i="1"/>
  <c r="K28" i="1"/>
  <c r="P70" i="1"/>
  <c r="I43" i="1"/>
  <c r="D64" i="1"/>
  <c r="K66" i="1"/>
  <c r="N43" i="1"/>
  <c r="G40" i="1"/>
  <c r="AM55" i="1"/>
  <c r="AM58" i="1"/>
  <c r="AM39" i="1"/>
  <c r="AM51" i="1"/>
  <c r="AM213" i="1" s="1"/>
  <c r="AJ70" i="1"/>
  <c r="AK40" i="1"/>
  <c r="AL42" i="1"/>
  <c r="AK32" i="1"/>
  <c r="AK34" i="1"/>
  <c r="AL32" i="1"/>
  <c r="E44" i="1"/>
  <c r="E58" i="1"/>
  <c r="Q58" i="1"/>
  <c r="D43" i="1"/>
  <c r="BX144" i="1"/>
  <c r="BY144" i="1" s="1"/>
  <c r="R66" i="1"/>
  <c r="R39" i="1"/>
  <c r="U58" i="1"/>
  <c r="M34" i="1"/>
  <c r="I66" i="1"/>
  <c r="BX143" i="1"/>
  <c r="BY143" i="1" s="1"/>
  <c r="S54" i="1"/>
  <c r="M54" i="1"/>
  <c r="B66" i="1"/>
  <c r="W40" i="1"/>
  <c r="H65" i="1"/>
  <c r="O66" i="1"/>
  <c r="P42" i="1"/>
  <c r="N66" i="1"/>
  <c r="J58" i="1"/>
  <c r="O40" i="1"/>
  <c r="J55" i="1"/>
  <c r="D70" i="1"/>
  <c r="R54" i="1"/>
  <c r="U39" i="1"/>
  <c r="H34" i="1"/>
  <c r="S65" i="1"/>
  <c r="P32" i="1"/>
  <c r="M55" i="1"/>
  <c r="M66" i="1"/>
  <c r="N51" i="1"/>
  <c r="N213" i="1" s="1"/>
  <c r="K43" i="1"/>
  <c r="I51" i="1"/>
  <c r="I213" i="1" s="1"/>
  <c r="G34" i="1"/>
  <c r="C27" i="1"/>
  <c r="V55" i="1"/>
  <c r="V271" i="1" s="1"/>
  <c r="AL174" i="1"/>
  <c r="AM174" i="1" s="1"/>
  <c r="AL93" i="1"/>
  <c r="BJ182" i="1"/>
  <c r="BK182" i="1" s="1"/>
  <c r="BJ173" i="1"/>
  <c r="BK173" i="1" s="1"/>
  <c r="BJ163" i="1"/>
  <c r="AJ143" i="1"/>
  <c r="AK143" i="1" s="1"/>
  <c r="AJ182" i="1"/>
  <c r="AK182" i="1" s="1"/>
  <c r="AJ146" i="1"/>
  <c r="AK146" i="1" s="1"/>
  <c r="AJ178" i="1"/>
  <c r="BJ146" i="1"/>
  <c r="BK146" i="1" s="1"/>
  <c r="AJ141" i="1"/>
  <c r="AK141" i="1" s="1"/>
  <c r="AL164" i="1"/>
  <c r="AL169" i="1"/>
  <c r="AM169" i="1" s="1"/>
  <c r="AL161" i="1"/>
  <c r="AM161" i="1" s="1"/>
  <c r="AL144" i="1"/>
  <c r="AM144" i="1" s="1"/>
  <c r="AL183" i="1"/>
  <c r="AM183" i="1" s="1"/>
  <c r="AL168" i="1"/>
  <c r="AM168" i="1" s="1"/>
  <c r="AL138" i="1"/>
  <c r="BJ178" i="1"/>
  <c r="BJ179" i="1"/>
  <c r="BJ166" i="1"/>
  <c r="BK166" i="1" s="1"/>
  <c r="BJ168" i="1"/>
  <c r="AJ169" i="1"/>
  <c r="AK169" i="1" s="1"/>
  <c r="AJ172" i="1"/>
  <c r="AJ170" i="1"/>
  <c r="AK170" i="1" s="1"/>
  <c r="AL154" i="1"/>
  <c r="AM154" i="1" s="1"/>
  <c r="BJ174" i="1"/>
  <c r="BK174" i="1" s="1"/>
  <c r="AJ168" i="1"/>
  <c r="AK168" i="1" s="1"/>
  <c r="BJ143" i="1"/>
  <c r="BK143" i="1" s="1"/>
  <c r="AL152" i="1"/>
  <c r="AL182" i="1"/>
  <c r="AM182" i="1" s="1"/>
  <c r="BJ150" i="1"/>
  <c r="BJ164" i="1"/>
  <c r="BJ183" i="1"/>
  <c r="AJ171" i="1"/>
  <c r="AK171" i="1" s="1"/>
  <c r="AJ161" i="1"/>
  <c r="AK161" i="1" s="1"/>
  <c r="AJ173" i="1"/>
  <c r="AK173" i="1" s="1"/>
  <c r="AL170" i="1"/>
  <c r="AM170" i="1" s="1"/>
  <c r="BJ138" i="1"/>
  <c r="AL141" i="1"/>
  <c r="AM141" i="1" s="1"/>
  <c r="BJ145" i="1"/>
  <c r="BK145" i="1" s="1"/>
  <c r="AL172" i="1"/>
  <c r="AL165" i="1"/>
  <c r="AM165" i="1" s="1"/>
  <c r="AL171" i="1"/>
  <c r="AM171" i="1" s="1"/>
  <c r="AL178" i="1"/>
  <c r="AL163" i="1"/>
  <c r="BJ159" i="1"/>
  <c r="BK159" i="1" s="1"/>
  <c r="BL221" i="1" s="1"/>
  <c r="BJ171" i="1"/>
  <c r="BK171" i="1" s="1"/>
  <c r="BJ154" i="1"/>
  <c r="BK154" i="1" s="1"/>
  <c r="BJ144" i="1"/>
  <c r="BK144" i="1" s="1"/>
  <c r="BJ161" i="1"/>
  <c r="BK161" i="1" s="1"/>
  <c r="BJ151" i="1"/>
  <c r="AJ152" i="1"/>
  <c r="AJ163" i="1"/>
  <c r="AJ164" i="1"/>
  <c r="AJ179" i="1"/>
  <c r="AJ138" i="1"/>
  <c r="AJ165" i="1"/>
  <c r="AK165" i="1" s="1"/>
  <c r="AJ144" i="1"/>
  <c r="AK144" i="1" s="1"/>
  <c r="AL173" i="1"/>
  <c r="AM173" i="1" s="1"/>
  <c r="AL136" i="1"/>
  <c r="AM136" i="1" s="1"/>
  <c r="BJ165" i="1"/>
  <c r="BK165" i="1" s="1"/>
  <c r="AJ136" i="1"/>
  <c r="AK136" i="1" s="1"/>
  <c r="AL145" i="1"/>
  <c r="AM145" i="1" s="1"/>
  <c r="AL137" i="1"/>
  <c r="AM137" i="1" s="1"/>
  <c r="AL143" i="1"/>
  <c r="AM143" i="1" s="1"/>
  <c r="AL151" i="1"/>
  <c r="AL179" i="1"/>
  <c r="AL146" i="1"/>
  <c r="AM146" i="1" s="1"/>
  <c r="AL92" i="1"/>
  <c r="AL166" i="1"/>
  <c r="AM166" i="1" s="1"/>
  <c r="BJ137" i="1"/>
  <c r="BK137" i="1" s="1"/>
  <c r="BJ172" i="1"/>
  <c r="BJ169" i="1"/>
  <c r="BK169" i="1" s="1"/>
  <c r="BJ152" i="1"/>
  <c r="BJ170" i="1"/>
  <c r="BK170" i="1" s="1"/>
  <c r="AJ183" i="1"/>
  <c r="AK183" i="1" s="1"/>
  <c r="AJ145" i="1"/>
  <c r="AK145" i="1" s="1"/>
  <c r="AJ151" i="1"/>
  <c r="AJ174" i="1"/>
  <c r="AK174" i="1" s="1"/>
  <c r="AJ137" i="1"/>
  <c r="AK137" i="1" s="1"/>
  <c r="AJ159" i="1"/>
  <c r="AK159" i="1" s="1"/>
  <c r="AL159" i="1"/>
  <c r="AM159" i="1" s="1"/>
  <c r="AM221" i="1" s="1"/>
  <c r="BJ141" i="1"/>
  <c r="BK141" i="1" s="1"/>
  <c r="BJ136" i="1"/>
  <c r="AJ150" i="1"/>
  <c r="AJ154" i="1"/>
  <c r="AK154" i="1" s="1"/>
  <c r="AJ166" i="1"/>
  <c r="AK166" i="1" s="1"/>
  <c r="AJ162" i="1"/>
  <c r="AK162" i="1" s="1"/>
  <c r="AJ156" i="1"/>
  <c r="AK156" i="1" s="1"/>
  <c r="AL156" i="1"/>
  <c r="AM156" i="1" s="1"/>
  <c r="BJ156" i="1"/>
  <c r="BK156" i="1" s="1"/>
  <c r="BJ162" i="1"/>
  <c r="AL162" i="1"/>
  <c r="JE15" i="4"/>
  <c r="HQ8" i="4"/>
  <c r="JC8" i="4"/>
  <c r="IL8" i="4"/>
  <c r="HV7" i="4"/>
  <c r="IS15" i="4"/>
  <c r="JF15" i="4"/>
  <c r="HY8" i="4"/>
  <c r="IX15" i="4"/>
  <c r="IU15" i="4"/>
  <c r="IH15" i="4"/>
  <c r="IU8" i="4"/>
  <c r="IE7" i="4"/>
  <c r="JI15" i="4"/>
  <c r="HU8" i="4"/>
  <c r="IP8" i="4"/>
  <c r="JA14" i="4"/>
  <c r="HX14" i="4"/>
  <c r="JF7" i="4"/>
  <c r="IR7" i="4"/>
  <c r="HX8" i="4"/>
  <c r="HQ14" i="4"/>
  <c r="IU14" i="4"/>
  <c r="JI8" i="4"/>
  <c r="HY14" i="4"/>
  <c r="HU14" i="4"/>
  <c r="IN14" i="4"/>
  <c r="HZ15" i="4"/>
  <c r="IA8" i="4"/>
  <c r="IY15" i="4"/>
  <c r="IO7" i="4"/>
  <c r="IY14" i="4"/>
  <c r="JG7" i="4"/>
  <c r="HW8" i="4"/>
  <c r="IJ8" i="4"/>
  <c r="HY15" i="4"/>
  <c r="IV8" i="4"/>
  <c r="IO8" i="4"/>
  <c r="HU7" i="4"/>
  <c r="IC8" i="4"/>
  <c r="II14" i="4"/>
  <c r="IA7" i="4"/>
  <c r="ID14" i="4"/>
  <c r="IE15" i="4"/>
  <c r="JG8" i="4"/>
  <c r="HS15" i="4"/>
  <c r="JC21" i="4"/>
  <c r="BW96" i="1" s="1"/>
  <c r="ID7" i="4"/>
  <c r="JH8" i="4"/>
  <c r="HZ8" i="4"/>
  <c r="IC7" i="4"/>
  <c r="IR15" i="4"/>
  <c r="HW14" i="4"/>
  <c r="JF8" i="4"/>
  <c r="HT15" i="4"/>
  <c r="IX8" i="4"/>
  <c r="JA8" i="4"/>
  <c r="JB7" i="4"/>
  <c r="IM8" i="4"/>
  <c r="IQ14" i="4"/>
  <c r="IU7" i="4"/>
  <c r="IT7" i="4"/>
  <c r="JD15" i="4"/>
  <c r="IP14" i="4"/>
  <c r="HR14" i="4"/>
  <c r="IQ7" i="4"/>
  <c r="IH7" i="4"/>
  <c r="IK14" i="4"/>
  <c r="IF8" i="4"/>
  <c r="E250" i="1"/>
  <c r="HS8" i="4"/>
  <c r="CP96" i="1"/>
  <c r="CN82" i="1"/>
  <c r="CM84" i="1"/>
  <c r="E29" i="1" l="1"/>
  <c r="BX199" i="1"/>
  <c r="BY199" i="1" s="1"/>
  <c r="O250" i="1"/>
  <c r="V207" i="1"/>
  <c r="F29" i="1"/>
  <c r="IJ21" i="4"/>
  <c r="BD96" i="1" s="1"/>
  <c r="IF7" i="4" s="1"/>
  <c r="IF16" i="4" s="1"/>
  <c r="IF21" i="4" s="1"/>
  <c r="AZ96" i="1" s="1"/>
  <c r="IU9" i="4" s="1"/>
  <c r="ID16" i="4" s="1"/>
  <c r="IX21" i="4"/>
  <c r="BR96" i="1" s="1"/>
  <c r="HR9" i="4" s="1"/>
  <c r="HR21" i="4" s="1"/>
  <c r="AL96" i="1" s="1"/>
  <c r="IY21" i="4"/>
  <c r="BS96" i="1" s="1"/>
  <c r="N271" i="1"/>
  <c r="P272" i="1"/>
  <c r="IH21" i="4"/>
  <c r="BB96" i="1" s="1"/>
  <c r="IR21" i="4"/>
  <c r="BL96" i="1" s="1"/>
  <c r="BL113" i="1" s="1"/>
  <c r="IP21" i="4"/>
  <c r="BJ96" i="1" s="1"/>
  <c r="IZ21" i="4"/>
  <c r="BT96" i="1" s="1"/>
  <c r="JG21" i="4"/>
  <c r="CA96" i="1" s="1"/>
  <c r="F271" i="1"/>
  <c r="B250" i="1"/>
  <c r="B29" i="1"/>
  <c r="HU21" i="4"/>
  <c r="AO96" i="1" s="1"/>
  <c r="C271" i="1"/>
  <c r="P202" i="1"/>
  <c r="IL21" i="4"/>
  <c r="BF96" i="1" s="1"/>
  <c r="IE21" i="4"/>
  <c r="AY96" i="1" s="1"/>
  <c r="IV21" i="4"/>
  <c r="BP96" i="1" s="1"/>
  <c r="HS21" i="4"/>
  <c r="AM96" i="1" s="1"/>
  <c r="IN21" i="4"/>
  <c r="BH96" i="1" s="1"/>
  <c r="IK21" i="4"/>
  <c r="BE96" i="1" s="1"/>
  <c r="JI21" i="4"/>
  <c r="CC96" i="1" s="1"/>
  <c r="CC104" i="1" s="1"/>
  <c r="AJ29" i="1"/>
  <c r="C213" i="1"/>
  <c r="C272" i="1"/>
  <c r="G272" i="1"/>
  <c r="O271" i="1"/>
  <c r="S213" i="1"/>
  <c r="S272" i="1"/>
  <c r="P250" i="1"/>
  <c r="P29" i="1"/>
  <c r="C250" i="1"/>
  <c r="C29" i="1"/>
  <c r="Q29" i="1"/>
  <c r="Q250" i="1"/>
  <c r="AK29" i="1"/>
  <c r="G202" i="1"/>
  <c r="G29" i="1"/>
  <c r="G271" i="1"/>
  <c r="O272" i="1"/>
  <c r="IB21" i="4"/>
  <c r="AV96" i="1" s="1"/>
  <c r="S271" i="1"/>
  <c r="U272" i="1"/>
  <c r="U213" i="1"/>
  <c r="D250" i="1"/>
  <c r="D29" i="1"/>
  <c r="CA117" i="1"/>
  <c r="CA118" i="1" s="1"/>
  <c r="BX250" i="1"/>
  <c r="V35" i="1"/>
  <c r="V20" i="1" s="1"/>
  <c r="BX271" i="1"/>
  <c r="W207" i="1"/>
  <c r="X30" i="1"/>
  <c r="V30" i="1"/>
  <c r="W35" i="1"/>
  <c r="W20" i="1" s="1"/>
  <c r="U117" i="1"/>
  <c r="BY159" i="1"/>
  <c r="BZ221" i="1" s="1"/>
  <c r="BX272" i="1"/>
  <c r="BX29" i="1"/>
  <c r="JF21" i="4"/>
  <c r="BZ96" i="1" s="1"/>
  <c r="BZ113" i="1" s="1"/>
  <c r="HP9" i="4" s="1"/>
  <c r="IQ16" i="4" s="1"/>
  <c r="IQ21" i="4" s="1"/>
  <c r="BK96" i="1" s="1"/>
  <c r="HW16" i="4" s="1"/>
  <c r="ID21" i="4"/>
  <c r="AX96" i="1" s="1"/>
  <c r="JH16" i="4" s="1"/>
  <c r="HT21" i="4"/>
  <c r="AN96" i="1" s="1"/>
  <c r="B271" i="1"/>
  <c r="D45" i="1"/>
  <c r="I45" i="1"/>
  <c r="IG8" i="4"/>
  <c r="L213" i="1"/>
  <c r="HX21" i="4"/>
  <c r="AR96" i="1" s="1"/>
  <c r="HV14" i="4"/>
  <c r="IC21" i="4"/>
  <c r="AW96" i="1" s="1"/>
  <c r="IW14" i="4"/>
  <c r="IR14" i="4"/>
  <c r="IA21" i="4"/>
  <c r="AU96" i="1" s="1"/>
  <c r="IK8" i="4"/>
  <c r="JB8" i="4"/>
  <c r="HS14" i="4"/>
  <c r="F213" i="1"/>
  <c r="HY7" i="4"/>
  <c r="IQ8" i="4"/>
  <c r="IB7" i="4"/>
  <c r="IN15" i="4"/>
  <c r="Q202" i="1"/>
  <c r="IB8" i="4"/>
  <c r="JE14" i="4"/>
  <c r="F272" i="1"/>
  <c r="HT7" i="4"/>
  <c r="P271" i="1"/>
  <c r="D271" i="1"/>
  <c r="AL150" i="1"/>
  <c r="JG15" i="4"/>
  <c r="JE21" i="4"/>
  <c r="BY96" i="1" s="1"/>
  <c r="IW21" i="4"/>
  <c r="BQ96" i="1" s="1"/>
  <c r="IE14" i="4"/>
  <c r="JB14" i="4"/>
  <c r="IV14" i="4"/>
  <c r="IG15" i="4"/>
  <c r="IJ15" i="4"/>
  <c r="HW15" i="4"/>
  <c r="S29" i="1"/>
  <c r="HV15" i="4"/>
  <c r="B272" i="1"/>
  <c r="IT15" i="4"/>
  <c r="JD21" i="4"/>
  <c r="BX96" i="1" s="1"/>
  <c r="JC7" i="4"/>
  <c r="IU21" i="4"/>
  <c r="BO96" i="1" s="1"/>
  <c r="II7" i="4"/>
  <c r="II19" i="4" s="1"/>
  <c r="BC97" i="1" s="1"/>
  <c r="BC126" i="1" s="1"/>
  <c r="HP14" i="4"/>
  <c r="IM14" i="4"/>
  <c r="IG14" i="4"/>
  <c r="IG19" i="4" s="1"/>
  <c r="BA97" i="1" s="1"/>
  <c r="BA126" i="1" s="1"/>
  <c r="II8" i="4"/>
  <c r="IJ7" i="4"/>
  <c r="IJ19" i="4" s="1"/>
  <c r="BD97" i="1" s="1"/>
  <c r="BD126" i="1" s="1"/>
  <c r="IB14" i="4"/>
  <c r="IB19" i="4" s="1"/>
  <c r="AV97" i="1" s="1"/>
  <c r="AV126" i="1" s="1"/>
  <c r="IR8" i="4"/>
  <c r="IR20" i="4" s="1"/>
  <c r="BL98" i="1" s="1"/>
  <c r="BL115" i="1" s="1"/>
  <c r="JD14" i="4"/>
  <c r="IN7" i="4"/>
  <c r="IN19" i="4" s="1"/>
  <c r="BH97" i="1" s="1"/>
  <c r="BH126" i="1" s="1"/>
  <c r="IY7" i="4"/>
  <c r="IY19" i="4" s="1"/>
  <c r="BS97" i="1" s="1"/>
  <c r="BS126" i="1" s="1"/>
  <c r="JG14" i="4"/>
  <c r="JG19" i="4" s="1"/>
  <c r="CA97" i="1" s="1"/>
  <c r="IH14" i="4"/>
  <c r="IH19" i="4" s="1"/>
  <c r="BB97" i="1" s="1"/>
  <c r="BB126" i="1" s="1"/>
  <c r="AJ45" i="1"/>
  <c r="U35" i="1"/>
  <c r="JA7" i="4"/>
  <c r="HP15" i="4"/>
  <c r="IC14" i="4"/>
  <c r="IC19" i="4" s="1"/>
  <c r="AW97" i="1" s="1"/>
  <c r="AW126" i="1" s="1"/>
  <c r="HP7" i="4"/>
  <c r="IM21" i="4"/>
  <c r="BG96" i="1" s="1"/>
  <c r="IK7" i="4"/>
  <c r="IK19" i="4" s="1"/>
  <c r="BE97" i="1" s="1"/>
  <c r="BE126" i="1" s="1"/>
  <c r="HU15" i="4"/>
  <c r="HU20" i="4" s="1"/>
  <c r="AO98" i="1" s="1"/>
  <c r="AO127" i="1" s="1"/>
  <c r="IY8" i="4"/>
  <c r="IY20" i="4" s="1"/>
  <c r="BS98" i="1" s="1"/>
  <c r="BS127" i="1" s="1"/>
  <c r="IC15" i="4"/>
  <c r="IC20" i="4" s="1"/>
  <c r="AW98" i="1" s="1"/>
  <c r="AW127" i="1" s="1"/>
  <c r="IX14" i="4"/>
  <c r="JC15" i="4"/>
  <c r="JC20" i="4" s="1"/>
  <c r="BW98" i="1" s="1"/>
  <c r="BW127" i="1" s="1"/>
  <c r="HT14" i="4"/>
  <c r="IZ14" i="4"/>
  <c r="JA15" i="4"/>
  <c r="JA20" i="4" s="1"/>
  <c r="BU98" i="1" s="1"/>
  <c r="BU127" i="1" s="1"/>
  <c r="AM45" i="1"/>
  <c r="IP15" i="4"/>
  <c r="IP20" i="4" s="1"/>
  <c r="BJ98" i="1" s="1"/>
  <c r="BJ127" i="1" s="1"/>
  <c r="IA15" i="4"/>
  <c r="IA20" i="4" s="1"/>
  <c r="AU98" i="1" s="1"/>
  <c r="AU127" i="1" s="1"/>
  <c r="HR15" i="4"/>
  <c r="JI14" i="4"/>
  <c r="I29" i="1"/>
  <c r="IL14" i="4"/>
  <c r="IS7" i="4"/>
  <c r="IL7" i="4"/>
  <c r="IT8" i="4"/>
  <c r="IT14" i="4"/>
  <c r="IT19" i="4" s="1"/>
  <c r="BN97" i="1" s="1"/>
  <c r="BN126" i="1" s="1"/>
  <c r="ID8" i="4"/>
  <c r="JI7" i="4"/>
  <c r="IW15" i="4"/>
  <c r="IS8" i="4"/>
  <c r="IS20" i="4" s="1"/>
  <c r="BM98" i="1" s="1"/>
  <c r="BM127" i="1" s="1"/>
  <c r="HP8" i="4"/>
  <c r="HZ14" i="4"/>
  <c r="JA21" i="4"/>
  <c r="BU96" i="1" s="1"/>
  <c r="IK15" i="4"/>
  <c r="IW8" i="4"/>
  <c r="II15" i="4"/>
  <c r="HR7" i="4"/>
  <c r="IX7" i="4"/>
  <c r="IF15" i="4"/>
  <c r="IF20" i="4" s="1"/>
  <c r="AZ98" i="1" s="1"/>
  <c r="AZ127" i="1" s="1"/>
  <c r="H45" i="1"/>
  <c r="C45" i="1"/>
  <c r="J45" i="1"/>
  <c r="L45" i="1"/>
  <c r="P45" i="1"/>
  <c r="E45" i="1"/>
  <c r="E46" i="1" s="1"/>
  <c r="H29" i="1"/>
  <c r="R272" i="1"/>
  <c r="O45" i="1"/>
  <c r="BX198" i="1"/>
  <c r="BY198" i="1" s="1"/>
  <c r="V45" i="1"/>
  <c r="BY139" i="1"/>
  <c r="R45" i="1"/>
  <c r="M271" i="1"/>
  <c r="BJ198" i="1"/>
  <c r="BK198" i="1" s="1"/>
  <c r="BJ199" i="1"/>
  <c r="BK199" i="1" s="1"/>
  <c r="J250" i="1"/>
  <c r="J29" i="1"/>
  <c r="J271" i="1"/>
  <c r="Q18" i="1"/>
  <c r="Q272" i="1"/>
  <c r="H250" i="1"/>
  <c r="H271" i="1"/>
  <c r="O29" i="1"/>
  <c r="HR8" i="4"/>
  <c r="HT8" i="4"/>
  <c r="HT20" i="4" s="1"/>
  <c r="AN98" i="1" s="1"/>
  <c r="AN127" i="1" s="1"/>
  <c r="JB15" i="4"/>
  <c r="IZ7" i="4"/>
  <c r="IM15" i="4"/>
  <c r="IM20" i="4" s="1"/>
  <c r="BG98" i="1" s="1"/>
  <c r="BG127" i="1" s="1"/>
  <c r="V272" i="1"/>
  <c r="BY147" i="1"/>
  <c r="JH14" i="4"/>
  <c r="JH19" i="4" s="1"/>
  <c r="CB97" i="1" s="1"/>
  <c r="IZ15" i="4"/>
  <c r="F45" i="1"/>
  <c r="IM7" i="4"/>
  <c r="BX180" i="1"/>
  <c r="BY228" i="1" s="1"/>
  <c r="BX153" i="1"/>
  <c r="S45" i="1"/>
  <c r="IE8" i="4"/>
  <c r="IE20" i="4" s="1"/>
  <c r="AY98" i="1" s="1"/>
  <c r="AY127" i="1" s="1"/>
  <c r="IV7" i="4"/>
  <c r="JB21" i="4"/>
  <c r="BV96" i="1" s="1"/>
  <c r="HQ15" i="4"/>
  <c r="HQ20" i="4" s="1"/>
  <c r="AK98" i="1" s="1"/>
  <c r="IZ8" i="4"/>
  <c r="IF14" i="4"/>
  <c r="IF19" i="4" s="1"/>
  <c r="AZ97" i="1" s="1"/>
  <c r="AZ126" i="1" s="1"/>
  <c r="I271" i="1"/>
  <c r="AJ198" i="1"/>
  <c r="AL202" i="1"/>
  <c r="AM202" i="1" s="1"/>
  <c r="K45" i="1"/>
  <c r="AK45" i="1"/>
  <c r="B45" i="1"/>
  <c r="IN8" i="4"/>
  <c r="AL45" i="1"/>
  <c r="U45" i="1"/>
  <c r="AJ56" i="1"/>
  <c r="Q45" i="1"/>
  <c r="T45" i="1"/>
  <c r="M45" i="1"/>
  <c r="JD7" i="4"/>
  <c r="HZ7" i="4"/>
  <c r="BX45" i="1"/>
  <c r="IW7" i="4"/>
  <c r="IO14" i="4"/>
  <c r="IO19" i="4" s="1"/>
  <c r="BI97" i="1" s="1"/>
  <c r="BI126" i="1" s="1"/>
  <c r="M272" i="1"/>
  <c r="I272" i="1"/>
  <c r="X207" i="1"/>
  <c r="AL29" i="1"/>
  <c r="AL35" i="1" s="1"/>
  <c r="AL36" i="1" s="1"/>
  <c r="AM117" i="1"/>
  <c r="AM118" i="1" s="1"/>
  <c r="M29" i="1"/>
  <c r="AL272" i="1"/>
  <c r="AL271" i="1"/>
  <c r="BJ202" i="1"/>
  <c r="BK202" i="1" s="1"/>
  <c r="W45" i="1"/>
  <c r="G45" i="1"/>
  <c r="R29" i="1"/>
  <c r="W117" i="1"/>
  <c r="AM29" i="1"/>
  <c r="AM35" i="1" s="1"/>
  <c r="AM271" i="1"/>
  <c r="AJ202" i="1"/>
  <c r="N45" i="1"/>
  <c r="L271" i="1"/>
  <c r="J272" i="1"/>
  <c r="AL198" i="1"/>
  <c r="AM198" i="1" s="1"/>
  <c r="AL199" i="1"/>
  <c r="AM199" i="1" s="1"/>
  <c r="L29" i="1"/>
  <c r="L272" i="1"/>
  <c r="BX147" i="1"/>
  <c r="BX175" i="1"/>
  <c r="BX204" i="1" s="1"/>
  <c r="BX203" i="1" s="1"/>
  <c r="W213" i="1"/>
  <c r="AJ52" i="1"/>
  <c r="H272" i="1"/>
  <c r="T250" i="1"/>
  <c r="T18" i="1"/>
  <c r="K29" i="1"/>
  <c r="K207" i="1" s="1"/>
  <c r="T29" i="1"/>
  <c r="T35" i="1" s="1"/>
  <c r="T20" i="1" s="1"/>
  <c r="T271" i="1"/>
  <c r="R250" i="1"/>
  <c r="R18" i="1"/>
  <c r="T272" i="1"/>
  <c r="K271" i="1"/>
  <c r="N272" i="1"/>
  <c r="AM272" i="1"/>
  <c r="BX139" i="1"/>
  <c r="BX111" i="1" s="1"/>
  <c r="D272" i="1"/>
  <c r="S250" i="1"/>
  <c r="S18" i="1"/>
  <c r="R271" i="1"/>
  <c r="K272" i="1"/>
  <c r="BX167" i="1"/>
  <c r="BX201" i="1" s="1"/>
  <c r="BJ180" i="1"/>
  <c r="BK228" i="1" s="1"/>
  <c r="BJ153" i="1"/>
  <c r="BK147" i="1"/>
  <c r="BK136" i="1"/>
  <c r="BJ139" i="1"/>
  <c r="AJ180" i="1"/>
  <c r="AK228" i="1" s="1"/>
  <c r="AM147" i="1"/>
  <c r="AL180" i="1"/>
  <c r="AM228" i="1" s="1"/>
  <c r="BJ175" i="1"/>
  <c r="BJ204" i="1" s="1"/>
  <c r="BK168" i="1"/>
  <c r="BJ147" i="1"/>
  <c r="AJ147" i="1"/>
  <c r="AL175" i="1"/>
  <c r="AL204" i="1" s="1"/>
  <c r="AJ221" i="1"/>
  <c r="AL139" i="1"/>
  <c r="AL147" i="1"/>
  <c r="AI215" i="1"/>
  <c r="AI217" i="1" s="1"/>
  <c r="AJ153" i="1"/>
  <c r="AK52" i="1" s="1"/>
  <c r="AJ167" i="1"/>
  <c r="AJ199" i="1"/>
  <c r="AK199" i="1" s="1"/>
  <c r="AK147" i="1"/>
  <c r="AJ139" i="1"/>
  <c r="AJ175" i="1"/>
  <c r="BK162" i="1"/>
  <c r="BJ167" i="1"/>
  <c r="AM162" i="1"/>
  <c r="AL167" i="1"/>
  <c r="HX20" i="4"/>
  <c r="AR98" i="1" s="1"/>
  <c r="AR127" i="1" s="1"/>
  <c r="IU20" i="4"/>
  <c r="BO98" i="1" s="1"/>
  <c r="BO127" i="1" s="1"/>
  <c r="JF19" i="4"/>
  <c r="BZ97" i="1" s="1"/>
  <c r="IL20" i="4"/>
  <c r="BF98" i="1" s="1"/>
  <c r="BF127" i="1" s="1"/>
  <c r="JA19" i="4"/>
  <c r="BU97" i="1" s="1"/>
  <c r="BU126" i="1" s="1"/>
  <c r="HX19" i="4"/>
  <c r="AR97" i="1" s="1"/>
  <c r="AR126" i="1" s="1"/>
  <c r="JE20" i="4"/>
  <c r="BY98" i="1" s="1"/>
  <c r="BY127" i="1" s="1"/>
  <c r="IA19" i="4"/>
  <c r="AU97" i="1" s="1"/>
  <c r="AU126" i="1" s="1"/>
  <c r="IH20" i="4"/>
  <c r="BB98" i="1" s="1"/>
  <c r="BB127" i="1" s="1"/>
  <c r="N117" i="1"/>
  <c r="N35" i="1"/>
  <c r="IO20" i="4"/>
  <c r="BI98" i="1" s="1"/>
  <c r="BI127" i="1" s="1"/>
  <c r="HY20" i="4"/>
  <c r="AS98" i="1" s="1"/>
  <c r="AS127" i="1" s="1"/>
  <c r="IX20" i="4"/>
  <c r="BR98" i="1" s="1"/>
  <c r="BR127" i="1" s="1"/>
  <c r="JI20" i="4"/>
  <c r="CC98" i="1" s="1"/>
  <c r="JF20" i="4"/>
  <c r="BZ98" i="1" s="1"/>
  <c r="JH20" i="4"/>
  <c r="CB98" i="1" s="1"/>
  <c r="ID19" i="4"/>
  <c r="AX97" i="1" s="1"/>
  <c r="AX126" i="1" s="1"/>
  <c r="IV20" i="4"/>
  <c r="BP98" i="1" s="1"/>
  <c r="BP127" i="1" s="1"/>
  <c r="IP19" i="4"/>
  <c r="BJ97" i="1" s="1"/>
  <c r="BJ126" i="1" s="1"/>
  <c r="IU19" i="4"/>
  <c r="BO97" i="1" s="1"/>
  <c r="BO126" i="1" s="1"/>
  <c r="IQ19" i="4"/>
  <c r="BK97" i="1" s="1"/>
  <c r="BK126" i="1" s="1"/>
  <c r="HZ20" i="4"/>
  <c r="AT98" i="1" s="1"/>
  <c r="AT127" i="1" s="1"/>
  <c r="HW19" i="4"/>
  <c r="AQ97" i="1" s="1"/>
  <c r="AQ126" i="1" s="1"/>
  <c r="HS20" i="4"/>
  <c r="AM98" i="1" s="1"/>
  <c r="HU19" i="4"/>
  <c r="AO97" i="1" s="1"/>
  <c r="AO126" i="1" s="1"/>
  <c r="HQ19" i="4"/>
  <c r="AK97" i="1" s="1"/>
  <c r="JD20" i="4"/>
  <c r="BX98" i="1" s="1"/>
  <c r="BX127" i="1" s="1"/>
  <c r="AL221" i="1"/>
  <c r="AK221" i="1"/>
  <c r="BK221" i="1"/>
  <c r="CM51" i="1"/>
  <c r="AB96" i="1"/>
  <c r="CQ96" i="1"/>
  <c r="AC159" i="1"/>
  <c r="CN84" i="1"/>
  <c r="CO82" i="1"/>
  <c r="E117" i="1" l="1"/>
  <c r="E35" i="1"/>
  <c r="AK46" i="1"/>
  <c r="AJ35" i="1"/>
  <c r="AJ46" i="1"/>
  <c r="C46" i="1"/>
  <c r="B35" i="1"/>
  <c r="B36" i="1" s="1"/>
  <c r="B46" i="1"/>
  <c r="AM121" i="1"/>
  <c r="F117" i="1"/>
  <c r="F35" i="1"/>
  <c r="F36" i="1" s="1"/>
  <c r="F207" i="1"/>
  <c r="F30" i="1"/>
  <c r="P117" i="1"/>
  <c r="P35" i="1"/>
  <c r="D35" i="1"/>
  <c r="C35" i="1"/>
  <c r="C207" i="1"/>
  <c r="C30" i="1"/>
  <c r="AK35" i="1"/>
  <c r="Q207" i="1"/>
  <c r="Q35" i="1"/>
  <c r="Q117" i="1"/>
  <c r="Q30" i="1"/>
  <c r="D207" i="1"/>
  <c r="D30" i="1"/>
  <c r="CA113" i="1"/>
  <c r="CA121" i="1"/>
  <c r="IS19" i="4"/>
  <c r="BM97" i="1" s="1"/>
  <c r="BM126" i="1" s="1"/>
  <c r="CC121" i="1"/>
  <c r="CC113" i="1"/>
  <c r="AK31" i="1"/>
  <c r="E207" i="1"/>
  <c r="E30" i="1"/>
  <c r="G117" i="1"/>
  <c r="G35" i="1"/>
  <c r="G207" i="1"/>
  <c r="G30" i="1"/>
  <c r="BX46" i="1"/>
  <c r="W19" i="1"/>
  <c r="V19" i="1"/>
  <c r="V36" i="1"/>
  <c r="X37" i="1"/>
  <c r="W36" i="1"/>
  <c r="BY31" i="1"/>
  <c r="CB30" i="1"/>
  <c r="CC207" i="1"/>
  <c r="BX35" i="1"/>
  <c r="BX20" i="1" s="1"/>
  <c r="BY221" i="1"/>
  <c r="W37" i="1"/>
  <c r="HW21" i="4"/>
  <c r="AQ96" i="1" s="1"/>
  <c r="HP21" i="4"/>
  <c r="AJ96" i="1" s="1"/>
  <c r="HT19" i="4"/>
  <c r="AN97" i="1" s="1"/>
  <c r="AN126" i="1" s="1"/>
  <c r="IK20" i="4"/>
  <c r="BE98" i="1" s="1"/>
  <c r="BE127" i="1" s="1"/>
  <c r="II20" i="4"/>
  <c r="BC98" i="1" s="1"/>
  <c r="BC127" i="1" s="1"/>
  <c r="JH21" i="4"/>
  <c r="CB96" i="1" s="1"/>
  <c r="JB20" i="4"/>
  <c r="BV98" i="1" s="1"/>
  <c r="BV127" i="1" s="1"/>
  <c r="IN20" i="4"/>
  <c r="BH98" i="1" s="1"/>
  <c r="BH127" i="1" s="1"/>
  <c r="JD19" i="4"/>
  <c r="BX97" i="1" s="1"/>
  <c r="IW19" i="4"/>
  <c r="BQ97" i="1" s="1"/>
  <c r="BQ126" i="1" s="1"/>
  <c r="BX113" i="1"/>
  <c r="AL153" i="1"/>
  <c r="AM153" i="1" s="1"/>
  <c r="AM157" i="1" s="1"/>
  <c r="ID20" i="4"/>
  <c r="AX98" i="1" s="1"/>
  <c r="AX127" i="1" s="1"/>
  <c r="JC19" i="4"/>
  <c r="BW97" i="1" s="1"/>
  <c r="BW126" i="1" s="1"/>
  <c r="D46" i="1"/>
  <c r="HR19" i="4"/>
  <c r="AL97" i="1" s="1"/>
  <c r="IQ20" i="4"/>
  <c r="BK98" i="1" s="1"/>
  <c r="BK127" i="1" s="1"/>
  <c r="HY19" i="4"/>
  <c r="AS97" i="1" s="1"/>
  <c r="AS126" i="1" s="1"/>
  <c r="IG20" i="4"/>
  <c r="BA98" i="1" s="1"/>
  <c r="BA127" i="1" s="1"/>
  <c r="IL19" i="4"/>
  <c r="BF97" i="1" s="1"/>
  <c r="BF126" i="1" s="1"/>
  <c r="HS19" i="4"/>
  <c r="AM97" i="1" s="1"/>
  <c r="S117" i="1"/>
  <c r="S35" i="1"/>
  <c r="J35" i="1"/>
  <c r="J36" i="1" s="1"/>
  <c r="J117" i="1"/>
  <c r="IR19" i="4"/>
  <c r="BL97" i="1" s="1"/>
  <c r="JG20" i="4"/>
  <c r="CA98" i="1" s="1"/>
  <c r="HV20" i="4"/>
  <c r="AP98" i="1" s="1"/>
  <c r="AP127" i="1" s="1"/>
  <c r="JI19" i="4"/>
  <c r="CC97" i="1" s="1"/>
  <c r="IV19" i="4"/>
  <c r="BP97" i="1" s="1"/>
  <c r="BP126" i="1" s="1"/>
  <c r="BY52" i="1"/>
  <c r="BZ268" i="1"/>
  <c r="BZ270" i="1" s="1"/>
  <c r="BZ225" i="1"/>
  <c r="HZ19" i="4"/>
  <c r="AT97" i="1" s="1"/>
  <c r="AT126" i="1" s="1"/>
  <c r="IJ20" i="4"/>
  <c r="BD98" i="1" s="1"/>
  <c r="BD127" i="1" s="1"/>
  <c r="HV19" i="4"/>
  <c r="AP97" i="1" s="1"/>
  <c r="AP126" i="1" s="1"/>
  <c r="JE19" i="4"/>
  <c r="BY97" i="1" s="1"/>
  <c r="IB20" i="4"/>
  <c r="AV98" i="1" s="1"/>
  <c r="AV127" i="1" s="1"/>
  <c r="IT20" i="4"/>
  <c r="BN98" i="1" s="1"/>
  <c r="BN127" i="1" s="1"/>
  <c r="HP19" i="4"/>
  <c r="AJ97" i="1" s="1"/>
  <c r="IM19" i="4"/>
  <c r="BG97" i="1" s="1"/>
  <c r="BG126" i="1" s="1"/>
  <c r="IX19" i="4"/>
  <c r="BR97" i="1" s="1"/>
  <c r="BR126" i="1" s="1"/>
  <c r="IZ19" i="4"/>
  <c r="BT97" i="1" s="1"/>
  <c r="BT126" i="1" s="1"/>
  <c r="IW20" i="4"/>
  <c r="BQ98" i="1" s="1"/>
  <c r="BQ127" i="1" s="1"/>
  <c r="BY148" i="1"/>
  <c r="HR20" i="4"/>
  <c r="AL98" i="1" s="1"/>
  <c r="IZ20" i="4"/>
  <c r="BT98" i="1" s="1"/>
  <c r="BT127" i="1" s="1"/>
  <c r="M207" i="1"/>
  <c r="HP20" i="4"/>
  <c r="AJ98" i="1" s="1"/>
  <c r="IE19" i="4"/>
  <c r="AY97" i="1" s="1"/>
  <c r="AY126" i="1" s="1"/>
  <c r="JB19" i="4"/>
  <c r="BV97" i="1" s="1"/>
  <c r="BV126" i="1" s="1"/>
  <c r="HW20" i="4"/>
  <c r="AQ98" i="1" s="1"/>
  <c r="AQ127" i="1" s="1"/>
  <c r="BX187" i="1"/>
  <c r="V46" i="1"/>
  <c r="V47" i="1"/>
  <c r="V22" i="1" s="1"/>
  <c r="V21" i="1" s="1"/>
  <c r="O117" i="1"/>
  <c r="O30" i="1"/>
  <c r="AL203" i="1"/>
  <c r="I35" i="1"/>
  <c r="I117" i="1"/>
  <c r="L35" i="1"/>
  <c r="L117" i="1"/>
  <c r="BX200" i="1"/>
  <c r="BJ203" i="1"/>
  <c r="M30" i="1"/>
  <c r="U20" i="1"/>
  <c r="U19" i="1" s="1"/>
  <c r="U36" i="1"/>
  <c r="V37" i="1"/>
  <c r="I30" i="1"/>
  <c r="I207" i="1"/>
  <c r="H30" i="1"/>
  <c r="H117" i="1"/>
  <c r="H35" i="1"/>
  <c r="H207" i="1"/>
  <c r="BZ226" i="1"/>
  <c r="BY111" i="1"/>
  <c r="J30" i="1"/>
  <c r="J207" i="1"/>
  <c r="P207" i="1"/>
  <c r="O35" i="1"/>
  <c r="P30" i="1"/>
  <c r="O207" i="1"/>
  <c r="BY225" i="1"/>
  <c r="BY268" i="1"/>
  <c r="BY153" i="1"/>
  <c r="BX157" i="1"/>
  <c r="W46" i="1"/>
  <c r="W47" i="1"/>
  <c r="R117" i="1"/>
  <c r="R207" i="1"/>
  <c r="S207" i="1"/>
  <c r="AM47" i="1"/>
  <c r="AM36" i="1"/>
  <c r="L30" i="1"/>
  <c r="L207" i="1"/>
  <c r="K30" i="1"/>
  <c r="K117" i="1"/>
  <c r="K35" i="1"/>
  <c r="N207" i="1"/>
  <c r="M117" i="1"/>
  <c r="N30" i="1"/>
  <c r="M35" i="1"/>
  <c r="AM38" i="1"/>
  <c r="AM244" i="1"/>
  <c r="R30" i="1"/>
  <c r="AM46" i="1"/>
  <c r="T207" i="1"/>
  <c r="AL46" i="1"/>
  <c r="AL47" i="1"/>
  <c r="AL48" i="1" s="1"/>
  <c r="AL31" i="1"/>
  <c r="R35" i="1"/>
  <c r="R20" i="1" s="1"/>
  <c r="R19" i="1" s="1"/>
  <c r="U30" i="1"/>
  <c r="S30" i="1"/>
  <c r="BX205" i="1"/>
  <c r="CB208" i="1" s="1"/>
  <c r="AM31" i="1"/>
  <c r="T30" i="1"/>
  <c r="BK268" i="1"/>
  <c r="BX176" i="1"/>
  <c r="BY226" i="1"/>
  <c r="T19" i="1"/>
  <c r="BX267" i="1"/>
  <c r="BX148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U207" i="1"/>
  <c r="T117" i="1"/>
  <c r="AJ148" i="1"/>
  <c r="AK225" i="1"/>
  <c r="AM268" i="1"/>
  <c r="BK153" i="1"/>
  <c r="BJ157" i="1"/>
  <c r="BJ265" i="1" s="1"/>
  <c r="BL225" i="1"/>
  <c r="BL268" i="1"/>
  <c r="BJ111" i="1"/>
  <c r="BJ267" i="1"/>
  <c r="AJ187" i="1"/>
  <c r="AK56" i="1" s="1"/>
  <c r="AJ225" i="1"/>
  <c r="AL111" i="1"/>
  <c r="AL267" i="1"/>
  <c r="AL225" i="1"/>
  <c r="AM225" i="1"/>
  <c r="AJ216" i="1"/>
  <c r="AJ204" i="1"/>
  <c r="AK153" i="1"/>
  <c r="AL187" i="1"/>
  <c r="AJ176" i="1"/>
  <c r="BJ148" i="1"/>
  <c r="BJ187" i="1"/>
  <c r="BJ128" i="1" s="1"/>
  <c r="AJ157" i="1"/>
  <c r="BK225" i="1"/>
  <c r="AL268" i="1"/>
  <c r="AL148" i="1"/>
  <c r="AJ215" i="1"/>
  <c r="AJ201" i="1"/>
  <c r="BJ201" i="1"/>
  <c r="BJ176" i="1"/>
  <c r="AL201" i="1"/>
  <c r="AL176" i="1"/>
  <c r="BZ114" i="1"/>
  <c r="BZ108" i="1"/>
  <c r="BZ126" i="1"/>
  <c r="BZ129" i="1" s="1"/>
  <c r="AM127" i="1"/>
  <c r="AM123" i="1"/>
  <c r="CB105" i="1"/>
  <c r="CB122" i="1"/>
  <c r="CB114" i="1"/>
  <c r="CB126" i="1"/>
  <c r="CB129" i="1" s="1"/>
  <c r="CB132" i="1" s="1"/>
  <c r="N36" i="1"/>
  <c r="U37" i="1"/>
  <c r="T36" i="1"/>
  <c r="CC115" i="1"/>
  <c r="CC123" i="1"/>
  <c r="CC127" i="1"/>
  <c r="BZ127" i="1"/>
  <c r="BZ130" i="1" s="1"/>
  <c r="BZ115" i="1"/>
  <c r="CB115" i="1"/>
  <c r="CB127" i="1"/>
  <c r="CB130" i="1" s="1"/>
  <c r="CB133" i="1" s="1"/>
  <c r="CC106" i="1"/>
  <c r="BX115" i="1"/>
  <c r="CB123" i="1"/>
  <c r="BL127" i="1"/>
  <c r="BL130" i="1" s="1"/>
  <c r="CB106" i="1"/>
  <c r="CA122" i="1"/>
  <c r="CA126" i="1"/>
  <c r="CA114" i="1"/>
  <c r="CM213" i="1"/>
  <c r="CM151" i="1"/>
  <c r="CM153" i="1" s="1"/>
  <c r="CM157" i="1" s="1"/>
  <c r="CM222" i="1" s="1"/>
  <c r="CM220" i="1" s="1"/>
  <c r="CR96" i="1"/>
  <c r="AC221" i="1"/>
  <c r="AB168" i="1"/>
  <c r="AB136" i="1"/>
  <c r="CO84" i="1"/>
  <c r="CP82" i="1"/>
  <c r="CA244" i="1"/>
  <c r="E47" i="1" l="1"/>
  <c r="E48" i="1" s="1"/>
  <c r="E36" i="1"/>
  <c r="B47" i="1"/>
  <c r="B48" i="1" s="1"/>
  <c r="AJ36" i="1"/>
  <c r="AJ47" i="1"/>
  <c r="AJ251" i="1" s="1"/>
  <c r="AJ252" i="1" s="1"/>
  <c r="D37" i="1"/>
  <c r="C36" i="1"/>
  <c r="AL38" i="1"/>
  <c r="AK47" i="1"/>
  <c r="AK36" i="1"/>
  <c r="AK38" i="1"/>
  <c r="F37" i="1"/>
  <c r="H37" i="1"/>
  <c r="D36" i="1"/>
  <c r="E37" i="1"/>
  <c r="BX36" i="1"/>
  <c r="BY38" i="1"/>
  <c r="Q37" i="1"/>
  <c r="P36" i="1"/>
  <c r="C37" i="1"/>
  <c r="G36" i="1"/>
  <c r="G37" i="1"/>
  <c r="D47" i="1"/>
  <c r="CB37" i="1"/>
  <c r="BX47" i="1"/>
  <c r="BX22" i="1" s="1"/>
  <c r="BX21" i="1" s="1"/>
  <c r="C47" i="1"/>
  <c r="Q36" i="1"/>
  <c r="Q20" i="1"/>
  <c r="CB113" i="1"/>
  <c r="CB121" i="1"/>
  <c r="CB104" i="1"/>
  <c r="BX19" i="1"/>
  <c r="BZ224" i="1"/>
  <c r="BX114" i="1"/>
  <c r="BX126" i="1"/>
  <c r="AM52" i="1"/>
  <c r="AL157" i="1"/>
  <c r="BX108" i="1"/>
  <c r="AL126" i="1"/>
  <c r="K37" i="1"/>
  <c r="S36" i="1"/>
  <c r="S20" i="1"/>
  <c r="S19" i="1" s="1"/>
  <c r="T37" i="1"/>
  <c r="CC114" i="1"/>
  <c r="CC122" i="1"/>
  <c r="BY108" i="1"/>
  <c r="AL115" i="1"/>
  <c r="AL127" i="1"/>
  <c r="AM122" i="1"/>
  <c r="AM126" i="1"/>
  <c r="BL126" i="1"/>
  <c r="BL129" i="1" s="1"/>
  <c r="BL114" i="1"/>
  <c r="CA115" i="1"/>
  <c r="CA127" i="1"/>
  <c r="CA123" i="1"/>
  <c r="CC126" i="1"/>
  <c r="CC105" i="1"/>
  <c r="CF109" i="1" s="1"/>
  <c r="B131" i="1"/>
  <c r="BY126" i="1"/>
  <c r="I36" i="1"/>
  <c r="J37" i="1"/>
  <c r="V53" i="1"/>
  <c r="V57" i="1" s="1"/>
  <c r="V131" i="1"/>
  <c r="V251" i="1"/>
  <c r="V252" i="1" s="1"/>
  <c r="V48" i="1"/>
  <c r="BX128" i="1"/>
  <c r="BY56" i="1"/>
  <c r="K36" i="1"/>
  <c r="L37" i="1"/>
  <c r="L36" i="1"/>
  <c r="BY113" i="1"/>
  <c r="BY114" i="1"/>
  <c r="BY115" i="1"/>
  <c r="X49" i="1"/>
  <c r="X269" i="1"/>
  <c r="W53" i="1"/>
  <c r="W57" i="1" s="1"/>
  <c r="W49" i="1"/>
  <c r="W48" i="1"/>
  <c r="W131" i="1"/>
  <c r="W269" i="1"/>
  <c r="AM53" i="1"/>
  <c r="AM57" i="1" s="1"/>
  <c r="AM48" i="1"/>
  <c r="AM251" i="1"/>
  <c r="AM252" i="1" s="1"/>
  <c r="O36" i="1"/>
  <c r="O37" i="1"/>
  <c r="P37" i="1"/>
  <c r="BY157" i="1"/>
  <c r="BZ52" i="1"/>
  <c r="BX184" i="1"/>
  <c r="BY224" i="1"/>
  <c r="H36" i="1"/>
  <c r="I37" i="1"/>
  <c r="BX265" i="1"/>
  <c r="W22" i="1"/>
  <c r="W21" i="1" s="1"/>
  <c r="W251" i="1"/>
  <c r="W252" i="1" s="1"/>
  <c r="M36" i="1"/>
  <c r="N37" i="1"/>
  <c r="AM269" i="1"/>
  <c r="AM270" i="1" s="1"/>
  <c r="M37" i="1"/>
  <c r="S37" i="1"/>
  <c r="AL53" i="1"/>
  <c r="AL57" i="1" s="1"/>
  <c r="AL60" i="1" s="1"/>
  <c r="AM50" i="1"/>
  <c r="AL251" i="1"/>
  <c r="AL252" i="1" s="1"/>
  <c r="R37" i="1"/>
  <c r="R36" i="1"/>
  <c r="AJ184" i="1"/>
  <c r="AJ185" i="1" s="1"/>
  <c r="AJ217" i="1"/>
  <c r="BL52" i="1"/>
  <c r="BK157" i="1"/>
  <c r="BL222" i="1" s="1"/>
  <c r="BL220" i="1" s="1"/>
  <c r="BJ113" i="1"/>
  <c r="BJ114" i="1"/>
  <c r="BJ115" i="1"/>
  <c r="AK157" i="1"/>
  <c r="AL52" i="1"/>
  <c r="BJ129" i="1"/>
  <c r="BJ130" i="1"/>
  <c r="AL113" i="1"/>
  <c r="AL114" i="1"/>
  <c r="AL128" i="1"/>
  <c r="AM56" i="1"/>
  <c r="AJ222" i="1"/>
  <c r="AJ220" i="1" s="1"/>
  <c r="BJ205" i="1"/>
  <c r="BJ200" i="1"/>
  <c r="AL200" i="1"/>
  <c r="AL205" i="1"/>
  <c r="CN51" i="1"/>
  <c r="CS96" i="1"/>
  <c r="AB182" i="1"/>
  <c r="CP84" i="1"/>
  <c r="CQ82" i="1"/>
  <c r="AC136" i="1"/>
  <c r="AC168" i="1"/>
  <c r="CB244" i="1"/>
  <c r="BQ1" i="1"/>
  <c r="BR1" i="1" s="1"/>
  <c r="BS1" i="1" s="1"/>
  <c r="BT1" i="1" s="1"/>
  <c r="AJ53" i="1" l="1"/>
  <c r="AJ57" i="1" s="1"/>
  <c r="AJ48" i="1"/>
  <c r="CE109" i="1"/>
  <c r="AL269" i="1"/>
  <c r="AL270" i="1" s="1"/>
  <c r="AM245" i="1"/>
  <c r="D48" i="1"/>
  <c r="D53" i="1"/>
  <c r="D57" i="1" s="1"/>
  <c r="D251" i="1"/>
  <c r="D252" i="1" s="1"/>
  <c r="D269" i="1"/>
  <c r="E49" i="1"/>
  <c r="D131" i="1"/>
  <c r="Q19" i="1"/>
  <c r="C269" i="1"/>
  <c r="C48" i="1"/>
  <c r="D49" i="1"/>
  <c r="C49" i="1"/>
  <c r="AK251" i="1"/>
  <c r="AK252" i="1" s="1"/>
  <c r="AL50" i="1"/>
  <c r="AK48" i="1"/>
  <c r="AK53" i="1"/>
  <c r="AK57" i="1" s="1"/>
  <c r="AM131" i="1"/>
  <c r="AK50" i="1"/>
  <c r="BX48" i="1"/>
  <c r="BX53" i="1"/>
  <c r="CB49" i="1"/>
  <c r="CA131" i="1"/>
  <c r="BX251" i="1"/>
  <c r="BX252" i="1" s="1"/>
  <c r="BY50" i="1"/>
  <c r="BY269" i="1"/>
  <c r="BY270" i="1" s="1"/>
  <c r="AL184" i="1"/>
  <c r="AL185" i="1" s="1"/>
  <c r="AM222" i="1"/>
  <c r="AM220" i="1" s="1"/>
  <c r="AL265" i="1"/>
  <c r="V60" i="1"/>
  <c r="V59" i="1"/>
  <c r="BX129" i="1"/>
  <c r="BX130" i="1"/>
  <c r="AM60" i="1"/>
  <c r="AM61" i="1" s="1"/>
  <c r="AM264" i="1" s="1"/>
  <c r="AM59" i="1"/>
  <c r="W60" i="1"/>
  <c r="W59" i="1"/>
  <c r="BX185" i="1"/>
  <c r="BZ222" i="1"/>
  <c r="BZ220" i="1" s="1"/>
  <c r="BY222" i="1"/>
  <c r="BY220" i="1" s="1"/>
  <c r="AL59" i="1"/>
  <c r="AK222" i="1"/>
  <c r="AK220" i="1" s="1"/>
  <c r="AL222" i="1"/>
  <c r="AL220" i="1" s="1"/>
  <c r="AL130" i="1"/>
  <c r="AL129" i="1"/>
  <c r="AL253" i="1"/>
  <c r="AL67" i="1"/>
  <c r="AL61" i="1"/>
  <c r="AL264" i="1" s="1"/>
  <c r="W62" i="1"/>
  <c r="X62" i="1"/>
  <c r="CN151" i="1"/>
  <c r="CN153" i="1" s="1"/>
  <c r="CO51" i="1" s="1"/>
  <c r="CT96" i="1"/>
  <c r="AB156" i="1"/>
  <c r="AD168" i="1"/>
  <c r="AE168" i="1"/>
  <c r="AD136" i="1"/>
  <c r="AE136" i="1"/>
  <c r="CQ84" i="1"/>
  <c r="CR82" i="1"/>
  <c r="AC182" i="1"/>
  <c r="BU1" i="1"/>
  <c r="Q46" i="1"/>
  <c r="P46" i="1"/>
  <c r="O46" i="1"/>
  <c r="I46" i="1"/>
  <c r="H46" i="1"/>
  <c r="G46" i="1"/>
  <c r="U46" i="1"/>
  <c r="T46" i="1"/>
  <c r="S46" i="1"/>
  <c r="R46" i="1"/>
  <c r="N46" i="1"/>
  <c r="M46" i="1"/>
  <c r="L46" i="1"/>
  <c r="K46" i="1"/>
  <c r="J46" i="1"/>
  <c r="F46" i="1"/>
  <c r="AJ60" i="1" l="1"/>
  <c r="AJ59" i="1"/>
  <c r="D60" i="1"/>
  <c r="D59" i="1"/>
  <c r="W67" i="1"/>
  <c r="W71" i="1" s="1"/>
  <c r="W253" i="1"/>
  <c r="W61" i="1"/>
  <c r="W264" i="1" s="1"/>
  <c r="AK59" i="1"/>
  <c r="V67" i="1"/>
  <c r="AJ61" i="1"/>
  <c r="AJ67" i="1"/>
  <c r="AM63" i="1"/>
  <c r="BX57" i="1"/>
  <c r="CA74" i="1"/>
  <c r="AK60" i="1"/>
  <c r="V61" i="1"/>
  <c r="V264" i="1" s="1"/>
  <c r="AJ212" i="1"/>
  <c r="AJ214" i="1" s="1"/>
  <c r="AJ218" i="1" s="1"/>
  <c r="AJ232" i="1" s="1"/>
  <c r="AL212" i="1"/>
  <c r="AL214" i="1" s="1"/>
  <c r="AL85" i="1"/>
  <c r="AL71" i="1"/>
  <c r="D253" i="1"/>
  <c r="D61" i="1"/>
  <c r="D67" i="1"/>
  <c r="CO213" i="1"/>
  <c r="CO151" i="1"/>
  <c r="CN157" i="1"/>
  <c r="CN213" i="1"/>
  <c r="AC96" i="1"/>
  <c r="CU96" i="1"/>
  <c r="AD182" i="1"/>
  <c r="AE182" i="1"/>
  <c r="AD159" i="1"/>
  <c r="CR84" i="1"/>
  <c r="CS82" i="1"/>
  <c r="AC156" i="1"/>
  <c r="BV1" i="1"/>
  <c r="BW1" i="1" s="1"/>
  <c r="BX1" i="1" s="1"/>
  <c r="AM253" i="1"/>
  <c r="B251" i="1"/>
  <c r="B252" i="1" s="1"/>
  <c r="BL251" i="1"/>
  <c r="BL252" i="1" s="1"/>
  <c r="G47" i="1"/>
  <c r="O47" i="1"/>
  <c r="H47" i="1"/>
  <c r="P47" i="1"/>
  <c r="I47" i="1"/>
  <c r="Q47" i="1"/>
  <c r="Q22" i="1" s="1"/>
  <c r="Q21" i="1" s="1"/>
  <c r="J47" i="1"/>
  <c r="R47" i="1"/>
  <c r="R22" i="1" s="1"/>
  <c r="R21" i="1" s="1"/>
  <c r="K47" i="1"/>
  <c r="S47" i="1"/>
  <c r="S22" i="1" s="1"/>
  <c r="S21" i="1" s="1"/>
  <c r="L47" i="1"/>
  <c r="T47" i="1"/>
  <c r="T22" i="1" s="1"/>
  <c r="T21" i="1" s="1"/>
  <c r="M47" i="1"/>
  <c r="U47" i="1"/>
  <c r="U22" i="1" s="1"/>
  <c r="U21" i="1" s="1"/>
  <c r="F47" i="1"/>
  <c r="F269" i="1" s="1"/>
  <c r="N47" i="1"/>
  <c r="AJ253" i="1" l="1"/>
  <c r="AJ226" i="1"/>
  <c r="AJ224" i="1" s="1"/>
  <c r="AJ71" i="1"/>
  <c r="AJ85" i="1"/>
  <c r="AK253" i="1"/>
  <c r="AK67" i="1"/>
  <c r="AK138" i="1" s="1"/>
  <c r="AK139" i="1" s="1"/>
  <c r="AK148" i="1" s="1"/>
  <c r="AK61" i="1"/>
  <c r="AK63" i="1"/>
  <c r="AL63" i="1"/>
  <c r="BX59" i="1"/>
  <c r="BX60" i="1"/>
  <c r="AM246" i="1"/>
  <c r="AJ229" i="1"/>
  <c r="AJ230" i="1" s="1"/>
  <c r="T269" i="1"/>
  <c r="P269" i="1"/>
  <c r="D212" i="1"/>
  <c r="D214" i="1" s="1"/>
  <c r="D71" i="1"/>
  <c r="CB62" i="1"/>
  <c r="BX253" i="1"/>
  <c r="BX61" i="1"/>
  <c r="BX264" i="1" s="1"/>
  <c r="M269" i="1"/>
  <c r="R269" i="1"/>
  <c r="I269" i="1"/>
  <c r="K269" i="1"/>
  <c r="G269" i="1"/>
  <c r="H269" i="1"/>
  <c r="L269" i="1"/>
  <c r="S269" i="1"/>
  <c r="O269" i="1"/>
  <c r="J269" i="1"/>
  <c r="N269" i="1"/>
  <c r="U269" i="1"/>
  <c r="V269" i="1"/>
  <c r="Q269" i="1"/>
  <c r="R131" i="1"/>
  <c r="S49" i="1"/>
  <c r="T131" i="1"/>
  <c r="U49" i="1"/>
  <c r="U131" i="1"/>
  <c r="V49" i="1"/>
  <c r="P131" i="1"/>
  <c r="Q49" i="1"/>
  <c r="Q131" i="1"/>
  <c r="R49" i="1"/>
  <c r="I131" i="1"/>
  <c r="J49" i="1"/>
  <c r="S131" i="1"/>
  <c r="T49" i="1"/>
  <c r="H131" i="1"/>
  <c r="I49" i="1"/>
  <c r="E131" i="1"/>
  <c r="F49" i="1"/>
  <c r="L131" i="1"/>
  <c r="M49" i="1"/>
  <c r="O131" i="1"/>
  <c r="P49" i="1"/>
  <c r="N131" i="1"/>
  <c r="O49" i="1"/>
  <c r="K131" i="1"/>
  <c r="L49" i="1"/>
  <c r="F131" i="1"/>
  <c r="G49" i="1"/>
  <c r="G131" i="1"/>
  <c r="H49" i="1"/>
  <c r="M131" i="1"/>
  <c r="N49" i="1"/>
  <c r="J131" i="1"/>
  <c r="K49" i="1"/>
  <c r="CN222" i="1"/>
  <c r="CN220" i="1" s="1"/>
  <c r="CO153" i="1"/>
  <c r="CV96" i="1"/>
  <c r="AD221" i="1"/>
  <c r="AB161" i="1"/>
  <c r="AE156" i="1"/>
  <c r="AD156" i="1"/>
  <c r="CT82" i="1"/>
  <c r="CS84" i="1"/>
  <c r="C131" i="1"/>
  <c r="BY1" i="1"/>
  <c r="L48" i="1"/>
  <c r="N48" i="1"/>
  <c r="F48" i="1"/>
  <c r="O48" i="1"/>
  <c r="U53" i="1"/>
  <c r="U57" i="1" s="1"/>
  <c r="U48" i="1"/>
  <c r="G48" i="1"/>
  <c r="S48" i="1"/>
  <c r="M48" i="1"/>
  <c r="R48" i="1"/>
  <c r="J48" i="1"/>
  <c r="I48" i="1"/>
  <c r="P48" i="1"/>
  <c r="H48" i="1"/>
  <c r="K48" i="1"/>
  <c r="T48" i="1"/>
  <c r="Q48" i="1"/>
  <c r="T251" i="1"/>
  <c r="T252" i="1" s="1"/>
  <c r="Q251" i="1"/>
  <c r="Q252" i="1" s="1"/>
  <c r="K251" i="1"/>
  <c r="K252" i="1" s="1"/>
  <c r="O251" i="1"/>
  <c r="O252" i="1" s="1"/>
  <c r="U251" i="1"/>
  <c r="U252" i="1" s="1"/>
  <c r="L251" i="1"/>
  <c r="L252" i="1" s="1"/>
  <c r="C251" i="1"/>
  <c r="C252" i="1" s="1"/>
  <c r="I251" i="1"/>
  <c r="I252" i="1" s="1"/>
  <c r="G251" i="1"/>
  <c r="G252" i="1" s="1"/>
  <c r="R251" i="1"/>
  <c r="R252" i="1" s="1"/>
  <c r="P251" i="1"/>
  <c r="P252" i="1" s="1"/>
  <c r="F251" i="1"/>
  <c r="F252" i="1" s="1"/>
  <c r="M251" i="1"/>
  <c r="M252" i="1" s="1"/>
  <c r="N251" i="1"/>
  <c r="N252" i="1" s="1"/>
  <c r="E251" i="1"/>
  <c r="E252" i="1" s="1"/>
  <c r="S251" i="1"/>
  <c r="S252" i="1" s="1"/>
  <c r="J251" i="1"/>
  <c r="J252" i="1" s="1"/>
  <c r="H251" i="1"/>
  <c r="H252" i="1" s="1"/>
  <c r="B53" i="1"/>
  <c r="L53" i="1"/>
  <c r="Q53" i="1"/>
  <c r="T53" i="1"/>
  <c r="N53" i="1"/>
  <c r="S53" i="1"/>
  <c r="F53" i="1"/>
  <c r="K53" i="1"/>
  <c r="H53" i="1"/>
  <c r="I53" i="1"/>
  <c r="P53" i="1"/>
  <c r="C53" i="1"/>
  <c r="O53" i="1"/>
  <c r="R53" i="1"/>
  <c r="M53" i="1"/>
  <c r="G53" i="1"/>
  <c r="E53" i="1"/>
  <c r="J53" i="1"/>
  <c r="BX67" i="1" l="1"/>
  <c r="BY63" i="1"/>
  <c r="AK212" i="1"/>
  <c r="AK214" i="1" s="1"/>
  <c r="AK85" i="1"/>
  <c r="AK71" i="1"/>
  <c r="CA73" i="1"/>
  <c r="BX85" i="1"/>
  <c r="CA88" i="1" s="1"/>
  <c r="BX212" i="1"/>
  <c r="BX214" i="1" s="1"/>
  <c r="BX71" i="1"/>
  <c r="AK226" i="1"/>
  <c r="AK224" i="1" s="1"/>
  <c r="AL226" i="1"/>
  <c r="AL224" i="1" s="1"/>
  <c r="BK183" i="1"/>
  <c r="BM183" i="1"/>
  <c r="CO157" i="1"/>
  <c r="CP51" i="1"/>
  <c r="CW96" i="1"/>
  <c r="AE159" i="1"/>
  <c r="AE221" i="1" s="1"/>
  <c r="CT84" i="1"/>
  <c r="CU82" i="1"/>
  <c r="BZ1" i="1"/>
  <c r="U60" i="1"/>
  <c r="V62" i="1" s="1"/>
  <c r="U59" i="1"/>
  <c r="P57" i="1"/>
  <c r="P60" i="1" s="1"/>
  <c r="R57" i="1"/>
  <c r="R60" i="1" s="1"/>
  <c r="E57" i="1"/>
  <c r="S57" i="1"/>
  <c r="S59" i="1" s="1"/>
  <c r="G57" i="1"/>
  <c r="G60" i="1" s="1"/>
  <c r="K57" i="1"/>
  <c r="K60" i="1" s="1"/>
  <c r="B57" i="1"/>
  <c r="O57" i="1"/>
  <c r="O60" i="1" s="1"/>
  <c r="H57" i="1"/>
  <c r="H60" i="1" s="1"/>
  <c r="N57" i="1"/>
  <c r="N60" i="1" s="1"/>
  <c r="L57" i="1"/>
  <c r="L59" i="1" s="1"/>
  <c r="C57" i="1"/>
  <c r="M57" i="1"/>
  <c r="M59" i="1" s="1"/>
  <c r="T57" i="1"/>
  <c r="T60" i="1" s="1"/>
  <c r="F57" i="1"/>
  <c r="F59" i="1" s="1"/>
  <c r="J57" i="1"/>
  <c r="J59" i="1" s="1"/>
  <c r="I57" i="1"/>
  <c r="I59" i="1" s="1"/>
  <c r="Q57" i="1"/>
  <c r="Q60" i="1" s="1"/>
  <c r="V253" i="1"/>
  <c r="R62" i="1" l="1"/>
  <c r="CE89" i="1"/>
  <c r="CA106" i="1"/>
  <c r="CA105" i="1"/>
  <c r="CD109" i="1" s="1"/>
  <c r="BW108" i="1"/>
  <c r="CA104" i="1"/>
  <c r="U62" i="1"/>
  <c r="O62" i="1"/>
  <c r="AB51" i="1"/>
  <c r="B60" i="1"/>
  <c r="B59" i="1"/>
  <c r="C60" i="1"/>
  <c r="C59" i="1"/>
  <c r="E60" i="1"/>
  <c r="E67" i="1" s="1"/>
  <c r="E59" i="1"/>
  <c r="P62" i="1"/>
  <c r="H62" i="1"/>
  <c r="Q62" i="1"/>
  <c r="BJ184" i="1"/>
  <c r="BJ185" i="1" s="1"/>
  <c r="BL184" i="1"/>
  <c r="BL185" i="1" s="1"/>
  <c r="CP213" i="1"/>
  <c r="CP151" i="1"/>
  <c r="CO222" i="1"/>
  <c r="CO220" i="1" s="1"/>
  <c r="CX96" i="1"/>
  <c r="CV82" i="1"/>
  <c r="CU84" i="1"/>
  <c r="CA1" i="1"/>
  <c r="CB1" i="1" s="1"/>
  <c r="O59" i="1"/>
  <c r="BL253" i="1"/>
  <c r="S60" i="1"/>
  <c r="U61" i="1"/>
  <c r="U264" i="1" s="1"/>
  <c r="P61" i="1"/>
  <c r="P264" i="1" s="1"/>
  <c r="Q67" i="1"/>
  <c r="Q61" i="1"/>
  <c r="Q264" i="1" s="1"/>
  <c r="L60" i="1"/>
  <c r="P59" i="1"/>
  <c r="H61" i="1"/>
  <c r="H264" i="1" s="1"/>
  <c r="G61" i="1"/>
  <c r="G264" i="1" s="1"/>
  <c r="U67" i="1"/>
  <c r="N61" i="1"/>
  <c r="N264" i="1" s="1"/>
  <c r="R61" i="1"/>
  <c r="R264" i="1" s="1"/>
  <c r="K61" i="1"/>
  <c r="K264" i="1" s="1"/>
  <c r="O67" i="1"/>
  <c r="O61" i="1"/>
  <c r="O264" i="1" s="1"/>
  <c r="T67" i="1"/>
  <c r="T61" i="1"/>
  <c r="T264" i="1" s="1"/>
  <c r="R59" i="1"/>
  <c r="K59" i="1"/>
  <c r="N59" i="1"/>
  <c r="G59" i="1"/>
  <c r="H59" i="1"/>
  <c r="J60" i="1"/>
  <c r="K62" i="1" s="1"/>
  <c r="M60" i="1"/>
  <c r="N62" i="1" s="1"/>
  <c r="T59" i="1"/>
  <c r="F60" i="1"/>
  <c r="G62" i="1" s="1"/>
  <c r="I60" i="1"/>
  <c r="I62" i="1" s="1"/>
  <c r="O253" i="1"/>
  <c r="Q59" i="1"/>
  <c r="P253" i="1"/>
  <c r="P67" i="1"/>
  <c r="K253" i="1"/>
  <c r="K67" i="1"/>
  <c r="H253" i="1"/>
  <c r="H67" i="1"/>
  <c r="R67" i="1"/>
  <c r="N67" i="1"/>
  <c r="G67" i="1"/>
  <c r="G253" i="1"/>
  <c r="R253" i="1"/>
  <c r="N253" i="1"/>
  <c r="Q253" i="1"/>
  <c r="U253" i="1"/>
  <c r="T253" i="1"/>
  <c r="V71" i="1"/>
  <c r="V212" i="1"/>
  <c r="V214" i="1" s="1"/>
  <c r="E253" i="1" l="1"/>
  <c r="AB213" i="1"/>
  <c r="E61" i="1"/>
  <c r="E264" i="1" s="1"/>
  <c r="E62" i="1"/>
  <c r="D62" i="1"/>
  <c r="C61" i="1"/>
  <c r="B61" i="1"/>
  <c r="C62" i="1"/>
  <c r="F62" i="1"/>
  <c r="M62" i="1"/>
  <c r="S61" i="1"/>
  <c r="S264" i="1" s="1"/>
  <c r="T62" i="1"/>
  <c r="L62" i="1"/>
  <c r="J62" i="1"/>
  <c r="S62" i="1"/>
  <c r="AB151" i="1"/>
  <c r="AB153" i="1" s="1"/>
  <c r="AB52" i="1" s="1"/>
  <c r="CP153" i="1"/>
  <c r="AD96" i="1"/>
  <c r="CY96" i="1"/>
  <c r="CV84" i="1"/>
  <c r="CW82" i="1"/>
  <c r="CC1" i="1"/>
  <c r="K71" i="1"/>
  <c r="G71" i="1"/>
  <c r="E71" i="1"/>
  <c r="S67" i="1"/>
  <c r="S253" i="1"/>
  <c r="L253" i="1"/>
  <c r="L67" i="1"/>
  <c r="O212" i="1"/>
  <c r="O214" i="1" s="1"/>
  <c r="O71" i="1"/>
  <c r="B253" i="1"/>
  <c r="B67" i="1"/>
  <c r="M67" i="1"/>
  <c r="M61" i="1"/>
  <c r="M264" i="1" s="1"/>
  <c r="C253" i="1"/>
  <c r="I67" i="1"/>
  <c r="I61" i="1"/>
  <c r="I264" i="1" s="1"/>
  <c r="J67" i="1"/>
  <c r="J61" i="1"/>
  <c r="J264" i="1" s="1"/>
  <c r="F67" i="1"/>
  <c r="F61" i="1"/>
  <c r="F264" i="1" s="1"/>
  <c r="L61" i="1"/>
  <c r="L264" i="1" s="1"/>
  <c r="J253" i="1"/>
  <c r="E212" i="1"/>
  <c r="E214" i="1" s="1"/>
  <c r="R212" i="1"/>
  <c r="R214" i="1" s="1"/>
  <c r="M253" i="1"/>
  <c r="R71" i="1"/>
  <c r="I253" i="1"/>
  <c r="H71" i="1"/>
  <c r="H212" i="1"/>
  <c r="H214" i="1" s="1"/>
  <c r="F253" i="1"/>
  <c r="C67" i="1"/>
  <c r="N212" i="1"/>
  <c r="N214" i="1" s="1"/>
  <c r="N71" i="1"/>
  <c r="G212" i="1"/>
  <c r="G214" i="1" s="1"/>
  <c r="P71" i="1"/>
  <c r="K212" i="1"/>
  <c r="K214" i="1" s="1"/>
  <c r="P212" i="1"/>
  <c r="P214" i="1" s="1"/>
  <c r="U71" i="1"/>
  <c r="U212" i="1"/>
  <c r="U214" i="1" s="1"/>
  <c r="Q71" i="1"/>
  <c r="Q212" i="1"/>
  <c r="Q214" i="1" s="1"/>
  <c r="T71" i="1"/>
  <c r="T212" i="1"/>
  <c r="T214" i="1" s="1"/>
  <c r="CP157" i="1" l="1"/>
  <c r="CP222" i="1" s="1"/>
  <c r="CP220" i="1" s="1"/>
  <c r="CQ51" i="1"/>
  <c r="CZ96" i="1"/>
  <c r="AC161" i="1"/>
  <c r="CX82" i="1"/>
  <c r="CW84" i="1"/>
  <c r="CD1" i="1"/>
  <c r="CE1" i="1" s="1"/>
  <c r="CF1" i="1" s="1"/>
  <c r="CG1" i="1" s="1"/>
  <c r="CH1" i="1" s="1"/>
  <c r="CI1" i="1" s="1"/>
  <c r="CJ1" i="1" s="1"/>
  <c r="CK1" i="1" s="1"/>
  <c r="L212" i="1"/>
  <c r="L214" i="1" s="1"/>
  <c r="J212" i="1"/>
  <c r="J214" i="1" s="1"/>
  <c r="M212" i="1"/>
  <c r="M214" i="1" s="1"/>
  <c r="B71" i="1"/>
  <c r="F71" i="1"/>
  <c r="I71" i="1"/>
  <c r="C71" i="1"/>
  <c r="L71" i="1"/>
  <c r="S71" i="1"/>
  <c r="J71" i="1"/>
  <c r="S212" i="1"/>
  <c r="S214" i="1" s="1"/>
  <c r="M71" i="1"/>
  <c r="I212" i="1"/>
  <c r="I214" i="1" s="1"/>
  <c r="F212" i="1"/>
  <c r="F214" i="1" s="1"/>
  <c r="C212" i="1"/>
  <c r="C214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E84" i="2"/>
  <c r="D90" i="2"/>
  <c r="T97" i="2"/>
  <c r="D108" i="2"/>
  <c r="T42" i="2"/>
  <c r="F95" i="2"/>
  <c r="T90" i="2"/>
  <c r="Q74" i="2"/>
  <c r="T40" i="2"/>
  <c r="W59" i="2"/>
  <c r="L44" i="2"/>
  <c r="D79" i="2"/>
  <c r="T68" i="2"/>
  <c r="X69" i="2"/>
  <c r="S93" i="2"/>
  <c r="U109" i="2"/>
  <c r="L60" i="2"/>
  <c r="F61" i="2"/>
  <c r="J97" i="2"/>
  <c r="W53" i="2"/>
  <c r="T56" i="2"/>
  <c r="H42" i="2"/>
  <c r="C97" i="2"/>
  <c r="W45" i="2"/>
  <c r="D40" i="2"/>
  <c r="T52" i="2"/>
  <c r="V97" i="2"/>
  <c r="S111" i="2"/>
  <c r="C66" i="2"/>
  <c r="J95" i="2"/>
  <c r="V45" i="2"/>
  <c r="G60" i="2"/>
  <c r="N92" i="2"/>
  <c r="F69" i="2"/>
  <c r="AB61" i="3"/>
  <c r="AB77" i="3"/>
  <c r="AP61" i="3"/>
  <c r="AP87" i="3"/>
  <c r="AB67" i="3"/>
  <c r="AB74" i="3"/>
  <c r="H17" i="3"/>
  <c r="H41" i="3"/>
  <c r="AO33" i="3"/>
  <c r="AL41" i="3"/>
  <c r="X31" i="3"/>
  <c r="P10" i="3"/>
  <c r="AD35" i="3"/>
  <c r="G41" i="3"/>
  <c r="AB41" i="3"/>
  <c r="I36" i="3"/>
  <c r="AH17" i="3"/>
  <c r="N39" i="3"/>
  <c r="L29" i="3"/>
  <c r="AJ24" i="3"/>
  <c r="W19" i="3"/>
  <c r="AO21" i="3"/>
  <c r="AP23" i="3"/>
  <c r="AB22" i="3"/>
  <c r="AH36" i="3"/>
  <c r="AN32" i="3"/>
  <c r="AN35" i="3"/>
  <c r="C32" i="3"/>
  <c r="L31" i="3"/>
  <c r="M9" i="3"/>
  <c r="H21" i="3"/>
  <c r="H36" i="3"/>
  <c r="J34" i="3"/>
  <c r="T41" i="3"/>
  <c r="J27" i="3"/>
  <c r="Q19" i="3"/>
  <c r="O20" i="3"/>
  <c r="Z24" i="3"/>
  <c r="C34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W48" i="2"/>
  <c r="U74" i="2"/>
  <c r="V107" i="2"/>
  <c r="J50" i="2"/>
  <c r="D50" i="2"/>
  <c r="I83" i="2"/>
  <c r="I76" i="2"/>
  <c r="C71" i="2"/>
  <c r="J57" i="2"/>
  <c r="H95" i="2"/>
  <c r="S108" i="2"/>
  <c r="F109" i="2"/>
  <c r="U55" i="2"/>
  <c r="F68" i="2"/>
  <c r="K67" i="2"/>
  <c r="H79" i="2"/>
  <c r="X89" i="2"/>
  <c r="U90" i="2"/>
  <c r="F43" i="2"/>
  <c r="O65" i="2"/>
  <c r="E56" i="2"/>
  <c r="U106" i="2"/>
  <c r="N79" i="2"/>
  <c r="J77" i="2"/>
  <c r="Q72" i="2"/>
  <c r="I51" i="2"/>
  <c r="O91" i="2"/>
  <c r="D75" i="2"/>
  <c r="I88" i="2"/>
  <c r="T57" i="2"/>
  <c r="U85" i="2"/>
  <c r="W52" i="2"/>
  <c r="Q47" i="2"/>
  <c r="T110" i="2"/>
  <c r="M47" i="2"/>
  <c r="AB81" i="3"/>
  <c r="AP97" i="3"/>
  <c r="AB94" i="3"/>
  <c r="AP94" i="3"/>
  <c r="AP72" i="3"/>
  <c r="H20" i="3"/>
  <c r="AP12" i="3"/>
  <c r="Y22" i="3"/>
  <c r="AP25" i="3"/>
  <c r="R25" i="3"/>
  <c r="AH21" i="3"/>
  <c r="AN31" i="3"/>
  <c r="V24" i="3"/>
  <c r="W37" i="3"/>
  <c r="Q27" i="3"/>
  <c r="N19" i="3"/>
  <c r="Y6" i="3"/>
  <c r="I16" i="3"/>
  <c r="W40" i="3"/>
  <c r="O5" i="3"/>
  <c r="AH15" i="3"/>
  <c r="V41" i="3"/>
  <c r="W15" i="3"/>
  <c r="M36" i="3"/>
  <c r="AC27" i="3"/>
  <c r="AE7" i="3"/>
  <c r="C12" i="3"/>
  <c r="AL9" i="3"/>
  <c r="C25" i="3"/>
  <c r="R40" i="3"/>
  <c r="O16" i="3"/>
  <c r="AK30" i="3"/>
  <c r="S9" i="3"/>
  <c r="S17" i="3"/>
  <c r="AP14" i="3"/>
  <c r="AN6" i="3"/>
  <c r="AC19" i="3"/>
  <c r="X38" i="3"/>
  <c r="M31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U57" i="2"/>
  <c r="G109" i="2"/>
  <c r="F108" i="2"/>
  <c r="I85" i="2"/>
  <c r="G92" i="2"/>
  <c r="M46" i="2"/>
  <c r="Q91" i="2"/>
  <c r="U92" i="2"/>
  <c r="F42" i="2"/>
  <c r="O106" i="2"/>
  <c r="P41" i="2"/>
  <c r="C47" i="2"/>
  <c r="L94" i="2"/>
  <c r="R98" i="2"/>
  <c r="W111" i="2"/>
  <c r="D96" i="2"/>
  <c r="J68" i="2"/>
  <c r="K48" i="2"/>
  <c r="V56" i="2"/>
  <c r="X105" i="2"/>
  <c r="N75" i="2"/>
  <c r="M109" i="2"/>
  <c r="K55" i="2"/>
  <c r="K112" i="2"/>
  <c r="M68" i="2"/>
  <c r="S56" i="2"/>
  <c r="E97" i="2"/>
  <c r="F45" i="2"/>
  <c r="K73" i="2"/>
  <c r="E87" i="2"/>
  <c r="N63" i="2"/>
  <c r="N55" i="2"/>
  <c r="E78" i="2"/>
  <c r="U64" i="2"/>
  <c r="L97" i="2"/>
  <c r="AB68" i="3"/>
  <c r="AB72" i="3"/>
  <c r="AP79" i="3"/>
  <c r="AB87" i="3"/>
  <c r="AB69" i="3"/>
  <c r="T23" i="3"/>
  <c r="J36" i="3"/>
  <c r="C23" i="3"/>
  <c r="AQ39" i="3"/>
  <c r="S31" i="3"/>
  <c r="AL27" i="3"/>
  <c r="L25" i="3"/>
  <c r="AK12" i="3"/>
  <c r="H28" i="3"/>
  <c r="M29" i="3"/>
  <c r="AQ38" i="3"/>
  <c r="Z25" i="3"/>
  <c r="N34" i="3"/>
  <c r="L33" i="3"/>
  <c r="X14" i="3"/>
  <c r="AP30" i="3"/>
  <c r="L8" i="3"/>
  <c r="R15" i="3"/>
  <c r="AM40" i="3"/>
  <c r="T35" i="3"/>
  <c r="AG27" i="3"/>
  <c r="C22" i="3"/>
  <c r="O41" i="3"/>
  <c r="O15" i="3"/>
  <c r="AN25" i="3"/>
  <c r="AB11" i="3"/>
  <c r="J18" i="3"/>
  <c r="AN23" i="3"/>
  <c r="I15" i="3"/>
  <c r="AK11" i="3"/>
  <c r="AL10" i="3"/>
  <c r="AP28" i="3"/>
  <c r="I25" i="3"/>
  <c r="H42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T45" i="2"/>
  <c r="L95" i="2"/>
  <c r="F105" i="2"/>
  <c r="V74" i="2"/>
  <c r="U75" i="2"/>
  <c r="D45" i="2"/>
  <c r="X108" i="2"/>
  <c r="R62" i="2"/>
  <c r="W75" i="2"/>
  <c r="M86" i="2"/>
  <c r="C89" i="2"/>
  <c r="O87" i="2"/>
  <c r="P99" i="2"/>
  <c r="G53" i="2"/>
  <c r="K72" i="2"/>
  <c r="W89" i="2"/>
  <c r="O63" i="2"/>
  <c r="N43" i="2"/>
  <c r="J87" i="2"/>
  <c r="I42" i="2"/>
  <c r="I87" i="2"/>
  <c r="D104" i="2"/>
  <c r="G87" i="2"/>
  <c r="G49" i="2"/>
  <c r="P49" i="2"/>
  <c r="W64" i="2"/>
  <c r="H57" i="2"/>
  <c r="M64" i="2"/>
  <c r="R65" i="2"/>
  <c r="N46" i="2"/>
  <c r="D113" i="2"/>
  <c r="G69" i="2"/>
  <c r="S95" i="2"/>
  <c r="V83" i="2"/>
  <c r="U51" i="2"/>
  <c r="AP84" i="3"/>
  <c r="AB47" i="3"/>
  <c r="AP63" i="3"/>
  <c r="AB54" i="3"/>
  <c r="AB64" i="3"/>
  <c r="C28" i="3"/>
  <c r="C37" i="3"/>
  <c r="AQ13" i="3"/>
  <c r="AP10" i="3"/>
  <c r="AD50" i="3"/>
  <c r="AG42" i="3"/>
  <c r="I28" i="3"/>
  <c r="AI24" i="3"/>
  <c r="K38" i="3"/>
  <c r="K40" i="3"/>
  <c r="R35" i="3"/>
  <c r="AA12" i="3"/>
  <c r="AL30" i="3"/>
  <c r="Y13" i="3"/>
  <c r="X28" i="3"/>
  <c r="I26" i="3"/>
  <c r="AC22" i="3"/>
  <c r="Y39" i="3"/>
  <c r="AC29" i="3"/>
  <c r="AJ30" i="3"/>
  <c r="M32" i="3"/>
  <c r="AC37" i="3"/>
  <c r="AP8" i="3"/>
  <c r="M13" i="3"/>
  <c r="AP16" i="3"/>
  <c r="P27" i="3"/>
  <c r="V34" i="3"/>
  <c r="Y28" i="3"/>
  <c r="AP26" i="3"/>
  <c r="J8" i="3"/>
  <c r="R17" i="3"/>
  <c r="U12" i="3"/>
  <c r="AI34" i="3"/>
  <c r="C15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S69" i="2"/>
  <c r="N97" i="2"/>
  <c r="V49" i="2"/>
  <c r="Q63" i="2"/>
  <c r="H112" i="2"/>
  <c r="W73" i="2"/>
  <c r="J80" i="2"/>
  <c r="K82" i="2"/>
  <c r="P87" i="2"/>
  <c r="M99" i="2"/>
  <c r="H41" i="2"/>
  <c r="U78" i="2"/>
  <c r="E99" i="2"/>
  <c r="E89" i="2"/>
  <c r="M94" i="2"/>
  <c r="Q94" i="2"/>
  <c r="Q79" i="2"/>
  <c r="T41" i="2"/>
  <c r="I43" i="2"/>
  <c r="X56" i="2"/>
  <c r="C93" i="2"/>
  <c r="N109" i="2"/>
  <c r="P93" i="2"/>
  <c r="X111" i="2"/>
  <c r="Q86" i="2"/>
  <c r="I110" i="2"/>
  <c r="I69" i="2"/>
  <c r="G94" i="2"/>
  <c r="G86" i="2"/>
  <c r="G64" i="2"/>
  <c r="P77" i="2"/>
  <c r="L67" i="2"/>
  <c r="P45" i="2"/>
  <c r="K111" i="2"/>
  <c r="F93" i="2"/>
  <c r="AB73" i="3"/>
  <c r="AP88" i="3"/>
  <c r="AB96" i="3"/>
  <c r="AP95" i="3"/>
  <c r="AP67" i="3"/>
  <c r="AM33" i="3"/>
  <c r="L19" i="3"/>
  <c r="P39" i="3"/>
  <c r="Q34" i="3"/>
  <c r="AN22" i="3"/>
  <c r="U30" i="3"/>
  <c r="P5" i="3"/>
  <c r="S36" i="3"/>
  <c r="AP41" i="3"/>
  <c r="U15" i="3"/>
  <c r="L37" i="3"/>
  <c r="AM25" i="3"/>
  <c r="X24" i="3"/>
  <c r="P25" i="3"/>
  <c r="AM11" i="3"/>
  <c r="AE34" i="3"/>
  <c r="I39" i="3"/>
  <c r="AK17" i="3"/>
  <c r="U31" i="3"/>
  <c r="AG7" i="3"/>
  <c r="V9" i="3"/>
  <c r="AM12" i="3"/>
  <c r="AA31" i="3"/>
  <c r="V18" i="3"/>
  <c r="AO14" i="3"/>
  <c r="K23" i="3"/>
  <c r="AJ23" i="3"/>
  <c r="AO24" i="3"/>
  <c r="AQ32" i="3"/>
  <c r="L30" i="3"/>
  <c r="T22" i="3"/>
  <c r="AL16" i="3"/>
  <c r="AC7" i="3"/>
  <c r="M33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P88" i="2"/>
  <c r="T88" i="2"/>
  <c r="M110" i="2"/>
  <c r="R95" i="2"/>
  <c r="V72" i="2"/>
  <c r="O82" i="2"/>
  <c r="L48" i="2"/>
  <c r="I77" i="2"/>
  <c r="T66" i="2"/>
  <c r="F106" i="2"/>
  <c r="R87" i="2"/>
  <c r="R63" i="2"/>
  <c r="O90" i="2"/>
  <c r="Q82" i="2"/>
  <c r="R112" i="2"/>
  <c r="S88" i="2"/>
  <c r="N108" i="2"/>
  <c r="E83" i="2"/>
  <c r="J111" i="2"/>
  <c r="M95" i="2"/>
  <c r="Q61" i="2"/>
  <c r="T71" i="2"/>
  <c r="O79" i="2"/>
  <c r="D73" i="2"/>
  <c r="D67" i="2"/>
  <c r="H63" i="2"/>
  <c r="F77" i="2"/>
  <c r="H88" i="2"/>
  <c r="X78" i="2"/>
  <c r="N67" i="2"/>
  <c r="I40" i="2"/>
  <c r="S66" i="2"/>
  <c r="E77" i="2"/>
  <c r="O47" i="2"/>
  <c r="V79" i="2"/>
  <c r="AP96" i="3"/>
  <c r="AP90" i="3"/>
  <c r="AB71" i="3"/>
  <c r="AP74" i="3"/>
  <c r="AB91" i="3"/>
  <c r="C21" i="3"/>
  <c r="N24" i="3"/>
  <c r="AJ17" i="3"/>
  <c r="AH31" i="3"/>
  <c r="O29" i="3"/>
  <c r="V8" i="3"/>
  <c r="AD37" i="3"/>
  <c r="S12" i="3"/>
  <c r="AE9" i="3"/>
  <c r="O38" i="3"/>
  <c r="AP19" i="3"/>
  <c r="K29" i="3"/>
  <c r="T32" i="3"/>
  <c r="AP36" i="3"/>
  <c r="AH42" i="3"/>
  <c r="H6" i="3"/>
  <c r="S42" i="3"/>
  <c r="AL31" i="3"/>
  <c r="Y18" i="3"/>
  <c r="AN20" i="3"/>
  <c r="J25" i="3"/>
  <c r="M20" i="3"/>
  <c r="AD32" i="3"/>
  <c r="M25" i="3"/>
  <c r="R30" i="3"/>
  <c r="T30" i="3"/>
  <c r="V33" i="3"/>
  <c r="N21" i="3"/>
  <c r="W7" i="3"/>
  <c r="AN34" i="3"/>
  <c r="Q38" i="3"/>
  <c r="W6" i="3"/>
  <c r="J38" i="3"/>
  <c r="S30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Q37" i="3"/>
  <c r="AM30" i="3"/>
  <c r="Y37" i="3"/>
  <c r="H7" i="3"/>
  <c r="P23" i="3"/>
  <c r="AC31" i="3"/>
  <c r="M48" i="2"/>
  <c r="P66" i="2"/>
  <c r="H110" i="2"/>
  <c r="J93" i="2"/>
  <c r="V65" i="2"/>
  <c r="F41" i="2"/>
  <c r="H84" i="2"/>
  <c r="C49" i="2"/>
  <c r="E104" i="2"/>
  <c r="W83" i="2"/>
  <c r="K95" i="2"/>
  <c r="L69" i="2"/>
  <c r="I56" i="2"/>
  <c r="M89" i="2"/>
  <c r="G110" i="2"/>
  <c r="N52" i="2"/>
  <c r="R80" i="2"/>
  <c r="D71" i="2"/>
  <c r="M81" i="2"/>
  <c r="L80" i="2"/>
  <c r="V82" i="2"/>
  <c r="Q42" i="2"/>
  <c r="S83" i="2"/>
  <c r="V46" i="2"/>
  <c r="Q60" i="2"/>
  <c r="R45" i="2"/>
  <c r="N110" i="2"/>
  <c r="J90" i="2"/>
  <c r="K83" i="2"/>
  <c r="C51" i="2"/>
  <c r="H77" i="2"/>
  <c r="S54" i="2"/>
  <c r="C56" i="2"/>
  <c r="O108" i="2"/>
  <c r="N77" i="2"/>
  <c r="AP75" i="3"/>
  <c r="AB92" i="3"/>
  <c r="AP91" i="3"/>
  <c r="AB56" i="3"/>
  <c r="AB66" i="3"/>
  <c r="W5" i="3"/>
  <c r="M35" i="3"/>
  <c r="AM16" i="3"/>
  <c r="X30" i="3"/>
  <c r="S16" i="3"/>
  <c r="R36" i="3"/>
  <c r="AD24" i="3"/>
  <c r="AE24" i="3"/>
  <c r="I19" i="3"/>
  <c r="G42" i="3"/>
  <c r="AI11" i="3"/>
  <c r="J37" i="3"/>
  <c r="P30" i="3"/>
  <c r="K36" i="3"/>
  <c r="Z11" i="3"/>
  <c r="AG37" i="3"/>
  <c r="U41" i="3"/>
  <c r="AH24" i="3"/>
  <c r="AH22" i="3"/>
  <c r="AA36" i="3"/>
  <c r="P8" i="3"/>
  <c r="AM26" i="3"/>
  <c r="G40" i="3"/>
  <c r="Q26" i="3"/>
  <c r="S11" i="3"/>
  <c r="Q29" i="3"/>
  <c r="N35" i="3"/>
  <c r="AL22" i="3"/>
  <c r="AJ14" i="3"/>
  <c r="AM9" i="3"/>
  <c r="AE42" i="3"/>
  <c r="AA21" i="3"/>
  <c r="AQ9" i="3"/>
  <c r="AB12" i="3"/>
  <c r="AG21" i="3"/>
  <c r="U28" i="3"/>
  <c r="AE8" i="3"/>
  <c r="R14" i="3"/>
  <c r="X5" i="3"/>
  <c r="AK34" i="3"/>
  <c r="AC9" i="3"/>
  <c r="AQ21" i="3"/>
  <c r="AB26" i="3"/>
  <c r="H18" i="3"/>
  <c r="Y24" i="3"/>
  <c r="AI42" i="3"/>
  <c r="AE20" i="3"/>
  <c r="AE41" i="3"/>
  <c r="N42" i="3"/>
  <c r="R10" i="3"/>
  <c r="I108" i="2"/>
  <c r="X73" i="2"/>
  <c r="N84" i="2"/>
  <c r="X50" i="2"/>
  <c r="G96" i="2"/>
  <c r="S86" i="2"/>
  <c r="F71" i="2"/>
  <c r="R55" i="2"/>
  <c r="H70" i="2"/>
  <c r="O105" i="2"/>
  <c r="F72" i="2"/>
  <c r="X113" i="2"/>
  <c r="S84" i="2"/>
  <c r="I47" i="2"/>
  <c r="U83" i="2"/>
  <c r="X51" i="2"/>
  <c r="W67" i="2"/>
  <c r="U77" i="2"/>
  <c r="L96" i="2"/>
  <c r="X107" i="2"/>
  <c r="L99" i="2"/>
  <c r="G56" i="2"/>
  <c r="V109" i="2"/>
  <c r="I81" i="2"/>
  <c r="T86" i="2"/>
  <c r="V68" i="2"/>
  <c r="M56" i="2"/>
  <c r="H90" i="2"/>
  <c r="T62" i="2"/>
  <c r="K77" i="2"/>
  <c r="R40" i="2"/>
  <c r="X109" i="2"/>
  <c r="O61" i="2"/>
  <c r="F97" i="2"/>
  <c r="U113" i="2"/>
  <c r="AB57" i="3"/>
  <c r="AP55" i="3"/>
  <c r="AP58" i="3"/>
  <c r="AP76" i="3"/>
  <c r="AP49" i="3"/>
  <c r="P32" i="3"/>
  <c r="AJ38" i="3"/>
  <c r="G36" i="3"/>
  <c r="M10" i="3"/>
  <c r="AQ29" i="3"/>
  <c r="AJ22" i="3"/>
  <c r="AE31" i="3"/>
  <c r="AJ25" i="3"/>
  <c r="AA25" i="3"/>
  <c r="AA9" i="3"/>
  <c r="N40" i="3"/>
  <c r="AA8" i="3"/>
  <c r="X34" i="3"/>
  <c r="Q33" i="3"/>
  <c r="X35" i="3"/>
  <c r="AI15" i="3"/>
  <c r="Y34" i="3"/>
  <c r="Y11" i="3"/>
  <c r="Z35" i="3"/>
  <c r="L5" i="3"/>
  <c r="S34" i="3"/>
  <c r="AN37" i="3"/>
  <c r="AH37" i="3"/>
  <c r="AQ36" i="3"/>
  <c r="AI10" i="3"/>
  <c r="V29" i="3"/>
  <c r="C17" i="3"/>
  <c r="AI38" i="3"/>
  <c r="R6" i="3"/>
  <c r="AB30" i="3"/>
  <c r="R20" i="3"/>
  <c r="I41" i="3"/>
  <c r="AE18" i="3"/>
  <c r="K42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L84" i="2"/>
  <c r="N45" i="2"/>
  <c r="J71" i="2"/>
  <c r="C46" i="2"/>
  <c r="M92" i="2"/>
  <c r="R48" i="2"/>
  <c r="S43" i="2"/>
  <c r="S53" i="2"/>
  <c r="P70" i="2"/>
  <c r="L41" i="2"/>
  <c r="T94" i="2"/>
  <c r="K105" i="2"/>
  <c r="W42" i="2"/>
  <c r="W54" i="2"/>
  <c r="I86" i="2"/>
  <c r="H56" i="2"/>
  <c r="L79" i="2"/>
  <c r="J42" i="2"/>
  <c r="E93" i="2"/>
  <c r="M84" i="2"/>
  <c r="L64" i="2"/>
  <c r="C90" i="2"/>
  <c r="E80" i="2"/>
  <c r="J49" i="2"/>
  <c r="E113" i="2"/>
  <c r="R107" i="2"/>
  <c r="X97" i="2"/>
  <c r="I75" i="2"/>
  <c r="P48" i="2"/>
  <c r="G70" i="2"/>
  <c r="N70" i="2"/>
  <c r="P92" i="2"/>
  <c r="J81" i="2"/>
  <c r="U40" i="2"/>
  <c r="N47" i="2"/>
  <c r="AB59" i="3"/>
  <c r="AP59" i="3"/>
  <c r="AB63" i="3"/>
  <c r="AB49" i="3"/>
  <c r="AB76" i="3"/>
  <c r="I22" i="3"/>
  <c r="Z19" i="3"/>
  <c r="AJ31" i="3"/>
  <c r="W28" i="3"/>
  <c r="Z10" i="3"/>
  <c r="P34" i="3"/>
  <c r="AC39" i="3"/>
  <c r="AB20" i="3"/>
  <c r="Z15" i="3"/>
  <c r="J12" i="3"/>
  <c r="S33" i="3"/>
  <c r="AM22" i="3"/>
  <c r="T33" i="3"/>
  <c r="Q31" i="3"/>
  <c r="V12" i="3"/>
  <c r="W34" i="3"/>
  <c r="H24" i="3"/>
  <c r="W12" i="3"/>
  <c r="Y25" i="3"/>
  <c r="AB37" i="3"/>
  <c r="AK29" i="3"/>
  <c r="C41" i="3"/>
  <c r="H40" i="3"/>
  <c r="AN27" i="3"/>
  <c r="P20" i="3"/>
  <c r="AM5" i="3"/>
  <c r="N20" i="3"/>
  <c r="AE19" i="3"/>
  <c r="AK22" i="3"/>
  <c r="AG10" i="3"/>
  <c r="P18" i="3"/>
  <c r="AC8" i="3"/>
  <c r="V25" i="3"/>
  <c r="C30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E46" i="2"/>
  <c r="N88" i="2"/>
  <c r="O41" i="2"/>
  <c r="G47" i="2"/>
  <c r="M82" i="2"/>
  <c r="O98" i="2"/>
  <c r="W60" i="2"/>
  <c r="R81" i="2"/>
  <c r="D72" i="2"/>
  <c r="W40" i="2"/>
  <c r="S92" i="2"/>
  <c r="T75" i="2"/>
  <c r="T48" i="2"/>
  <c r="N66" i="2"/>
  <c r="R89" i="2"/>
  <c r="R84" i="2"/>
  <c r="L56" i="2"/>
  <c r="F112" i="2"/>
  <c r="V47" i="2"/>
  <c r="E88" i="2"/>
  <c r="V81" i="2"/>
  <c r="K65" i="2"/>
  <c r="C104" i="2"/>
  <c r="X53" i="2"/>
  <c r="C110" i="2"/>
  <c r="V91" i="2"/>
  <c r="V44" i="2"/>
  <c r="I93" i="2"/>
  <c r="S58" i="2"/>
  <c r="N44" i="2"/>
  <c r="K58" i="2"/>
  <c r="I79" i="2"/>
  <c r="N57" i="2"/>
  <c r="L109" i="2"/>
  <c r="V95" i="2"/>
  <c r="AP66" i="3"/>
  <c r="AP71" i="3"/>
  <c r="AP47" i="3"/>
  <c r="AB97" i="3"/>
  <c r="AP60" i="3"/>
  <c r="K13" i="3"/>
  <c r="V16" i="3"/>
  <c r="AK31" i="3"/>
  <c r="I38" i="3"/>
  <c r="E49" i="3"/>
  <c r="W22" i="3"/>
  <c r="I23" i="3"/>
  <c r="AH16" i="3"/>
  <c r="X27" i="3"/>
  <c r="H14" i="3"/>
  <c r="N14" i="3"/>
  <c r="V31" i="3"/>
  <c r="S35" i="3"/>
  <c r="U11" i="3"/>
  <c r="AA30" i="3"/>
  <c r="N5" i="3"/>
  <c r="AM41" i="3"/>
  <c r="M23" i="3"/>
  <c r="Z12" i="3"/>
  <c r="AD38" i="3"/>
  <c r="J42" i="3"/>
  <c r="X16" i="3"/>
  <c r="O42" i="3"/>
  <c r="O8" i="3"/>
  <c r="AI5" i="3"/>
  <c r="G32" i="3"/>
  <c r="AA6" i="3"/>
  <c r="S40" i="3"/>
  <c r="H9" i="3"/>
  <c r="J7" i="3"/>
  <c r="AP9" i="3"/>
  <c r="AK9" i="3"/>
  <c r="AC6" i="3"/>
  <c r="M7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M93" i="2"/>
  <c r="C41" i="2"/>
  <c r="J46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K84" i="2"/>
  <c r="J70" i="2"/>
  <c r="G105" i="2"/>
  <c r="J69" i="2"/>
  <c r="U59" i="2"/>
  <c r="O104" i="2"/>
  <c r="R73" i="2"/>
  <c r="D43" i="2"/>
  <c r="K46" i="2"/>
  <c r="O67" i="2"/>
  <c r="X104" i="2"/>
  <c r="W104" i="2"/>
  <c r="T58" i="2"/>
  <c r="E48" i="2"/>
  <c r="X112" i="2"/>
  <c r="X81" i="2"/>
  <c r="S64" i="2"/>
  <c r="M59" i="2"/>
  <c r="AB83" i="3"/>
  <c r="AB55" i="3"/>
  <c r="AP78" i="3"/>
  <c r="AB62" i="3"/>
  <c r="C49" i="3"/>
  <c r="AB84" i="3"/>
  <c r="AI6" i="3"/>
  <c r="AN33" i="3"/>
  <c r="M17" i="3"/>
  <c r="W26" i="3"/>
  <c r="Z6" i="3"/>
  <c r="Q36" i="3"/>
  <c r="H5" i="3"/>
  <c r="W33" i="3"/>
  <c r="I37" i="3"/>
  <c r="E47" i="3"/>
  <c r="U19" i="3"/>
  <c r="M11" i="3"/>
  <c r="AE25" i="3"/>
  <c r="AJ41" i="3"/>
  <c r="M15" i="3"/>
  <c r="T34" i="3"/>
  <c r="AM21" i="3"/>
  <c r="AB23" i="3"/>
  <c r="AA17" i="3"/>
  <c r="AP34" i="3"/>
  <c r="AH14" i="3"/>
  <c r="H19" i="3"/>
  <c r="M22" i="3"/>
  <c r="I13" i="3"/>
  <c r="AC13" i="3"/>
  <c r="AH11" i="3"/>
  <c r="Q23" i="3"/>
  <c r="AN7" i="3"/>
  <c r="AB21" i="3"/>
  <c r="AB10" i="3"/>
  <c r="M26" i="3"/>
  <c r="J17" i="3"/>
  <c r="AO34" i="3"/>
  <c r="AJ20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F49" i="2"/>
  <c r="X87" i="2"/>
  <c r="AP68" i="3"/>
  <c r="AK21" i="3"/>
  <c r="M39" i="3"/>
  <c r="Z9" i="3"/>
  <c r="L18" i="3"/>
  <c r="AA10" i="3"/>
  <c r="AA13" i="3"/>
  <c r="AO17" i="3"/>
  <c r="S39" i="3"/>
  <c r="AJ18" i="3"/>
  <c r="AL25" i="3"/>
  <c r="U34" i="3"/>
  <c r="S6" i="3"/>
  <c r="AA20" i="3"/>
  <c r="V26" i="3"/>
  <c r="Y10" i="3"/>
  <c r="AG12" i="3"/>
  <c r="AK8" i="3"/>
  <c r="AG14" i="3"/>
  <c r="AO42" i="3"/>
  <c r="X11" i="3"/>
  <c r="W30" i="3"/>
  <c r="R16" i="3"/>
  <c r="AD23" i="3"/>
  <c r="L21" i="3"/>
  <c r="Z27" i="3"/>
  <c r="Q18" i="3"/>
  <c r="X23" i="3"/>
  <c r="AL11" i="3"/>
  <c r="Q11" i="3"/>
  <c r="H33" i="3"/>
  <c r="U40" i="3"/>
  <c r="AJ29" i="3"/>
  <c r="X6" i="3"/>
  <c r="AQ7" i="3"/>
  <c r="C35" i="3"/>
  <c r="W32" i="3"/>
  <c r="AI33" i="3"/>
  <c r="K5" i="3"/>
  <c r="AD41" i="3"/>
  <c r="AO27" i="3"/>
  <c r="R23" i="3"/>
  <c r="C16" i="3"/>
  <c r="AO8" i="3"/>
  <c r="AB15" i="3"/>
  <c r="AB18" i="3"/>
  <c r="AL36" i="3"/>
  <c r="AB28" i="3"/>
  <c r="W17" i="3"/>
  <c r="AA29" i="3"/>
  <c r="R8" i="3"/>
  <c r="R19" i="3"/>
  <c r="AE22" i="3"/>
  <c r="K16" i="3"/>
  <c r="AK24" i="3"/>
  <c r="Y20" i="3"/>
  <c r="C14" i="3"/>
  <c r="AM10" i="3"/>
  <c r="P62" i="2"/>
  <c r="P60" i="2"/>
  <c r="AB48" i="3"/>
  <c r="H38" i="3"/>
  <c r="AC36" i="3"/>
  <c r="AO32" i="3"/>
  <c r="AP33" i="3"/>
  <c r="AQ40" i="3"/>
  <c r="AJ12" i="3"/>
  <c r="I10" i="3"/>
  <c r="I24" i="3"/>
  <c r="AL17" i="3"/>
  <c r="AM17" i="3"/>
  <c r="J6" i="3"/>
  <c r="Z41" i="3"/>
  <c r="I27" i="3"/>
  <c r="Q21" i="3"/>
  <c r="Z5" i="3"/>
  <c r="V5" i="3"/>
  <c r="AL14" i="3"/>
  <c r="K7" i="3"/>
  <c r="Z14" i="3"/>
  <c r="V14" i="3"/>
  <c r="AA28" i="3"/>
  <c r="V36" i="3"/>
  <c r="K37" i="3"/>
  <c r="J35" i="3"/>
  <c r="AG25" i="3"/>
  <c r="AA26" i="3"/>
  <c r="AJ26" i="3"/>
  <c r="Z42" i="3"/>
  <c r="AC38" i="3"/>
  <c r="V17" i="3"/>
  <c r="L24" i="3"/>
  <c r="AP38" i="3"/>
  <c r="S37" i="3"/>
  <c r="AH32" i="3"/>
  <c r="AK35" i="3"/>
  <c r="AP24" i="3"/>
  <c r="Q8" i="3"/>
  <c r="P14" i="3"/>
  <c r="AA39" i="3"/>
  <c r="Q25" i="3"/>
  <c r="AA37" i="3"/>
  <c r="J19" i="3"/>
  <c r="AQ18" i="3"/>
  <c r="U36" i="3"/>
  <c r="K14" i="3"/>
  <c r="Y15" i="3"/>
  <c r="AP27" i="3"/>
  <c r="AB32" i="3"/>
  <c r="AG22" i="3"/>
  <c r="G47" i="3"/>
  <c r="T5" i="3"/>
  <c r="V20" i="3"/>
  <c r="AG11" i="3"/>
  <c r="AC15" i="3"/>
  <c r="AC30" i="3"/>
  <c r="V37" i="3"/>
  <c r="N18" i="3"/>
  <c r="AK15" i="3"/>
  <c r="J10" i="3"/>
  <c r="V15" i="3"/>
  <c r="R109" i="2"/>
  <c r="X96" i="2"/>
  <c r="C78" i="2"/>
  <c r="C47" i="3"/>
  <c r="AA34" i="3"/>
  <c r="G35" i="3"/>
  <c r="L16" i="3"/>
  <c r="W9" i="3"/>
  <c r="X21" i="3"/>
  <c r="Y23" i="3"/>
  <c r="AD33" i="3"/>
  <c r="L9" i="3"/>
  <c r="Q14" i="3"/>
  <c r="Z22" i="3"/>
  <c r="AH19" i="3"/>
  <c r="C31" i="3"/>
  <c r="R34" i="3"/>
  <c r="Q37" i="3"/>
  <c r="L7" i="3"/>
  <c r="R22" i="3"/>
  <c r="AL5" i="3"/>
  <c r="N37" i="3"/>
  <c r="I31" i="3"/>
  <c r="AM15" i="3"/>
  <c r="X41" i="3"/>
  <c r="Z17" i="3"/>
  <c r="J22" i="3"/>
  <c r="K22" i="3"/>
  <c r="W14" i="3"/>
  <c r="U17" i="3"/>
  <c r="L41" i="3"/>
  <c r="S18" i="3"/>
  <c r="W8" i="3"/>
  <c r="M18" i="3"/>
  <c r="AH6" i="3"/>
  <c r="H22" i="3"/>
  <c r="L35" i="3"/>
  <c r="Q16" i="3"/>
  <c r="W13" i="3"/>
  <c r="T15" i="3"/>
  <c r="AH12" i="3"/>
  <c r="J31" i="3"/>
  <c r="AO13" i="3"/>
  <c r="P35" i="3"/>
  <c r="AM37" i="3"/>
  <c r="R11" i="3"/>
  <c r="AC34" i="3"/>
  <c r="Z33" i="3"/>
  <c r="AQ12" i="3"/>
  <c r="R27" i="3"/>
  <c r="O34" i="3"/>
  <c r="Q24" i="3"/>
  <c r="X39" i="3"/>
  <c r="AG40" i="3"/>
  <c r="AA19" i="3"/>
  <c r="Q7" i="3"/>
  <c r="T84" i="2"/>
  <c r="D86" i="2"/>
  <c r="U43" i="2"/>
  <c r="AP82" i="3"/>
  <c r="AD28" i="3"/>
  <c r="P22" i="3"/>
  <c r="AC25" i="3"/>
  <c r="AA41" i="3"/>
  <c r="P29" i="3"/>
  <c r="AQ30" i="3"/>
  <c r="AB25" i="3"/>
  <c r="AE23" i="3"/>
  <c r="X40" i="3"/>
  <c r="AM7" i="3"/>
  <c r="X9" i="3"/>
  <c r="AJ39" i="3"/>
  <c r="AG5" i="3"/>
  <c r="Y5" i="3"/>
  <c r="X8" i="3"/>
  <c r="C10" i="3"/>
  <c r="AL23" i="3"/>
  <c r="V42" i="3"/>
  <c r="C36" i="3"/>
  <c r="AM38" i="3"/>
  <c r="AJ27" i="3"/>
  <c r="AB16" i="3"/>
  <c r="AN15" i="3"/>
  <c r="S14" i="3"/>
  <c r="AO36" i="3"/>
  <c r="K8" i="3"/>
  <c r="AO37" i="3"/>
  <c r="AM42" i="3"/>
  <c r="AP32" i="3"/>
  <c r="Q10" i="3"/>
  <c r="AO40" i="3"/>
  <c r="T31" i="3"/>
  <c r="V23" i="3"/>
  <c r="AB86" i="3"/>
  <c r="N36" i="3"/>
  <c r="W10" i="3"/>
  <c r="G49" i="3"/>
  <c r="P42" i="3"/>
  <c r="AK14" i="3"/>
  <c r="N7" i="3"/>
  <c r="K11" i="3"/>
  <c r="K39" i="3"/>
  <c r="AE27" i="3"/>
  <c r="N41" i="3"/>
  <c r="G37" i="3"/>
  <c r="R41" i="3"/>
  <c r="AL24" i="3"/>
  <c r="AK16" i="3"/>
  <c r="AO22" i="3"/>
  <c r="AH39" i="3"/>
  <c r="AL8" i="3"/>
  <c r="AD26" i="3"/>
  <c r="W20" i="3"/>
  <c r="C18" i="3"/>
  <c r="AL19" i="3"/>
  <c r="Y41" i="3"/>
  <c r="AK19" i="3"/>
  <c r="AO26" i="3"/>
  <c r="C4" i="3"/>
  <c r="K34" i="3"/>
  <c r="K41" i="3"/>
  <c r="AG29" i="3"/>
  <c r="AN30" i="3"/>
  <c r="K30" i="3"/>
  <c r="K76" i="2"/>
  <c r="S97" i="2"/>
  <c r="G67" i="2"/>
  <c r="AE11" i="3"/>
  <c r="AA33" i="3"/>
  <c r="AN39" i="3"/>
  <c r="AM36" i="3"/>
  <c r="AK18" i="3"/>
  <c r="C11" i="3"/>
  <c r="AH41" i="3"/>
  <c r="AD47" i="3"/>
  <c r="S5" i="3"/>
  <c r="D47" i="3"/>
  <c r="M14" i="3"/>
  <c r="U20" i="3"/>
  <c r="L10" i="3"/>
  <c r="AJ6" i="3"/>
  <c r="N25" i="3"/>
  <c r="AD31" i="3"/>
  <c r="S29" i="3"/>
  <c r="Q32" i="3"/>
  <c r="K17" i="3"/>
  <c r="Q20" i="3"/>
  <c r="Z16" i="3"/>
  <c r="M41" i="3"/>
  <c r="C67" i="2"/>
  <c r="X42" i="2"/>
  <c r="T74" i="2"/>
  <c r="AB95" i="3"/>
  <c r="U26" i="3"/>
  <c r="U10" i="3"/>
  <c r="AN26" i="3"/>
  <c r="C6" i="3"/>
  <c r="S13" i="3"/>
  <c r="AN18" i="3"/>
  <c r="R5" i="3"/>
  <c r="AG9" i="3"/>
  <c r="M16" i="3"/>
  <c r="K25" i="3"/>
  <c r="AQ11" i="3"/>
  <c r="AD39" i="3"/>
  <c r="AH18" i="3"/>
  <c r="AG35" i="3"/>
  <c r="U13" i="3"/>
  <c r="AI26" i="3"/>
  <c r="K108" i="2"/>
  <c r="O110" i="2"/>
  <c r="D41" i="2"/>
  <c r="AG39" i="3"/>
  <c r="P42" i="2"/>
  <c r="W41" i="2"/>
  <c r="G55" i="2"/>
  <c r="AH23" i="3"/>
  <c r="AJ33" i="3"/>
  <c r="L20" i="3"/>
  <c r="T26" i="3"/>
  <c r="N8" i="3"/>
  <c r="Y32" i="3"/>
  <c r="I30" i="3"/>
  <c r="M27" i="3"/>
  <c r="AO28" i="3"/>
  <c r="AP20" i="3"/>
  <c r="AI25" i="3"/>
  <c r="W38" i="3"/>
  <c r="AC24" i="3"/>
  <c r="U53" i="2"/>
  <c r="M43" i="2"/>
  <c r="H97" i="2"/>
  <c r="T17" i="3"/>
  <c r="AP37" i="3"/>
  <c r="Y19" i="3"/>
  <c r="AK41" i="3"/>
  <c r="AK13" i="3"/>
  <c r="AM29" i="3"/>
  <c r="AA11" i="3"/>
  <c r="AI18" i="3"/>
  <c r="H16" i="3"/>
  <c r="AI22" i="3"/>
  <c r="AH26" i="3"/>
  <c r="AB14" i="3"/>
  <c r="W88" i="2"/>
  <c r="F79" i="2"/>
  <c r="K63" i="2"/>
  <c r="AO39" i="3"/>
  <c r="U24" i="3"/>
  <c r="W24" i="3"/>
  <c r="P16" i="3"/>
  <c r="Z26" i="3"/>
  <c r="AE28" i="3"/>
  <c r="AI20" i="3"/>
  <c r="AM23" i="3"/>
  <c r="R21" i="3"/>
  <c r="AC28" i="3"/>
  <c r="AK33" i="3"/>
  <c r="Y26" i="3"/>
  <c r="AC12" i="3"/>
  <c r="Y12" i="3"/>
  <c r="S8" i="3"/>
  <c r="Y9" i="3"/>
  <c r="AB8" i="3"/>
  <c r="T38" i="3"/>
  <c r="AJ37" i="3"/>
  <c r="AM6" i="3"/>
  <c r="I32" i="3"/>
  <c r="S10" i="3"/>
  <c r="AK25" i="3"/>
  <c r="AC41" i="3"/>
  <c r="N27" i="3"/>
  <c r="V40" i="3"/>
  <c r="AH20" i="3"/>
  <c r="T13" i="3"/>
  <c r="M40" i="3"/>
  <c r="AQ17" i="3"/>
  <c r="J14" i="3"/>
  <c r="X42" i="3"/>
  <c r="K20" i="3"/>
  <c r="D49" i="3"/>
  <c r="AH9" i="3"/>
  <c r="AN36" i="3"/>
  <c r="T27" i="3"/>
  <c r="AJ21" i="3"/>
  <c r="X19" i="3"/>
  <c r="AD29" i="3"/>
  <c r="S79" i="2"/>
  <c r="M90" i="2"/>
  <c r="O109" i="2"/>
  <c r="N15" i="3"/>
  <c r="AB34" i="3"/>
  <c r="AG26" i="3"/>
  <c r="AL42" i="3"/>
  <c r="AD19" i="3"/>
  <c r="R9" i="3"/>
  <c r="AJ28" i="3"/>
  <c r="J13" i="3"/>
  <c r="T19" i="3"/>
  <c r="W42" i="3"/>
  <c r="AQ27" i="3"/>
  <c r="AG19" i="3"/>
  <c r="G33" i="3"/>
  <c r="U5" i="3"/>
  <c r="J30" i="3"/>
  <c r="AP29" i="3"/>
  <c r="AG24" i="3"/>
  <c r="W39" i="3"/>
  <c r="K9" i="3"/>
  <c r="J94" i="2"/>
  <c r="J48" i="2"/>
  <c r="G83" i="2"/>
  <c r="AB19" i="3"/>
  <c r="H27" i="3"/>
  <c r="AM13" i="3"/>
  <c r="AJ11" i="3"/>
  <c r="S21" i="3"/>
  <c r="AE30" i="3"/>
  <c r="H15" i="3"/>
  <c r="AE17" i="3"/>
  <c r="O25" i="3"/>
  <c r="AL6" i="3"/>
  <c r="AA7" i="3"/>
  <c r="W23" i="3"/>
  <c r="O36" i="3"/>
  <c r="AI8" i="3"/>
  <c r="Q42" i="3"/>
  <c r="T29" i="3"/>
  <c r="AG16" i="3"/>
  <c r="AD34" i="3"/>
  <c r="AC40" i="3"/>
  <c r="V10" i="3"/>
  <c r="AL35" i="3"/>
  <c r="I17" i="3"/>
  <c r="R12" i="3"/>
  <c r="AJ9" i="3"/>
  <c r="P9" i="3"/>
  <c r="Q17" i="3"/>
  <c r="AQ28" i="3"/>
  <c r="AO5" i="3"/>
  <c r="AQ20" i="3"/>
  <c r="P33" i="3"/>
  <c r="AH8" i="3"/>
  <c r="V39" i="3"/>
  <c r="J11" i="3"/>
  <c r="AI39" i="3"/>
  <c r="AH5" i="3"/>
  <c r="AQ34" i="3"/>
  <c r="K32" i="3"/>
  <c r="AB9" i="3"/>
  <c r="O33" i="3"/>
  <c r="P38" i="3"/>
  <c r="AA24" i="3"/>
  <c r="V19" i="3"/>
  <c r="AE15" i="3"/>
  <c r="BH164" i="1" l="1"/>
  <c r="B151" i="1"/>
  <c r="B145" i="1"/>
  <c r="B173" i="1" s="1"/>
  <c r="U190" i="1"/>
  <c r="D137" i="1"/>
  <c r="K183" i="1"/>
  <c r="M143" i="1"/>
  <c r="T93" i="1"/>
  <c r="M164" i="1"/>
  <c r="M199" i="1" s="1"/>
  <c r="U165" i="1"/>
  <c r="E191" i="1"/>
  <c r="W141" i="1"/>
  <c r="K179" i="1"/>
  <c r="T169" i="1"/>
  <c r="L143" i="1"/>
  <c r="F183" i="1"/>
  <c r="L137" i="1"/>
  <c r="C137" i="1"/>
  <c r="E156" i="1"/>
  <c r="N98" i="1"/>
  <c r="N143" i="1"/>
  <c r="S151" i="1"/>
  <c r="W189" i="1"/>
  <c r="U183" i="1"/>
  <c r="W155" i="1"/>
  <c r="T152" i="1"/>
  <c r="S86" i="1"/>
  <c r="R152" i="1"/>
  <c r="H162" i="1"/>
  <c r="L98" i="1"/>
  <c r="C97" i="1"/>
  <c r="V92" i="1"/>
  <c r="M174" i="1"/>
  <c r="B98" i="1"/>
  <c r="B146" i="1"/>
  <c r="D164" i="1"/>
  <c r="D199" i="1" s="1"/>
  <c r="O141" i="1"/>
  <c r="R190" i="1"/>
  <c r="B190" i="1"/>
  <c r="Q168" i="1"/>
  <c r="D179" i="1"/>
  <c r="P143" i="1"/>
  <c r="J151" i="1"/>
  <c r="I156" i="1"/>
  <c r="F169" i="1"/>
  <c r="J152" i="1"/>
  <c r="H165" i="1"/>
  <c r="W172" i="1"/>
  <c r="G163" i="1"/>
  <c r="G198" i="1" s="1"/>
  <c r="R172" i="1"/>
  <c r="R202" i="1" s="1"/>
  <c r="K156" i="1"/>
  <c r="N168" i="1"/>
  <c r="G191" i="1"/>
  <c r="J96" i="1"/>
  <c r="V170" i="1"/>
  <c r="U141" i="1"/>
  <c r="W92" i="1"/>
  <c r="T98" i="1"/>
  <c r="P169" i="1"/>
  <c r="B165" i="1"/>
  <c r="G164" i="1"/>
  <c r="G199" i="1" s="1"/>
  <c r="O164" i="1"/>
  <c r="O199" i="1" s="1"/>
  <c r="P162" i="1"/>
  <c r="C93" i="1"/>
  <c r="T97" i="1"/>
  <c r="M151" i="1"/>
  <c r="T189" i="1"/>
  <c r="I190" i="1"/>
  <c r="D144" i="1"/>
  <c r="F163" i="1"/>
  <c r="F198" i="1" s="1"/>
  <c r="V165" i="1"/>
  <c r="O146" i="1"/>
  <c r="F165" i="1"/>
  <c r="J164" i="1"/>
  <c r="J199" i="1" s="1"/>
  <c r="B169" i="1"/>
  <c r="M156" i="1"/>
  <c r="F152" i="1"/>
  <c r="L156" i="1"/>
  <c r="F179" i="1"/>
  <c r="G141" i="1"/>
  <c r="D145" i="1"/>
  <c r="D173" i="1" s="1"/>
  <c r="S174" i="1"/>
  <c r="C136" i="1"/>
  <c r="I141" i="1"/>
  <c r="O144" i="1"/>
  <c r="J183" i="1"/>
  <c r="W179" i="1"/>
  <c r="F154" i="1"/>
  <c r="F150" i="1" s="1"/>
  <c r="D92" i="1"/>
  <c r="S182" i="1"/>
  <c r="R137" i="1"/>
  <c r="K137" i="1"/>
  <c r="J162" i="1"/>
  <c r="Q155" i="1"/>
  <c r="H191" i="1"/>
  <c r="W166" i="1"/>
  <c r="H178" i="1"/>
  <c r="C155" i="1"/>
  <c r="J136" i="1"/>
  <c r="M172" i="1"/>
  <c r="M202" i="1" s="1"/>
  <c r="F137" i="1"/>
  <c r="L152" i="1"/>
  <c r="O86" i="1"/>
  <c r="E141" i="1"/>
  <c r="C178" i="1"/>
  <c r="F156" i="1"/>
  <c r="W154" i="1"/>
  <c r="W150" i="1" s="1"/>
  <c r="O170" i="1"/>
  <c r="O174" i="1"/>
  <c r="C96" i="1"/>
  <c r="M159" i="1"/>
  <c r="L146" i="1"/>
  <c r="M86" i="1"/>
  <c r="E164" i="1"/>
  <c r="E199" i="1" s="1"/>
  <c r="T86" i="1"/>
  <c r="C146" i="1"/>
  <c r="G174" i="1"/>
  <c r="D162" i="1"/>
  <c r="K96" i="1"/>
  <c r="S170" i="1"/>
  <c r="T138" i="1"/>
  <c r="N156" i="1"/>
  <c r="I169" i="1"/>
  <c r="P168" i="1"/>
  <c r="F189" i="1"/>
  <c r="T154" i="1"/>
  <c r="T150" i="1" s="1"/>
  <c r="Q97" i="1"/>
  <c r="U155" i="1"/>
  <c r="Q141" i="1"/>
  <c r="G151" i="1"/>
  <c r="H86" i="1"/>
  <c r="V154" i="1"/>
  <c r="V150" i="1" s="1"/>
  <c r="V152" i="1"/>
  <c r="B166" i="1"/>
  <c r="E189" i="1"/>
  <c r="R146" i="1"/>
  <c r="H169" i="1"/>
  <c r="B179" i="1"/>
  <c r="U164" i="1"/>
  <c r="U199" i="1" s="1"/>
  <c r="U98" i="1"/>
  <c r="S92" i="1"/>
  <c r="B86" i="1"/>
  <c r="J189" i="1"/>
  <c r="D93" i="1"/>
  <c r="S154" i="1"/>
  <c r="S150" i="1" s="1"/>
  <c r="C156" i="1"/>
  <c r="P154" i="1"/>
  <c r="P150" i="1" s="1"/>
  <c r="S191" i="1"/>
  <c r="L151" i="1"/>
  <c r="N170" i="1"/>
  <c r="O182" i="1"/>
  <c r="L155" i="1"/>
  <c r="P161" i="1"/>
  <c r="G96" i="1"/>
  <c r="V141" i="1"/>
  <c r="J179" i="1"/>
  <c r="G166" i="1"/>
  <c r="F166" i="1"/>
  <c r="C138" i="1"/>
  <c r="V163" i="1"/>
  <c r="V198" i="1" s="1"/>
  <c r="I182" i="1"/>
  <c r="L169" i="1"/>
  <c r="V86" i="1"/>
  <c r="C162" i="1"/>
  <c r="G98" i="1"/>
  <c r="F182" i="1"/>
  <c r="J92" i="1"/>
  <c r="I164" i="1"/>
  <c r="I199" i="1" s="1"/>
  <c r="G155" i="1"/>
  <c r="R86" i="1"/>
  <c r="W138" i="1"/>
  <c r="W145" i="1"/>
  <c r="W173" i="1" s="1"/>
  <c r="Q162" i="1"/>
  <c r="Q138" i="1"/>
  <c r="B82" i="1"/>
  <c r="D166" i="1"/>
  <c r="J174" i="1"/>
  <c r="B183" i="1"/>
  <c r="F172" i="1"/>
  <c r="F202" i="1" s="1"/>
  <c r="R170" i="1"/>
  <c r="R183" i="1"/>
  <c r="N165" i="1"/>
  <c r="R143" i="1"/>
  <c r="O191" i="1"/>
  <c r="F145" i="1"/>
  <c r="F173" i="1" s="1"/>
  <c r="G156" i="1"/>
  <c r="M182" i="1"/>
  <c r="M165" i="1"/>
  <c r="G137" i="1"/>
  <c r="R93" i="1"/>
  <c r="I144" i="1"/>
  <c r="E146" i="1"/>
  <c r="G143" i="1"/>
  <c r="O154" i="1"/>
  <c r="O150" i="1" s="1"/>
  <c r="P166" i="1"/>
  <c r="T191" i="1"/>
  <c r="F146" i="1"/>
  <c r="P137" i="1"/>
  <c r="S159" i="1"/>
  <c r="Q159" i="1"/>
  <c r="B178" i="1"/>
  <c r="B180" i="1" s="1"/>
  <c r="C228" i="1" s="1"/>
  <c r="C82" i="1"/>
  <c r="T96" i="1"/>
  <c r="S146" i="1"/>
  <c r="W144" i="1"/>
  <c r="L178" i="1"/>
  <c r="I154" i="1"/>
  <c r="I150" i="1" s="1"/>
  <c r="J159" i="1"/>
  <c r="K152" i="1"/>
  <c r="H141" i="1"/>
  <c r="N152" i="1"/>
  <c r="B164" i="1"/>
  <c r="B199" i="1" s="1"/>
  <c r="R178" i="1"/>
  <c r="B191" i="1"/>
  <c r="H145" i="1"/>
  <c r="H173" i="1" s="1"/>
  <c r="M93" i="1"/>
  <c r="E152" i="1"/>
  <c r="M178" i="1"/>
  <c r="D146" i="1"/>
  <c r="P97" i="1"/>
  <c r="B170" i="1"/>
  <c r="E165" i="1"/>
  <c r="L165" i="1"/>
  <c r="V179" i="1"/>
  <c r="W170" i="1"/>
  <c r="C190" i="1"/>
  <c r="M137" i="1"/>
  <c r="U191" i="1"/>
  <c r="L161" i="1"/>
  <c r="I189" i="1"/>
  <c r="C164" i="1"/>
  <c r="C199" i="1" s="1"/>
  <c r="N92" i="1"/>
  <c r="W97" i="1"/>
  <c r="K166" i="1"/>
  <c r="L190" i="1"/>
  <c r="M96" i="1"/>
  <c r="R136" i="1"/>
  <c r="F151" i="1"/>
  <c r="M154" i="1"/>
  <c r="M150" i="1" s="1"/>
  <c r="C152" i="1"/>
  <c r="N191" i="1"/>
  <c r="W146" i="1"/>
  <c r="H137" i="1"/>
  <c r="T92" i="1"/>
  <c r="J155" i="1"/>
  <c r="B155" i="1"/>
  <c r="L97" i="1"/>
  <c r="D161" i="1"/>
  <c r="Q161" i="1"/>
  <c r="L138" i="1"/>
  <c r="L183" i="1"/>
  <c r="G170" i="1"/>
  <c r="B172" i="1"/>
  <c r="B202" i="1" s="1"/>
  <c r="U143" i="1"/>
  <c r="D191" i="1"/>
  <c r="Q163" i="1"/>
  <c r="Q198" i="1" s="1"/>
  <c r="E97" i="1"/>
  <c r="I152" i="1"/>
  <c r="U92" i="1"/>
  <c r="W163" i="1"/>
  <c r="D168" i="1"/>
  <c r="D83" i="1"/>
  <c r="I93" i="1"/>
  <c r="N166" i="1"/>
  <c r="M183" i="1"/>
  <c r="U136" i="1"/>
  <c r="H138" i="1"/>
  <c r="I145" i="1"/>
  <c r="I173" i="1" s="1"/>
  <c r="D97" i="1"/>
  <c r="U146" i="1"/>
  <c r="S183" i="1"/>
  <c r="E172" i="1"/>
  <c r="E202" i="1" s="1"/>
  <c r="E138" i="1"/>
  <c r="V136" i="1"/>
  <c r="M190" i="1"/>
  <c r="P178" i="1"/>
  <c r="P180" i="1" s="1"/>
  <c r="Q228" i="1" s="1"/>
  <c r="E92" i="1"/>
  <c r="F168" i="1"/>
  <c r="I137" i="1"/>
  <c r="C92" i="1"/>
  <c r="U151" i="1"/>
  <c r="B83" i="1"/>
  <c r="T164" i="1"/>
  <c r="T199" i="1" s="1"/>
  <c r="C159" i="1"/>
  <c r="G159" i="1"/>
  <c r="D183" i="1"/>
  <c r="S145" i="1"/>
  <c r="S173" i="1" s="1"/>
  <c r="D155" i="1"/>
  <c r="N169" i="1"/>
  <c r="P92" i="1"/>
  <c r="T190" i="1"/>
  <c r="S136" i="1"/>
  <c r="M138" i="1"/>
  <c r="O138" i="1"/>
  <c r="J144" i="1"/>
  <c r="S96" i="1"/>
  <c r="S143" i="1"/>
  <c r="K162" i="1"/>
  <c r="L162" i="1"/>
  <c r="B154" i="1"/>
  <c r="D172" i="1"/>
  <c r="D202" i="1" s="1"/>
  <c r="R161" i="1"/>
  <c r="N86" i="1"/>
  <c r="B96" i="1"/>
  <c r="K182" i="1"/>
  <c r="H92" i="1"/>
  <c r="K146" i="1"/>
  <c r="B150" i="1"/>
  <c r="I162" i="1"/>
  <c r="K165" i="1"/>
  <c r="L92" i="1"/>
  <c r="P152" i="1"/>
  <c r="V169" i="1"/>
  <c r="V156" i="1"/>
  <c r="Q166" i="1"/>
  <c r="Q183" i="1"/>
  <c r="M98" i="1"/>
  <c r="R159" i="1"/>
  <c r="R141" i="1"/>
  <c r="Q191" i="1"/>
  <c r="Q143" i="1"/>
  <c r="P136" i="1"/>
  <c r="W156" i="1"/>
  <c r="P165" i="1"/>
  <c r="N151" i="1"/>
  <c r="V96" i="1"/>
  <c r="Q93" i="1"/>
  <c r="I155" i="1"/>
  <c r="C145" i="1"/>
  <c r="C173" i="1" s="1"/>
  <c r="D98" i="1"/>
  <c r="R163" i="1"/>
  <c r="R198" i="1" s="1"/>
  <c r="B97" i="1"/>
  <c r="V166" i="1"/>
  <c r="W137" i="1"/>
  <c r="O98" i="1"/>
  <c r="U168" i="1"/>
  <c r="F155" i="1"/>
  <c r="R168" i="1"/>
  <c r="F170" i="1"/>
  <c r="G146" i="1"/>
  <c r="K174" i="1"/>
  <c r="L136" i="1"/>
  <c r="W169" i="1"/>
  <c r="M170" i="1"/>
  <c r="J169" i="1"/>
  <c r="I163" i="1"/>
  <c r="I198" i="1" s="1"/>
  <c r="F191" i="1"/>
  <c r="D174" i="1"/>
  <c r="M162" i="1"/>
  <c r="K98" i="1"/>
  <c r="N154" i="1"/>
  <c r="N150" i="1" s="1"/>
  <c r="R97" i="1"/>
  <c r="R144" i="1"/>
  <c r="N141" i="1"/>
  <c r="G165" i="1"/>
  <c r="R191" i="1"/>
  <c r="D169" i="1"/>
  <c r="W190" i="1"/>
  <c r="U163" i="1"/>
  <c r="U198" i="1" s="1"/>
  <c r="T162" i="1"/>
  <c r="K163" i="1"/>
  <c r="K198" i="1" s="1"/>
  <c r="C172" i="1"/>
  <c r="C202" i="1" s="1"/>
  <c r="E169" i="1"/>
  <c r="H154" i="1"/>
  <c r="H150" i="1" s="1"/>
  <c r="G161" i="1"/>
  <c r="B174" i="1"/>
  <c r="J86" i="1"/>
  <c r="T183" i="1"/>
  <c r="F86" i="1"/>
  <c r="D159" i="1"/>
  <c r="Q92" i="1"/>
  <c r="T168" i="1"/>
  <c r="Q182" i="1"/>
  <c r="J161" i="1"/>
  <c r="T145" i="1"/>
  <c r="T173" i="1" s="1"/>
  <c r="T151" i="1"/>
  <c r="R182" i="1"/>
  <c r="B141" i="1"/>
  <c r="E144" i="1"/>
  <c r="E154" i="1"/>
  <c r="E150" i="1" s="1"/>
  <c r="G162" i="1"/>
  <c r="L170" i="1"/>
  <c r="J156" i="1"/>
  <c r="I165" i="1"/>
  <c r="C154" i="1"/>
  <c r="U172" i="1"/>
  <c r="U202" i="1" s="1"/>
  <c r="H168" i="1"/>
  <c r="F190" i="1"/>
  <c r="P191" i="1"/>
  <c r="V172" i="1"/>
  <c r="V202" i="1" s="1"/>
  <c r="T156" i="1"/>
  <c r="S165" i="1"/>
  <c r="H151" i="1"/>
  <c r="H143" i="1"/>
  <c r="Q152" i="1"/>
  <c r="L182" i="1"/>
  <c r="N161" i="1"/>
  <c r="U159" i="1"/>
  <c r="I151" i="1"/>
  <c r="W86" i="1"/>
  <c r="R155" i="1"/>
  <c r="B138" i="1"/>
  <c r="V189" i="1"/>
  <c r="I96" i="1"/>
  <c r="M166" i="1"/>
  <c r="E155" i="1"/>
  <c r="S155" i="1"/>
  <c r="K141" i="1"/>
  <c r="V97" i="1"/>
  <c r="P144" i="1"/>
  <c r="G168" i="1"/>
  <c r="S144" i="1"/>
  <c r="G189" i="1"/>
  <c r="V137" i="1"/>
  <c r="J137" i="1"/>
  <c r="V182" i="1"/>
  <c r="Q178" i="1"/>
  <c r="U144" i="1"/>
  <c r="H146" i="1"/>
  <c r="D189" i="1"/>
  <c r="F92" i="1"/>
  <c r="S97" i="1"/>
  <c r="Q169" i="1"/>
  <c r="T143" i="1"/>
  <c r="L164" i="1"/>
  <c r="L199" i="1" s="1"/>
  <c r="I98" i="1"/>
  <c r="C165" i="1"/>
  <c r="W161" i="1"/>
  <c r="G145" i="1"/>
  <c r="G173" i="1" s="1"/>
  <c r="P96" i="1"/>
  <c r="F174" i="1"/>
  <c r="H161" i="1"/>
  <c r="C163" i="1"/>
  <c r="C198" i="1" s="1"/>
  <c r="S178" i="1"/>
  <c r="K86" i="1"/>
  <c r="Q164" i="1"/>
  <c r="Q199" i="1" s="1"/>
  <c r="T141" i="1"/>
  <c r="I86" i="1"/>
  <c r="O166" i="1"/>
  <c r="B152" i="1"/>
  <c r="W93" i="1"/>
  <c r="O143" i="1"/>
  <c r="K164" i="1"/>
  <c r="K199" i="1" s="1"/>
  <c r="Q151" i="1"/>
  <c r="U86" i="1"/>
  <c r="W143" i="1"/>
  <c r="C182" i="1"/>
  <c r="K159" i="1"/>
  <c r="T179" i="1"/>
  <c r="N145" i="1"/>
  <c r="N173" i="1" s="1"/>
  <c r="B143" i="1"/>
  <c r="V146" i="1"/>
  <c r="C170" i="1"/>
  <c r="K143" i="1"/>
  <c r="U154" i="1"/>
  <c r="U150" i="1" s="1"/>
  <c r="E182" i="1"/>
  <c r="V190" i="1"/>
  <c r="Q189" i="1"/>
  <c r="M163" i="1"/>
  <c r="M198" i="1" s="1"/>
  <c r="E163" i="1"/>
  <c r="E198" i="1" s="1"/>
  <c r="D156" i="1"/>
  <c r="L179" i="1"/>
  <c r="S166" i="1"/>
  <c r="D136" i="1"/>
  <c r="U93" i="1"/>
  <c r="E161" i="1"/>
  <c r="J190" i="1"/>
  <c r="Q145" i="1"/>
  <c r="Q173" i="1" s="1"/>
  <c r="C83" i="1"/>
  <c r="Q98" i="1"/>
  <c r="N189" i="1"/>
  <c r="G136" i="1"/>
  <c r="J145" i="1"/>
  <c r="J173" i="1" s="1"/>
  <c r="M161" i="1"/>
  <c r="O136" i="1"/>
  <c r="P190" i="1"/>
  <c r="V161" i="1"/>
  <c r="M136" i="1"/>
  <c r="O179" i="1"/>
  <c r="R98" i="1"/>
  <c r="B137" i="1"/>
  <c r="V155" i="1"/>
  <c r="W165" i="1"/>
  <c r="S189" i="1"/>
  <c r="O178" i="1"/>
  <c r="H97" i="1"/>
  <c r="D165" i="1"/>
  <c r="R151" i="1"/>
  <c r="K136" i="1"/>
  <c r="L93" i="1"/>
  <c r="J143" i="1"/>
  <c r="S172" i="1"/>
  <c r="S202" i="1" s="1"/>
  <c r="V183" i="1"/>
  <c r="E96" i="1"/>
  <c r="T146" i="1"/>
  <c r="O96" i="1"/>
  <c r="B163" i="1"/>
  <c r="B198" i="1" s="1"/>
  <c r="L154" i="1"/>
  <c r="L150" i="1" s="1"/>
  <c r="L141" i="1"/>
  <c r="V145" i="1"/>
  <c r="V173" i="1" s="1"/>
  <c r="N96" i="1"/>
  <c r="R92" i="1"/>
  <c r="O161" i="1"/>
  <c r="U169" i="1"/>
  <c r="O172" i="1"/>
  <c r="O202" i="1" s="1"/>
  <c r="N137" i="1"/>
  <c r="G190" i="1"/>
  <c r="U166" i="1"/>
  <c r="R165" i="1"/>
  <c r="Q174" i="1"/>
  <c r="K138" i="1"/>
  <c r="P155" i="1"/>
  <c r="C161" i="1"/>
  <c r="U162" i="1"/>
  <c r="N183" i="1"/>
  <c r="P164" i="1"/>
  <c r="P199" i="1" s="1"/>
  <c r="G154" i="1"/>
  <c r="G150" i="1" s="1"/>
  <c r="M144" i="1"/>
  <c r="D82" i="1"/>
  <c r="C86" i="1"/>
  <c r="P163" i="1"/>
  <c r="P198" i="1" s="1"/>
  <c r="F144" i="1"/>
  <c r="E170" i="1"/>
  <c r="V143" i="1"/>
  <c r="U170" i="1"/>
  <c r="O145" i="1"/>
  <c r="O173" i="1" s="1"/>
  <c r="V178" i="1"/>
  <c r="K168" i="1"/>
  <c r="E137" i="1"/>
  <c r="E145" i="1"/>
  <c r="E173" i="1" s="1"/>
  <c r="V164" i="1"/>
  <c r="V199" i="1" s="1"/>
  <c r="R179" i="1"/>
  <c r="T159" i="1"/>
  <c r="U179" i="1"/>
  <c r="P170" i="1"/>
  <c r="I174" i="1"/>
  <c r="I178" i="1"/>
  <c r="K93" i="1"/>
  <c r="R162" i="1"/>
  <c r="O92" i="1"/>
  <c r="I143" i="1"/>
  <c r="K169" i="1"/>
  <c r="D138" i="1"/>
  <c r="N138" i="1"/>
  <c r="B182" i="1"/>
  <c r="H164" i="1"/>
  <c r="H199" i="1" s="1"/>
  <c r="K161" i="1"/>
  <c r="N174" i="1"/>
  <c r="D143" i="1"/>
  <c r="N159" i="1"/>
  <c r="J141" i="1"/>
  <c r="S161" i="1"/>
  <c r="T144" i="1"/>
  <c r="B159" i="1"/>
  <c r="Q146" i="1"/>
  <c r="Q86" i="1"/>
  <c r="P182" i="1"/>
  <c r="J166" i="1"/>
  <c r="I170" i="1"/>
  <c r="Q137" i="1"/>
  <c r="B161" i="1"/>
  <c r="W191" i="1"/>
  <c r="H93" i="1"/>
  <c r="R138" i="1"/>
  <c r="C174" i="1"/>
  <c r="L172" i="1"/>
  <c r="L202" i="1" s="1"/>
  <c r="P159" i="1"/>
  <c r="E159" i="1"/>
  <c r="T155" i="1"/>
  <c r="K144" i="1"/>
  <c r="P156" i="1"/>
  <c r="V159" i="1"/>
  <c r="E183" i="1"/>
  <c r="I166" i="1"/>
  <c r="W98" i="1"/>
  <c r="O97" i="1"/>
  <c r="N179" i="1"/>
  <c r="Q165" i="1"/>
  <c r="U138" i="1"/>
  <c r="D182" i="1"/>
  <c r="T136" i="1"/>
  <c r="H163" i="1"/>
  <c r="E190" i="1"/>
  <c r="O137" i="1"/>
  <c r="P145" i="1"/>
  <c r="P173" i="1" s="1"/>
  <c r="V93" i="1"/>
  <c r="E174" i="1"/>
  <c r="S168" i="1"/>
  <c r="Q144" i="1"/>
  <c r="M97" i="1"/>
  <c r="K155" i="1"/>
  <c r="R154" i="1"/>
  <c r="R150" i="1" s="1"/>
  <c r="E136" i="1"/>
  <c r="C151" i="1"/>
  <c r="Q96" i="1"/>
  <c r="O159" i="1"/>
  <c r="P221" i="1" s="1"/>
  <c r="B162" i="1"/>
  <c r="H170" i="1"/>
  <c r="V162" i="1"/>
  <c r="C141" i="1"/>
  <c r="K92" i="1"/>
  <c r="M92" i="1"/>
  <c r="L163" i="1"/>
  <c r="L198" i="1" s="1"/>
  <c r="M179" i="1"/>
  <c r="W152" i="1"/>
  <c r="H183" i="1"/>
  <c r="S137" i="1"/>
  <c r="S190" i="1"/>
  <c r="J98" i="1"/>
  <c r="K170" i="1"/>
  <c r="O156" i="1"/>
  <c r="O165" i="1"/>
  <c r="W174" i="1"/>
  <c r="I183" i="1"/>
  <c r="D152" i="1"/>
  <c r="S138" i="1"/>
  <c r="U161" i="1"/>
  <c r="S156" i="1"/>
  <c r="C183" i="1"/>
  <c r="F93" i="1"/>
  <c r="V138" i="1"/>
  <c r="G179" i="1"/>
  <c r="G92" i="1"/>
  <c r="T178" i="1"/>
  <c r="B189" i="1"/>
  <c r="C144" i="1"/>
  <c r="C168" i="1"/>
  <c r="C98" i="1"/>
  <c r="B156" i="1"/>
  <c r="V174" i="1"/>
  <c r="F141" i="1"/>
  <c r="S169" i="1"/>
  <c r="N172" i="1"/>
  <c r="N202" i="1" s="1"/>
  <c r="F143" i="1"/>
  <c r="H166" i="1"/>
  <c r="L174" i="1"/>
  <c r="R189" i="1"/>
  <c r="H172" i="1"/>
  <c r="H202" i="1" s="1"/>
  <c r="E151" i="1"/>
  <c r="L168" i="1"/>
  <c r="W168" i="1"/>
  <c r="C150" i="1"/>
  <c r="I191" i="1"/>
  <c r="I179" i="1"/>
  <c r="J165" i="1"/>
  <c r="N182" i="1"/>
  <c r="M191" i="1"/>
  <c r="Q190" i="1"/>
  <c r="J170" i="1"/>
  <c r="U178" i="1"/>
  <c r="P151" i="1"/>
  <c r="F162" i="1"/>
  <c r="H159" i="1"/>
  <c r="B144" i="1"/>
  <c r="H189" i="1"/>
  <c r="R164" i="1"/>
  <c r="R199" i="1" s="1"/>
  <c r="E166" i="1"/>
  <c r="W182" i="1"/>
  <c r="H136" i="1"/>
  <c r="U145" i="1"/>
  <c r="U173" i="1" s="1"/>
  <c r="T163" i="1"/>
  <c r="T198" i="1" s="1"/>
  <c r="G144" i="1"/>
  <c r="I168" i="1"/>
  <c r="C189" i="1"/>
  <c r="M168" i="1"/>
  <c r="O151" i="1"/>
  <c r="Q179" i="1"/>
  <c r="N163" i="1"/>
  <c r="L166" i="1"/>
  <c r="J163" i="1"/>
  <c r="J198" i="1" s="1"/>
  <c r="J182" i="1"/>
  <c r="R169" i="1"/>
  <c r="I136" i="1"/>
  <c r="N178" i="1"/>
  <c r="N180" i="1" s="1"/>
  <c r="O228" i="1" s="1"/>
  <c r="I161" i="1"/>
  <c r="N136" i="1"/>
  <c r="N139" i="1" s="1"/>
  <c r="K191" i="1"/>
  <c r="H96" i="1"/>
  <c r="D154" i="1"/>
  <c r="I159" i="1"/>
  <c r="V151" i="1"/>
  <c r="J191" i="1"/>
  <c r="N97" i="1"/>
  <c r="H144" i="1"/>
  <c r="E179" i="1"/>
  <c r="E180" i="1" s="1"/>
  <c r="F228" i="1" s="1"/>
  <c r="E93" i="1"/>
  <c r="O155" i="1"/>
  <c r="S179" i="1"/>
  <c r="G86" i="1"/>
  <c r="I146" i="1"/>
  <c r="F164" i="1"/>
  <c r="F199" i="1" s="1"/>
  <c r="H156" i="1"/>
  <c r="G93" i="1"/>
  <c r="L145" i="1"/>
  <c r="L173" i="1" s="1"/>
  <c r="U152" i="1"/>
  <c r="L86" i="1"/>
  <c r="N155" i="1"/>
  <c r="U182" i="1"/>
  <c r="F97" i="1"/>
  <c r="J154" i="1"/>
  <c r="J150" i="1" s="1"/>
  <c r="F96" i="1"/>
  <c r="B168" i="1"/>
  <c r="E86" i="1"/>
  <c r="D163" i="1"/>
  <c r="D198" i="1" s="1"/>
  <c r="D170" i="1"/>
  <c r="E98" i="1"/>
  <c r="I92" i="1"/>
  <c r="P98" i="1"/>
  <c r="H155" i="1"/>
  <c r="K145" i="1"/>
  <c r="K173" i="1" s="1"/>
  <c r="U97" i="1"/>
  <c r="O152" i="1"/>
  <c r="D150" i="1"/>
  <c r="W178" i="1"/>
  <c r="D151" i="1"/>
  <c r="R174" i="1"/>
  <c r="G178" i="1"/>
  <c r="M146" i="1"/>
  <c r="Q154" i="1"/>
  <c r="Q150" i="1" s="1"/>
  <c r="B136" i="1"/>
  <c r="G152" i="1"/>
  <c r="K97" i="1"/>
  <c r="P86" i="1"/>
  <c r="S93" i="1"/>
  <c r="V191" i="1"/>
  <c r="M141" i="1"/>
  <c r="S164" i="1"/>
  <c r="S199" i="1" s="1"/>
  <c r="Q170" i="1"/>
  <c r="W162" i="1"/>
  <c r="J168" i="1"/>
  <c r="V98" i="1"/>
  <c r="S152" i="1"/>
  <c r="M155" i="1"/>
  <c r="H179" i="1"/>
  <c r="T161" i="1"/>
  <c r="N162" i="1"/>
  <c r="M189" i="1"/>
  <c r="E143" i="1"/>
  <c r="K190" i="1"/>
  <c r="M152" i="1"/>
  <c r="D86" i="1"/>
  <c r="K178" i="1"/>
  <c r="W96" i="1"/>
  <c r="Q136" i="1"/>
  <c r="W183" i="1"/>
  <c r="P189" i="1"/>
  <c r="R156" i="1"/>
  <c r="I97" i="1"/>
  <c r="U189" i="1"/>
  <c r="E168" i="1"/>
  <c r="I138" i="1"/>
  <c r="F159" i="1"/>
  <c r="O162" i="1"/>
  <c r="T137" i="1"/>
  <c r="C191" i="1"/>
  <c r="S162" i="1"/>
  <c r="E162" i="1"/>
  <c r="K151" i="1"/>
  <c r="L189" i="1"/>
  <c r="C179" i="1"/>
  <c r="J172" i="1"/>
  <c r="J202" i="1" s="1"/>
  <c r="T166" i="1"/>
  <c r="H152" i="1"/>
  <c r="L191" i="1"/>
  <c r="H182" i="1"/>
  <c r="R96" i="1"/>
  <c r="K189" i="1"/>
  <c r="T165" i="1"/>
  <c r="W159" i="1"/>
  <c r="F98" i="1"/>
  <c r="N190" i="1"/>
  <c r="C166" i="1"/>
  <c r="O163" i="1"/>
  <c r="O198" i="1" s="1"/>
  <c r="F161" i="1"/>
  <c r="T172" i="1"/>
  <c r="T202" i="1" s="1"/>
  <c r="R145" i="1"/>
  <c r="R173" i="1" s="1"/>
  <c r="M169" i="1"/>
  <c r="D178" i="1"/>
  <c r="J97" i="1"/>
  <c r="C169" i="1"/>
  <c r="H98" i="1"/>
  <c r="H190" i="1"/>
  <c r="K154" i="1"/>
  <c r="K150" i="1" s="1"/>
  <c r="S163" i="1"/>
  <c r="S198" i="1" s="1"/>
  <c r="N144" i="1"/>
  <c r="O189" i="1"/>
  <c r="H174" i="1"/>
  <c r="F178" i="1"/>
  <c r="W164" i="1"/>
  <c r="L144" i="1"/>
  <c r="O183" i="1"/>
  <c r="O169" i="1"/>
  <c r="F138" i="1"/>
  <c r="O190" i="1"/>
  <c r="R166" i="1"/>
  <c r="Q156" i="1"/>
  <c r="G169" i="1"/>
  <c r="P183" i="1"/>
  <c r="K172" i="1"/>
  <c r="K202" i="1" s="1"/>
  <c r="O93" i="1"/>
  <c r="D96" i="1"/>
  <c r="N164" i="1"/>
  <c r="N199" i="1" s="1"/>
  <c r="S98" i="1"/>
  <c r="U96" i="1"/>
  <c r="J178" i="1"/>
  <c r="G138" i="1"/>
  <c r="V168" i="1"/>
  <c r="S141" i="1"/>
  <c r="L159" i="1"/>
  <c r="T182" i="1"/>
  <c r="N146" i="1"/>
  <c r="U137" i="1"/>
  <c r="P93" i="1"/>
  <c r="P141" i="1"/>
  <c r="F136" i="1"/>
  <c r="T174" i="1"/>
  <c r="D190" i="1"/>
  <c r="U156" i="1"/>
  <c r="N93" i="1"/>
  <c r="P138" i="1"/>
  <c r="I172" i="1"/>
  <c r="I202" i="1" s="1"/>
  <c r="T170" i="1"/>
  <c r="M145" i="1"/>
  <c r="J146" i="1"/>
  <c r="V144" i="1"/>
  <c r="O168" i="1"/>
  <c r="G97" i="1"/>
  <c r="J93" i="1"/>
  <c r="L96" i="1"/>
  <c r="G183" i="1"/>
  <c r="U174" i="1"/>
  <c r="AQ28" i="1"/>
  <c r="BV41" i="1"/>
  <c r="BW28" i="1"/>
  <c r="BE41" i="1"/>
  <c r="BA28" i="1"/>
  <c r="BN28" i="1"/>
  <c r="BD28" i="1"/>
  <c r="AS41" i="1"/>
  <c r="AR41" i="1"/>
  <c r="BP41" i="1"/>
  <c r="AW28" i="1"/>
  <c r="BC28" i="1"/>
  <c r="BB41" i="1"/>
  <c r="AW41" i="1"/>
  <c r="BG28" i="1"/>
  <c r="BM28" i="1"/>
  <c r="BI41" i="1"/>
  <c r="BT41" i="1"/>
  <c r="AZ28" i="1"/>
  <c r="AI28" i="1"/>
  <c r="BF41" i="1"/>
  <c r="AO28" i="1"/>
  <c r="BV28" i="1"/>
  <c r="BF28" i="1"/>
  <c r="AX41" i="1"/>
  <c r="BH65" i="1"/>
  <c r="AP28" i="1"/>
  <c r="BE28" i="1"/>
  <c r="BO28" i="1"/>
  <c r="AZ41" i="1"/>
  <c r="BJ41" i="1"/>
  <c r="BJ45" i="1" s="1"/>
  <c r="AU66" i="1"/>
  <c r="BD41" i="1"/>
  <c r="AY41" i="1"/>
  <c r="BR41" i="1"/>
  <c r="BK28" i="1"/>
  <c r="BQ28" i="1"/>
  <c r="AP41" i="1"/>
  <c r="BS28" i="1"/>
  <c r="AO41" i="1"/>
  <c r="BW41" i="1"/>
  <c r="AQ41" i="1"/>
  <c r="AV41" i="1"/>
  <c r="BM41" i="1"/>
  <c r="BP28" i="1"/>
  <c r="BG41" i="1"/>
  <c r="BH41" i="1"/>
  <c r="AT41" i="1"/>
  <c r="AN41" i="1"/>
  <c r="BS41" i="1"/>
  <c r="BU41" i="1"/>
  <c r="BO41" i="1"/>
  <c r="BJ28" i="1"/>
  <c r="BJ29" i="1" s="1"/>
  <c r="BJ35" i="1" s="1"/>
  <c r="BC41" i="1"/>
  <c r="BK41" i="1"/>
  <c r="BQ41" i="1"/>
  <c r="AU41" i="1"/>
  <c r="BN41" i="1"/>
  <c r="BA41" i="1"/>
  <c r="AI41" i="1"/>
  <c r="AN28" i="1"/>
  <c r="BH28" i="1"/>
  <c r="AW66" i="1"/>
  <c r="AV28" i="1"/>
  <c r="AR28" i="1"/>
  <c r="BR28" i="1"/>
  <c r="AT28" i="1"/>
  <c r="BT28" i="1"/>
  <c r="BI28" i="1"/>
  <c r="BU28" i="1"/>
  <c r="AX28" i="1"/>
  <c r="AS28" i="1"/>
  <c r="AU28" i="1"/>
  <c r="BB28" i="1"/>
  <c r="AV66" i="1"/>
  <c r="AY28" i="1"/>
  <c r="BH162" i="1"/>
  <c r="BI162" i="1" s="1"/>
  <c r="BV156" i="1"/>
  <c r="BW156" i="1" s="1"/>
  <c r="BV162" i="1"/>
  <c r="BW162" i="1" s="1"/>
  <c r="BH156" i="1"/>
  <c r="BI156" i="1" s="1"/>
  <c r="AV51" i="1"/>
  <c r="AV213" i="1" s="1"/>
  <c r="BA40" i="1"/>
  <c r="BF42" i="1"/>
  <c r="AY55" i="1"/>
  <c r="BU70" i="1"/>
  <c r="AQ40" i="1"/>
  <c r="BE32" i="1"/>
  <c r="AP66" i="1"/>
  <c r="AQ55" i="1"/>
  <c r="AU42" i="1"/>
  <c r="BG66" i="1"/>
  <c r="AW44" i="1"/>
  <c r="AY43" i="1"/>
  <c r="AW40" i="1"/>
  <c r="BJ58" i="1"/>
  <c r="AR64" i="1"/>
  <c r="BV65" i="1"/>
  <c r="AQ42" i="1"/>
  <c r="BM58" i="1"/>
  <c r="BK66" i="1"/>
  <c r="BK33" i="1"/>
  <c r="BF39" i="1"/>
  <c r="AW70" i="1"/>
  <c r="BJ92" i="1"/>
  <c r="BG58" i="1"/>
  <c r="BH182" i="1"/>
  <c r="BI182" i="1" s="1"/>
  <c r="BU27" i="1"/>
  <c r="BU18" i="1" s="1"/>
  <c r="BQ39" i="1"/>
  <c r="AQ34" i="1"/>
  <c r="BS44" i="1"/>
  <c r="AX34" i="1"/>
  <c r="BS51" i="1"/>
  <c r="BS213" i="1" s="1"/>
  <c r="BH159" i="1"/>
  <c r="BI159" i="1" s="1"/>
  <c r="BJ221" i="1" s="1"/>
  <c r="BC42" i="1"/>
  <c r="BB40" i="1"/>
  <c r="AI34" i="1"/>
  <c r="BM55" i="1"/>
  <c r="BG65" i="1"/>
  <c r="AS70" i="1"/>
  <c r="BB54" i="1"/>
  <c r="BB70" i="1"/>
  <c r="AR65" i="1"/>
  <c r="AU33" i="1"/>
  <c r="BD27" i="1"/>
  <c r="AP34" i="1"/>
  <c r="BB66" i="1"/>
  <c r="BV144" i="1"/>
  <c r="BW144" i="1" s="1"/>
  <c r="BM42" i="1"/>
  <c r="BK65" i="1"/>
  <c r="BK39" i="1"/>
  <c r="AT54" i="1"/>
  <c r="BW55" i="1"/>
  <c r="BI43" i="1"/>
  <c r="BJ64" i="1"/>
  <c r="AS51" i="1"/>
  <c r="AT55" i="1"/>
  <c r="BQ44" i="1"/>
  <c r="AT40" i="1"/>
  <c r="BT34" i="1"/>
  <c r="BH178" i="1"/>
  <c r="BI32" i="1"/>
  <c r="BE33" i="1"/>
  <c r="AY42" i="1"/>
  <c r="BH183" i="1"/>
  <c r="BI183" i="1" s="1"/>
  <c r="BH92" i="1"/>
  <c r="AP65" i="1"/>
  <c r="BH161" i="1"/>
  <c r="AY51" i="1"/>
  <c r="AY213" i="1" s="1"/>
  <c r="AR33" i="1"/>
  <c r="BP58" i="1"/>
  <c r="BE65" i="1"/>
  <c r="AQ64" i="1"/>
  <c r="BB43" i="1"/>
  <c r="BW32" i="1"/>
  <c r="BC40" i="1"/>
  <c r="BD70" i="1"/>
  <c r="BO58" i="1"/>
  <c r="AI58" i="1"/>
  <c r="BI34" i="1"/>
  <c r="BQ27" i="1"/>
  <c r="BQ18" i="1" s="1"/>
  <c r="BF70" i="1"/>
  <c r="AV42" i="1"/>
  <c r="AT34" i="1"/>
  <c r="BT70" i="1"/>
  <c r="AQ39" i="1"/>
  <c r="BS65" i="1"/>
  <c r="BB51" i="1"/>
  <c r="BH165" i="1"/>
  <c r="BI165" i="1" s="1"/>
  <c r="BV138" i="1"/>
  <c r="BT43" i="1"/>
  <c r="BQ66" i="1"/>
  <c r="BV137" i="1"/>
  <c r="BW137" i="1" s="1"/>
  <c r="BN27" i="1"/>
  <c r="BR54" i="1"/>
  <c r="BU65" i="1"/>
  <c r="AX64" i="1"/>
  <c r="AN33" i="1"/>
  <c r="AT33" i="1"/>
  <c r="BK43" i="1"/>
  <c r="BJ54" i="1"/>
  <c r="AP42" i="1"/>
  <c r="AX33" i="1"/>
  <c r="BR42" i="1"/>
  <c r="BM65" i="1"/>
  <c r="BP70" i="1"/>
  <c r="BA58" i="1"/>
  <c r="BM34" i="1"/>
  <c r="BQ55" i="1"/>
  <c r="AZ70" i="1"/>
  <c r="BE58" i="1"/>
  <c r="AI66" i="1"/>
  <c r="BU66" i="1"/>
  <c r="BB65" i="1"/>
  <c r="BF44" i="1"/>
  <c r="BD44" i="1"/>
  <c r="BM39" i="1"/>
  <c r="BT39" i="1"/>
  <c r="BQ51" i="1"/>
  <c r="BQ213" i="1" s="1"/>
  <c r="AS42" i="1"/>
  <c r="AJ92" i="1"/>
  <c r="BP65" i="1"/>
  <c r="AW32" i="1"/>
  <c r="AV33" i="1"/>
  <c r="BI33" i="1"/>
  <c r="AS44" i="1"/>
  <c r="BI64" i="1"/>
  <c r="BP32" i="1"/>
  <c r="AZ44" i="1"/>
  <c r="AY58" i="1"/>
  <c r="BH39" i="1"/>
  <c r="BA44" i="1"/>
  <c r="BF40" i="1"/>
  <c r="BC55" i="1"/>
  <c r="BW40" i="1"/>
  <c r="BR51" i="1"/>
  <c r="AX39" i="1"/>
  <c r="BS32" i="1"/>
  <c r="BQ43" i="1"/>
  <c r="BE43" i="1"/>
  <c r="BP27" i="1"/>
  <c r="BP18" i="1" s="1"/>
  <c r="AO40" i="1"/>
  <c r="BV170" i="1"/>
  <c r="BW170" i="1" s="1"/>
  <c r="BA32" i="1"/>
  <c r="BV70" i="1"/>
  <c r="AY32" i="1"/>
  <c r="BI65" i="1"/>
  <c r="BH166" i="1"/>
  <c r="BI166" i="1" s="1"/>
  <c r="BN44" i="1"/>
  <c r="AS39" i="1"/>
  <c r="AW34" i="1"/>
  <c r="AU64" i="1"/>
  <c r="AI32" i="1"/>
  <c r="AT27" i="1"/>
  <c r="BT66" i="1"/>
  <c r="BE70" i="1"/>
  <c r="BR44" i="1"/>
  <c r="BA39" i="1"/>
  <c r="AI39" i="1"/>
  <c r="BD40" i="1"/>
  <c r="AN58" i="1"/>
  <c r="BW65" i="1"/>
  <c r="AY27" i="1"/>
  <c r="BW34" i="1"/>
  <c r="AM64" i="1"/>
  <c r="AT39" i="1"/>
  <c r="BE42" i="1"/>
  <c r="AR32" i="1"/>
  <c r="BM33" i="1"/>
  <c r="BC54" i="1"/>
  <c r="BG51" i="1"/>
  <c r="BG213" i="1" s="1"/>
  <c r="AZ58" i="1"/>
  <c r="BH43" i="1"/>
  <c r="BJ70" i="1"/>
  <c r="BS70" i="1"/>
  <c r="BR65" i="1"/>
  <c r="BE66" i="1"/>
  <c r="AY44" i="1"/>
  <c r="BV169" i="1"/>
  <c r="BW169" i="1" s="1"/>
  <c r="BV58" i="1"/>
  <c r="BQ70" i="1"/>
  <c r="AI65" i="1"/>
  <c r="AN66" i="1"/>
  <c r="AQ66" i="1"/>
  <c r="BW39" i="1"/>
  <c r="AO34" i="1"/>
  <c r="AW33" i="1"/>
  <c r="BR34" i="1"/>
  <c r="BH40" i="1"/>
  <c r="BH42" i="1"/>
  <c r="AI44" i="1"/>
  <c r="BO66" i="1"/>
  <c r="BO40" i="1"/>
  <c r="AP51" i="1"/>
  <c r="AQ51" i="1"/>
  <c r="BT44" i="1"/>
  <c r="AY66" i="1"/>
  <c r="BV173" i="1"/>
  <c r="BW173" i="1" s="1"/>
  <c r="AZ43" i="1"/>
  <c r="BK54" i="1"/>
  <c r="BH93" i="1"/>
  <c r="BH51" i="1"/>
  <c r="BH213" i="1" s="1"/>
  <c r="AT44" i="1"/>
  <c r="BV151" i="1"/>
  <c r="BR70" i="1"/>
  <c r="BP66" i="1"/>
  <c r="AN54" i="1"/>
  <c r="BS43" i="1"/>
  <c r="AX70" i="1"/>
  <c r="AZ32" i="1"/>
  <c r="BB42" i="1"/>
  <c r="AW55" i="1"/>
  <c r="BD34" i="1"/>
  <c r="BN51" i="1"/>
  <c r="BM27" i="1"/>
  <c r="AO33" i="1"/>
  <c r="BK40" i="1"/>
  <c r="BN33" i="1"/>
  <c r="BH27" i="1"/>
  <c r="BH250" i="1" s="1"/>
  <c r="BA55" i="1"/>
  <c r="BH136" i="1"/>
  <c r="BA70" i="1"/>
  <c r="BH70" i="1"/>
  <c r="AP54" i="1"/>
  <c r="BI40" i="1"/>
  <c r="BS54" i="1"/>
  <c r="BN32" i="1"/>
  <c r="AY54" i="1"/>
  <c r="AV39" i="1"/>
  <c r="BW66" i="1"/>
  <c r="BO44" i="1"/>
  <c r="BO42" i="1"/>
  <c r="BB32" i="1"/>
  <c r="BI66" i="1"/>
  <c r="AN55" i="1"/>
  <c r="AU32" i="1"/>
  <c r="BT58" i="1"/>
  <c r="BQ64" i="1"/>
  <c r="BG43" i="1"/>
  <c r="BU55" i="1"/>
  <c r="BV141" i="1"/>
  <c r="BW141" i="1" s="1"/>
  <c r="BQ54" i="1"/>
  <c r="BO51" i="1"/>
  <c r="BO213" i="1" s="1"/>
  <c r="BG44" i="1"/>
  <c r="BV178" i="1"/>
  <c r="AM92" i="1"/>
  <c r="BO70" i="1"/>
  <c r="AO58" i="1"/>
  <c r="BV44" i="1"/>
  <c r="BH137" i="1"/>
  <c r="BI137" i="1" s="1"/>
  <c r="BS27" i="1"/>
  <c r="BS18" i="1" s="1"/>
  <c r="BH55" i="1"/>
  <c r="AZ33" i="1"/>
  <c r="BV166" i="1"/>
  <c r="BW166" i="1" s="1"/>
  <c r="BG42" i="1"/>
  <c r="AQ44" i="1"/>
  <c r="AP27" i="1"/>
  <c r="AP250" i="1" s="1"/>
  <c r="AO32" i="1"/>
  <c r="BD54" i="1"/>
  <c r="BD58" i="1"/>
  <c r="BW64" i="1"/>
  <c r="BR33" i="1"/>
  <c r="AT58" i="1"/>
  <c r="BT42" i="1"/>
  <c r="BU40" i="1"/>
  <c r="AN65" i="1"/>
  <c r="AZ27" i="1"/>
  <c r="AN43" i="1"/>
  <c r="BV34" i="1"/>
  <c r="AQ33" i="1"/>
  <c r="BP51" i="1"/>
  <c r="BI42" i="1"/>
  <c r="BA64" i="1"/>
  <c r="AZ66" i="1"/>
  <c r="BV168" i="1"/>
  <c r="BW168" i="1" s="1"/>
  <c r="BW51" i="1"/>
  <c r="BW213" i="1" s="1"/>
  <c r="AV34" i="1"/>
  <c r="AO44" i="1"/>
  <c r="BO54" i="1"/>
  <c r="BM54" i="1"/>
  <c r="AP32" i="1"/>
  <c r="AS33" i="1"/>
  <c r="BG34" i="1"/>
  <c r="BV182" i="1"/>
  <c r="BW182" i="1" s="1"/>
  <c r="BV92" i="1"/>
  <c r="AQ32" i="1"/>
  <c r="AX42" i="1"/>
  <c r="BV161" i="1"/>
  <c r="BW161" i="1" s="1"/>
  <c r="BK27" i="1"/>
  <c r="AR66" i="1"/>
  <c r="AU34" i="1"/>
  <c r="BT32" i="1"/>
  <c r="AI27" i="1"/>
  <c r="BU58" i="1"/>
  <c r="BC65" i="1"/>
  <c r="BA66" i="1"/>
  <c r="BD66" i="1"/>
  <c r="BW33" i="1"/>
  <c r="BV40" i="1"/>
  <c r="BG39" i="1"/>
  <c r="AO64" i="1"/>
  <c r="BN65" i="1"/>
  <c r="AW51" i="1"/>
  <c r="AW213" i="1" s="1"/>
  <c r="BC32" i="1"/>
  <c r="AM93" i="1"/>
  <c r="BS64" i="1"/>
  <c r="BU39" i="1"/>
  <c r="BU54" i="1"/>
  <c r="BN66" i="1"/>
  <c r="BH170" i="1"/>
  <c r="BI170" i="1" s="1"/>
  <c r="BR66" i="1"/>
  <c r="BA27" i="1"/>
  <c r="BA250" i="1" s="1"/>
  <c r="AZ39" i="1"/>
  <c r="BO55" i="1"/>
  <c r="AI42" i="1"/>
  <c r="BE54" i="1"/>
  <c r="AW27" i="1"/>
  <c r="BP33" i="1"/>
  <c r="BR64" i="1"/>
  <c r="AR43" i="1"/>
  <c r="BF54" i="1"/>
  <c r="BV183" i="1"/>
  <c r="BW183" i="1" s="1"/>
  <c r="BT40" i="1"/>
  <c r="AR40" i="1"/>
  <c r="BO65" i="1"/>
  <c r="BA54" i="1"/>
  <c r="AZ34" i="1"/>
  <c r="AV65" i="1"/>
  <c r="BQ42" i="1"/>
  <c r="AX51" i="1"/>
  <c r="AX213" i="1" s="1"/>
  <c r="AO27" i="1"/>
  <c r="BV43" i="1"/>
  <c r="AJ93" i="1"/>
  <c r="BC39" i="1"/>
  <c r="BI39" i="1"/>
  <c r="BA51" i="1"/>
  <c r="BS40" i="1"/>
  <c r="AO70" i="1"/>
  <c r="BB27" i="1"/>
  <c r="AV40" i="1"/>
  <c r="BW54" i="1"/>
  <c r="BK51" i="1"/>
  <c r="AO42" i="1"/>
  <c r="AW43" i="1"/>
  <c r="BE39" i="1"/>
  <c r="BR55" i="1"/>
  <c r="BS58" i="1"/>
  <c r="AV54" i="1"/>
  <c r="BU44" i="1"/>
  <c r="BH138" i="1"/>
  <c r="BR27" i="1"/>
  <c r="BR18" i="1" s="1"/>
  <c r="BH173" i="1"/>
  <c r="BI173" i="1" s="1"/>
  <c r="BM44" i="1"/>
  <c r="BN64" i="1"/>
  <c r="AU27" i="1"/>
  <c r="BC70" i="1"/>
  <c r="AX66" i="1"/>
  <c r="BI51" i="1"/>
  <c r="BM64" i="1"/>
  <c r="BW42" i="1"/>
  <c r="AP43" i="1"/>
  <c r="BA65" i="1"/>
  <c r="BN58" i="1"/>
  <c r="AR51" i="1"/>
  <c r="AR213" i="1" s="1"/>
  <c r="BI54" i="1"/>
  <c r="BU33" i="1"/>
  <c r="AK93" i="1"/>
  <c r="BT51" i="1"/>
  <c r="AI70" i="1"/>
  <c r="BJ66" i="1"/>
  <c r="AX32" i="1"/>
  <c r="AR54" i="1"/>
  <c r="BI55" i="1"/>
  <c r="AP58" i="1"/>
  <c r="AZ42" i="1"/>
  <c r="BQ65" i="1"/>
  <c r="AN32" i="1"/>
  <c r="AR70" i="1"/>
  <c r="BV136" i="1"/>
  <c r="AV70" i="1"/>
  <c r="AN44" i="1"/>
  <c r="AQ70" i="1"/>
  <c r="BK58" i="1"/>
  <c r="BH33" i="1"/>
  <c r="AV58" i="1"/>
  <c r="BC34" i="1"/>
  <c r="AO65" i="1"/>
  <c r="AT51" i="1"/>
  <c r="AT213" i="1" s="1"/>
  <c r="BH146" i="1"/>
  <c r="BI146" i="1" s="1"/>
  <c r="AW42" i="1"/>
  <c r="BD55" i="1"/>
  <c r="BH168" i="1"/>
  <c r="AV43" i="1"/>
  <c r="AI43" i="1"/>
  <c r="AT70" i="1"/>
  <c r="AN70" i="1"/>
  <c r="BR40" i="1"/>
  <c r="AR44" i="1"/>
  <c r="BR43" i="1"/>
  <c r="BH171" i="1"/>
  <c r="BI171" i="1" s="1"/>
  <c r="BP44" i="1"/>
  <c r="BF58" i="1"/>
  <c r="BU34" i="1"/>
  <c r="BR58" i="1"/>
  <c r="BH58" i="1"/>
  <c r="AI64" i="1"/>
  <c r="AU55" i="1"/>
  <c r="BH174" i="1"/>
  <c r="BI174" i="1" s="1"/>
  <c r="AR39" i="1"/>
  <c r="BV152" i="1"/>
  <c r="BQ32" i="1"/>
  <c r="BU64" i="1"/>
  <c r="BG32" i="1"/>
  <c r="BH66" i="1"/>
  <c r="BI27" i="1"/>
  <c r="BI250" i="1" s="1"/>
  <c r="BW70" i="1"/>
  <c r="AS27" i="1"/>
  <c r="AS250" i="1" s="1"/>
  <c r="BH151" i="1"/>
  <c r="BB55" i="1"/>
  <c r="BW43" i="1"/>
  <c r="BK44" i="1"/>
  <c r="BA42" i="1"/>
  <c r="BG54" i="1"/>
  <c r="BU32" i="1"/>
  <c r="AN39" i="1"/>
  <c r="BP34" i="1"/>
  <c r="BJ55" i="1"/>
  <c r="BJ271" i="1" s="1"/>
  <c r="BO64" i="1"/>
  <c r="BU51" i="1"/>
  <c r="BH145" i="1"/>
  <c r="BI145" i="1" s="1"/>
  <c r="AO55" i="1"/>
  <c r="AQ27" i="1"/>
  <c r="AQ250" i="1" s="1"/>
  <c r="AQ43" i="1"/>
  <c r="BV165" i="1"/>
  <c r="BW165" i="1" s="1"/>
  <c r="BP64" i="1"/>
  <c r="BV172" i="1"/>
  <c r="BC27" i="1"/>
  <c r="BC250" i="1" s="1"/>
  <c r="BB34" i="1"/>
  <c r="BV171" i="1"/>
  <c r="BW171" i="1" s="1"/>
  <c r="BH172" i="1"/>
  <c r="BR39" i="1"/>
  <c r="BN55" i="1"/>
  <c r="BA33" i="1"/>
  <c r="AP40" i="1"/>
  <c r="AR42" i="1"/>
  <c r="BS34" i="1"/>
  <c r="AX54" i="1"/>
  <c r="BV51" i="1"/>
  <c r="BV213" i="1" s="1"/>
  <c r="BD51" i="1"/>
  <c r="BD213" i="1" s="1"/>
  <c r="BF66" i="1"/>
  <c r="BD42" i="1"/>
  <c r="BD39" i="1"/>
  <c r="BD33" i="1"/>
  <c r="AS66" i="1"/>
  <c r="BV159" i="1"/>
  <c r="BW159" i="1" s="1"/>
  <c r="BX221" i="1" s="1"/>
  <c r="BS66" i="1"/>
  <c r="AO54" i="1"/>
  <c r="AV44" i="1"/>
  <c r="BF51" i="1"/>
  <c r="BF213" i="1" s="1"/>
  <c r="BA34" i="1"/>
  <c r="BK70" i="1"/>
  <c r="BV164" i="1"/>
  <c r="BK42" i="1"/>
  <c r="BS33" i="1"/>
  <c r="AW65" i="1"/>
  <c r="AV27" i="1"/>
  <c r="AV250" i="1" s="1"/>
  <c r="AO51" i="1"/>
  <c r="AO213" i="1" s="1"/>
  <c r="AX40" i="1"/>
  <c r="AR55" i="1"/>
  <c r="BR32" i="1"/>
  <c r="AI33" i="1"/>
  <c r="BU43" i="1"/>
  <c r="BV179" i="1"/>
  <c r="BT65" i="1"/>
  <c r="BT27" i="1"/>
  <c r="BT18" i="1" s="1"/>
  <c r="AM65" i="1"/>
  <c r="AV55" i="1"/>
  <c r="BN42" i="1"/>
  <c r="AP70" i="1"/>
  <c r="AV32" i="1"/>
  <c r="BH32" i="1"/>
  <c r="BQ58" i="1"/>
  <c r="AY64" i="1"/>
  <c r="AR58" i="1"/>
  <c r="BM32" i="1"/>
  <c r="BW44" i="1"/>
  <c r="AV64" i="1"/>
  <c r="BT64" i="1"/>
  <c r="AP55" i="1"/>
  <c r="AZ51" i="1"/>
  <c r="BH141" i="1"/>
  <c r="BI141" i="1" s="1"/>
  <c r="BK55" i="1"/>
  <c r="BH152" i="1"/>
  <c r="AY65" i="1"/>
  <c r="BQ34" i="1"/>
  <c r="BE40" i="1"/>
  <c r="BV42" i="1"/>
  <c r="BD64" i="1"/>
  <c r="BM70" i="1"/>
  <c r="BM66" i="1"/>
  <c r="BV64" i="1"/>
  <c r="BH143" i="1"/>
  <c r="BV145" i="1"/>
  <c r="BW145" i="1" s="1"/>
  <c r="BH150" i="1"/>
  <c r="BI70" i="1"/>
  <c r="AT43" i="1"/>
  <c r="BD43" i="1"/>
  <c r="BF27" i="1"/>
  <c r="AX27" i="1"/>
  <c r="AT64" i="1"/>
  <c r="BV154" i="1"/>
  <c r="BW154" i="1" s="1"/>
  <c r="BP42" i="1"/>
  <c r="BC44" i="1"/>
  <c r="AK92" i="1"/>
  <c r="BP43" i="1"/>
  <c r="BF32" i="1"/>
  <c r="BM40" i="1"/>
  <c r="AO39" i="1"/>
  <c r="BV66" i="1"/>
  <c r="BK32" i="1"/>
  <c r="AO43" i="1"/>
  <c r="AZ65" i="1"/>
  <c r="BW58" i="1"/>
  <c r="AY40" i="1"/>
  <c r="AS34" i="1"/>
  <c r="AY39" i="1"/>
  <c r="AU58" i="1"/>
  <c r="AQ65" i="1"/>
  <c r="BJ93" i="1"/>
  <c r="BV143" i="1"/>
  <c r="BW143" i="1" s="1"/>
  <c r="BM43" i="1"/>
  <c r="AQ58" i="1"/>
  <c r="AX55" i="1"/>
  <c r="BG40" i="1"/>
  <c r="BF33" i="1"/>
  <c r="AU40" i="1"/>
  <c r="BE55" i="1"/>
  <c r="AZ55" i="1"/>
  <c r="BF65" i="1"/>
  <c r="BS55" i="1"/>
  <c r="BV146" i="1"/>
  <c r="BW146" i="1" s="1"/>
  <c r="BG33" i="1"/>
  <c r="BF55" i="1"/>
  <c r="BC66" i="1"/>
  <c r="BE51" i="1"/>
  <c r="BE213" i="1" s="1"/>
  <c r="BE44" i="1"/>
  <c r="BE27" i="1"/>
  <c r="BE250" i="1" s="1"/>
  <c r="BT54" i="1"/>
  <c r="BN40" i="1"/>
  <c r="BC51" i="1"/>
  <c r="BC213" i="1" s="1"/>
  <c r="BI58" i="1"/>
  <c r="AW39" i="1"/>
  <c r="BH163" i="1"/>
  <c r="AP64" i="1"/>
  <c r="AS32" i="1"/>
  <c r="BS42" i="1"/>
  <c r="AT42" i="1"/>
  <c r="AW54" i="1"/>
  <c r="BG27" i="1"/>
  <c r="BP39" i="1"/>
  <c r="AR34" i="1"/>
  <c r="AW64" i="1"/>
  <c r="BF64" i="1"/>
  <c r="BV32" i="1"/>
  <c r="AI40" i="1"/>
  <c r="AT65" i="1"/>
  <c r="BH54" i="1"/>
  <c r="BV163" i="1"/>
  <c r="AP39" i="1"/>
  <c r="AS54" i="1"/>
  <c r="BO34" i="1"/>
  <c r="BP54" i="1"/>
  <c r="BC33" i="1"/>
  <c r="BB64" i="1"/>
  <c r="BE34" i="1"/>
  <c r="BV55" i="1"/>
  <c r="AP44" i="1"/>
  <c r="AX65" i="1"/>
  <c r="AU54" i="1"/>
  <c r="AZ40" i="1"/>
  <c r="BD32" i="1"/>
  <c r="AS40" i="1"/>
  <c r="BN34" i="1"/>
  <c r="BM51" i="1"/>
  <c r="BJ51" i="1"/>
  <c r="AM66" i="1"/>
  <c r="BQ40" i="1"/>
  <c r="AU44" i="1"/>
  <c r="AX43" i="1"/>
  <c r="BS39" i="1"/>
  <c r="BB58" i="1"/>
  <c r="BC43" i="1"/>
  <c r="AT66" i="1"/>
  <c r="AW58" i="1"/>
  <c r="BV54" i="1"/>
  <c r="BH64" i="1"/>
  <c r="AN42" i="1"/>
  <c r="AX44" i="1"/>
  <c r="AP33" i="1"/>
  <c r="BP40" i="1"/>
  <c r="AQ54" i="1"/>
  <c r="BV93" i="1"/>
  <c r="AM70" i="1"/>
  <c r="BH34" i="1"/>
  <c r="AU39" i="1"/>
  <c r="BA43" i="1"/>
  <c r="BV174" i="1"/>
  <c r="BW174" i="1" s="1"/>
  <c r="BE64" i="1"/>
  <c r="AS58" i="1"/>
  <c r="AI54" i="1"/>
  <c r="BV150" i="1"/>
  <c r="AY70" i="1"/>
  <c r="BN54" i="1"/>
  <c r="BO32" i="1"/>
  <c r="BG64" i="1"/>
  <c r="BI44" i="1"/>
  <c r="AY34" i="1"/>
  <c r="BU42" i="1"/>
  <c r="BF43" i="1"/>
  <c r="BB39" i="1"/>
  <c r="BV39" i="1"/>
  <c r="BG55" i="1"/>
  <c r="BT55" i="1"/>
  <c r="AN34" i="1"/>
  <c r="BO33" i="1"/>
  <c r="BT33" i="1"/>
  <c r="AZ64" i="1"/>
  <c r="AS65" i="1"/>
  <c r="BH44" i="1"/>
  <c r="BO39" i="1"/>
  <c r="BH154" i="1"/>
  <c r="BI154" i="1" s="1"/>
  <c r="BC64" i="1"/>
  <c r="BH179" i="1"/>
  <c r="BO43" i="1"/>
  <c r="AN51" i="1"/>
  <c r="AN27" i="1"/>
  <c r="BK64" i="1"/>
  <c r="BV33" i="1"/>
  <c r="AS55" i="1"/>
  <c r="AO66" i="1"/>
  <c r="AI92" i="1"/>
  <c r="BB44" i="1"/>
  <c r="BN39" i="1"/>
  <c r="AN40" i="1"/>
  <c r="AU43" i="1"/>
  <c r="BH144" i="1"/>
  <c r="BI144" i="1" s="1"/>
  <c r="AU51" i="1"/>
  <c r="AU213" i="1" s="1"/>
  <c r="AI55" i="1"/>
  <c r="BW27" i="1"/>
  <c r="BW18" i="1" s="1"/>
  <c r="BO27" i="1"/>
  <c r="BO18" i="1" s="1"/>
  <c r="BG70" i="1"/>
  <c r="BC58" i="1"/>
  <c r="AR27" i="1"/>
  <c r="AR250" i="1" s="1"/>
  <c r="BN43" i="1"/>
  <c r="BP55" i="1"/>
  <c r="BK34" i="1"/>
  <c r="AS43" i="1"/>
  <c r="AY33" i="1"/>
  <c r="AU70" i="1"/>
  <c r="BB33" i="1"/>
  <c r="AX58" i="1"/>
  <c r="BD65" i="1"/>
  <c r="BQ33" i="1"/>
  <c r="BH169" i="1"/>
  <c r="BI169" i="1" s="1"/>
  <c r="BF34" i="1"/>
  <c r="BJ65" i="1"/>
  <c r="AN64" i="1"/>
  <c r="BN70" i="1"/>
  <c r="AI51" i="1"/>
  <c r="AI213" i="1" s="1"/>
  <c r="BV27" i="1"/>
  <c r="BV18" i="1" s="1"/>
  <c r="AZ54" i="1"/>
  <c r="AT32" i="1"/>
  <c r="AS64" i="1"/>
  <c r="AU65" i="1"/>
  <c r="CQ213" i="1"/>
  <c r="CQ151" i="1"/>
  <c r="DA96" i="1"/>
  <c r="CX84" i="1"/>
  <c r="CY82" i="1"/>
  <c r="AB14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W97" i="3"/>
  <c r="AJ64" i="3"/>
  <c r="L57" i="3"/>
  <c r="AA82" i="3"/>
  <c r="K47" i="3"/>
  <c r="AQ85" i="3"/>
  <c r="M82" i="3"/>
  <c r="AE73" i="3"/>
  <c r="AE97" i="3"/>
  <c r="V84" i="3"/>
  <c r="I75" i="3"/>
  <c r="AQ75" i="3"/>
  <c r="M54" i="3"/>
  <c r="AH60" i="3"/>
  <c r="P73" i="3"/>
  <c r="N68" i="3"/>
  <c r="R66" i="3"/>
  <c r="Z85" i="3"/>
  <c r="I65" i="3"/>
  <c r="M84" i="3"/>
  <c r="N75" i="3"/>
  <c r="U90" i="3"/>
  <c r="AL74" i="3"/>
  <c r="N72" i="3"/>
  <c r="Z83" i="3"/>
  <c r="M85" i="3"/>
  <c r="AM82" i="3"/>
  <c r="AK72" i="3"/>
  <c r="L91" i="3"/>
  <c r="J93" i="3"/>
  <c r="AC6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J55" i="3"/>
  <c r="AC87" i="3"/>
  <c r="X68" i="3"/>
  <c r="U83" i="3"/>
  <c r="AH61" i="3"/>
  <c r="H50" i="3"/>
  <c r="P67" i="3"/>
  <c r="AC67" i="3"/>
  <c r="I84" i="3"/>
  <c r="Z56" i="3"/>
  <c r="L76" i="3"/>
  <c r="Y93" i="3"/>
  <c r="AQ48" i="3"/>
  <c r="N66" i="3"/>
  <c r="M66" i="3"/>
  <c r="U92" i="3"/>
  <c r="AN66" i="3"/>
  <c r="AL47" i="3"/>
  <c r="P54" i="3"/>
  <c r="AL57" i="3"/>
  <c r="T94" i="3"/>
  <c r="AJ89" i="3"/>
  <c r="V77" i="3"/>
  <c r="AK94" i="3"/>
  <c r="AI50" i="3"/>
  <c r="AI61" i="3"/>
  <c r="V88" i="3"/>
  <c r="AC81" i="3"/>
  <c r="U80" i="3"/>
  <c r="T93" i="3"/>
  <c r="AK86" i="3"/>
  <c r="V50" i="3"/>
  <c r="T76" i="3"/>
  <c r="P85" i="3"/>
  <c r="Q80" i="3"/>
  <c r="Z62" i="3"/>
  <c r="AG79" i="3"/>
  <c r="I72" i="3"/>
  <c r="X8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H74" i="3"/>
  <c r="P80" i="3"/>
  <c r="AA56" i="3"/>
  <c r="AA48" i="3"/>
  <c r="W62" i="3"/>
  <c r="AC48" i="3"/>
  <c r="J77" i="3"/>
  <c r="O55" i="3"/>
  <c r="X50" i="3"/>
  <c r="AO95" i="3"/>
  <c r="AN84" i="3"/>
  <c r="AL69" i="3"/>
  <c r="I74" i="3"/>
  <c r="AG55" i="3"/>
  <c r="X61" i="3"/>
  <c r="W61" i="3"/>
  <c r="AH90" i="3"/>
  <c r="W47" i="3"/>
  <c r="Y92" i="3"/>
  <c r="K78" i="3"/>
  <c r="AC85" i="3"/>
  <c r="X60" i="3"/>
  <c r="Y82" i="3"/>
  <c r="M74" i="3"/>
  <c r="H90" i="3"/>
  <c r="O94" i="3"/>
  <c r="M78" i="3"/>
  <c r="AE54" i="3"/>
  <c r="W84" i="3"/>
  <c r="AL64" i="3"/>
  <c r="AA70" i="3"/>
  <c r="AG80" i="3"/>
  <c r="T78" i="3"/>
  <c r="K49" i="3"/>
  <c r="J76" i="3"/>
  <c r="AH59" i="3"/>
  <c r="N61" i="3"/>
  <c r="U78" i="3"/>
  <c r="AL90" i="3"/>
  <c r="AH88" i="3"/>
  <c r="R94" i="3"/>
  <c r="O93" i="3"/>
  <c r="H94" i="3"/>
  <c r="T71" i="3"/>
  <c r="U82" i="3"/>
  <c r="AN68" i="3"/>
  <c r="AO47" i="3"/>
  <c r="AQ65" i="3"/>
  <c r="R96" i="3"/>
  <c r="AA66" i="3"/>
  <c r="AQ83" i="3"/>
  <c r="W4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AL59" i="3"/>
  <c r="L81" i="3"/>
  <c r="L83" i="3"/>
  <c r="AJ80" i="3"/>
  <c r="J9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AE86" i="3"/>
  <c r="V93" i="3"/>
  <c r="AM77" i="3"/>
  <c r="T89" i="3"/>
  <c r="AG9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Z77" i="3"/>
  <c r="H95" i="3"/>
  <c r="P91" i="3"/>
  <c r="AC96" i="3"/>
  <c r="AO70" i="3"/>
  <c r="AE62" i="3"/>
  <c r="AH81" i="3"/>
  <c r="AO75" i="3"/>
  <c r="V82" i="3"/>
  <c r="AM94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S89" i="3"/>
  <c r="I71" i="3"/>
  <c r="J61" i="3"/>
  <c r="AK50" i="3"/>
  <c r="K81" i="3"/>
  <c r="I94" i="3"/>
  <c r="I85" i="3"/>
  <c r="P8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M83" i="3"/>
  <c r="AJ94" i="3"/>
  <c r="U86" i="3"/>
  <c r="R62" i="3"/>
  <c r="AC74" i="3"/>
  <c r="AE91" i="3"/>
  <c r="I60" i="3"/>
  <c r="AH80" i="3"/>
  <c r="AK78" i="3"/>
  <c r="M77" i="3"/>
  <c r="T81" i="3"/>
  <c r="AG72" i="3"/>
  <c r="I70" i="3"/>
  <c r="AK63" i="3"/>
  <c r="AE71" i="3"/>
  <c r="AM58" i="3"/>
  <c r="P81" i="3"/>
  <c r="M90" i="3"/>
  <c r="W73" i="3"/>
  <c r="N55" i="3"/>
  <c r="I55" i="3"/>
  <c r="AM70" i="3"/>
  <c r="W79" i="3"/>
  <c r="I73" i="3"/>
  <c r="S62" i="3"/>
  <c r="M57" i="3"/>
  <c r="Q77" i="3"/>
  <c r="R77" i="3"/>
  <c r="AN55" i="3"/>
  <c r="AA68" i="3"/>
  <c r="AA69" i="3"/>
  <c r="I82" i="3"/>
  <c r="X71" i="3"/>
  <c r="K58" i="3"/>
  <c r="W92" i="3"/>
  <c r="O72" i="3"/>
  <c r="AC66" i="3"/>
  <c r="AK77" i="3"/>
  <c r="Z80" i="3"/>
  <c r="AQ87" i="3"/>
  <c r="S80" i="3"/>
  <c r="L48" i="3"/>
  <c r="AG96" i="3"/>
  <c r="S67" i="3"/>
  <c r="U57" i="3"/>
  <c r="AK97" i="3"/>
  <c r="Q73" i="3"/>
  <c r="P64" i="3"/>
  <c r="AH75" i="3"/>
  <c r="I58" i="3"/>
  <c r="AM95" i="3"/>
  <c r="V90" i="3"/>
  <c r="AG77" i="3"/>
  <c r="AJ68" i="3"/>
  <c r="AN59" i="3"/>
  <c r="J67" i="3"/>
  <c r="AA75" i="3"/>
  <c r="AN47" i="3"/>
  <c r="J63" i="3"/>
  <c r="AG82" i="3"/>
  <c r="AL80" i="3"/>
  <c r="AH93" i="3"/>
  <c r="AG57" i="3"/>
  <c r="J58" i="3"/>
  <c r="H60" i="3"/>
  <c r="U72" i="3"/>
  <c r="T85" i="3"/>
  <c r="T72" i="3"/>
  <c r="AN56" i="3"/>
  <c r="AJ88" i="3"/>
  <c r="AE77" i="3"/>
  <c r="R81" i="3"/>
  <c r="AE87" i="3"/>
  <c r="P55" i="3"/>
  <c r="X72" i="3"/>
  <c r="AQ74" i="3"/>
  <c r="AO88" i="3"/>
  <c r="AJ90" i="3"/>
  <c r="AL48" i="3"/>
  <c r="P95" i="3"/>
  <c r="H75" i="3"/>
  <c r="AO97" i="3"/>
  <c r="W78" i="3"/>
  <c r="I92" i="3"/>
  <c r="H87" i="3"/>
  <c r="U73" i="3"/>
  <c r="I95" i="3"/>
  <c r="M75" i="3"/>
  <c r="AK75" i="3"/>
  <c r="O73" i="3"/>
  <c r="H57" i="3"/>
  <c r="V76" i="3"/>
  <c r="V73" i="3"/>
  <c r="Y77" i="3"/>
  <c r="I78" i="3"/>
  <c r="AC80" i="3"/>
  <c r="AJ92" i="3"/>
  <c r="AK47" i="3"/>
  <c r="W88" i="3"/>
  <c r="AQ91" i="3"/>
  <c r="AN87" i="3"/>
  <c r="AJ69" i="3"/>
  <c r="Y83" i="3"/>
  <c r="Z71" i="3"/>
  <c r="J91" i="3"/>
  <c r="W86" i="3"/>
  <c r="R93" i="3"/>
  <c r="K60" i="3"/>
  <c r="AE89" i="3"/>
  <c r="J57" i="3"/>
  <c r="AC57" i="3"/>
  <c r="S48" i="3"/>
  <c r="AK91" i="3"/>
  <c r="O68" i="3"/>
  <c r="AQ90" i="3"/>
  <c r="Q94" i="3"/>
  <c r="Z59" i="3"/>
  <c r="AI67" i="3"/>
  <c r="AI91" i="3"/>
  <c r="U55" i="3"/>
  <c r="V47" i="3"/>
  <c r="Z95" i="3"/>
  <c r="K70" i="3"/>
  <c r="AE63" i="3"/>
  <c r="H56" i="3"/>
  <c r="K93" i="3"/>
  <c r="T56" i="3"/>
  <c r="R97" i="3"/>
  <c r="AQ93" i="3"/>
  <c r="Q67" i="3"/>
  <c r="K96" i="3"/>
  <c r="T82" i="3"/>
  <c r="N60" i="3"/>
  <c r="S91" i="3"/>
  <c r="AQ63" i="3"/>
  <c r="K76" i="3"/>
  <c r="X83" i="3"/>
  <c r="V59" i="3"/>
  <c r="AQ68" i="3"/>
  <c r="R67" i="3"/>
  <c r="Y67" i="3"/>
  <c r="R59" i="3"/>
  <c r="AH69" i="3"/>
  <c r="AH47" i="3"/>
  <c r="T83" i="3"/>
  <c r="AA67" i="3"/>
  <c r="K65" i="3"/>
  <c r="K66" i="3"/>
  <c r="AN64" i="3"/>
  <c r="N77" i="3"/>
  <c r="Z75" i="3"/>
  <c r="AM48" i="3"/>
  <c r="T66" i="3"/>
  <c r="O61" i="3"/>
  <c r="AK54" i="3"/>
  <c r="Q88" i="3"/>
  <c r="AA62" i="3"/>
  <c r="V83" i="3"/>
  <c r="AM89" i="3"/>
  <c r="P59" i="3"/>
  <c r="U48" i="3"/>
  <c r="K90" i="3"/>
  <c r="L96" i="3"/>
  <c r="AH89" i="3"/>
  <c r="K83" i="3"/>
  <c r="N48" i="3"/>
  <c r="AH55" i="3"/>
  <c r="P49" i="3"/>
  <c r="AJ86" i="3"/>
  <c r="AC88" i="3"/>
  <c r="K88" i="3"/>
  <c r="AL55" i="3"/>
  <c r="AA73" i="3"/>
  <c r="Q83" i="3"/>
  <c r="AJ58" i="3"/>
  <c r="I91" i="3"/>
  <c r="N80" i="3"/>
  <c r="AA49" i="3"/>
  <c r="K95" i="3"/>
  <c r="V72" i="3"/>
  <c r="X74" i="3"/>
  <c r="AO91" i="3"/>
  <c r="M70" i="3"/>
  <c r="AJ78" i="3"/>
  <c r="Q87" i="3"/>
  <c r="V92" i="3"/>
  <c r="T67" i="3"/>
  <c r="T74" i="3"/>
  <c r="Q47" i="3"/>
  <c r="AH62" i="3"/>
  <c r="T60" i="3"/>
  <c r="AI55" i="3"/>
  <c r="AI59" i="3"/>
  <c r="AI81" i="3"/>
  <c r="AO78" i="3"/>
  <c r="K71" i="3"/>
  <c r="S70" i="3"/>
  <c r="Q65" i="3"/>
  <c r="Z69" i="3"/>
  <c r="S77" i="3"/>
  <c r="R85" i="3"/>
  <c r="AK65" i="3"/>
  <c r="X87" i="3"/>
  <c r="U49" i="3"/>
  <c r="AC92" i="3"/>
  <c r="AC62" i="3"/>
  <c r="J74" i="3"/>
  <c r="AO87" i="3"/>
  <c r="M96" i="3"/>
  <c r="R80" i="3"/>
  <c r="AI82" i="3"/>
  <c r="T95" i="3"/>
  <c r="Y76" i="3"/>
  <c r="K91" i="3"/>
  <c r="AI94" i="3"/>
  <c r="L78" i="3"/>
  <c r="N74" i="3"/>
  <c r="AG89" i="3"/>
  <c r="AO69" i="3"/>
  <c r="AO94" i="3"/>
  <c r="AG61" i="3"/>
  <c r="AI71" i="3"/>
  <c r="S92" i="3"/>
  <c r="AH92" i="3"/>
  <c r="M79" i="3"/>
  <c r="H97" i="3"/>
  <c r="V54" i="3"/>
  <c r="AN49" i="3"/>
  <c r="N67" i="3"/>
  <c r="X58" i="3"/>
  <c r="H54" i="3"/>
  <c r="X95" i="3"/>
  <c r="O85" i="3"/>
  <c r="M72" i="3"/>
  <c r="K92" i="3"/>
  <c r="AE72" i="3"/>
  <c r="X59" i="3"/>
  <c r="Q72" i="3"/>
  <c r="AM87" i="3"/>
  <c r="Y59" i="3"/>
  <c r="AL95" i="3"/>
  <c r="AA85" i="3"/>
  <c r="L93" i="3"/>
  <c r="M56" i="3"/>
  <c r="AE78" i="3"/>
  <c r="AM79" i="3"/>
  <c r="Y57" i="3"/>
  <c r="I61" i="3"/>
  <c r="O76" i="3"/>
  <c r="W54" i="3"/>
  <c r="Y68" i="3"/>
  <c r="O80" i="3"/>
  <c r="X64" i="3"/>
  <c r="O64" i="3"/>
  <c r="S64" i="3"/>
  <c r="T68" i="3"/>
  <c r="Y71" i="3"/>
  <c r="U70" i="3"/>
  <c r="W63" i="3"/>
  <c r="J95" i="3"/>
  <c r="AL83" i="3"/>
  <c r="L54" i="3"/>
  <c r="T90" i="3"/>
  <c r="L62" i="3"/>
  <c r="AL97" i="3"/>
  <c r="N86" i="3"/>
  <c r="O50" i="3"/>
  <c r="S96" i="3"/>
  <c r="AG74" i="3"/>
  <c r="AE59" i="3"/>
  <c r="AM72" i="3"/>
  <c r="AO60" i="3"/>
  <c r="S76" i="3"/>
  <c r="AH49" i="3"/>
  <c r="AK70" i="3"/>
  <c r="J62" i="3"/>
  <c r="AG69" i="3"/>
  <c r="AQ89" i="3"/>
  <c r="O58" i="3"/>
  <c r="X48" i="3"/>
  <c r="AM55" i="3"/>
  <c r="S68" i="3"/>
  <c r="AJ62" i="3"/>
  <c r="S63" i="3"/>
  <c r="W72" i="3"/>
  <c r="AQ71" i="3"/>
  <c r="AK76" i="3"/>
  <c r="R57" i="3"/>
  <c r="K85" i="3"/>
  <c r="T91" i="3"/>
  <c r="AE57" i="3"/>
  <c r="AQ69" i="3"/>
  <c r="N63" i="3"/>
  <c r="AQ50" i="3"/>
  <c r="I180" i="1" l="1"/>
  <c r="J228" i="1" s="1"/>
  <c r="L139" i="1"/>
  <c r="R153" i="1"/>
  <c r="R157" i="1" s="1"/>
  <c r="C139" i="1"/>
  <c r="C194" i="1" s="1"/>
  <c r="U180" i="1"/>
  <c r="BU250" i="1"/>
  <c r="BP250" i="1"/>
  <c r="BS250" i="1"/>
  <c r="BR250" i="1"/>
  <c r="BV250" i="1"/>
  <c r="B84" i="1"/>
  <c r="F153" i="1"/>
  <c r="O180" i="1"/>
  <c r="P228" i="1" s="1"/>
  <c r="C221" i="1"/>
  <c r="E139" i="1"/>
  <c r="U167" i="1"/>
  <c r="C147" i="1"/>
  <c r="Q192" i="1"/>
  <c r="I167" i="1"/>
  <c r="S180" i="1"/>
  <c r="T228" i="1" s="1"/>
  <c r="M139" i="1"/>
  <c r="L153" i="1"/>
  <c r="V180" i="1"/>
  <c r="W228" i="1" s="1"/>
  <c r="T221" i="1"/>
  <c r="D139" i="1"/>
  <c r="D147" i="1"/>
  <c r="Q221" i="1"/>
  <c r="V221" i="1"/>
  <c r="O139" i="1"/>
  <c r="M180" i="1"/>
  <c r="S192" i="1"/>
  <c r="T180" i="1"/>
  <c r="B192" i="1"/>
  <c r="F147" i="1"/>
  <c r="C153" i="1"/>
  <c r="H139" i="1"/>
  <c r="S221" i="1"/>
  <c r="N153" i="1"/>
  <c r="R147" i="1"/>
  <c r="R56" i="1" s="1"/>
  <c r="V147" i="1"/>
  <c r="S167" i="1"/>
  <c r="T139" i="1"/>
  <c r="H192" i="1"/>
  <c r="C192" i="1"/>
  <c r="I139" i="1"/>
  <c r="J153" i="1"/>
  <c r="M167" i="1"/>
  <c r="M201" i="1" s="1"/>
  <c r="M200" i="1" s="1"/>
  <c r="U153" i="1"/>
  <c r="B175" i="1"/>
  <c r="B204" i="1" s="1"/>
  <c r="B203" i="1" s="1"/>
  <c r="S153" i="1"/>
  <c r="B153" i="1"/>
  <c r="K221" i="1"/>
  <c r="H180" i="1"/>
  <c r="C84" i="1"/>
  <c r="S147" i="1"/>
  <c r="S175" i="1"/>
  <c r="S204" i="1" s="1"/>
  <c r="S203" i="1" s="1"/>
  <c r="C167" i="1"/>
  <c r="K180" i="1"/>
  <c r="D180" i="1"/>
  <c r="F180" i="1"/>
  <c r="M221" i="1"/>
  <c r="F139" i="1"/>
  <c r="T153" i="1"/>
  <c r="T52" i="1" s="1"/>
  <c r="B139" i="1"/>
  <c r="G153" i="1"/>
  <c r="T147" i="1"/>
  <c r="M192" i="1"/>
  <c r="O147" i="1"/>
  <c r="L221" i="1"/>
  <c r="B147" i="1"/>
  <c r="N192" i="1"/>
  <c r="D84" i="1"/>
  <c r="D126" i="1" s="1"/>
  <c r="K167" i="1"/>
  <c r="K147" i="1"/>
  <c r="F167" i="1"/>
  <c r="J180" i="1"/>
  <c r="G139" i="1"/>
  <c r="D192" i="1"/>
  <c r="J147" i="1"/>
  <c r="N221" i="1"/>
  <c r="E192" i="1"/>
  <c r="R221" i="1"/>
  <c r="L167" i="1"/>
  <c r="D221" i="1"/>
  <c r="G167" i="1"/>
  <c r="G201" i="1" s="1"/>
  <c r="G200" i="1" s="1"/>
  <c r="K139" i="1"/>
  <c r="C180" i="1"/>
  <c r="P167" i="1"/>
  <c r="W147" i="1"/>
  <c r="D167" i="1"/>
  <c r="U139" i="1"/>
  <c r="F175" i="1"/>
  <c r="F204" i="1" s="1"/>
  <c r="R167" i="1"/>
  <c r="C175" i="1"/>
  <c r="W192" i="1"/>
  <c r="E221" i="1"/>
  <c r="J167" i="1"/>
  <c r="E153" i="1"/>
  <c r="H175" i="1"/>
  <c r="H204" i="1" s="1"/>
  <c r="H203" i="1" s="1"/>
  <c r="H147" i="1"/>
  <c r="U221" i="1"/>
  <c r="I153" i="1"/>
  <c r="V192" i="1"/>
  <c r="P147" i="1"/>
  <c r="G192" i="1"/>
  <c r="J139" i="1"/>
  <c r="Q180" i="1"/>
  <c r="N175" i="1"/>
  <c r="N204" i="1" s="1"/>
  <c r="N203" i="1" s="1"/>
  <c r="V167" i="1"/>
  <c r="O167" i="1"/>
  <c r="I147" i="1"/>
  <c r="I187" i="1" s="1"/>
  <c r="I128" i="1" s="1"/>
  <c r="O221" i="1"/>
  <c r="D153" i="1"/>
  <c r="G180" i="1"/>
  <c r="Q153" i="1"/>
  <c r="T167" i="1"/>
  <c r="E147" i="1"/>
  <c r="M153" i="1"/>
  <c r="Q139" i="1"/>
  <c r="P192" i="1"/>
  <c r="E167" i="1"/>
  <c r="E201" i="1" s="1"/>
  <c r="E200" i="1" s="1"/>
  <c r="L192" i="1"/>
  <c r="K192" i="1"/>
  <c r="K153" i="1"/>
  <c r="N147" i="1"/>
  <c r="O192" i="1"/>
  <c r="L147" i="1"/>
  <c r="P139" i="1"/>
  <c r="B167" i="1"/>
  <c r="T192" i="1"/>
  <c r="J192" i="1"/>
  <c r="P153" i="1"/>
  <c r="G147" i="1"/>
  <c r="U147" i="1"/>
  <c r="D175" i="1"/>
  <c r="H221" i="1"/>
  <c r="S139" i="1"/>
  <c r="W153" i="1"/>
  <c r="F192" i="1"/>
  <c r="O153" i="1"/>
  <c r="L180" i="1"/>
  <c r="R180" i="1"/>
  <c r="I192" i="1"/>
  <c r="R139" i="1"/>
  <c r="Q167" i="1"/>
  <c r="V139" i="1"/>
  <c r="Q147" i="1"/>
  <c r="K175" i="1"/>
  <c r="N198" i="1"/>
  <c r="N167" i="1"/>
  <c r="P175" i="1"/>
  <c r="P204" i="1" s="1"/>
  <c r="P203" i="1" s="1"/>
  <c r="T175" i="1"/>
  <c r="J175" i="1"/>
  <c r="E175" i="1"/>
  <c r="G175" i="1"/>
  <c r="O175" i="1"/>
  <c r="U175" i="1"/>
  <c r="L175" i="1"/>
  <c r="L194" i="1"/>
  <c r="H198" i="1"/>
  <c r="H167" i="1"/>
  <c r="R192" i="1"/>
  <c r="J221" i="1"/>
  <c r="I221" i="1"/>
  <c r="U192" i="1"/>
  <c r="G221" i="1"/>
  <c r="F221" i="1"/>
  <c r="X221" i="1"/>
  <c r="W221" i="1"/>
  <c r="M173" i="1"/>
  <c r="M175" i="1" s="1"/>
  <c r="M147" i="1"/>
  <c r="V153" i="1"/>
  <c r="I175" i="1"/>
  <c r="H153" i="1"/>
  <c r="Q175" i="1"/>
  <c r="V175" i="1"/>
  <c r="R175" i="1"/>
  <c r="BH153" i="1"/>
  <c r="BH157" i="1" s="1"/>
  <c r="L73" i="1"/>
  <c r="AX159" i="1"/>
  <c r="AY159" i="1" s="1"/>
  <c r="AZ172" i="1"/>
  <c r="AZ202" i="1" s="1"/>
  <c r="BA202" i="1" s="1"/>
  <c r="BR145" i="1"/>
  <c r="BS145" i="1" s="1"/>
  <c r="AZ173" i="1"/>
  <c r="BA173" i="1" s="1"/>
  <c r="BT150" i="1"/>
  <c r="BP174" i="1"/>
  <c r="BQ174" i="1" s="1"/>
  <c r="BP92" i="1"/>
  <c r="BF144" i="1"/>
  <c r="BG144" i="1" s="1"/>
  <c r="AP165" i="1"/>
  <c r="AQ165" i="1" s="1"/>
  <c r="BI92" i="1"/>
  <c r="AX163" i="1"/>
  <c r="AX198" i="1" s="1"/>
  <c r="BR178" i="1"/>
  <c r="BF93" i="1"/>
  <c r="AZ171" i="1"/>
  <c r="BA171" i="1" s="1"/>
  <c r="BD154" i="1"/>
  <c r="BE154" i="1" s="1"/>
  <c r="AZ136" i="1"/>
  <c r="BA136" i="1" s="1"/>
  <c r="BN183" i="1"/>
  <c r="BO183" i="1" s="1"/>
  <c r="BF166" i="1"/>
  <c r="BG166" i="1" s="1"/>
  <c r="BT170" i="1"/>
  <c r="BU170" i="1" s="1"/>
  <c r="BN138" i="1"/>
  <c r="AX137" i="1"/>
  <c r="AY137" i="1" s="1"/>
  <c r="BW93" i="1"/>
  <c r="BN145" i="1"/>
  <c r="BO145" i="1" s="1"/>
  <c r="AX170" i="1"/>
  <c r="AY170" i="1" s="1"/>
  <c r="AP144" i="1"/>
  <c r="AQ144" i="1" s="1"/>
  <c r="AT150" i="1"/>
  <c r="AZ150" i="1"/>
  <c r="BF173" i="1"/>
  <c r="BG173" i="1" s="1"/>
  <c r="BR146" i="1"/>
  <c r="BS146" i="1" s="1"/>
  <c r="BD166" i="1"/>
  <c r="BE166" i="1" s="1"/>
  <c r="AP162" i="1"/>
  <c r="AQ162" i="1" s="1"/>
  <c r="AV154" i="1"/>
  <c r="AW154" i="1" s="1"/>
  <c r="BB154" i="1"/>
  <c r="BC154" i="1" s="1"/>
  <c r="AN136" i="1"/>
  <c r="AR183" i="1"/>
  <c r="AS183" i="1" s="1"/>
  <c r="AQ92" i="1"/>
  <c r="AT170" i="1"/>
  <c r="AU170" i="1" s="1"/>
  <c r="AX93" i="1"/>
  <c r="BA92" i="1"/>
  <c r="BF170" i="1"/>
  <c r="BG170" i="1" s="1"/>
  <c r="BN141" i="1"/>
  <c r="BO141" i="1" s="1"/>
  <c r="BP146" i="1"/>
  <c r="BQ146" i="1" s="1"/>
  <c r="BF143" i="1"/>
  <c r="BG143" i="1" s="1"/>
  <c r="BF182" i="1"/>
  <c r="BG182" i="1" s="1"/>
  <c r="AZ179" i="1"/>
  <c r="AW92" i="1"/>
  <c r="BP145" i="1"/>
  <c r="BQ145" i="1" s="1"/>
  <c r="BD171" i="1"/>
  <c r="BE171" i="1" s="1"/>
  <c r="BG92" i="1"/>
  <c r="AZ161" i="1"/>
  <c r="BA161" i="1" s="1"/>
  <c r="BD179" i="1"/>
  <c r="BT136" i="1"/>
  <c r="BU136" i="1" s="1"/>
  <c r="BN171" i="1"/>
  <c r="BO171" i="1" s="1"/>
  <c r="BD168" i="1"/>
  <c r="BE168" i="1" s="1"/>
  <c r="BT171" i="1"/>
  <c r="BU171" i="1" s="1"/>
  <c r="BM93" i="1"/>
  <c r="BN146" i="1"/>
  <c r="BO146" i="1" s="1"/>
  <c r="BR151" i="1"/>
  <c r="BP163" i="1"/>
  <c r="BP198" i="1" s="1"/>
  <c r="BQ198" i="1" s="1"/>
  <c r="AT178" i="1"/>
  <c r="BF183" i="1"/>
  <c r="BG183" i="1" s="1"/>
  <c r="AZ154" i="1"/>
  <c r="BA154" i="1" s="1"/>
  <c r="BT165" i="1"/>
  <c r="BU165" i="1" s="1"/>
  <c r="BP143" i="1"/>
  <c r="BQ143" i="1" s="1"/>
  <c r="BP161" i="1"/>
  <c r="BQ161" i="1" s="1"/>
  <c r="BT93" i="1"/>
  <c r="AR162" i="1"/>
  <c r="AS162" i="1" s="1"/>
  <c r="BF137" i="1"/>
  <c r="BG137" i="1" s="1"/>
  <c r="AX92" i="1"/>
  <c r="AX166" i="1"/>
  <c r="AY166" i="1" s="1"/>
  <c r="AX171" i="1"/>
  <c r="AY171" i="1" s="1"/>
  <c r="BB143" i="1"/>
  <c r="BF136" i="1"/>
  <c r="BG136" i="1" s="1"/>
  <c r="AZ166" i="1"/>
  <c r="BA166" i="1" s="1"/>
  <c r="BP150" i="1"/>
  <c r="AV163" i="1"/>
  <c r="AV198" i="1" s="1"/>
  <c r="AW198" i="1" s="1"/>
  <c r="BW92" i="1"/>
  <c r="BN174" i="1"/>
  <c r="BO174" i="1" s="1"/>
  <c r="BR168" i="1"/>
  <c r="BS168" i="1" s="1"/>
  <c r="BP138" i="1"/>
  <c r="BR92" i="1"/>
  <c r="BB93" i="1"/>
  <c r="BD93" i="1"/>
  <c r="AT144" i="1"/>
  <c r="AU144" i="1" s="1"/>
  <c r="BN144" i="1"/>
  <c r="BO144" i="1" s="1"/>
  <c r="BB165" i="1"/>
  <c r="BC165" i="1" s="1"/>
  <c r="BF151" i="1"/>
  <c r="AT141" i="1"/>
  <c r="AU141" i="1" s="1"/>
  <c r="BB151" i="1"/>
  <c r="AN141" i="1"/>
  <c r="AO141" i="1" s="1"/>
  <c r="BB145" i="1"/>
  <c r="BC145" i="1" s="1"/>
  <c r="BP159" i="1"/>
  <c r="BQ159" i="1" s="1"/>
  <c r="AP159" i="1"/>
  <c r="AV159" i="1"/>
  <c r="AV169" i="1"/>
  <c r="AW169" i="1" s="1"/>
  <c r="AN137" i="1"/>
  <c r="AO137" i="1" s="1"/>
  <c r="AN93" i="1"/>
  <c r="BE93" i="1"/>
  <c r="AX141" i="1"/>
  <c r="AY141" i="1" s="1"/>
  <c r="AX179" i="1"/>
  <c r="BB138" i="1"/>
  <c r="AZ164" i="1"/>
  <c r="AZ199" i="1" s="1"/>
  <c r="BA199" i="1" s="1"/>
  <c r="BT163" i="1"/>
  <c r="BT198" i="1" s="1"/>
  <c r="BU198" i="1" s="1"/>
  <c r="AP138" i="1"/>
  <c r="BR170" i="1"/>
  <c r="BS170" i="1" s="1"/>
  <c r="AT152" i="1"/>
  <c r="AX169" i="1"/>
  <c r="AY169" i="1" s="1"/>
  <c r="BN165" i="1"/>
  <c r="BO165" i="1" s="1"/>
  <c r="BN151" i="1"/>
  <c r="AY93" i="1"/>
  <c r="BR163" i="1"/>
  <c r="BR198" i="1" s="1"/>
  <c r="BS198" i="1" s="1"/>
  <c r="BB179" i="1"/>
  <c r="BD150" i="1"/>
  <c r="BT172" i="1"/>
  <c r="BT202" i="1" s="1"/>
  <c r="BU202" i="1" s="1"/>
  <c r="BA93" i="1"/>
  <c r="BR165" i="1"/>
  <c r="BS165" i="1" s="1"/>
  <c r="BB146" i="1"/>
  <c r="BC146" i="1" s="1"/>
  <c r="BP164" i="1"/>
  <c r="BP199" i="1" s="1"/>
  <c r="BQ199" i="1" s="1"/>
  <c r="AT163" i="1"/>
  <c r="AT198" i="1" s="1"/>
  <c r="AU198" i="1" s="1"/>
  <c r="BC92" i="1"/>
  <c r="BD170" i="1"/>
  <c r="BE170" i="1" s="1"/>
  <c r="BR164" i="1"/>
  <c r="BR199" i="1" s="1"/>
  <c r="BS199" i="1" s="1"/>
  <c r="BT178" i="1"/>
  <c r="AV168" i="1"/>
  <c r="AW168" i="1" s="1"/>
  <c r="BN161" i="1"/>
  <c r="BO161" i="1" s="1"/>
  <c r="AZ163" i="1"/>
  <c r="AZ198" i="1" s="1"/>
  <c r="BA198" i="1" s="1"/>
  <c r="AP143" i="1"/>
  <c r="AQ143" i="1" s="1"/>
  <c r="BP136" i="1"/>
  <c r="BQ136" i="1" s="1"/>
  <c r="BD145" i="1"/>
  <c r="BE145" i="1" s="1"/>
  <c r="BP151" i="1"/>
  <c r="AP169" i="1"/>
  <c r="AQ169" i="1" s="1"/>
  <c r="BD183" i="1"/>
  <c r="BE183" i="1" s="1"/>
  <c r="AV178" i="1"/>
  <c r="AV136" i="1"/>
  <c r="AW136" i="1" s="1"/>
  <c r="AR138" i="1"/>
  <c r="AR161" i="1"/>
  <c r="AS161" i="1" s="1"/>
  <c r="AZ159" i="1"/>
  <c r="BA159" i="1" s="1"/>
  <c r="AP182" i="1"/>
  <c r="AQ182" i="1" s="1"/>
  <c r="AP161" i="1"/>
  <c r="AN156" i="1"/>
  <c r="AO156" i="1" s="1"/>
  <c r="AV144" i="1"/>
  <c r="AW144" i="1" s="1"/>
  <c r="AV145" i="1"/>
  <c r="AW145" i="1" s="1"/>
  <c r="AR173" i="1"/>
  <c r="AS173" i="1" s="1"/>
  <c r="AV152" i="1"/>
  <c r="AR137" i="1"/>
  <c r="AS137" i="1" s="1"/>
  <c r="AR171" i="1"/>
  <c r="AS171" i="1" s="1"/>
  <c r="BP178" i="1"/>
  <c r="AN169" i="1"/>
  <c r="AO169" i="1" s="1"/>
  <c r="AR143" i="1"/>
  <c r="AN179" i="1"/>
  <c r="AV183" i="1"/>
  <c r="AW183" i="1" s="1"/>
  <c r="AR172" i="1"/>
  <c r="AR202" i="1" s="1"/>
  <c r="AN145" i="1"/>
  <c r="AO145" i="1" s="1"/>
  <c r="AR141" i="1"/>
  <c r="AS141" i="1" s="1"/>
  <c r="AR165" i="1"/>
  <c r="AS165" i="1" s="1"/>
  <c r="BB150" i="1"/>
  <c r="AV92" i="1"/>
  <c r="AU92" i="1"/>
  <c r="AR179" i="1"/>
  <c r="AV172" i="1"/>
  <c r="AV202" i="1" s="1"/>
  <c r="AT168" i="1"/>
  <c r="AU168" i="1" s="1"/>
  <c r="AT172" i="1"/>
  <c r="AT202" i="1" s="1"/>
  <c r="AU202" i="1" s="1"/>
  <c r="AR92" i="1"/>
  <c r="BO93" i="1"/>
  <c r="BT159" i="1"/>
  <c r="AP152" i="1"/>
  <c r="BF169" i="1"/>
  <c r="BG169" i="1" s="1"/>
  <c r="BN92" i="1"/>
  <c r="AV179" i="1"/>
  <c r="AR163" i="1"/>
  <c r="AR198" i="1" s="1"/>
  <c r="AS198" i="1" s="1"/>
  <c r="BP168" i="1"/>
  <c r="BQ168" i="1" s="1"/>
  <c r="AV170" i="1"/>
  <c r="AW170" i="1" s="1"/>
  <c r="BT146" i="1"/>
  <c r="BU146" i="1" s="1"/>
  <c r="AR166" i="1"/>
  <c r="AS166" i="1" s="1"/>
  <c r="BB164" i="1"/>
  <c r="BB199" i="1" s="1"/>
  <c r="BC199" i="1" s="1"/>
  <c r="AT137" i="1"/>
  <c r="AU137" i="1" s="1"/>
  <c r="BO92" i="1"/>
  <c r="AX182" i="1"/>
  <c r="AY182" i="1" s="1"/>
  <c r="BB159" i="1"/>
  <c r="BC159" i="1" s="1"/>
  <c r="BD136" i="1"/>
  <c r="BR154" i="1"/>
  <c r="BS154" i="1" s="1"/>
  <c r="BB172" i="1"/>
  <c r="BB202" i="1" s="1"/>
  <c r="BF179" i="1"/>
  <c r="BP172" i="1"/>
  <c r="BP202" i="1" s="1"/>
  <c r="BQ202" i="1" s="1"/>
  <c r="AX174" i="1"/>
  <c r="AY174" i="1" s="1"/>
  <c r="BN178" i="1"/>
  <c r="AZ145" i="1"/>
  <c r="BA145" i="1" s="1"/>
  <c r="AX150" i="1"/>
  <c r="BN163" i="1"/>
  <c r="BN198" i="1" s="1"/>
  <c r="BO198" i="1" s="1"/>
  <c r="BR137" i="1"/>
  <c r="BS137" i="1" s="1"/>
  <c r="BF164" i="1"/>
  <c r="BF199" i="1" s="1"/>
  <c r="BG199" i="1" s="1"/>
  <c r="BS92" i="1"/>
  <c r="BQ93" i="1"/>
  <c r="AT154" i="1"/>
  <c r="AU154" i="1" s="1"/>
  <c r="AT145" i="1"/>
  <c r="AU145" i="1" s="1"/>
  <c r="AZ141" i="1"/>
  <c r="BA141" i="1" s="1"/>
  <c r="BD182" i="1"/>
  <c r="BE182" i="1" s="1"/>
  <c r="BD141" i="1"/>
  <c r="BE141" i="1" s="1"/>
  <c r="BT138" i="1"/>
  <c r="BB173" i="1"/>
  <c r="BC173" i="1" s="1"/>
  <c r="BF150" i="1"/>
  <c r="AX138" i="1"/>
  <c r="AX154" i="1"/>
  <c r="AY154" i="1" s="1"/>
  <c r="AX164" i="1"/>
  <c r="AX199" i="1" s="1"/>
  <c r="AY199" i="1" s="1"/>
  <c r="AZ152" i="1"/>
  <c r="AZ174" i="1"/>
  <c r="BA174" i="1" s="1"/>
  <c r="BF172" i="1"/>
  <c r="BF202" i="1" s="1"/>
  <c r="BG202" i="1" s="1"/>
  <c r="BF154" i="1"/>
  <c r="BG154" i="1" s="1"/>
  <c r="BD169" i="1"/>
  <c r="BE169" i="1" s="1"/>
  <c r="BN169" i="1"/>
  <c r="BO169" i="1" s="1"/>
  <c r="AQ93" i="1"/>
  <c r="BR93" i="1"/>
  <c r="AZ146" i="1"/>
  <c r="BA146" i="1" s="1"/>
  <c r="BD165" i="1"/>
  <c r="BE165" i="1" s="1"/>
  <c r="BD143" i="1"/>
  <c r="BE143" i="1" s="1"/>
  <c r="BT154" i="1"/>
  <c r="BU154" i="1" s="1"/>
  <c r="BP93" i="1"/>
  <c r="AV173" i="1"/>
  <c r="AW173" i="1" s="1"/>
  <c r="BN93" i="1"/>
  <c r="BR183" i="1"/>
  <c r="BS183" i="1" s="1"/>
  <c r="AN183" i="1"/>
  <c r="AO183" i="1" s="1"/>
  <c r="AT169" i="1"/>
  <c r="AO92" i="1"/>
  <c r="AX168" i="1"/>
  <c r="AX151" i="1"/>
  <c r="AX156" i="1"/>
  <c r="AY156" i="1" s="1"/>
  <c r="BE92" i="1"/>
  <c r="BN152" i="1"/>
  <c r="BN182" i="1"/>
  <c r="BO182" i="1" s="1"/>
  <c r="BN143" i="1"/>
  <c r="BN164" i="1"/>
  <c r="BN199" i="1" s="1"/>
  <c r="BO199" i="1" s="1"/>
  <c r="BN173" i="1"/>
  <c r="BO173" i="1" s="1"/>
  <c r="AY92" i="1"/>
  <c r="BR161" i="1"/>
  <c r="BS161" i="1" s="1"/>
  <c r="BB168" i="1"/>
  <c r="BC168" i="1" s="1"/>
  <c r="BB170" i="1"/>
  <c r="BC170" i="1" s="1"/>
  <c r="AZ170" i="1"/>
  <c r="BA170" i="1" s="1"/>
  <c r="BF161" i="1"/>
  <c r="BG161" i="1" s="1"/>
  <c r="BD164" i="1"/>
  <c r="BD199" i="1" s="1"/>
  <c r="BE199" i="1" s="1"/>
  <c r="BT173" i="1"/>
  <c r="BU173" i="1" s="1"/>
  <c r="BT179" i="1"/>
  <c r="BP162" i="1"/>
  <c r="BQ162" i="1" s="1"/>
  <c r="BP170" i="1"/>
  <c r="BQ170" i="1" s="1"/>
  <c r="AP137" i="1"/>
  <c r="AQ137" i="1" s="1"/>
  <c r="AZ137" i="1"/>
  <c r="BA137" i="1" s="1"/>
  <c r="AX145" i="1"/>
  <c r="AY145" i="1" s="1"/>
  <c r="AX161" i="1"/>
  <c r="AY161" i="1" s="1"/>
  <c r="BN166" i="1"/>
  <c r="BO166" i="1" s="1"/>
  <c r="BR152" i="1"/>
  <c r="BR174" i="1"/>
  <c r="BS174" i="1" s="1"/>
  <c r="BR169" i="1"/>
  <c r="BS169" i="1" s="1"/>
  <c r="BB141" i="1"/>
  <c r="BC141" i="1" s="1"/>
  <c r="AZ151" i="1"/>
  <c r="AP168" i="1"/>
  <c r="AQ168" i="1" s="1"/>
  <c r="AW93" i="1"/>
  <c r="AS92" i="1"/>
  <c r="AT146" i="1"/>
  <c r="AU146" i="1" s="1"/>
  <c r="AT164" i="1"/>
  <c r="AT199" i="1" s="1"/>
  <c r="AU199" i="1" s="1"/>
  <c r="AT174" i="1"/>
  <c r="AU174" i="1" s="1"/>
  <c r="AT165" i="1"/>
  <c r="AU165" i="1" s="1"/>
  <c r="AT173" i="1"/>
  <c r="AU173" i="1" s="1"/>
  <c r="AT136" i="1"/>
  <c r="BB169" i="1"/>
  <c r="BC169" i="1" s="1"/>
  <c r="AZ182" i="1"/>
  <c r="BA182" i="1" s="1"/>
  <c r="AZ169" i="1"/>
  <c r="BA169" i="1" s="1"/>
  <c r="BF138" i="1"/>
  <c r="BD138" i="1"/>
  <c r="BD159" i="1"/>
  <c r="BE159" i="1" s="1"/>
  <c r="AP93" i="1"/>
  <c r="BG93" i="1"/>
  <c r="BF141" i="1"/>
  <c r="BG141" i="1" s="1"/>
  <c r="AZ183" i="1"/>
  <c r="BA183" i="1" s="1"/>
  <c r="BF159" i="1"/>
  <c r="BG159" i="1" s="1"/>
  <c r="BH221" i="1" s="1"/>
  <c r="BD161" i="1"/>
  <c r="BE161" i="1" s="1"/>
  <c r="BP141" i="1"/>
  <c r="BQ141" i="1" s="1"/>
  <c r="BK92" i="1"/>
  <c r="AP141" i="1"/>
  <c r="AQ141" i="1" s="1"/>
  <c r="AT162" i="1"/>
  <c r="AU162" i="1" s="1"/>
  <c r="AT138" i="1"/>
  <c r="BN172" i="1"/>
  <c r="BN202" i="1" s="1"/>
  <c r="BO202" i="1" s="1"/>
  <c r="BB152" i="1"/>
  <c r="BB161" i="1"/>
  <c r="BC161" i="1" s="1"/>
  <c r="AZ168" i="1"/>
  <c r="BA168" i="1" s="1"/>
  <c r="BP165" i="1"/>
  <c r="BQ165" i="1" s="1"/>
  <c r="AN165" i="1"/>
  <c r="AO165" i="1" s="1"/>
  <c r="BT164" i="1"/>
  <c r="BT199" i="1" s="1"/>
  <c r="BU199" i="1" s="1"/>
  <c r="BD172" i="1"/>
  <c r="BD202" i="1" s="1"/>
  <c r="BE202" i="1" s="1"/>
  <c r="BF145" i="1"/>
  <c r="BG145" i="1" s="1"/>
  <c r="BT169" i="1"/>
  <c r="BU169" i="1" s="1"/>
  <c r="AN178" i="1"/>
  <c r="AZ156" i="1"/>
  <c r="BA156" i="1" s="1"/>
  <c r="AP145" i="1"/>
  <c r="AQ145" i="1" s="1"/>
  <c r="AP163" i="1"/>
  <c r="AP198" i="1" s="1"/>
  <c r="AQ198" i="1" s="1"/>
  <c r="AN171" i="1"/>
  <c r="AO171" i="1" s="1"/>
  <c r="BP144" i="1"/>
  <c r="BQ144" i="1" s="1"/>
  <c r="AV165" i="1"/>
  <c r="AW165" i="1" s="1"/>
  <c r="AR144" i="1"/>
  <c r="AS144" i="1" s="1"/>
  <c r="AR93" i="1"/>
  <c r="BT166" i="1"/>
  <c r="BU166" i="1" s="1"/>
  <c r="BP171" i="1"/>
  <c r="BQ171" i="1" s="1"/>
  <c r="AN182" i="1"/>
  <c r="AO182" i="1" s="1"/>
  <c r="AV93" i="1"/>
  <c r="AP146" i="1"/>
  <c r="AQ146" i="1" s="1"/>
  <c r="AV137" i="1"/>
  <c r="AW137" i="1" s="1"/>
  <c r="AV182" i="1"/>
  <c r="AW182" i="1" s="1"/>
  <c r="AR136" i="1"/>
  <c r="AV143" i="1"/>
  <c r="BD92" i="1"/>
  <c r="AP172" i="1"/>
  <c r="AP202" i="1" s="1"/>
  <c r="AQ202" i="1" s="1"/>
  <c r="BP152" i="1"/>
  <c r="AN166" i="1"/>
  <c r="AO166" i="1" s="1"/>
  <c r="AR156" i="1"/>
  <c r="AS156" i="1" s="1"/>
  <c r="BI93" i="1"/>
  <c r="AS93" i="1"/>
  <c r="AR169" i="1"/>
  <c r="AS169" i="1" s="1"/>
  <c r="AP179" i="1"/>
  <c r="AN173" i="1"/>
  <c r="AO173" i="1" s="1"/>
  <c r="AV146" i="1"/>
  <c r="AW146" i="1" s="1"/>
  <c r="BP173" i="1"/>
  <c r="BQ173" i="1" s="1"/>
  <c r="AN170" i="1"/>
  <c r="AO170" i="1" s="1"/>
  <c r="AN154" i="1"/>
  <c r="AO154" i="1" s="1"/>
  <c r="AR146" i="1"/>
  <c r="AS146" i="1" s="1"/>
  <c r="AV171" i="1"/>
  <c r="AW171" i="1" s="1"/>
  <c r="BQ92" i="1"/>
  <c r="BS93" i="1"/>
  <c r="AR168" i="1"/>
  <c r="AS168" i="1" s="1"/>
  <c r="AP92" i="1"/>
  <c r="BR143" i="1"/>
  <c r="BS143" i="1" s="1"/>
  <c r="AV161" i="1"/>
  <c r="AW161" i="1" s="1"/>
  <c r="AN162" i="1"/>
  <c r="AO162" i="1" s="1"/>
  <c r="AN151" i="1"/>
  <c r="AR182" i="1"/>
  <c r="AS182" i="1" s="1"/>
  <c r="AV164" i="1"/>
  <c r="AV199" i="1" s="1"/>
  <c r="AW199" i="1" s="1"/>
  <c r="AN161" i="1"/>
  <c r="AR145" i="1"/>
  <c r="AS145" i="1" s="1"/>
  <c r="AX172" i="1"/>
  <c r="AX202" i="1" s="1"/>
  <c r="AY202" i="1" s="1"/>
  <c r="BB92" i="1"/>
  <c r="AZ165" i="1"/>
  <c r="BA165" i="1" s="1"/>
  <c r="BD178" i="1"/>
  <c r="BR173" i="1"/>
  <c r="BS173" i="1" s="1"/>
  <c r="BT151" i="1"/>
  <c r="BK93" i="1"/>
  <c r="AX136" i="1"/>
  <c r="AX173" i="1"/>
  <c r="AY173" i="1" s="1"/>
  <c r="BB144" i="1"/>
  <c r="BC144" i="1" s="1"/>
  <c r="BF163" i="1"/>
  <c r="BF198" i="1" s="1"/>
  <c r="BG198" i="1" s="1"/>
  <c r="BT144" i="1"/>
  <c r="BU144" i="1" s="1"/>
  <c r="AX143" i="1"/>
  <c r="BR159" i="1"/>
  <c r="BT143" i="1"/>
  <c r="AP174" i="1"/>
  <c r="AQ174" i="1" s="1"/>
  <c r="AT183" i="1"/>
  <c r="AU183" i="1" s="1"/>
  <c r="AT171" i="1"/>
  <c r="AU171" i="1" s="1"/>
  <c r="BC93" i="1"/>
  <c r="AZ143" i="1"/>
  <c r="BA143" i="1" s="1"/>
  <c r="BF171" i="1"/>
  <c r="BG171" i="1" s="1"/>
  <c r="BD163" i="1"/>
  <c r="BD198" i="1" s="1"/>
  <c r="BE198" i="1" s="1"/>
  <c r="AT93" i="1"/>
  <c r="BB163" i="1"/>
  <c r="BB198" i="1" s="1"/>
  <c r="BC198" i="1" s="1"/>
  <c r="BT174" i="1"/>
  <c r="BU174" i="1" s="1"/>
  <c r="BB166" i="1"/>
  <c r="BC166" i="1" s="1"/>
  <c r="AN159" i="1"/>
  <c r="BP169" i="1"/>
  <c r="BQ169" i="1" s="1"/>
  <c r="AN152" i="1"/>
  <c r="BT92" i="1"/>
  <c r="AP164" i="1"/>
  <c r="AP199" i="1" s="1"/>
  <c r="AQ199" i="1" s="1"/>
  <c r="AV150" i="1"/>
  <c r="BD146" i="1"/>
  <c r="BE146" i="1" s="1"/>
  <c r="AX178" i="1"/>
  <c r="AX183" i="1"/>
  <c r="AY183" i="1" s="1"/>
  <c r="AX144" i="1"/>
  <c r="AY144" i="1" s="1"/>
  <c r="BB182" i="1"/>
  <c r="BC182" i="1" s="1"/>
  <c r="BU92" i="1"/>
  <c r="AZ93" i="1"/>
  <c r="BF165" i="1"/>
  <c r="BG165" i="1" s="1"/>
  <c r="BF146" i="1"/>
  <c r="BG146" i="1" s="1"/>
  <c r="BD152" i="1"/>
  <c r="BN159" i="1"/>
  <c r="BR171" i="1"/>
  <c r="BS171" i="1" s="1"/>
  <c r="BR138" i="1"/>
  <c r="BR144" i="1"/>
  <c r="BS144" i="1" s="1"/>
  <c r="BR136" i="1"/>
  <c r="BB183" i="1"/>
  <c r="BC183" i="1" s="1"/>
  <c r="AZ138" i="1"/>
  <c r="BF168" i="1"/>
  <c r="BG168" i="1" s="1"/>
  <c r="BD137" i="1"/>
  <c r="BE137" i="1" s="1"/>
  <c r="BT183" i="1"/>
  <c r="BU183" i="1" s="1"/>
  <c r="BP179" i="1"/>
  <c r="AP151" i="1"/>
  <c r="AV151" i="1"/>
  <c r="BN150" i="1"/>
  <c r="BR166" i="1"/>
  <c r="BS166" i="1" s="1"/>
  <c r="AX152" i="1"/>
  <c r="AX165" i="1"/>
  <c r="AY165" i="1" s="1"/>
  <c r="BN179" i="1"/>
  <c r="BN137" i="1"/>
  <c r="BO137" i="1" s="1"/>
  <c r="BN168" i="1"/>
  <c r="BO168" i="1" s="1"/>
  <c r="BR179" i="1"/>
  <c r="BR141" i="1"/>
  <c r="BS141" i="1" s="1"/>
  <c r="BB178" i="1"/>
  <c r="BF152" i="1"/>
  <c r="BT137" i="1"/>
  <c r="BU137" i="1" s="1"/>
  <c r="BP182" i="1"/>
  <c r="BQ182" i="1" s="1"/>
  <c r="BP166" i="1"/>
  <c r="BQ166" i="1" s="1"/>
  <c r="BM92" i="1"/>
  <c r="AX146" i="1"/>
  <c r="AY146" i="1" s="1"/>
  <c r="BN170" i="1"/>
  <c r="BO170" i="1" s="1"/>
  <c r="BN136" i="1"/>
  <c r="BO136" i="1" s="1"/>
  <c r="BR150" i="1"/>
  <c r="BR182" i="1"/>
  <c r="BS182" i="1" s="1"/>
  <c r="BR172" i="1"/>
  <c r="BR202" i="1" s="1"/>
  <c r="BS202" i="1" s="1"/>
  <c r="BB174" i="1"/>
  <c r="BC174" i="1" s="1"/>
  <c r="AZ178" i="1"/>
  <c r="BD174" i="1"/>
  <c r="BE174" i="1" s="1"/>
  <c r="BT152" i="1"/>
  <c r="AP170" i="1"/>
  <c r="AQ170" i="1" s="1"/>
  <c r="AT159" i="1"/>
  <c r="AU159" i="1" s="1"/>
  <c r="AT179" i="1"/>
  <c r="AT143" i="1"/>
  <c r="AU143" i="1" s="1"/>
  <c r="AT161" i="1"/>
  <c r="BN154" i="1"/>
  <c r="BO154" i="1" s="1"/>
  <c r="BB171" i="1"/>
  <c r="BC171" i="1" s="1"/>
  <c r="BU93" i="1"/>
  <c r="AZ144" i="1"/>
  <c r="BA144" i="1" s="1"/>
  <c r="BF174" i="1"/>
  <c r="BG174" i="1" s="1"/>
  <c r="BP137" i="1"/>
  <c r="BQ137" i="1" s="1"/>
  <c r="BF178" i="1"/>
  <c r="BF92" i="1"/>
  <c r="BD144" i="1"/>
  <c r="BE144" i="1" s="1"/>
  <c r="BT141" i="1"/>
  <c r="BU141" i="1" s="1"/>
  <c r="AP171" i="1"/>
  <c r="AQ171" i="1" s="1"/>
  <c r="AT182" i="1"/>
  <c r="AU182" i="1" s="1"/>
  <c r="AT166" i="1"/>
  <c r="AU166" i="1" s="1"/>
  <c r="BT145" i="1"/>
  <c r="BU145" i="1" s="1"/>
  <c r="AU93" i="1"/>
  <c r="BB137" i="1"/>
  <c r="BC137" i="1" s="1"/>
  <c r="AZ92" i="1"/>
  <c r="BT161" i="1"/>
  <c r="BU161" i="1" s="1"/>
  <c r="AP183" i="1"/>
  <c r="AQ183" i="1" s="1"/>
  <c r="BB136" i="1"/>
  <c r="AN164" i="1"/>
  <c r="AN199" i="1" s="1"/>
  <c r="AO199" i="1" s="1"/>
  <c r="BD173" i="1"/>
  <c r="BE173" i="1" s="1"/>
  <c r="BT182" i="1"/>
  <c r="BU182" i="1" s="1"/>
  <c r="BP154" i="1"/>
  <c r="BQ154" i="1" s="1"/>
  <c r="AP154" i="1"/>
  <c r="AQ154" i="1" s="1"/>
  <c r="AN143" i="1"/>
  <c r="BP183" i="1"/>
  <c r="BQ183" i="1" s="1"/>
  <c r="AP136" i="1"/>
  <c r="AQ136" i="1" s="1"/>
  <c r="AN138" i="1"/>
  <c r="AV141" i="1"/>
  <c r="AW141" i="1" s="1"/>
  <c r="AR154" i="1"/>
  <c r="AS154" i="1" s="1"/>
  <c r="AR159" i="1"/>
  <c r="AS159" i="1" s="1"/>
  <c r="AR152" i="1"/>
  <c r="AP178" i="1"/>
  <c r="AP166" i="1"/>
  <c r="AQ166" i="1" s="1"/>
  <c r="AN172" i="1"/>
  <c r="AN202" i="1" s="1"/>
  <c r="AO202" i="1" s="1"/>
  <c r="AV174" i="1"/>
  <c r="AW174" i="1" s="1"/>
  <c r="AP150" i="1"/>
  <c r="AR151" i="1"/>
  <c r="AR150" i="1"/>
  <c r="AR178" i="1"/>
  <c r="BD151" i="1"/>
  <c r="AN163" i="1"/>
  <c r="AN198" i="1" s="1"/>
  <c r="AO198" i="1" s="1"/>
  <c r="AV138" i="1"/>
  <c r="AR164" i="1"/>
  <c r="BT168" i="1"/>
  <c r="BU168" i="1" s="1"/>
  <c r="AN168" i="1"/>
  <c r="AO168" i="1" s="1"/>
  <c r="AR174" i="1"/>
  <c r="AS174" i="1" s="1"/>
  <c r="AP173" i="1"/>
  <c r="AQ173" i="1" s="1"/>
  <c r="AN146" i="1"/>
  <c r="AO146" i="1" s="1"/>
  <c r="AN174" i="1"/>
  <c r="AO174" i="1" s="1"/>
  <c r="AR170" i="1"/>
  <c r="AS170" i="1" s="1"/>
  <c r="AN150" i="1"/>
  <c r="AT151" i="1"/>
  <c r="AT92" i="1"/>
  <c r="AN92" i="1"/>
  <c r="AN144" i="1"/>
  <c r="AO144" i="1" s="1"/>
  <c r="AO93" i="1"/>
  <c r="AV166" i="1"/>
  <c r="AW166" i="1" s="1"/>
  <c r="BH180" i="1"/>
  <c r="BI161" i="1"/>
  <c r="BH167" i="1"/>
  <c r="BH201" i="1" s="1"/>
  <c r="BI168" i="1"/>
  <c r="BH175" i="1"/>
  <c r="BH204" i="1" s="1"/>
  <c r="BI143" i="1"/>
  <c r="BI147" i="1" s="1"/>
  <c r="BH147" i="1"/>
  <c r="AV156" i="1"/>
  <c r="AW156" i="1" s="1"/>
  <c r="AV162" i="1"/>
  <c r="AZ29" i="1"/>
  <c r="AZ35" i="1" s="1"/>
  <c r="AP156" i="1"/>
  <c r="AQ156" i="1" s="1"/>
  <c r="BF156" i="1"/>
  <c r="BG156" i="1" s="1"/>
  <c r="AT156" i="1"/>
  <c r="AU156" i="1" s="1"/>
  <c r="BP156" i="1"/>
  <c r="BQ156" i="1" s="1"/>
  <c r="BD156" i="1"/>
  <c r="BE156" i="1" s="1"/>
  <c r="BN156" i="1"/>
  <c r="BO156" i="1" s="1"/>
  <c r="BR156" i="1"/>
  <c r="BS156" i="1" s="1"/>
  <c r="BT156" i="1"/>
  <c r="BU156" i="1" s="1"/>
  <c r="BB156" i="1"/>
  <c r="BC156" i="1" s="1"/>
  <c r="BT162" i="1"/>
  <c r="BB162" i="1"/>
  <c r="BF162" i="1"/>
  <c r="AX162" i="1"/>
  <c r="BD162" i="1"/>
  <c r="AZ162" i="1"/>
  <c r="BR162" i="1"/>
  <c r="BN162" i="1"/>
  <c r="AN271" i="1"/>
  <c r="AI56" i="1"/>
  <c r="B126" i="1"/>
  <c r="B127" i="1"/>
  <c r="B85" i="1"/>
  <c r="BV180" i="1"/>
  <c r="BW228" i="1" s="1"/>
  <c r="AP271" i="1"/>
  <c r="BK271" i="1"/>
  <c r="BO45" i="1"/>
  <c r="AU117" i="1"/>
  <c r="AU118" i="1" s="1"/>
  <c r="BH271" i="1"/>
  <c r="BI271" i="1"/>
  <c r="BU45" i="1"/>
  <c r="BD45" i="1"/>
  <c r="BK29" i="1"/>
  <c r="AT250" i="1"/>
  <c r="AP213" i="1"/>
  <c r="AP272" i="1"/>
  <c r="AY29" i="1"/>
  <c r="AM67" i="1"/>
  <c r="BO271" i="1"/>
  <c r="BR45" i="1"/>
  <c r="BW45" i="1"/>
  <c r="BF271" i="1"/>
  <c r="AX45" i="1"/>
  <c r="BI136" i="1"/>
  <c r="BH139" i="1"/>
  <c r="BH111" i="1" s="1"/>
  <c r="BH115" i="1" s="1"/>
  <c r="AZ250" i="1"/>
  <c r="BC117" i="1"/>
  <c r="BC118" i="1" s="1"/>
  <c r="AY271" i="1"/>
  <c r="AW29" i="1"/>
  <c r="AW35" i="1" s="1"/>
  <c r="BN272" i="1"/>
  <c r="AP29" i="1"/>
  <c r="BJ117" i="1"/>
  <c r="BJ118" i="1" s="1"/>
  <c r="BJ121" i="1" s="1"/>
  <c r="AI202" i="1"/>
  <c r="AI204" i="1"/>
  <c r="AI201" i="1"/>
  <c r="AN213" i="1"/>
  <c r="AN52" i="1"/>
  <c r="C73" i="1"/>
  <c r="V228" i="1"/>
  <c r="AW45" i="1"/>
  <c r="AU45" i="1"/>
  <c r="BQ271" i="1"/>
  <c r="BN117" i="1"/>
  <c r="BN118" i="1" s="1"/>
  <c r="BM29" i="1"/>
  <c r="AO272" i="1"/>
  <c r="BA29" i="1"/>
  <c r="BA35" i="1" s="1"/>
  <c r="BW272" i="1"/>
  <c r="BR117" i="1"/>
  <c r="BR118" i="1" s="1"/>
  <c r="BP271" i="1"/>
  <c r="BQ29" i="1"/>
  <c r="BQ250" i="1"/>
  <c r="BS117" i="1"/>
  <c r="BS118" i="1" s="1"/>
  <c r="BB213" i="1"/>
  <c r="BB272" i="1"/>
  <c r="BN271" i="1"/>
  <c r="BO117" i="1"/>
  <c r="BO118" i="1" s="1"/>
  <c r="BO121" i="1" s="1"/>
  <c r="BN250" i="1"/>
  <c r="BM250" i="1"/>
  <c r="BP117" i="1"/>
  <c r="BP118" i="1" s="1"/>
  <c r="BK45" i="1"/>
  <c r="BU271" i="1"/>
  <c r="BU29" i="1"/>
  <c r="N194" i="1"/>
  <c r="N73" i="1"/>
  <c r="N267" i="1"/>
  <c r="BD29" i="1"/>
  <c r="BD272" i="1"/>
  <c r="BD250" i="1"/>
  <c r="BG117" i="1"/>
  <c r="BG118" i="1" s="1"/>
  <c r="AI222" i="1"/>
  <c r="AI220" i="1" s="1"/>
  <c r="AI45" i="1"/>
  <c r="BV272" i="1"/>
  <c r="BJ46" i="1"/>
  <c r="BV29" i="1"/>
  <c r="BV35" i="1" s="1"/>
  <c r="BV20" i="1" s="1"/>
  <c r="BV19" i="1" s="1"/>
  <c r="BO29" i="1"/>
  <c r="BK56" i="1"/>
  <c r="AR272" i="1"/>
  <c r="BU117" i="1"/>
  <c r="BU118" i="1" s="1"/>
  <c r="BW147" i="1"/>
  <c r="BW117" i="1"/>
  <c r="BW118" i="1" s="1"/>
  <c r="AZ117" i="1"/>
  <c r="AZ118" i="1" s="1"/>
  <c r="AZ121" i="1" s="1"/>
  <c r="BG45" i="1"/>
  <c r="BA271" i="1"/>
  <c r="AY272" i="1"/>
  <c r="AT29" i="1"/>
  <c r="AT35" i="1" s="1"/>
  <c r="AZ45" i="1"/>
  <c r="AS45" i="1"/>
  <c r="BO250" i="1"/>
  <c r="AS271" i="1"/>
  <c r="BA45" i="1"/>
  <c r="AZ271" i="1"/>
  <c r="BE45" i="1"/>
  <c r="BV167" i="1"/>
  <c r="BV201" i="1" s="1"/>
  <c r="BR29" i="1"/>
  <c r="AR45" i="1"/>
  <c r="BD271" i="1"/>
  <c r="BI45" i="1"/>
  <c r="BM56" i="1"/>
  <c r="BQ45" i="1"/>
  <c r="AR29" i="1"/>
  <c r="AS29" i="1"/>
  <c r="AT45" i="1"/>
  <c r="BP45" i="1"/>
  <c r="BT272" i="1"/>
  <c r="AP45" i="1"/>
  <c r="AI29" i="1"/>
  <c r="BV198" i="1"/>
  <c r="BW198" i="1" s="1"/>
  <c r="BX117" i="1"/>
  <c r="BX118" i="1" s="1"/>
  <c r="BG272" i="1"/>
  <c r="BV117" i="1"/>
  <c r="BV118" i="1" s="1"/>
  <c r="AL117" i="1"/>
  <c r="AL118" i="1" s="1"/>
  <c r="AL123" i="1" s="1"/>
  <c r="AT271" i="1"/>
  <c r="AT117" i="1"/>
  <c r="AT118" i="1" s="1"/>
  <c r="BT117" i="1"/>
  <c r="BT118" i="1" s="1"/>
  <c r="AW272" i="1"/>
  <c r="BS271" i="1"/>
  <c r="AX271" i="1"/>
  <c r="AO271" i="1"/>
  <c r="AN45" i="1"/>
  <c r="BT45" i="1"/>
  <c r="AQ45" i="1"/>
  <c r="AV45" i="1"/>
  <c r="BH45" i="1"/>
  <c r="BI29" i="1"/>
  <c r="BP29" i="1"/>
  <c r="AY45" i="1"/>
  <c r="BF45" i="1"/>
  <c r="BN45" i="1"/>
  <c r="AU29" i="1"/>
  <c r="AY250" i="1"/>
  <c r="BV271" i="1"/>
  <c r="AI199" i="1"/>
  <c r="BV147" i="1"/>
  <c r="BS29" i="1"/>
  <c r="BQ117" i="1"/>
  <c r="BQ118" i="1" s="1"/>
  <c r="BQ121" i="1" s="1"/>
  <c r="BV202" i="1"/>
  <c r="BE29" i="1"/>
  <c r="BY117" i="1"/>
  <c r="BY118" i="1" s="1"/>
  <c r="BE271" i="1"/>
  <c r="BL117" i="1"/>
  <c r="BL118" i="1" s="1"/>
  <c r="AT272" i="1"/>
  <c r="BT271" i="1"/>
  <c r="BM272" i="1"/>
  <c r="BM222" i="1"/>
  <c r="BM220" i="1" s="1"/>
  <c r="BM52" i="1"/>
  <c r="BM213" i="1"/>
  <c r="BP272" i="1"/>
  <c r="BP213" i="1"/>
  <c r="BR272" i="1"/>
  <c r="BR213" i="1"/>
  <c r="BC29" i="1"/>
  <c r="AU272" i="1"/>
  <c r="BV199" i="1"/>
  <c r="BW199" i="1" s="1"/>
  <c r="BH117" i="1"/>
  <c r="BH118" i="1" s="1"/>
  <c r="BH122" i="1" s="1"/>
  <c r="BF272" i="1"/>
  <c r="BD117" i="1"/>
  <c r="BD118" i="1" s="1"/>
  <c r="AI52" i="1"/>
  <c r="BH29" i="1"/>
  <c r="BH199" i="1"/>
  <c r="BI199" i="1" s="1"/>
  <c r="AX117" i="1"/>
  <c r="AX118" i="1" s="1"/>
  <c r="BQ272" i="1"/>
  <c r="BK117" i="1"/>
  <c r="BK118" i="1" s="1"/>
  <c r="BK123" i="1" s="1"/>
  <c r="AX272" i="1"/>
  <c r="AR117" i="1"/>
  <c r="AR118" i="1" s="1"/>
  <c r="AQ271" i="1"/>
  <c r="AS117" i="1"/>
  <c r="AS118" i="1" s="1"/>
  <c r="AQ29" i="1"/>
  <c r="BT213" i="1"/>
  <c r="BH198" i="1"/>
  <c r="BI198" i="1" s="1"/>
  <c r="AR271" i="1"/>
  <c r="BU213" i="1"/>
  <c r="BU272" i="1"/>
  <c r="BW136" i="1"/>
  <c r="BV139" i="1"/>
  <c r="BK272" i="1"/>
  <c r="BK213" i="1"/>
  <c r="BK52" i="1"/>
  <c r="BK222" i="1"/>
  <c r="BK220" i="1" s="1"/>
  <c r="BK250" i="1"/>
  <c r="BM117" i="1"/>
  <c r="BM118" i="1" s="1"/>
  <c r="BM271" i="1"/>
  <c r="BS45" i="1"/>
  <c r="AN29" i="1"/>
  <c r="AN250" i="1"/>
  <c r="AN117" i="1"/>
  <c r="AN118" i="1" s="1"/>
  <c r="AO117" i="1"/>
  <c r="AO118" i="1" s="1"/>
  <c r="AU250" i="1"/>
  <c r="BO272" i="1"/>
  <c r="BF117" i="1"/>
  <c r="BF118" i="1" s="1"/>
  <c r="BF29" i="1"/>
  <c r="AV29" i="1"/>
  <c r="AY117" i="1"/>
  <c r="AY118" i="1" s="1"/>
  <c r="AW117" i="1"/>
  <c r="AW118" i="1" s="1"/>
  <c r="AV271" i="1"/>
  <c r="AP117" i="1"/>
  <c r="AP118" i="1" s="1"/>
  <c r="AV117" i="1"/>
  <c r="AV118" i="1" s="1"/>
  <c r="BW29" i="1"/>
  <c r="BW250" i="1"/>
  <c r="BZ117" i="1"/>
  <c r="BZ118" i="1" s="1"/>
  <c r="BV153" i="1"/>
  <c r="AO45" i="1"/>
  <c r="BR271" i="1"/>
  <c r="BN52" i="1"/>
  <c r="BN213" i="1"/>
  <c r="AQ272" i="1"/>
  <c r="AQ213" i="1"/>
  <c r="BN29" i="1"/>
  <c r="BW271" i="1"/>
  <c r="BI272" i="1"/>
  <c r="BI213" i="1"/>
  <c r="BB250" i="1"/>
  <c r="BB29" i="1"/>
  <c r="BM45" i="1"/>
  <c r="BI117" i="1"/>
  <c r="BI118" i="1" s="1"/>
  <c r="BI122" i="1" s="1"/>
  <c r="BF250" i="1"/>
  <c r="BE117" i="1"/>
  <c r="BE118" i="1" s="1"/>
  <c r="BE123" i="1" s="1"/>
  <c r="AN272" i="1"/>
  <c r="BC271" i="1"/>
  <c r="AV272" i="1"/>
  <c r="BC272" i="1"/>
  <c r="BE272" i="1"/>
  <c r="AQ117" i="1"/>
  <c r="AQ118" i="1" s="1"/>
  <c r="AQ123" i="1" s="1"/>
  <c r="BH272" i="1"/>
  <c r="BV175" i="1"/>
  <c r="BV204" i="1" s="1"/>
  <c r="BB271" i="1"/>
  <c r="BV45" i="1"/>
  <c r="BJ272" i="1"/>
  <c r="BJ213" i="1"/>
  <c r="BG271" i="1"/>
  <c r="BG250" i="1"/>
  <c r="BC45" i="1"/>
  <c r="AX250" i="1"/>
  <c r="AX29" i="1"/>
  <c r="AZ272" i="1"/>
  <c r="AZ213" i="1"/>
  <c r="BT250" i="1"/>
  <c r="BT29" i="1"/>
  <c r="BH202" i="1"/>
  <c r="BI202" i="1" s="1"/>
  <c r="BG29" i="1"/>
  <c r="AU271" i="1"/>
  <c r="BA272" i="1"/>
  <c r="BA213" i="1"/>
  <c r="AO250" i="1"/>
  <c r="AO29" i="1"/>
  <c r="AW271" i="1"/>
  <c r="AW250" i="1"/>
  <c r="AI198" i="1"/>
  <c r="AI250" i="1"/>
  <c r="BB45" i="1"/>
  <c r="BA117" i="1"/>
  <c r="BA118" i="1" s="1"/>
  <c r="BB117" i="1"/>
  <c r="BB118" i="1" s="1"/>
  <c r="AS272" i="1"/>
  <c r="AS213" i="1"/>
  <c r="BS272" i="1"/>
  <c r="BI221" i="1"/>
  <c r="BW221" i="1"/>
  <c r="BJ47" i="1"/>
  <c r="BJ36" i="1"/>
  <c r="CQ153" i="1"/>
  <c r="DB96" i="1"/>
  <c r="CY84" i="1"/>
  <c r="CZ82" i="1"/>
  <c r="D267" i="1" l="1"/>
  <c r="T157" i="1"/>
  <c r="C226" i="1"/>
  <c r="R52" i="1"/>
  <c r="AR153" i="1"/>
  <c r="C268" i="1"/>
  <c r="C270" i="1" s="1"/>
  <c r="P216" i="1"/>
  <c r="F157" i="1"/>
  <c r="F52" i="1"/>
  <c r="C56" i="1"/>
  <c r="C148" i="1"/>
  <c r="C74" i="1" s="1"/>
  <c r="P157" i="1"/>
  <c r="P52" i="1"/>
  <c r="R73" i="1"/>
  <c r="R194" i="1"/>
  <c r="C176" i="1"/>
  <c r="E215" i="1"/>
  <c r="D216" i="1"/>
  <c r="P215" i="1"/>
  <c r="V268" i="1"/>
  <c r="V270" i="1" s="1"/>
  <c r="R187" i="1"/>
  <c r="R128" i="1" s="1"/>
  <c r="R148" i="1"/>
  <c r="R74" i="1" s="1"/>
  <c r="E194" i="1"/>
  <c r="E226" i="1"/>
  <c r="E73" i="1"/>
  <c r="U201" i="1"/>
  <c r="U200" i="1" s="1"/>
  <c r="U215" i="1"/>
  <c r="I201" i="1"/>
  <c r="I200" i="1" s="1"/>
  <c r="J215" i="1"/>
  <c r="M194" i="1"/>
  <c r="M73" i="1"/>
  <c r="M226" i="1"/>
  <c r="N226" i="1"/>
  <c r="L52" i="1"/>
  <c r="L157" i="1"/>
  <c r="D226" i="1"/>
  <c r="D194" i="1"/>
  <c r="D73" i="1"/>
  <c r="D225" i="1"/>
  <c r="D56" i="1"/>
  <c r="D148" i="1"/>
  <c r="D74" i="1" s="1"/>
  <c r="E225" i="1"/>
  <c r="D268" i="1"/>
  <c r="D270" i="1" s="1"/>
  <c r="O194" i="1"/>
  <c r="O267" i="1"/>
  <c r="O226" i="1"/>
  <c r="O73" i="1"/>
  <c r="N228" i="1"/>
  <c r="M267" i="1"/>
  <c r="U228" i="1"/>
  <c r="T267" i="1"/>
  <c r="F56" i="1"/>
  <c r="F148" i="1"/>
  <c r="F74" i="1" s="1"/>
  <c r="F187" i="1"/>
  <c r="F128" i="1" s="1"/>
  <c r="C52" i="1"/>
  <c r="C157" i="1"/>
  <c r="C184" i="1" s="1"/>
  <c r="H194" i="1"/>
  <c r="H226" i="1"/>
  <c r="H73" i="1"/>
  <c r="N52" i="1"/>
  <c r="N157" i="1"/>
  <c r="V187" i="1"/>
  <c r="V128" i="1" s="1"/>
  <c r="V56" i="1"/>
  <c r="S201" i="1"/>
  <c r="S176" i="1"/>
  <c r="T73" i="1"/>
  <c r="T194" i="1"/>
  <c r="T226" i="1"/>
  <c r="I226" i="1"/>
  <c r="I267" i="1"/>
  <c r="I73" i="1"/>
  <c r="I194" i="1"/>
  <c r="J52" i="1"/>
  <c r="J157" i="1"/>
  <c r="U157" i="1"/>
  <c r="U263" i="1" s="1"/>
  <c r="U52" i="1"/>
  <c r="S52" i="1"/>
  <c r="S157" i="1"/>
  <c r="S265" i="1" s="1"/>
  <c r="B157" i="1"/>
  <c r="B52" i="1"/>
  <c r="I228" i="1"/>
  <c r="H267" i="1"/>
  <c r="C127" i="1"/>
  <c r="C85" i="1"/>
  <c r="C126" i="1"/>
  <c r="S225" i="1"/>
  <c r="S268" i="1"/>
  <c r="S270" i="1" s="1"/>
  <c r="S187" i="1"/>
  <c r="S128" i="1" s="1"/>
  <c r="S56" i="1"/>
  <c r="G228" i="1"/>
  <c r="F267" i="1"/>
  <c r="F226" i="1"/>
  <c r="F194" i="1"/>
  <c r="F73" i="1"/>
  <c r="T187" i="1"/>
  <c r="T128" i="1" s="1"/>
  <c r="U268" i="1"/>
  <c r="U270" i="1" s="1"/>
  <c r="T225" i="1"/>
  <c r="O225" i="1"/>
  <c r="O148" i="1"/>
  <c r="O74" i="1" s="1"/>
  <c r="F201" i="1"/>
  <c r="F176" i="1"/>
  <c r="G215" i="1"/>
  <c r="F215" i="1"/>
  <c r="K228" i="1"/>
  <c r="J267" i="1"/>
  <c r="G73" i="1"/>
  <c r="G226" i="1"/>
  <c r="G194" i="1"/>
  <c r="J56" i="1"/>
  <c r="J187" i="1"/>
  <c r="J128" i="1" s="1"/>
  <c r="J148" i="1"/>
  <c r="J74" i="1" s="1"/>
  <c r="J268" i="1"/>
  <c r="J270" i="1" s="1"/>
  <c r="U73" i="1"/>
  <c r="U226" i="1"/>
  <c r="J201" i="1"/>
  <c r="J200" i="1" s="1"/>
  <c r="K215" i="1"/>
  <c r="H225" i="1"/>
  <c r="H187" i="1"/>
  <c r="H128" i="1" s="1"/>
  <c r="H148" i="1"/>
  <c r="H74" i="1" s="1"/>
  <c r="H56" i="1"/>
  <c r="S216" i="1"/>
  <c r="R228" i="1"/>
  <c r="Q267" i="1"/>
  <c r="T204" i="1"/>
  <c r="T203" i="1" s="1"/>
  <c r="T216" i="1"/>
  <c r="U216" i="1"/>
  <c r="H157" i="1"/>
  <c r="H52" i="1"/>
  <c r="R226" i="1"/>
  <c r="E228" i="1"/>
  <c r="D187" i="1"/>
  <c r="D128" i="1" s="1"/>
  <c r="D129" i="1" s="1"/>
  <c r="D132" i="1" s="1"/>
  <c r="Q187" i="1"/>
  <c r="Q128" i="1" s="1"/>
  <c r="H216" i="1"/>
  <c r="K226" i="1"/>
  <c r="G157" i="1"/>
  <c r="G52" i="1"/>
  <c r="I52" i="1"/>
  <c r="I157" i="1"/>
  <c r="V215" i="1"/>
  <c r="V201" i="1"/>
  <c r="V200" i="1" s="1"/>
  <c r="T215" i="1"/>
  <c r="E148" i="1"/>
  <c r="E74" i="1" s="1"/>
  <c r="F268" i="1"/>
  <c r="F270" i="1" s="1"/>
  <c r="H268" i="1"/>
  <c r="H270" i="1" s="1"/>
  <c r="G225" i="1"/>
  <c r="G268" i="1"/>
  <c r="G270" i="1" s="1"/>
  <c r="BD180" i="1"/>
  <c r="BE228" i="1" s="1"/>
  <c r="Q215" i="1"/>
  <c r="E52" i="1"/>
  <c r="E157" i="1"/>
  <c r="J194" i="1"/>
  <c r="J73" i="1"/>
  <c r="J226" i="1"/>
  <c r="D52" i="1"/>
  <c r="D157" i="1"/>
  <c r="L204" i="1"/>
  <c r="L203" i="1" s="1"/>
  <c r="L176" i="1"/>
  <c r="C201" i="1"/>
  <c r="C200" i="1" s="1"/>
  <c r="D215" i="1"/>
  <c r="L228" i="1"/>
  <c r="K267" i="1"/>
  <c r="B194" i="1"/>
  <c r="B73" i="1"/>
  <c r="B267" i="1"/>
  <c r="T56" i="1"/>
  <c r="T148" i="1"/>
  <c r="T74" i="1" s="1"/>
  <c r="T268" i="1"/>
  <c r="T270" i="1" s="1"/>
  <c r="O56" i="1"/>
  <c r="O187" i="1"/>
  <c r="O128" i="1" s="1"/>
  <c r="B56" i="1"/>
  <c r="C225" i="1"/>
  <c r="B187" i="1"/>
  <c r="B128" i="1" s="1"/>
  <c r="B148" i="1"/>
  <c r="B74" i="1" s="1"/>
  <c r="K268" i="1"/>
  <c r="K270" i="1" s="1"/>
  <c r="K225" i="1"/>
  <c r="K148" i="1"/>
  <c r="K74" i="1" s="1"/>
  <c r="K56" i="1"/>
  <c r="K187" i="1"/>
  <c r="K128" i="1" s="1"/>
  <c r="K73" i="1"/>
  <c r="L226" i="1"/>
  <c r="K194" i="1"/>
  <c r="C187" i="1"/>
  <c r="C128" i="1" s="1"/>
  <c r="D228" i="1"/>
  <c r="C267" i="1"/>
  <c r="W268" i="1"/>
  <c r="W270" i="1" s="1"/>
  <c r="W225" i="1"/>
  <c r="W56" i="1"/>
  <c r="X268" i="1"/>
  <c r="X270" i="1" s="1"/>
  <c r="X225" i="1"/>
  <c r="U267" i="1"/>
  <c r="U194" i="1"/>
  <c r="M157" i="1"/>
  <c r="M52" i="1"/>
  <c r="S148" i="1"/>
  <c r="S74" i="1" s="1"/>
  <c r="S226" i="1"/>
  <c r="S73" i="1"/>
  <c r="Q201" i="1"/>
  <c r="Q200" i="1" s="1"/>
  <c r="R215" i="1"/>
  <c r="H201" i="1"/>
  <c r="I215" i="1"/>
  <c r="J176" i="1"/>
  <c r="D85" i="1"/>
  <c r="D127" i="1"/>
  <c r="K201" i="1"/>
  <c r="K200" i="1" s="1"/>
  <c r="K176" i="1"/>
  <c r="D201" i="1"/>
  <c r="D200" i="1" s="1"/>
  <c r="D176" i="1"/>
  <c r="I56" i="1"/>
  <c r="I225" i="1"/>
  <c r="J225" i="1"/>
  <c r="Q73" i="1"/>
  <c r="Q194" i="1"/>
  <c r="K52" i="1"/>
  <c r="K157" i="1"/>
  <c r="M225" i="1"/>
  <c r="L148" i="1"/>
  <c r="L74" i="1" s="1"/>
  <c r="D204" i="1"/>
  <c r="E216" i="1"/>
  <c r="W157" i="1"/>
  <c r="X222" i="1" s="1"/>
  <c r="X220" i="1" s="1"/>
  <c r="W52" i="1"/>
  <c r="S228" i="1"/>
  <c r="R267" i="1"/>
  <c r="V226" i="1"/>
  <c r="V267" i="1"/>
  <c r="N215" i="1"/>
  <c r="O215" i="1"/>
  <c r="K216" i="1"/>
  <c r="J204" i="1"/>
  <c r="AN180" i="1"/>
  <c r="AO228" i="1" s="1"/>
  <c r="Q226" i="1"/>
  <c r="L201" i="1"/>
  <c r="L215" i="1"/>
  <c r="M215" i="1"/>
  <c r="P201" i="1"/>
  <c r="P176" i="1"/>
  <c r="R201" i="1"/>
  <c r="R200" i="1" s="1"/>
  <c r="S215" i="1"/>
  <c r="C204" i="1"/>
  <c r="C216" i="1"/>
  <c r="O201" i="1"/>
  <c r="O200" i="1" s="1"/>
  <c r="O176" i="1"/>
  <c r="I268" i="1"/>
  <c r="I270" i="1" s="1"/>
  <c r="I148" i="1"/>
  <c r="I74" i="1" s="1"/>
  <c r="Q52" i="1"/>
  <c r="Q157" i="1"/>
  <c r="R222" i="1" s="1"/>
  <c r="R220" i="1" s="1"/>
  <c r="P194" i="1"/>
  <c r="G148" i="1"/>
  <c r="G74" i="1" s="1"/>
  <c r="G56" i="1"/>
  <c r="G187" i="1"/>
  <c r="G128" i="1" s="1"/>
  <c r="U225" i="1"/>
  <c r="U187" i="1"/>
  <c r="U128" i="1" s="1"/>
  <c r="U56" i="1"/>
  <c r="U148" i="1"/>
  <c r="U74" i="1" s="1"/>
  <c r="V225" i="1"/>
  <c r="S267" i="1"/>
  <c r="S194" i="1"/>
  <c r="Q268" i="1"/>
  <c r="Q270" i="1" s="1"/>
  <c r="R268" i="1"/>
  <c r="R270" i="1" s="1"/>
  <c r="Q225" i="1"/>
  <c r="H215" i="1"/>
  <c r="H176" i="1"/>
  <c r="AV180" i="1"/>
  <c r="AW228" i="1" s="1"/>
  <c r="BN180" i="1"/>
  <c r="BO228" i="1" s="1"/>
  <c r="I176" i="1"/>
  <c r="I216" i="1"/>
  <c r="I204" i="1"/>
  <c r="J216" i="1"/>
  <c r="Q204" i="1"/>
  <c r="Q176" i="1"/>
  <c r="Q216" i="1"/>
  <c r="R216" i="1"/>
  <c r="BR153" i="1"/>
  <c r="AX180" i="1"/>
  <c r="AY228" i="1" s="1"/>
  <c r="BS147" i="1"/>
  <c r="P148" i="1"/>
  <c r="P74" i="1" s="1"/>
  <c r="P225" i="1"/>
  <c r="P187" i="1"/>
  <c r="P128" i="1" s="1"/>
  <c r="P268" i="1"/>
  <c r="P270" i="1" s="1"/>
  <c r="P56" i="1"/>
  <c r="H228" i="1"/>
  <c r="G267" i="1"/>
  <c r="T201" i="1"/>
  <c r="T176" i="1"/>
  <c r="F225" i="1"/>
  <c r="E187" i="1"/>
  <c r="E128" i="1" s="1"/>
  <c r="E56" i="1"/>
  <c r="O268" i="1"/>
  <c r="O270" i="1" s="1"/>
  <c r="N148" i="1"/>
  <c r="N74" i="1" s="1"/>
  <c r="N268" i="1"/>
  <c r="N270" i="1" s="1"/>
  <c r="N56" i="1"/>
  <c r="N225" i="1"/>
  <c r="N187" i="1"/>
  <c r="N128" i="1" s="1"/>
  <c r="L187" i="1"/>
  <c r="L128" i="1" s="1"/>
  <c r="L56" i="1"/>
  <c r="L268" i="1"/>
  <c r="L270" i="1" s="1"/>
  <c r="L225" i="1"/>
  <c r="P226" i="1"/>
  <c r="P73" i="1"/>
  <c r="P267" i="1"/>
  <c r="B176" i="1"/>
  <c r="B201" i="1"/>
  <c r="C215" i="1"/>
  <c r="O157" i="1"/>
  <c r="O52" i="1"/>
  <c r="M228" i="1"/>
  <c r="L267" i="1"/>
  <c r="V73" i="1"/>
  <c r="V148" i="1"/>
  <c r="V74" i="1" s="1"/>
  <c r="V194" i="1"/>
  <c r="Q148" i="1"/>
  <c r="Q74" i="1" s="1"/>
  <c r="R225" i="1"/>
  <c r="Q56" i="1"/>
  <c r="K204" i="1"/>
  <c r="L216" i="1"/>
  <c r="N201" i="1"/>
  <c r="N176" i="1"/>
  <c r="E204" i="1"/>
  <c r="F216" i="1"/>
  <c r="E176" i="1"/>
  <c r="G204" i="1"/>
  <c r="G176" i="1"/>
  <c r="G216" i="1"/>
  <c r="O204" i="1"/>
  <c r="O216" i="1"/>
  <c r="U204" i="1"/>
  <c r="U176" i="1"/>
  <c r="M268" i="1"/>
  <c r="M270" i="1" s="1"/>
  <c r="M56" i="1"/>
  <c r="M148" i="1"/>
  <c r="M74" i="1" s="1"/>
  <c r="M187" i="1"/>
  <c r="M128" i="1" s="1"/>
  <c r="V157" i="1"/>
  <c r="V52" i="1"/>
  <c r="V204" i="1"/>
  <c r="V176" i="1"/>
  <c r="V216" i="1"/>
  <c r="AZ153" i="1"/>
  <c r="BP153" i="1"/>
  <c r="BT180" i="1"/>
  <c r="BU228" i="1" s="1"/>
  <c r="BP180" i="1"/>
  <c r="BQ228" i="1" s="1"/>
  <c r="BB180" i="1"/>
  <c r="AZ180" i="1"/>
  <c r="BA228" i="1" s="1"/>
  <c r="BE147" i="1"/>
  <c r="AR180" i="1"/>
  <c r="AS228" i="1" s="1"/>
  <c r="AQ159" i="1"/>
  <c r="AW159" i="1"/>
  <c r="AQ161" i="1"/>
  <c r="AP167" i="1"/>
  <c r="AP201" i="1" s="1"/>
  <c r="AP200" i="1" s="1"/>
  <c r="AS143" i="1"/>
  <c r="AS147" i="1" s="1"/>
  <c r="AR147" i="1"/>
  <c r="AU136" i="1"/>
  <c r="AT139" i="1"/>
  <c r="AT111" i="1" s="1"/>
  <c r="AS136" i="1"/>
  <c r="AR139" i="1"/>
  <c r="AX139" i="1"/>
  <c r="AY136" i="1"/>
  <c r="AY143" i="1"/>
  <c r="AY147" i="1" s="1"/>
  <c r="AX147" i="1"/>
  <c r="BO159" i="1"/>
  <c r="BN221" i="1"/>
  <c r="BT153" i="1"/>
  <c r="AT153" i="1"/>
  <c r="BF180" i="1"/>
  <c r="BG228" i="1" s="1"/>
  <c r="BF153" i="1"/>
  <c r="AV153" i="1"/>
  <c r="BD153" i="1"/>
  <c r="AP153" i="1"/>
  <c r="M216" i="1"/>
  <c r="N216" i="1"/>
  <c r="M176" i="1"/>
  <c r="M204" i="1"/>
  <c r="R204" i="1"/>
  <c r="R176" i="1"/>
  <c r="R184" i="1" s="1"/>
  <c r="AU161" i="1"/>
  <c r="AT167" i="1"/>
  <c r="BC136" i="1"/>
  <c r="BB139" i="1"/>
  <c r="BB111" i="1" s="1"/>
  <c r="AO143" i="1"/>
  <c r="AO147" i="1" s="1"/>
  <c r="AN147" i="1"/>
  <c r="AR199" i="1"/>
  <c r="AS199" i="1" s="1"/>
  <c r="AR167" i="1"/>
  <c r="AR201" i="1" s="1"/>
  <c r="AO136" i="1"/>
  <c r="AN139" i="1"/>
  <c r="BC143" i="1"/>
  <c r="BC147" i="1" s="1"/>
  <c r="BB147" i="1"/>
  <c r="BU159" i="1"/>
  <c r="BV221" i="1" s="1"/>
  <c r="BE136" i="1"/>
  <c r="BD139" i="1"/>
  <c r="AU169" i="1"/>
  <c r="AT175" i="1"/>
  <c r="AT204" i="1" s="1"/>
  <c r="AT203" i="1" s="1"/>
  <c r="AY168" i="1"/>
  <c r="AX175" i="1"/>
  <c r="AX204" i="1" s="1"/>
  <c r="AX203" i="1" s="1"/>
  <c r="BO143" i="1"/>
  <c r="BO147" i="1" s="1"/>
  <c r="BN147" i="1"/>
  <c r="AW143" i="1"/>
  <c r="AW147" i="1" s="1"/>
  <c r="AV147" i="1"/>
  <c r="AO161" i="1"/>
  <c r="AN167" i="1"/>
  <c r="BS159" i="1"/>
  <c r="BR221" i="1"/>
  <c r="BU143" i="1"/>
  <c r="BU147" i="1" s="1"/>
  <c r="BT147" i="1"/>
  <c r="AO159" i="1"/>
  <c r="AN221" i="1"/>
  <c r="BS136" i="1"/>
  <c r="BR139" i="1"/>
  <c r="BR111" i="1" s="1"/>
  <c r="BF221" i="1"/>
  <c r="AQ147" i="1"/>
  <c r="AT221" i="1"/>
  <c r="AI205" i="1"/>
  <c r="AN153" i="1"/>
  <c r="AP180" i="1"/>
  <c r="BT175" i="1"/>
  <c r="BT204" i="1" s="1"/>
  <c r="BT203" i="1" s="1"/>
  <c r="BN153" i="1"/>
  <c r="AX153" i="1"/>
  <c r="BB153" i="1"/>
  <c r="AT180" i="1"/>
  <c r="AU228" i="1" s="1"/>
  <c r="AZ139" i="1"/>
  <c r="BR180" i="1"/>
  <c r="AR175" i="1"/>
  <c r="BN139" i="1"/>
  <c r="AS221" i="1"/>
  <c r="BP175" i="1"/>
  <c r="BP204" i="1" s="1"/>
  <c r="BP203" i="1" s="1"/>
  <c r="BT139" i="1"/>
  <c r="BF147" i="1"/>
  <c r="BE221" i="1"/>
  <c r="BR175" i="1"/>
  <c r="BR204" i="1" s="1"/>
  <c r="BR203" i="1" s="1"/>
  <c r="BP167" i="1"/>
  <c r="BP201" i="1" s="1"/>
  <c r="BP200" i="1" s="1"/>
  <c r="AZ147" i="1"/>
  <c r="BQ221" i="1"/>
  <c r="BB175" i="1"/>
  <c r="BB204" i="1" s="1"/>
  <c r="BB203" i="1" s="1"/>
  <c r="AP147" i="1"/>
  <c r="AP139" i="1"/>
  <c r="AP111" i="1" s="1"/>
  <c r="BD175" i="1"/>
  <c r="BD204" i="1" s="1"/>
  <c r="BD203" i="1" s="1"/>
  <c r="BP139" i="1"/>
  <c r="BP111" i="1" s="1"/>
  <c r="BP113" i="1" s="1"/>
  <c r="BN175" i="1"/>
  <c r="BN204" i="1" s="1"/>
  <c r="AN175" i="1"/>
  <c r="AN204" i="1" s="1"/>
  <c r="BP147" i="1"/>
  <c r="BG147" i="1"/>
  <c r="BH225" i="1" s="1"/>
  <c r="BA147" i="1"/>
  <c r="AT147" i="1"/>
  <c r="AP175" i="1"/>
  <c r="BF175" i="1"/>
  <c r="BF204" i="1" s="1"/>
  <c r="BF203" i="1" s="1"/>
  <c r="AV175" i="1"/>
  <c r="AV204" i="1" s="1"/>
  <c r="AV203" i="1" s="1"/>
  <c r="BF139" i="1"/>
  <c r="BQ147" i="1"/>
  <c r="BR147" i="1"/>
  <c r="BR268" i="1" s="1"/>
  <c r="BD147" i="1"/>
  <c r="AZ175" i="1"/>
  <c r="AZ204" i="1" s="1"/>
  <c r="AZ203" i="1" s="1"/>
  <c r="AV139" i="1"/>
  <c r="AU147" i="1"/>
  <c r="AI203" i="1"/>
  <c r="AW162" i="1"/>
  <c r="AV167" i="1"/>
  <c r="BH176" i="1"/>
  <c r="BH184" i="1" s="1"/>
  <c r="BH148" i="1"/>
  <c r="AZ46" i="1"/>
  <c r="BK30" i="1"/>
  <c r="BC162" i="1"/>
  <c r="BB167" i="1"/>
  <c r="BG162" i="1"/>
  <c r="BF167" i="1"/>
  <c r="BE162" i="1"/>
  <c r="BD167" i="1"/>
  <c r="BO162" i="1"/>
  <c r="BN167" i="1"/>
  <c r="BU162" i="1"/>
  <c r="BT167" i="1"/>
  <c r="AY162" i="1"/>
  <c r="AX167" i="1"/>
  <c r="BS162" i="1"/>
  <c r="BR167" i="1"/>
  <c r="BA162" i="1"/>
  <c r="AZ167" i="1"/>
  <c r="AU221" i="1"/>
  <c r="AV221" i="1"/>
  <c r="BC121" i="1"/>
  <c r="BC123" i="1"/>
  <c r="BC122" i="1"/>
  <c r="O77" i="1"/>
  <c r="BF122" i="1"/>
  <c r="BF123" i="1"/>
  <c r="BF121" i="1"/>
  <c r="BB221" i="1"/>
  <c r="BA221" i="1"/>
  <c r="B87" i="1"/>
  <c r="B88" i="1"/>
  <c r="B106" i="1" s="1"/>
  <c r="BH113" i="1"/>
  <c r="BH114" i="1"/>
  <c r="BK46" i="1"/>
  <c r="AW46" i="1"/>
  <c r="AU122" i="1"/>
  <c r="AU123" i="1"/>
  <c r="AU121" i="1"/>
  <c r="AY221" i="1"/>
  <c r="AZ221" i="1"/>
  <c r="BE46" i="1"/>
  <c r="BK31" i="1"/>
  <c r="BL31" i="1"/>
  <c r="BK35" i="1"/>
  <c r="AM71" i="1"/>
  <c r="AM138" i="1"/>
  <c r="AM139" i="1" s="1"/>
  <c r="AM148" i="1" s="1"/>
  <c r="AM212" i="1"/>
  <c r="AM214" i="1" s="1"/>
  <c r="AM85" i="1"/>
  <c r="AM88" i="1" s="1"/>
  <c r="AS31" i="1"/>
  <c r="AT31" i="1"/>
  <c r="AT46" i="1"/>
  <c r="AY46" i="1"/>
  <c r="AP244" i="1"/>
  <c r="AQ31" i="1"/>
  <c r="AZ31" i="1"/>
  <c r="AY35" i="1"/>
  <c r="AP35" i="1"/>
  <c r="AP30" i="1"/>
  <c r="BJ122" i="1"/>
  <c r="BJ123" i="1"/>
  <c r="BA46" i="1"/>
  <c r="BQ46" i="1"/>
  <c r="AP46" i="1"/>
  <c r="AQ207" i="1"/>
  <c r="BM46" i="1"/>
  <c r="BN122" i="1"/>
  <c r="BN123" i="1"/>
  <c r="BN121" i="1"/>
  <c r="BQ30" i="1"/>
  <c r="BM244" i="1"/>
  <c r="BM30" i="1"/>
  <c r="BR121" i="1"/>
  <c r="BR123" i="1"/>
  <c r="BR122" i="1"/>
  <c r="BU30" i="1"/>
  <c r="BQ35" i="1"/>
  <c r="BQ20" i="1" s="1"/>
  <c r="BQ31" i="1"/>
  <c r="BC221" i="1"/>
  <c r="BD221" i="1"/>
  <c r="BS121" i="1"/>
  <c r="BS122" i="1"/>
  <c r="BS123" i="1"/>
  <c r="BO122" i="1"/>
  <c r="BO123" i="1"/>
  <c r="BP122" i="1"/>
  <c r="BP123" i="1"/>
  <c r="BP121" i="1"/>
  <c r="BU46" i="1"/>
  <c r="BU35" i="1"/>
  <c r="BU20" i="1" s="1"/>
  <c r="BU123" i="1"/>
  <c r="BU122" i="1"/>
  <c r="BV111" i="1"/>
  <c r="BV267" i="1"/>
  <c r="BM35" i="1"/>
  <c r="BM31" i="1"/>
  <c r="BA30" i="1"/>
  <c r="BA31" i="1"/>
  <c r="AI46" i="1"/>
  <c r="BA38" i="1"/>
  <c r="BH46" i="1"/>
  <c r="AS35" i="1"/>
  <c r="AW30" i="1"/>
  <c r="BJ30" i="1"/>
  <c r="BF35" i="1"/>
  <c r="BF47" i="1" s="1"/>
  <c r="BJ49" i="1" s="1"/>
  <c r="BV46" i="1"/>
  <c r="BC46" i="1"/>
  <c r="AY207" i="1"/>
  <c r="BT244" i="1"/>
  <c r="AY198" i="1"/>
  <c r="AS202" i="1"/>
  <c r="BY30" i="1"/>
  <c r="BU207" i="1"/>
  <c r="R263" i="1"/>
  <c r="R265" i="1"/>
  <c r="BD30" i="1"/>
  <c r="BE31" i="1"/>
  <c r="BG244" i="1"/>
  <c r="BH30" i="1"/>
  <c r="BD35" i="1"/>
  <c r="BD46" i="1"/>
  <c r="BD207" i="1"/>
  <c r="BG121" i="1"/>
  <c r="BG123" i="1"/>
  <c r="BG122" i="1"/>
  <c r="BV31" i="1"/>
  <c r="BV207" i="1"/>
  <c r="BJ268" i="1"/>
  <c r="BJ225" i="1"/>
  <c r="BI268" i="1"/>
  <c r="BO30" i="1"/>
  <c r="BP31" i="1"/>
  <c r="BO46" i="1"/>
  <c r="BO35" i="1"/>
  <c r="BO20" i="1" s="1"/>
  <c r="BR244" i="1"/>
  <c r="V77" i="1"/>
  <c r="BX225" i="1"/>
  <c r="BX268" i="1"/>
  <c r="BW225" i="1"/>
  <c r="BW123" i="1"/>
  <c r="BW121" i="1"/>
  <c r="AT30" i="1"/>
  <c r="AW244" i="1"/>
  <c r="AU31" i="1"/>
  <c r="AT207" i="1"/>
  <c r="BR46" i="1"/>
  <c r="BV30" i="1"/>
  <c r="BS31" i="1"/>
  <c r="BU244" i="1"/>
  <c r="AR35" i="1"/>
  <c r="AR47" i="1" s="1"/>
  <c r="AR48" i="1" s="1"/>
  <c r="AU244" i="1"/>
  <c r="AS244" i="1"/>
  <c r="AT36" i="1"/>
  <c r="AT47" i="1"/>
  <c r="BV36" i="1"/>
  <c r="BZ37" i="1"/>
  <c r="N77" i="1"/>
  <c r="AL263" i="1"/>
  <c r="AJ31" i="1"/>
  <c r="AM30" i="1"/>
  <c r="AL244" i="1"/>
  <c r="AI35" i="1"/>
  <c r="BX121" i="1"/>
  <c r="BX122" i="1"/>
  <c r="BX123" i="1"/>
  <c r="BV122" i="1"/>
  <c r="BV121" i="1"/>
  <c r="BV123" i="1"/>
  <c r="AT122" i="1"/>
  <c r="AT123" i="1"/>
  <c r="AT121" i="1"/>
  <c r="BT123" i="1"/>
  <c r="BT122" i="1"/>
  <c r="BT121" i="1"/>
  <c r="BA47" i="1"/>
  <c r="BA36" i="1"/>
  <c r="BI35" i="1"/>
  <c r="BI207" i="1"/>
  <c r="BJ207" i="1"/>
  <c r="BL263" i="1"/>
  <c r="BL244" i="1"/>
  <c r="AW36" i="1"/>
  <c r="AW47" i="1"/>
  <c r="BA37" i="1"/>
  <c r="BP35" i="1"/>
  <c r="BP20" i="1" s="1"/>
  <c r="BP207" i="1"/>
  <c r="BS244" i="1"/>
  <c r="BQ207" i="1"/>
  <c r="BC202" i="1"/>
  <c r="AY30" i="1"/>
  <c r="AU35" i="1"/>
  <c r="AU46" i="1"/>
  <c r="BV187" i="1"/>
  <c r="BV148" i="1"/>
  <c r="BS46" i="1"/>
  <c r="BW30" i="1"/>
  <c r="BS35" i="1"/>
  <c r="BS20" i="1" s="1"/>
  <c r="BT31" i="1"/>
  <c r="BS207" i="1"/>
  <c r="BX207" i="1"/>
  <c r="BW202" i="1"/>
  <c r="BV203" i="1"/>
  <c r="BE35" i="1"/>
  <c r="BE37" i="1" s="1"/>
  <c r="BE207" i="1"/>
  <c r="BI30" i="1"/>
  <c r="BF31" i="1"/>
  <c r="BE30" i="1"/>
  <c r="BY123" i="1"/>
  <c r="BY121" i="1"/>
  <c r="BC35" i="1"/>
  <c r="BC30" i="1"/>
  <c r="AW202" i="1"/>
  <c r="BD121" i="1"/>
  <c r="BD122" i="1"/>
  <c r="BD123" i="1"/>
  <c r="BK244" i="1"/>
  <c r="T77" i="1"/>
  <c r="BL207" i="1"/>
  <c r="BH207" i="1"/>
  <c r="AZ47" i="1"/>
  <c r="BF46" i="1"/>
  <c r="BR35" i="1"/>
  <c r="BR20" i="1" s="1"/>
  <c r="BG221" i="1"/>
  <c r="AX244" i="1"/>
  <c r="BF244" i="1"/>
  <c r="AV207" i="1"/>
  <c r="BF207" i="1"/>
  <c r="BK122" i="1"/>
  <c r="BK121" i="1"/>
  <c r="BS30" i="1"/>
  <c r="BR31" i="1"/>
  <c r="BT207" i="1"/>
  <c r="AY31" i="1"/>
  <c r="BI244" i="1"/>
  <c r="BG31" i="1"/>
  <c r="AZ36" i="1"/>
  <c r="BW268" i="1"/>
  <c r="BH187" i="1"/>
  <c r="BP46" i="1"/>
  <c r="AR46" i="1"/>
  <c r="BW122" i="1"/>
  <c r="BI225" i="1"/>
  <c r="AI200" i="1"/>
  <c r="BZ30" i="1"/>
  <c r="BZ207" i="1"/>
  <c r="BY122" i="1"/>
  <c r="AZ123" i="1"/>
  <c r="BK207" i="1"/>
  <c r="BH244" i="1"/>
  <c r="AR244" i="1"/>
  <c r="S77" i="1"/>
  <c r="W77" i="1"/>
  <c r="AV244" i="1"/>
  <c r="AS46" i="1"/>
  <c r="AZ122" i="1"/>
  <c r="AS207" i="1"/>
  <c r="AN46" i="1"/>
  <c r="BU121" i="1"/>
  <c r="Q77" i="1"/>
  <c r="BE122" i="1"/>
  <c r="BV244" i="1"/>
  <c r="AP31" i="1"/>
  <c r="BV200" i="1"/>
  <c r="BA244" i="1"/>
  <c r="AZ207" i="1"/>
  <c r="AU30" i="1"/>
  <c r="AY244" i="1"/>
  <c r="AU207" i="1"/>
  <c r="BV205" i="1"/>
  <c r="BZ208" i="1" s="1"/>
  <c r="BP30" i="1"/>
  <c r="BJ31" i="1"/>
  <c r="BT46" i="1"/>
  <c r="BQ122" i="1"/>
  <c r="BQ123" i="1"/>
  <c r="BI46" i="1"/>
  <c r="AX46" i="1"/>
  <c r="AL121" i="1"/>
  <c r="AL122" i="1"/>
  <c r="BE121" i="1"/>
  <c r="AQ244" i="1"/>
  <c r="BH200" i="1"/>
  <c r="AQ122" i="1"/>
  <c r="BM207" i="1"/>
  <c r="BL123" i="1"/>
  <c r="BL121" i="1"/>
  <c r="BL122" i="1"/>
  <c r="BB31" i="1"/>
  <c r="BB207" i="1"/>
  <c r="R77" i="1"/>
  <c r="BD244" i="1"/>
  <c r="BB35" i="1"/>
  <c r="BN30" i="1"/>
  <c r="BN207" i="1"/>
  <c r="BN35" i="1"/>
  <c r="BN31" i="1"/>
  <c r="BR30" i="1"/>
  <c r="BR207" i="1"/>
  <c r="BZ122" i="1"/>
  <c r="BZ121" i="1"/>
  <c r="BZ123" i="1"/>
  <c r="AN121" i="1"/>
  <c r="AN122" i="1"/>
  <c r="AN123" i="1"/>
  <c r="BM123" i="1"/>
  <c r="BM121" i="1"/>
  <c r="BM122" i="1"/>
  <c r="AR121" i="1"/>
  <c r="AR122" i="1"/>
  <c r="AR123" i="1"/>
  <c r="U77" i="1"/>
  <c r="BE244" i="1"/>
  <c r="BQ244" i="1"/>
  <c r="BO31" i="1"/>
  <c r="AP207" i="1"/>
  <c r="AQ121" i="1"/>
  <c r="BB46" i="1"/>
  <c r="BX30" i="1"/>
  <c r="BU31" i="1"/>
  <c r="BT35" i="1"/>
  <c r="BT20" i="1" s="1"/>
  <c r="BY207" i="1"/>
  <c r="BW244" i="1"/>
  <c r="AX207" i="1"/>
  <c r="AX31" i="1"/>
  <c r="AX35" i="1"/>
  <c r="BB30" i="1"/>
  <c r="AZ244" i="1"/>
  <c r="BI153" i="1"/>
  <c r="AV121" i="1"/>
  <c r="AV123" i="1"/>
  <c r="AV122" i="1"/>
  <c r="AY121" i="1"/>
  <c r="AY122" i="1"/>
  <c r="AY123" i="1"/>
  <c r="AT244" i="1"/>
  <c r="P77" i="1"/>
  <c r="AQ35" i="1"/>
  <c r="AQ30" i="1"/>
  <c r="AR31" i="1"/>
  <c r="AX121" i="1"/>
  <c r="AX123" i="1"/>
  <c r="AX122" i="1"/>
  <c r="BH123" i="1"/>
  <c r="BH121" i="1"/>
  <c r="AX30" i="1"/>
  <c r="BV176" i="1"/>
  <c r="AR207" i="1"/>
  <c r="BC31" i="1"/>
  <c r="BP244" i="1"/>
  <c r="BC244" i="1"/>
  <c r="BO244" i="1"/>
  <c r="BB123" i="1"/>
  <c r="BB122" i="1"/>
  <c r="BB121" i="1"/>
  <c r="AO30" i="1"/>
  <c r="AS30" i="1"/>
  <c r="AO207" i="1"/>
  <c r="AO35" i="1"/>
  <c r="BH203" i="1"/>
  <c r="BI228" i="1"/>
  <c r="BH267" i="1"/>
  <c r="AO46" i="1"/>
  <c r="BX263" i="1"/>
  <c r="CA207" i="1"/>
  <c r="CB207" i="1"/>
  <c r="X77" i="1"/>
  <c r="BW35" i="1"/>
  <c r="BW20" i="1" s="1"/>
  <c r="BZ263" i="1"/>
  <c r="CA30" i="1"/>
  <c r="BW31" i="1"/>
  <c r="BY244" i="1"/>
  <c r="BZ244" i="1"/>
  <c r="BX31" i="1"/>
  <c r="BX244" i="1"/>
  <c r="AV46" i="1"/>
  <c r="AW207" i="1"/>
  <c r="AV35" i="1"/>
  <c r="AW31" i="1"/>
  <c r="BA207" i="1"/>
  <c r="AZ30" i="1"/>
  <c r="AN30" i="1"/>
  <c r="AO244" i="1"/>
  <c r="AN35" i="1"/>
  <c r="AN31" i="1"/>
  <c r="AN244" i="1"/>
  <c r="AO31" i="1"/>
  <c r="AR30" i="1"/>
  <c r="AS121" i="1"/>
  <c r="AS123" i="1"/>
  <c r="AS122" i="1"/>
  <c r="BH35" i="1"/>
  <c r="BL30" i="1"/>
  <c r="BI31" i="1"/>
  <c r="BT30" i="1"/>
  <c r="AV31" i="1"/>
  <c r="BN46" i="1"/>
  <c r="BI52" i="1"/>
  <c r="BC207" i="1"/>
  <c r="BI123" i="1"/>
  <c r="BB244" i="1"/>
  <c r="BO207" i="1"/>
  <c r="BI121" i="1"/>
  <c r="BN244" i="1"/>
  <c r="BA123" i="1"/>
  <c r="BA121" i="1"/>
  <c r="BA122" i="1"/>
  <c r="BG207" i="1"/>
  <c r="BG46" i="1"/>
  <c r="BJ244" i="1"/>
  <c r="BJ263" i="1"/>
  <c r="BH31" i="1"/>
  <c r="BG35" i="1"/>
  <c r="BW207" i="1"/>
  <c r="BV157" i="1"/>
  <c r="BW52" i="1"/>
  <c r="BW153" i="1"/>
  <c r="AP121" i="1"/>
  <c r="AP123" i="1"/>
  <c r="AP122" i="1"/>
  <c r="AW121" i="1"/>
  <c r="AW123" i="1"/>
  <c r="AW122" i="1"/>
  <c r="BF30" i="1"/>
  <c r="BV47" i="1"/>
  <c r="BV22" i="1" s="1"/>
  <c r="BV21" i="1" s="1"/>
  <c r="AO121" i="1"/>
  <c r="AO123" i="1"/>
  <c r="AO122" i="1"/>
  <c r="BW46" i="1"/>
  <c r="BD31" i="1"/>
  <c r="BG30" i="1"/>
  <c r="AN207" i="1"/>
  <c r="AV30" i="1"/>
  <c r="AQ46" i="1"/>
  <c r="BH205" i="1"/>
  <c r="BL208" i="1" s="1"/>
  <c r="BJ48" i="1"/>
  <c r="BJ53" i="1"/>
  <c r="BJ57" i="1" s="1"/>
  <c r="BJ251" i="1"/>
  <c r="BJ252" i="1" s="1"/>
  <c r="F203" i="1"/>
  <c r="CQ157" i="1"/>
  <c r="CR51" i="1"/>
  <c r="AE96" i="1"/>
  <c r="AB144" i="1"/>
  <c r="AB147" i="1" s="1"/>
  <c r="AB268" i="1" s="1"/>
  <c r="AD161" i="1"/>
  <c r="CZ84" i="1"/>
  <c r="DA82" i="1"/>
  <c r="T184" i="1" l="1"/>
  <c r="T263" i="1"/>
  <c r="T265" i="1"/>
  <c r="AR157" i="1"/>
  <c r="AS153" i="1"/>
  <c r="AS52" i="1"/>
  <c r="C224" i="1"/>
  <c r="T217" i="1"/>
  <c r="T218" i="1" s="1"/>
  <c r="F184" i="1"/>
  <c r="BU221" i="1"/>
  <c r="AR200" i="1"/>
  <c r="C222" i="1"/>
  <c r="C220" i="1" s="1"/>
  <c r="BO19" i="1"/>
  <c r="BU19" i="1"/>
  <c r="E224" i="1"/>
  <c r="P217" i="1"/>
  <c r="P218" i="1" s="1"/>
  <c r="BT19" i="1"/>
  <c r="BW19" i="1"/>
  <c r="BR19" i="1"/>
  <c r="D224" i="1"/>
  <c r="BQ19" i="1"/>
  <c r="BS19" i="1"/>
  <c r="BP19" i="1"/>
  <c r="V184" i="1"/>
  <c r="V185" i="1" s="1"/>
  <c r="F265" i="1"/>
  <c r="F263" i="1"/>
  <c r="BQ47" i="1"/>
  <c r="BV37" i="1"/>
  <c r="P184" i="1"/>
  <c r="P185" i="1" s="1"/>
  <c r="P263" i="1"/>
  <c r="P265" i="1"/>
  <c r="G224" i="1"/>
  <c r="F200" i="1"/>
  <c r="F205" i="1"/>
  <c r="AX221" i="1"/>
  <c r="AW221" i="1"/>
  <c r="O224" i="1"/>
  <c r="H184" i="1"/>
  <c r="H185" i="1" s="1"/>
  <c r="F224" i="1"/>
  <c r="T224" i="1"/>
  <c r="H224" i="1"/>
  <c r="U217" i="1"/>
  <c r="U218" i="1" s="1"/>
  <c r="D222" i="1"/>
  <c r="D220" i="1" s="1"/>
  <c r="L184" i="1"/>
  <c r="L185" i="1" s="1"/>
  <c r="D217" i="1"/>
  <c r="D218" i="1" s="1"/>
  <c r="M224" i="1"/>
  <c r="J217" i="1"/>
  <c r="J218" i="1" s="1"/>
  <c r="E217" i="1"/>
  <c r="E218" i="1" s="1"/>
  <c r="N224" i="1"/>
  <c r="F185" i="1"/>
  <c r="S184" i="1"/>
  <c r="S185" i="1" s="1"/>
  <c r="L263" i="1"/>
  <c r="L265" i="1"/>
  <c r="N263" i="1"/>
  <c r="N265" i="1"/>
  <c r="C87" i="1"/>
  <c r="C88" i="1"/>
  <c r="S200" i="1"/>
  <c r="S205" i="1"/>
  <c r="K224" i="1"/>
  <c r="S224" i="1"/>
  <c r="J184" i="1"/>
  <c r="J185" i="1" s="1"/>
  <c r="I224" i="1"/>
  <c r="V224" i="1"/>
  <c r="K217" i="1"/>
  <c r="K218" i="1" s="1"/>
  <c r="U224" i="1"/>
  <c r="B184" i="1"/>
  <c r="N184" i="1"/>
  <c r="N185" i="1" s="1"/>
  <c r="F217" i="1"/>
  <c r="F218" i="1" s="1"/>
  <c r="G217" i="1"/>
  <c r="G218" i="1" s="1"/>
  <c r="U184" i="1"/>
  <c r="U185" i="1" s="1"/>
  <c r="R185" i="1"/>
  <c r="J265" i="1"/>
  <c r="J263" i="1"/>
  <c r="U265" i="1"/>
  <c r="U222" i="1"/>
  <c r="U220" i="1" s="1"/>
  <c r="T222" i="1"/>
  <c r="T220" i="1" s="1"/>
  <c r="T232" i="1" s="1"/>
  <c r="S222" i="1"/>
  <c r="S220" i="1" s="1"/>
  <c r="S263" i="1"/>
  <c r="H265" i="1"/>
  <c r="H263" i="1"/>
  <c r="S217" i="1"/>
  <c r="S218" i="1" s="1"/>
  <c r="W222" i="1"/>
  <c r="W220" i="1" s="1"/>
  <c r="D130" i="1"/>
  <c r="D133" i="1" s="1"/>
  <c r="R224" i="1"/>
  <c r="L222" i="1"/>
  <c r="L220" i="1" s="1"/>
  <c r="K222" i="1"/>
  <c r="K220" i="1" s="1"/>
  <c r="D184" i="1"/>
  <c r="J224" i="1"/>
  <c r="H217" i="1"/>
  <c r="H218" i="1" s="1"/>
  <c r="I184" i="1"/>
  <c r="I185" i="1" s="1"/>
  <c r="Q217" i="1"/>
  <c r="Q218" i="1" s="1"/>
  <c r="T185" i="1"/>
  <c r="L224" i="1"/>
  <c r="E184" i="1"/>
  <c r="E185" i="1" s="1"/>
  <c r="G184" i="1"/>
  <c r="G185" i="1" s="1"/>
  <c r="V217" i="1"/>
  <c r="V218" i="1" s="1"/>
  <c r="G222" i="1"/>
  <c r="G220" i="1" s="1"/>
  <c r="G263" i="1"/>
  <c r="G265" i="1"/>
  <c r="H222" i="1"/>
  <c r="H220" i="1" s="1"/>
  <c r="I222" i="1"/>
  <c r="I220" i="1" s="1"/>
  <c r="I263" i="1"/>
  <c r="I265" i="1"/>
  <c r="J222" i="1"/>
  <c r="J220" i="1" s="1"/>
  <c r="E263" i="1"/>
  <c r="E265" i="1"/>
  <c r="F222" i="1"/>
  <c r="F220" i="1" s="1"/>
  <c r="B129" i="1"/>
  <c r="B132" i="1" s="1"/>
  <c r="B130" i="1"/>
  <c r="B133" i="1" s="1"/>
  <c r="C129" i="1"/>
  <c r="C132" i="1" s="1"/>
  <c r="C130" i="1"/>
  <c r="C133" i="1" s="1"/>
  <c r="N222" i="1"/>
  <c r="N220" i="1" s="1"/>
  <c r="M222" i="1"/>
  <c r="M220" i="1" s="1"/>
  <c r="M263" i="1"/>
  <c r="M265" i="1"/>
  <c r="K184" i="1"/>
  <c r="K185" i="1" s="1"/>
  <c r="E222" i="1"/>
  <c r="E220" i="1" s="1"/>
  <c r="L200" i="1"/>
  <c r="L205" i="1"/>
  <c r="C217" i="1"/>
  <c r="C218" i="1" s="1"/>
  <c r="H200" i="1"/>
  <c r="H205" i="1"/>
  <c r="D203" i="1"/>
  <c r="D205" i="1"/>
  <c r="Q224" i="1"/>
  <c r="I217" i="1"/>
  <c r="I218" i="1" s="1"/>
  <c r="Q184" i="1"/>
  <c r="Q185" i="1" s="1"/>
  <c r="R217" i="1"/>
  <c r="R218" i="1" s="1"/>
  <c r="M217" i="1"/>
  <c r="M218" i="1" s="1"/>
  <c r="N217" i="1"/>
  <c r="N218" i="1" s="1"/>
  <c r="M184" i="1"/>
  <c r="M185" i="1" s="1"/>
  <c r="D88" i="1"/>
  <c r="D87" i="1"/>
  <c r="B205" i="1"/>
  <c r="B200" i="1"/>
  <c r="AR221" i="1"/>
  <c r="AQ221" i="1"/>
  <c r="O217" i="1"/>
  <c r="O218" i="1" s="1"/>
  <c r="BB187" i="1"/>
  <c r="J203" i="1"/>
  <c r="J205" i="1"/>
  <c r="L217" i="1"/>
  <c r="L218" i="1" s="1"/>
  <c r="AV187" i="1"/>
  <c r="P224" i="1"/>
  <c r="K263" i="1"/>
  <c r="K265" i="1"/>
  <c r="C203" i="1"/>
  <c r="C205" i="1"/>
  <c r="BS52" i="1"/>
  <c r="BS153" i="1"/>
  <c r="BR157" i="1"/>
  <c r="V222" i="1"/>
  <c r="V220" i="1" s="1"/>
  <c r="V263" i="1"/>
  <c r="V265" i="1"/>
  <c r="AQ268" i="1"/>
  <c r="AN111" i="1"/>
  <c r="AN114" i="1" s="1"/>
  <c r="AN267" i="1"/>
  <c r="P205" i="1"/>
  <c r="P200" i="1"/>
  <c r="O184" i="1"/>
  <c r="O185" i="1" s="1"/>
  <c r="AV268" i="1"/>
  <c r="Q265" i="1"/>
  <c r="Q263" i="1"/>
  <c r="Q222" i="1"/>
  <c r="Q220" i="1" s="1"/>
  <c r="O265" i="1"/>
  <c r="P222" i="1"/>
  <c r="P220" i="1" s="1"/>
  <c r="AR225" i="1"/>
  <c r="AR268" i="1"/>
  <c r="AO153" i="1"/>
  <c r="AO52" i="1"/>
  <c r="AN157" i="1"/>
  <c r="AN265" i="1" s="1"/>
  <c r="BC52" i="1"/>
  <c r="BB157" i="1"/>
  <c r="BC153" i="1"/>
  <c r="Q205" i="1"/>
  <c r="Q203" i="1"/>
  <c r="AV225" i="1"/>
  <c r="BT148" i="1"/>
  <c r="I203" i="1"/>
  <c r="I205" i="1"/>
  <c r="K203" i="1"/>
  <c r="K205" i="1"/>
  <c r="E203" i="1"/>
  <c r="E205" i="1"/>
  <c r="U203" i="1"/>
  <c r="U205" i="1"/>
  <c r="V203" i="1"/>
  <c r="V205" i="1"/>
  <c r="BN187" i="1"/>
  <c r="BN148" i="1"/>
  <c r="BC225" i="1"/>
  <c r="BC268" i="1"/>
  <c r="T205" i="1"/>
  <c r="T200" i="1"/>
  <c r="O222" i="1"/>
  <c r="O220" i="1" s="1"/>
  <c r="O263" i="1"/>
  <c r="N205" i="1"/>
  <c r="N200" i="1"/>
  <c r="G205" i="1"/>
  <c r="G203" i="1"/>
  <c r="O205" i="1"/>
  <c r="O203" i="1"/>
  <c r="BB148" i="1"/>
  <c r="AT267" i="1"/>
  <c r="AS225" i="1"/>
  <c r="AS268" i="1"/>
  <c r="AR187" i="1"/>
  <c r="AS56" i="1" s="1"/>
  <c r="AR148" i="1"/>
  <c r="AR111" i="1"/>
  <c r="AX111" i="1"/>
  <c r="AX267" i="1"/>
  <c r="BU52" i="1"/>
  <c r="BT157" i="1"/>
  <c r="BU153" i="1"/>
  <c r="BG153" i="1"/>
  <c r="BG52" i="1"/>
  <c r="BF157" i="1"/>
  <c r="AW52" i="1"/>
  <c r="AV157" i="1"/>
  <c r="AW153" i="1"/>
  <c r="BE52" i="1"/>
  <c r="BE153" i="1"/>
  <c r="BD157" i="1"/>
  <c r="AQ153" i="1"/>
  <c r="AP157" i="1"/>
  <c r="AQ52" i="1"/>
  <c r="R205" i="1"/>
  <c r="R203" i="1"/>
  <c r="AT201" i="1"/>
  <c r="AT176" i="1"/>
  <c r="BB114" i="1"/>
  <c r="BB115" i="1"/>
  <c r="BB113" i="1"/>
  <c r="AO268" i="1"/>
  <c r="AO225" i="1"/>
  <c r="AN268" i="1"/>
  <c r="AN225" i="1"/>
  <c r="AN148" i="1"/>
  <c r="AN187" i="1"/>
  <c r="BN157" i="1"/>
  <c r="BO153" i="1"/>
  <c r="BO52" i="1"/>
  <c r="AY153" i="1"/>
  <c r="AX157" i="1"/>
  <c r="AY52" i="1"/>
  <c r="AR204" i="1"/>
  <c r="AR176" i="1"/>
  <c r="AR184" i="1" s="1"/>
  <c r="BN267" i="1"/>
  <c r="BN111" i="1"/>
  <c r="BF225" i="1"/>
  <c r="BF187" i="1"/>
  <c r="BP268" i="1"/>
  <c r="BP225" i="1"/>
  <c r="BP187" i="1"/>
  <c r="BR148" i="1"/>
  <c r="BS268" i="1"/>
  <c r="BS225" i="1"/>
  <c r="BR187" i="1"/>
  <c r="BA153" i="1"/>
  <c r="BA52" i="1"/>
  <c r="AZ157" i="1"/>
  <c r="BQ52" i="1"/>
  <c r="BP157" i="1"/>
  <c r="BQ153" i="1"/>
  <c r="BC228" i="1"/>
  <c r="BB267" i="1"/>
  <c r="AR267" i="1"/>
  <c r="AR263" i="1"/>
  <c r="AX225" i="1"/>
  <c r="AX187" i="1"/>
  <c r="AX148" i="1"/>
  <c r="AX268" i="1"/>
  <c r="BO221" i="1"/>
  <c r="BP221" i="1"/>
  <c r="AT157" i="1"/>
  <c r="AU52" i="1"/>
  <c r="AU153" i="1"/>
  <c r="BD111" i="1"/>
  <c r="BD267" i="1"/>
  <c r="BO225" i="1"/>
  <c r="BO268" i="1"/>
  <c r="BN268" i="1"/>
  <c r="BN225" i="1"/>
  <c r="AW268" i="1"/>
  <c r="AW225" i="1"/>
  <c r="AN201" i="1"/>
  <c r="AN176" i="1"/>
  <c r="BT221" i="1"/>
  <c r="BS221" i="1"/>
  <c r="BV268" i="1"/>
  <c r="BU268" i="1"/>
  <c r="BU225" i="1"/>
  <c r="BV225" i="1"/>
  <c r="BT187" i="1"/>
  <c r="BT268" i="1"/>
  <c r="BT225" i="1"/>
  <c r="AP221" i="1"/>
  <c r="AO221" i="1"/>
  <c r="M205" i="1"/>
  <c r="M203" i="1"/>
  <c r="AZ187" i="1"/>
  <c r="AZ268" i="1"/>
  <c r="AZ148" i="1"/>
  <c r="AZ225" i="1"/>
  <c r="AN203" i="1"/>
  <c r="AT148" i="1"/>
  <c r="AT268" i="1"/>
  <c r="AT225" i="1"/>
  <c r="AT187" i="1"/>
  <c r="BD225" i="1"/>
  <c r="BD148" i="1"/>
  <c r="BE268" i="1"/>
  <c r="BE225" i="1"/>
  <c r="BD187" i="1"/>
  <c r="BD268" i="1"/>
  <c r="AV111" i="1"/>
  <c r="AV267" i="1"/>
  <c r="AQ225" i="1"/>
  <c r="AP225" i="1"/>
  <c r="AP268" i="1"/>
  <c r="BG268" i="1"/>
  <c r="BH268" i="1"/>
  <c r="BB225" i="1"/>
  <c r="BA268" i="1"/>
  <c r="BB268" i="1"/>
  <c r="BA225" i="1"/>
  <c r="AU225" i="1"/>
  <c r="AU268" i="1"/>
  <c r="BP205" i="1"/>
  <c r="BP208" i="1" s="1"/>
  <c r="BR225" i="1"/>
  <c r="AY225" i="1"/>
  <c r="AY268" i="1"/>
  <c r="AQ228" i="1"/>
  <c r="AP267" i="1"/>
  <c r="AZ111" i="1"/>
  <c r="AZ267" i="1"/>
  <c r="BS228" i="1"/>
  <c r="BR267" i="1"/>
  <c r="BT111" i="1"/>
  <c r="BT267" i="1"/>
  <c r="BF268" i="1"/>
  <c r="BF148" i="1"/>
  <c r="AP187" i="1"/>
  <c r="AP148" i="1"/>
  <c r="AP114" i="1"/>
  <c r="AP113" i="1"/>
  <c r="AP115" i="1"/>
  <c r="AP204" i="1"/>
  <c r="AP176" i="1"/>
  <c r="BF111" i="1"/>
  <c r="BF267" i="1"/>
  <c r="BP115" i="1"/>
  <c r="AV148" i="1"/>
  <c r="BQ268" i="1"/>
  <c r="BP267" i="1"/>
  <c r="BP148" i="1"/>
  <c r="BP176" i="1"/>
  <c r="BG225" i="1"/>
  <c r="BQ225" i="1"/>
  <c r="BP114" i="1"/>
  <c r="AV201" i="1"/>
  <c r="AV205" i="1" s="1"/>
  <c r="AV176" i="1"/>
  <c r="BH185" i="1"/>
  <c r="BB201" i="1"/>
  <c r="BB176" i="1"/>
  <c r="BD201" i="1"/>
  <c r="BD176" i="1"/>
  <c r="AX201" i="1"/>
  <c r="AX176" i="1"/>
  <c r="BF201" i="1"/>
  <c r="BF176" i="1"/>
  <c r="BT201" i="1"/>
  <c r="BT176" i="1"/>
  <c r="BR201" i="1"/>
  <c r="BR205" i="1" s="1"/>
  <c r="BV208" i="1" s="1"/>
  <c r="BR176" i="1"/>
  <c r="BN201" i="1"/>
  <c r="BN176" i="1"/>
  <c r="AZ201" i="1"/>
  <c r="AZ176" i="1"/>
  <c r="B104" i="1"/>
  <c r="B105" i="1"/>
  <c r="C263" i="1"/>
  <c r="C185" i="1"/>
  <c r="BV115" i="1"/>
  <c r="BV114" i="1"/>
  <c r="BV113" i="1"/>
  <c r="BA269" i="1"/>
  <c r="AP38" i="1"/>
  <c r="BL38" i="1"/>
  <c r="BK36" i="1"/>
  <c r="BK47" i="1"/>
  <c r="BK38" i="1"/>
  <c r="AM73" i="1"/>
  <c r="AM226" i="1"/>
  <c r="AM224" i="1" s="1"/>
  <c r="AM74" i="1"/>
  <c r="AM111" i="1"/>
  <c r="AM105" i="1"/>
  <c r="AM104" i="1"/>
  <c r="AM106" i="1"/>
  <c r="AY47" i="1"/>
  <c r="AY36" i="1"/>
  <c r="AZ38" i="1"/>
  <c r="AT37" i="1"/>
  <c r="AP47" i="1"/>
  <c r="AP37" i="1"/>
  <c r="AP36" i="1"/>
  <c r="BQ36" i="1"/>
  <c r="BU37" i="1"/>
  <c r="BU47" i="1"/>
  <c r="BU22" i="1" s="1"/>
  <c r="BU21" i="1" s="1"/>
  <c r="BV38" i="1"/>
  <c r="BY37" i="1"/>
  <c r="BU36" i="1"/>
  <c r="AS36" i="1"/>
  <c r="AS47" i="1"/>
  <c r="AS50" i="1" s="1"/>
  <c r="AT38" i="1"/>
  <c r="AW37" i="1"/>
  <c r="AR36" i="1"/>
  <c r="AS38" i="1"/>
  <c r="BI37" i="1"/>
  <c r="BI36" i="1"/>
  <c r="BM37" i="1"/>
  <c r="BI47" i="1"/>
  <c r="BJ38" i="1"/>
  <c r="BP47" i="1"/>
  <c r="BP22" i="1" s="1"/>
  <c r="BP21" i="1" s="1"/>
  <c r="BP37" i="1"/>
  <c r="BP36" i="1"/>
  <c r="BQ38" i="1"/>
  <c r="BN203" i="1"/>
  <c r="BM36" i="1"/>
  <c r="BQ37" i="1"/>
  <c r="BM47" i="1"/>
  <c r="BM38" i="1"/>
  <c r="BF36" i="1"/>
  <c r="BJ37" i="1"/>
  <c r="BE38" i="1"/>
  <c r="BS38" i="1"/>
  <c r="BD36" i="1"/>
  <c r="BD47" i="1"/>
  <c r="BD49" i="1" s="1"/>
  <c r="BD37" i="1"/>
  <c r="BE47" i="1"/>
  <c r="BE36" i="1"/>
  <c r="BF38" i="1"/>
  <c r="BC38" i="1"/>
  <c r="BT38" i="1"/>
  <c r="AU37" i="1"/>
  <c r="BW37" i="1"/>
  <c r="Q78" i="1"/>
  <c r="BF48" i="1"/>
  <c r="BF53" i="1"/>
  <c r="BF57" i="1" s="1"/>
  <c r="BF251" i="1"/>
  <c r="BF252" i="1" s="1"/>
  <c r="BO47" i="1"/>
  <c r="BO22" i="1" s="1"/>
  <c r="BO21" i="1" s="1"/>
  <c r="V78" i="1"/>
  <c r="BP38" i="1"/>
  <c r="BS37" i="1"/>
  <c r="BO37" i="1"/>
  <c r="BO36" i="1"/>
  <c r="AT53" i="1"/>
  <c r="AT57" i="1" s="1"/>
  <c r="AT48" i="1"/>
  <c r="AT251" i="1"/>
  <c r="AT252" i="1" s="1"/>
  <c r="AJ38" i="1"/>
  <c r="AI36" i="1"/>
  <c r="AM37" i="1"/>
  <c r="AI47" i="1"/>
  <c r="N78" i="1"/>
  <c r="BA48" i="1"/>
  <c r="BA251" i="1"/>
  <c r="BA252" i="1" s="1"/>
  <c r="BA53" i="1"/>
  <c r="BA57" i="1" s="1"/>
  <c r="BA49" i="1"/>
  <c r="AW251" i="1"/>
  <c r="AW252" i="1" s="1"/>
  <c r="AW48" i="1"/>
  <c r="AW53" i="1"/>
  <c r="AW57" i="1" s="1"/>
  <c r="AU38" i="1"/>
  <c r="AV38" i="1"/>
  <c r="AU47" i="1"/>
  <c r="AY37" i="1"/>
  <c r="AU36" i="1"/>
  <c r="BV128" i="1"/>
  <c r="BW56" i="1"/>
  <c r="BS47" i="1"/>
  <c r="BS22" i="1" s="1"/>
  <c r="BS21" i="1" s="1"/>
  <c r="BS36" i="1"/>
  <c r="BD38" i="1"/>
  <c r="S78" i="1"/>
  <c r="BC47" i="1"/>
  <c r="BC36" i="1"/>
  <c r="BC37" i="1"/>
  <c r="BA50" i="1"/>
  <c r="BH128" i="1"/>
  <c r="BI56" i="1"/>
  <c r="BR47" i="1"/>
  <c r="BR22" i="1" s="1"/>
  <c r="BR21" i="1" s="1"/>
  <c r="BR38" i="1"/>
  <c r="BR36" i="1"/>
  <c r="AZ48" i="1"/>
  <c r="AZ251" i="1"/>
  <c r="AZ252" i="1" s="1"/>
  <c r="AZ53" i="1"/>
  <c r="AZ57" i="1" s="1"/>
  <c r="AQ38" i="1"/>
  <c r="BH47" i="1"/>
  <c r="BH36" i="1"/>
  <c r="BL37" i="1"/>
  <c r="BH37" i="1"/>
  <c r="BB37" i="1"/>
  <c r="AX38" i="1"/>
  <c r="AX36" i="1"/>
  <c r="AX37" i="1"/>
  <c r="AX47" i="1"/>
  <c r="AT114" i="1"/>
  <c r="AT115" i="1"/>
  <c r="AT113" i="1"/>
  <c r="BN37" i="1"/>
  <c r="BR37" i="1"/>
  <c r="BN47" i="1"/>
  <c r="U78" i="1"/>
  <c r="BN36" i="1"/>
  <c r="BN38" i="1"/>
  <c r="AR251" i="1"/>
  <c r="AR252" i="1" s="1"/>
  <c r="BO38" i="1"/>
  <c r="BG38" i="1"/>
  <c r="BG37" i="1"/>
  <c r="BG36" i="1"/>
  <c r="BH38" i="1"/>
  <c r="BK37" i="1"/>
  <c r="T78" i="1"/>
  <c r="BG47" i="1"/>
  <c r="AN47" i="1"/>
  <c r="AO38" i="1"/>
  <c r="AN37" i="1"/>
  <c r="AR37" i="1"/>
  <c r="AN38" i="1"/>
  <c r="AN36" i="1"/>
  <c r="AV47" i="1"/>
  <c r="AV36" i="1"/>
  <c r="AW38" i="1"/>
  <c r="AV37" i="1"/>
  <c r="AZ37" i="1"/>
  <c r="BW38" i="1"/>
  <c r="BW36" i="1"/>
  <c r="X78" i="1"/>
  <c r="CA37" i="1"/>
  <c r="BX38" i="1"/>
  <c r="BW47" i="1"/>
  <c r="BW22" i="1" s="1"/>
  <c r="BW21" i="1" s="1"/>
  <c r="BU38" i="1"/>
  <c r="BT47" i="1"/>
  <c r="BT22" i="1" s="1"/>
  <c r="BT21" i="1" s="1"/>
  <c r="BX37" i="1"/>
  <c r="BT36" i="1"/>
  <c r="BT37" i="1"/>
  <c r="BV53" i="1"/>
  <c r="BV57" i="1" s="1"/>
  <c r="BZ49" i="1"/>
  <c r="BV48" i="1"/>
  <c r="BV251" i="1"/>
  <c r="BV252" i="1" s="1"/>
  <c r="BW157" i="1"/>
  <c r="BX52" i="1"/>
  <c r="AR53" i="1"/>
  <c r="AR57" i="1" s="1"/>
  <c r="AY38" i="1"/>
  <c r="BI38" i="1"/>
  <c r="BV263" i="1"/>
  <c r="BV265" i="1"/>
  <c r="BR115" i="1"/>
  <c r="BR113" i="1"/>
  <c r="BR114" i="1"/>
  <c r="AO37" i="1"/>
  <c r="AO47" i="1"/>
  <c r="AO36" i="1"/>
  <c r="AS37" i="1"/>
  <c r="BH265" i="1"/>
  <c r="BH263" i="1"/>
  <c r="O78" i="1"/>
  <c r="BV184" i="1"/>
  <c r="BV185" i="1" s="1"/>
  <c r="AQ47" i="1"/>
  <c r="P78" i="1"/>
  <c r="AQ37" i="1"/>
  <c r="AQ36" i="1"/>
  <c r="AR38" i="1"/>
  <c r="BJ52" i="1"/>
  <c r="BI157" i="1"/>
  <c r="BJ222" i="1" s="1"/>
  <c r="BJ220" i="1" s="1"/>
  <c r="BB36" i="1"/>
  <c r="R78" i="1"/>
  <c r="BB47" i="1"/>
  <c r="BF37" i="1"/>
  <c r="BB38" i="1"/>
  <c r="BJ60" i="1"/>
  <c r="BJ59" i="1"/>
  <c r="CR213" i="1"/>
  <c r="CR151" i="1"/>
  <c r="CQ222" i="1"/>
  <c r="CQ220" i="1" s="1"/>
  <c r="AB225" i="1"/>
  <c r="DB82" i="1"/>
  <c r="DB84" i="1" s="1"/>
  <c r="DA84" i="1"/>
  <c r="AR265" i="1" l="1"/>
  <c r="AS157" i="1"/>
  <c r="AS222" i="1" s="1"/>
  <c r="AS220" i="1" s="1"/>
  <c r="AT52" i="1"/>
  <c r="BQ22" i="1"/>
  <c r="BQ21" i="1" s="1"/>
  <c r="BQ53" i="1"/>
  <c r="BQ57" i="1" s="1"/>
  <c r="BQ48" i="1"/>
  <c r="BQ251" i="1"/>
  <c r="BQ252" i="1" s="1"/>
  <c r="D232" i="1"/>
  <c r="P232" i="1"/>
  <c r="J232" i="1"/>
  <c r="M232" i="1"/>
  <c r="N232" i="1"/>
  <c r="D89" i="1"/>
  <c r="T229" i="1"/>
  <c r="T230" i="1" s="1"/>
  <c r="D229" i="1"/>
  <c r="D230" i="1" s="1"/>
  <c r="H229" i="1"/>
  <c r="H230" i="1" s="1"/>
  <c r="U232" i="1"/>
  <c r="U229" i="1"/>
  <c r="U230" i="1" s="1"/>
  <c r="C104" i="1"/>
  <c r="C106" i="1"/>
  <c r="C89" i="1"/>
  <c r="C105" i="1"/>
  <c r="B108" i="1"/>
  <c r="B263" i="1"/>
  <c r="B185" i="1"/>
  <c r="S229" i="1"/>
  <c r="S230" i="1" s="1"/>
  <c r="S232" i="1"/>
  <c r="V208" i="1"/>
  <c r="V209" i="1" s="1"/>
  <c r="Q229" i="1"/>
  <c r="Q230" i="1" s="1"/>
  <c r="P229" i="1"/>
  <c r="P230" i="1" s="1"/>
  <c r="Q232" i="1"/>
  <c r="J229" i="1"/>
  <c r="J230" i="1" s="1"/>
  <c r="H232" i="1"/>
  <c r="K229" i="1"/>
  <c r="K230" i="1" s="1"/>
  <c r="K232" i="1"/>
  <c r="D263" i="1"/>
  <c r="D185" i="1"/>
  <c r="I229" i="1"/>
  <c r="I230" i="1" s="1"/>
  <c r="I232" i="1"/>
  <c r="N229" i="1"/>
  <c r="N230" i="1" s="1"/>
  <c r="M229" i="1"/>
  <c r="M230" i="1" s="1"/>
  <c r="I208" i="1"/>
  <c r="I209" i="1" s="1"/>
  <c r="G229" i="1"/>
  <c r="G230" i="1" s="1"/>
  <c r="G232" i="1"/>
  <c r="F232" i="1"/>
  <c r="F229" i="1"/>
  <c r="F230" i="1" s="1"/>
  <c r="E229" i="1"/>
  <c r="E230" i="1" s="1"/>
  <c r="E232" i="1"/>
  <c r="C229" i="1"/>
  <c r="C230" i="1" s="1"/>
  <c r="C232" i="1"/>
  <c r="AW56" i="1"/>
  <c r="AV128" i="1"/>
  <c r="BS157" i="1"/>
  <c r="BT52" i="1"/>
  <c r="BR265" i="1"/>
  <c r="BR263" i="1"/>
  <c r="V229" i="1"/>
  <c r="V230" i="1" s="1"/>
  <c r="V232" i="1"/>
  <c r="AP52" i="1"/>
  <c r="AO157" i="1"/>
  <c r="AN113" i="1"/>
  <c r="AN115" i="1"/>
  <c r="O232" i="1"/>
  <c r="J208" i="1"/>
  <c r="J209" i="1" s="1"/>
  <c r="Q208" i="1"/>
  <c r="Q209" i="1" s="1"/>
  <c r="O229" i="1"/>
  <c r="O230" i="1" s="1"/>
  <c r="BR184" i="1"/>
  <c r="BR185" i="1" s="1"/>
  <c r="R229" i="1"/>
  <c r="R230" i="1" s="1"/>
  <c r="R232" i="1"/>
  <c r="BB128" i="1"/>
  <c r="BC56" i="1"/>
  <c r="L232" i="1"/>
  <c r="L229" i="1"/>
  <c r="L230" i="1" s="1"/>
  <c r="D104" i="1"/>
  <c r="D105" i="1"/>
  <c r="D106" i="1"/>
  <c r="C108" i="1"/>
  <c r="AR185" i="1"/>
  <c r="AN184" i="1"/>
  <c r="AN185" i="1" s="1"/>
  <c r="BP184" i="1"/>
  <c r="BP185" i="1" s="1"/>
  <c r="BA270" i="1"/>
  <c r="BN128" i="1"/>
  <c r="BO56" i="1"/>
  <c r="AZ52" i="1"/>
  <c r="AY157" i="1"/>
  <c r="L208" i="1"/>
  <c r="L209" i="1" s="1"/>
  <c r="K208" i="1"/>
  <c r="K209" i="1" s="1"/>
  <c r="E208" i="1"/>
  <c r="E209" i="1" s="1"/>
  <c r="F208" i="1"/>
  <c r="F209" i="1" s="1"/>
  <c r="H208" i="1"/>
  <c r="H209" i="1" s="1"/>
  <c r="G208" i="1"/>
  <c r="G209" i="1" s="1"/>
  <c r="BN222" i="1"/>
  <c r="BN220" i="1" s="1"/>
  <c r="BN265" i="1"/>
  <c r="BN263" i="1"/>
  <c r="BN115" i="1"/>
  <c r="BN114" i="1"/>
  <c r="BN113" i="1"/>
  <c r="BP128" i="1"/>
  <c r="BQ56" i="1"/>
  <c r="C208" i="1"/>
  <c r="C209" i="1" s="1"/>
  <c r="D208" i="1"/>
  <c r="D209" i="1" s="1"/>
  <c r="BB184" i="1"/>
  <c r="BB185" i="1" s="1"/>
  <c r="BF184" i="1"/>
  <c r="BF185" i="1" s="1"/>
  <c r="BT184" i="1"/>
  <c r="BT185" i="1" s="1"/>
  <c r="BF265" i="1"/>
  <c r="BF263" i="1"/>
  <c r="AP265" i="1"/>
  <c r="AP263" i="1"/>
  <c r="BG56" i="1"/>
  <c r="BF128" i="1"/>
  <c r="BD52" i="1"/>
  <c r="BC157" i="1"/>
  <c r="BN184" i="1"/>
  <c r="BN185" i="1" s="1"/>
  <c r="AZ184" i="1"/>
  <c r="AZ185" i="1" s="1"/>
  <c r="AN263" i="1"/>
  <c r="AN222" i="1"/>
  <c r="AN220" i="1" s="1"/>
  <c r="BT265" i="1"/>
  <c r="BT263" i="1"/>
  <c r="AW157" i="1"/>
  <c r="AX52" i="1"/>
  <c r="BS56" i="1"/>
  <c r="BR128" i="1"/>
  <c r="BA157" i="1"/>
  <c r="BB52" i="1"/>
  <c r="AZ263" i="1"/>
  <c r="AZ265" i="1"/>
  <c r="BR52" i="1"/>
  <c r="BQ157" i="1"/>
  <c r="AN200" i="1"/>
  <c r="AN205" i="1"/>
  <c r="BB265" i="1"/>
  <c r="BB263" i="1"/>
  <c r="BG157" i="1"/>
  <c r="BH52" i="1"/>
  <c r="AV263" i="1"/>
  <c r="AV265" i="1"/>
  <c r="BE157" i="1"/>
  <c r="BF52" i="1"/>
  <c r="BD263" i="1"/>
  <c r="BD265" i="1"/>
  <c r="S208" i="1"/>
  <c r="S209" i="1" s="1"/>
  <c r="R208" i="1"/>
  <c r="R209" i="1" s="1"/>
  <c r="AX265" i="1"/>
  <c r="AX263" i="1"/>
  <c r="AU56" i="1"/>
  <c r="AT128" i="1"/>
  <c r="AP184" i="1"/>
  <c r="AP185" i="1" s="1"/>
  <c r="BD184" i="1"/>
  <c r="BD185" i="1" s="1"/>
  <c r="AR113" i="1"/>
  <c r="AR115" i="1"/>
  <c r="AR114" i="1"/>
  <c r="AX115" i="1"/>
  <c r="AX114" i="1"/>
  <c r="AX113" i="1"/>
  <c r="BV52" i="1"/>
  <c r="BU157" i="1"/>
  <c r="AQ157" i="1"/>
  <c r="AR52" i="1"/>
  <c r="AT205" i="1"/>
  <c r="AT200" i="1"/>
  <c r="AO56" i="1"/>
  <c r="AN128" i="1"/>
  <c r="AR205" i="1"/>
  <c r="AR203" i="1"/>
  <c r="AV52" i="1"/>
  <c r="AU157" i="1"/>
  <c r="BD114" i="1"/>
  <c r="BD113" i="1"/>
  <c r="BD115" i="1"/>
  <c r="BU56" i="1"/>
  <c r="BT128" i="1"/>
  <c r="BE56" i="1"/>
  <c r="BD128" i="1"/>
  <c r="AV115" i="1"/>
  <c r="AV113" i="1"/>
  <c r="AV114" i="1"/>
  <c r="T208" i="1"/>
  <c r="T209" i="1" s="1"/>
  <c r="U208" i="1"/>
  <c r="U209" i="1" s="1"/>
  <c r="P208" i="1"/>
  <c r="P209" i="1" s="1"/>
  <c r="O208" i="1"/>
  <c r="O209" i="1" s="1"/>
  <c r="AV184" i="1"/>
  <c r="AV185" i="1" s="1"/>
  <c r="AX184" i="1"/>
  <c r="AX185" i="1" s="1"/>
  <c r="BP52" i="1"/>
  <c r="BO157" i="1"/>
  <c r="BP265" i="1"/>
  <c r="BP263" i="1"/>
  <c r="AY56" i="1"/>
  <c r="AX128" i="1"/>
  <c r="AT184" i="1"/>
  <c r="AT185" i="1" s="1"/>
  <c r="AT265" i="1"/>
  <c r="AT263" i="1"/>
  <c r="AP128" i="1"/>
  <c r="AQ56" i="1"/>
  <c r="AZ128" i="1"/>
  <c r="BA56" i="1"/>
  <c r="M208" i="1"/>
  <c r="M209" i="1" s="1"/>
  <c r="N208" i="1"/>
  <c r="N209" i="1" s="1"/>
  <c r="AZ114" i="1"/>
  <c r="AZ115" i="1"/>
  <c r="AZ113" i="1"/>
  <c r="AP205" i="1"/>
  <c r="AP208" i="1" s="1"/>
  <c r="AP203" i="1"/>
  <c r="AX200" i="1"/>
  <c r="AX205" i="1"/>
  <c r="BF200" i="1"/>
  <c r="BF205" i="1"/>
  <c r="BJ208" i="1" s="1"/>
  <c r="BT115" i="1"/>
  <c r="BT114" i="1"/>
  <c r="BT113" i="1"/>
  <c r="BF114" i="1"/>
  <c r="BF115" i="1"/>
  <c r="BF113" i="1"/>
  <c r="AV200" i="1"/>
  <c r="BR200" i="1"/>
  <c r="BN200" i="1"/>
  <c r="BN205" i="1"/>
  <c r="BB205" i="1"/>
  <c r="BB200" i="1"/>
  <c r="BD200" i="1"/>
  <c r="BD205" i="1"/>
  <c r="BT205" i="1"/>
  <c r="BT200" i="1"/>
  <c r="BX222" i="1"/>
  <c r="BX220" i="1" s="1"/>
  <c r="BW222" i="1"/>
  <c r="BW220" i="1" s="1"/>
  <c r="AZ205" i="1"/>
  <c r="AZ208" i="1" s="1"/>
  <c r="AZ200" i="1"/>
  <c r="BA245" i="1"/>
  <c r="BL131" i="1"/>
  <c r="AQ269" i="1"/>
  <c r="AQ270" i="1" s="1"/>
  <c r="AT49" i="1"/>
  <c r="AQ50" i="1"/>
  <c r="BS245" i="1"/>
  <c r="BO49" i="1"/>
  <c r="BK49" i="1"/>
  <c r="BX245" i="1"/>
  <c r="BK50" i="1"/>
  <c r="BK48" i="1"/>
  <c r="BL50" i="1"/>
  <c r="BK251" i="1"/>
  <c r="BK252" i="1" s="1"/>
  <c r="BK53" i="1"/>
  <c r="BK57" i="1" s="1"/>
  <c r="BK269" i="1"/>
  <c r="BK270" i="1" s="1"/>
  <c r="BL269" i="1"/>
  <c r="BL270" i="1" s="1"/>
  <c r="AM113" i="1"/>
  <c r="AM114" i="1"/>
  <c r="AM115" i="1"/>
  <c r="AY48" i="1"/>
  <c r="AY251" i="1"/>
  <c r="AY252" i="1" s="1"/>
  <c r="AY53" i="1"/>
  <c r="AY57" i="1" s="1"/>
  <c r="AZ269" i="1"/>
  <c r="AZ270" i="1" s="1"/>
  <c r="AZ50" i="1"/>
  <c r="AP48" i="1"/>
  <c r="AP49" i="1"/>
  <c r="AP251" i="1"/>
  <c r="AP252" i="1" s="1"/>
  <c r="AP53" i="1"/>
  <c r="AP57" i="1" s="1"/>
  <c r="BV269" i="1"/>
  <c r="BV270" i="1" s="1"/>
  <c r="BV50" i="1"/>
  <c r="BM131" i="1"/>
  <c r="BM245" i="1"/>
  <c r="BU49" i="1"/>
  <c r="BU48" i="1"/>
  <c r="BU251" i="1"/>
  <c r="BU252" i="1" s="1"/>
  <c r="BY49" i="1"/>
  <c r="BU53" i="1"/>
  <c r="BU57" i="1" s="1"/>
  <c r="S79" i="1"/>
  <c r="BK131" i="1"/>
  <c r="U79" i="1"/>
  <c r="AS251" i="1"/>
  <c r="AS252" i="1" s="1"/>
  <c r="AS53" i="1"/>
  <c r="AS57" i="1" s="1"/>
  <c r="AW49" i="1"/>
  <c r="AT50" i="1"/>
  <c r="AS269" i="1"/>
  <c r="AS270" i="1" s="1"/>
  <c r="AS48" i="1"/>
  <c r="AT269" i="1"/>
  <c r="AT270" i="1" s="1"/>
  <c r="AS245" i="1"/>
  <c r="AS131" i="1"/>
  <c r="BF269" i="1"/>
  <c r="BF270" i="1" s="1"/>
  <c r="BE49" i="1"/>
  <c r="BI251" i="1"/>
  <c r="BI252" i="1" s="1"/>
  <c r="BI53" i="1"/>
  <c r="BI48" i="1"/>
  <c r="BL245" i="1"/>
  <c r="BJ50" i="1"/>
  <c r="BJ269" i="1"/>
  <c r="BJ270" i="1" s="1"/>
  <c r="BQ50" i="1"/>
  <c r="BP48" i="1"/>
  <c r="BP49" i="1"/>
  <c r="BP251" i="1"/>
  <c r="BP252" i="1" s="1"/>
  <c r="BP53" i="1"/>
  <c r="BP57" i="1" s="1"/>
  <c r="BQ269" i="1"/>
  <c r="BQ270" i="1" s="1"/>
  <c r="BM53" i="1"/>
  <c r="BM57" i="1" s="1"/>
  <c r="BM48" i="1"/>
  <c r="BQ49" i="1"/>
  <c r="BM50" i="1"/>
  <c r="BM49" i="1"/>
  <c r="BM251" i="1"/>
  <c r="BM252" i="1" s="1"/>
  <c r="BM269" i="1"/>
  <c r="BM270" i="1" s="1"/>
  <c r="BD269" i="1"/>
  <c r="BD270" i="1" s="1"/>
  <c r="O79" i="1"/>
  <c r="AP50" i="1"/>
  <c r="BE50" i="1"/>
  <c r="BD53" i="1"/>
  <c r="BD57" i="1" s="1"/>
  <c r="BD48" i="1"/>
  <c r="BD251" i="1"/>
  <c r="BD252" i="1" s="1"/>
  <c r="BE269" i="1"/>
  <c r="BE270" i="1" s="1"/>
  <c r="BI49" i="1"/>
  <c r="BE251" i="1"/>
  <c r="BE252" i="1" s="1"/>
  <c r="BE48" i="1"/>
  <c r="BE53" i="1"/>
  <c r="BE57" i="1" s="1"/>
  <c r="BF50" i="1"/>
  <c r="BF60" i="1"/>
  <c r="BF59" i="1"/>
  <c r="BO48" i="1"/>
  <c r="BO53" i="1"/>
  <c r="BO57" i="1" s="1"/>
  <c r="BO251" i="1"/>
  <c r="BO252" i="1" s="1"/>
  <c r="BP50" i="1"/>
  <c r="BP269" i="1"/>
  <c r="BP270" i="1" s="1"/>
  <c r="BH129" i="1"/>
  <c r="BH130" i="1"/>
  <c r="AX245" i="1"/>
  <c r="BT269" i="1"/>
  <c r="BT270" i="1" s="1"/>
  <c r="BC50" i="1"/>
  <c r="AJ50" i="1"/>
  <c r="AL131" i="1"/>
  <c r="AI48" i="1"/>
  <c r="AM49" i="1"/>
  <c r="AI53" i="1"/>
  <c r="N79" i="1"/>
  <c r="AL245" i="1"/>
  <c r="AI251" i="1"/>
  <c r="AI252" i="1" s="1"/>
  <c r="AW245" i="1"/>
  <c r="AU245" i="1"/>
  <c r="AW131" i="1"/>
  <c r="AU50" i="1"/>
  <c r="AU269" i="1"/>
  <c r="AU270" i="1" s="1"/>
  <c r="AU131" i="1"/>
  <c r="AV245" i="1"/>
  <c r="AU251" i="1"/>
  <c r="AU252" i="1" s="1"/>
  <c r="AU48" i="1"/>
  <c r="AU53" i="1"/>
  <c r="AU57" i="1" s="1"/>
  <c r="AY49" i="1"/>
  <c r="AV50" i="1"/>
  <c r="AV269" i="1"/>
  <c r="AV270" i="1" s="1"/>
  <c r="AU49" i="1"/>
  <c r="BV129" i="1"/>
  <c r="BV130" i="1"/>
  <c r="BS49" i="1"/>
  <c r="BS53" i="1"/>
  <c r="BS57" i="1" s="1"/>
  <c r="BS48" i="1"/>
  <c r="BS251" i="1"/>
  <c r="BS252" i="1" s="1"/>
  <c r="BS269" i="1"/>
  <c r="BS270" i="1" s="1"/>
  <c r="BD50" i="1"/>
  <c r="BG49" i="1"/>
  <c r="BF131" i="1"/>
  <c r="BC53" i="1"/>
  <c r="BC48" i="1"/>
  <c r="BC251" i="1"/>
  <c r="BC252" i="1" s="1"/>
  <c r="BF245" i="1"/>
  <c r="BC49" i="1"/>
  <c r="BV49" i="1"/>
  <c r="BS131" i="1"/>
  <c r="BT245" i="1"/>
  <c r="AQ245" i="1"/>
  <c r="AZ60" i="1"/>
  <c r="AZ59" i="1"/>
  <c r="BV245" i="1"/>
  <c r="BR269" i="1"/>
  <c r="BR270" i="1" s="1"/>
  <c r="BR48" i="1"/>
  <c r="BR50" i="1"/>
  <c r="BS50" i="1"/>
  <c r="V79" i="1"/>
  <c r="BR245" i="1"/>
  <c r="BR251" i="1"/>
  <c r="BR252" i="1" s="1"/>
  <c r="BR131" i="1"/>
  <c r="BR53" i="1"/>
  <c r="BN131" i="1"/>
  <c r="BN245" i="1"/>
  <c r="BA131" i="1"/>
  <c r="AX131" i="1"/>
  <c r="AY131" i="1"/>
  <c r="AY245" i="1"/>
  <c r="AY50" i="1"/>
  <c r="AY269" i="1"/>
  <c r="AY270" i="1" s="1"/>
  <c r="AZ131" i="1"/>
  <c r="BV131" i="1"/>
  <c r="AQ131" i="1"/>
  <c r="BT131" i="1"/>
  <c r="BT50" i="1"/>
  <c r="AR245" i="1"/>
  <c r="AP245" i="1"/>
  <c r="AP269" i="1"/>
  <c r="AP270" i="1" s="1"/>
  <c r="AP131" i="1"/>
  <c r="BK245" i="1"/>
  <c r="BX131" i="1"/>
  <c r="AV131" i="1"/>
  <c r="Q79" i="1"/>
  <c r="BI222" i="1"/>
  <c r="BI220" i="1" s="1"/>
  <c r="BV59" i="1"/>
  <c r="BV60" i="1"/>
  <c r="BD245" i="1"/>
  <c r="BC131" i="1"/>
  <c r="BC245" i="1"/>
  <c r="BB245" i="1"/>
  <c r="R79" i="1"/>
  <c r="AV53" i="1"/>
  <c r="AZ49" i="1"/>
  <c r="AV48" i="1"/>
  <c r="AV251" i="1"/>
  <c r="AV252" i="1" s="1"/>
  <c r="AW269" i="1"/>
  <c r="AW270" i="1" s="1"/>
  <c r="AW50" i="1"/>
  <c r="BG48" i="1"/>
  <c r="BH245" i="1"/>
  <c r="T79" i="1"/>
  <c r="BG131" i="1"/>
  <c r="BJ131" i="1"/>
  <c r="BG269" i="1"/>
  <c r="BG270" i="1" s="1"/>
  <c r="BI245" i="1"/>
  <c r="BG53" i="1"/>
  <c r="BI131" i="1"/>
  <c r="BG251" i="1"/>
  <c r="BG252" i="1" s="1"/>
  <c r="BH131" i="1"/>
  <c r="BJ245" i="1"/>
  <c r="BH50" i="1"/>
  <c r="BG245" i="1"/>
  <c r="BG50" i="1"/>
  <c r="BL49" i="1"/>
  <c r="BH48" i="1"/>
  <c r="BH53" i="1"/>
  <c r="BH57" i="1" s="1"/>
  <c r="BH251" i="1"/>
  <c r="BH252" i="1" s="1"/>
  <c r="BH269" i="1"/>
  <c r="BH270" i="1" s="1"/>
  <c r="BH49" i="1"/>
  <c r="BI269" i="1"/>
  <c r="BI270" i="1" s="1"/>
  <c r="BI50" i="1"/>
  <c r="BW49" i="1"/>
  <c r="AN269" i="1"/>
  <c r="AN270" i="1" s="1"/>
  <c r="AN53" i="1"/>
  <c r="AO245" i="1"/>
  <c r="AN50" i="1"/>
  <c r="AN48" i="1"/>
  <c r="AN251" i="1"/>
  <c r="AN252" i="1" s="1"/>
  <c r="AN245" i="1"/>
  <c r="AR49" i="1"/>
  <c r="AO131" i="1"/>
  <c r="AN131" i="1"/>
  <c r="AO50" i="1"/>
  <c r="AN49" i="1"/>
  <c r="BW50" i="1"/>
  <c r="BN53" i="1"/>
  <c r="BP245" i="1"/>
  <c r="BO245" i="1"/>
  <c r="BR49" i="1"/>
  <c r="BQ131" i="1"/>
  <c r="BN48" i="1"/>
  <c r="BO50" i="1"/>
  <c r="BN50" i="1"/>
  <c r="BN251" i="1"/>
  <c r="BN252" i="1" s="1"/>
  <c r="BO269" i="1"/>
  <c r="BO270" i="1" s="1"/>
  <c r="BN269" i="1"/>
  <c r="BN270" i="1" s="1"/>
  <c r="BN49" i="1"/>
  <c r="BP131" i="1"/>
  <c r="BQ245" i="1"/>
  <c r="BO131" i="1"/>
  <c r="AX269" i="1"/>
  <c r="AX270" i="1" s="1"/>
  <c r="AX251" i="1"/>
  <c r="AX252" i="1" s="1"/>
  <c r="AX49" i="1"/>
  <c r="BB49" i="1"/>
  <c r="AZ245" i="1"/>
  <c r="AX53" i="1"/>
  <c r="AX50" i="1"/>
  <c r="AX48" i="1"/>
  <c r="BB53" i="1"/>
  <c r="BF49" i="1"/>
  <c r="BB251" i="1"/>
  <c r="BB252" i="1" s="1"/>
  <c r="BB131" i="1"/>
  <c r="BD131" i="1"/>
  <c r="BB48" i="1"/>
  <c r="BB269" i="1"/>
  <c r="BB270" i="1" s="1"/>
  <c r="BB50" i="1"/>
  <c r="BW245" i="1"/>
  <c r="BW251" i="1"/>
  <c r="BW252" i="1" s="1"/>
  <c r="BX50" i="1"/>
  <c r="X79" i="1"/>
  <c r="BW48" i="1"/>
  <c r="BZ131" i="1"/>
  <c r="BZ245" i="1"/>
  <c r="BW269" i="1"/>
  <c r="BW270" i="1" s="1"/>
  <c r="BW53" i="1"/>
  <c r="BY131" i="1"/>
  <c r="CA49" i="1"/>
  <c r="BX269" i="1"/>
  <c r="BX270" i="1" s="1"/>
  <c r="BY245" i="1"/>
  <c r="BC269" i="1"/>
  <c r="BC270" i="1" s="1"/>
  <c r="BE245" i="1"/>
  <c r="BE131" i="1"/>
  <c r="AQ48" i="1"/>
  <c r="AT245" i="1"/>
  <c r="AQ251" i="1"/>
  <c r="AQ252" i="1" s="1"/>
  <c r="P79" i="1"/>
  <c r="AQ53" i="1"/>
  <c r="AQ49" i="1"/>
  <c r="AR50" i="1"/>
  <c r="AR269" i="1"/>
  <c r="AR270" i="1" s="1"/>
  <c r="AT131" i="1"/>
  <c r="AO251" i="1"/>
  <c r="AO252" i="1" s="1"/>
  <c r="AO53" i="1"/>
  <c r="AO57" i="1" s="1"/>
  <c r="AO59" i="1" s="1"/>
  <c r="AR131" i="1"/>
  <c r="AO269" i="1"/>
  <c r="AO270" i="1" s="1"/>
  <c r="AO49" i="1"/>
  <c r="AS49" i="1"/>
  <c r="AO48" i="1"/>
  <c r="AR60" i="1"/>
  <c r="AR59" i="1"/>
  <c r="BT53" i="1"/>
  <c r="BU269" i="1"/>
  <c r="BU270" i="1" s="1"/>
  <c r="BT48" i="1"/>
  <c r="BX49" i="1"/>
  <c r="BU50" i="1"/>
  <c r="BT251" i="1"/>
  <c r="BT252" i="1" s="1"/>
  <c r="BT49" i="1"/>
  <c r="BW131" i="1"/>
  <c r="BU131" i="1"/>
  <c r="AV49" i="1"/>
  <c r="BJ253" i="1"/>
  <c r="BJ61" i="1"/>
  <c r="BJ264" i="1" s="1"/>
  <c r="BJ67" i="1"/>
  <c r="BQ59" i="1"/>
  <c r="BQ60" i="1"/>
  <c r="BA60" i="1"/>
  <c r="BA59" i="1"/>
  <c r="AW59" i="1"/>
  <c r="AW60" i="1"/>
  <c r="AT60" i="1"/>
  <c r="AT59" i="1"/>
  <c r="CR153" i="1"/>
  <c r="AE161" i="1"/>
  <c r="AC143" i="1"/>
  <c r="AT222" i="1" l="1"/>
  <c r="AT220" i="1" s="1"/>
  <c r="AV129" i="1"/>
  <c r="AV132" i="1" s="1"/>
  <c r="AV130" i="1"/>
  <c r="AV133" i="1" s="1"/>
  <c r="BT222" i="1"/>
  <c r="BT220" i="1" s="1"/>
  <c r="BS222" i="1"/>
  <c r="BS220" i="1" s="1"/>
  <c r="AP222" i="1"/>
  <c r="AP220" i="1" s="1"/>
  <c r="AO222" i="1"/>
  <c r="AO220" i="1" s="1"/>
  <c r="BB130" i="1"/>
  <c r="BB133" i="1" s="1"/>
  <c r="BB129" i="1"/>
  <c r="BB132" i="1" s="1"/>
  <c r="BN130" i="1"/>
  <c r="BN133" i="1" s="1"/>
  <c r="BN129" i="1"/>
  <c r="BN132" i="1" s="1"/>
  <c r="BP129" i="1"/>
  <c r="BP132" i="1" s="1"/>
  <c r="BP130" i="1"/>
  <c r="BP133" i="1" s="1"/>
  <c r="AY222" i="1"/>
  <c r="AY220" i="1" s="1"/>
  <c r="AZ222" i="1"/>
  <c r="AZ220" i="1" s="1"/>
  <c r="BF130" i="1"/>
  <c r="BF133" i="1" s="1"/>
  <c r="BF129" i="1"/>
  <c r="BF132" i="1" s="1"/>
  <c r="BC222" i="1"/>
  <c r="BC220" i="1" s="1"/>
  <c r="BD222" i="1"/>
  <c r="BD220" i="1" s="1"/>
  <c r="AX222" i="1"/>
  <c r="AX220" i="1" s="1"/>
  <c r="AW222" i="1"/>
  <c r="AW220" i="1" s="1"/>
  <c r="BB222" i="1"/>
  <c r="BB220" i="1" s="1"/>
  <c r="BA222" i="1"/>
  <c r="BA220" i="1" s="1"/>
  <c r="BR222" i="1"/>
  <c r="BR220" i="1" s="1"/>
  <c r="BQ222" i="1"/>
  <c r="BQ220" i="1" s="1"/>
  <c r="BH222" i="1"/>
  <c r="BH220" i="1" s="1"/>
  <c r="BG222" i="1"/>
  <c r="BG220" i="1" s="1"/>
  <c r="AR222" i="1"/>
  <c r="AR220" i="1" s="1"/>
  <c r="AQ222" i="1"/>
  <c r="AQ220" i="1" s="1"/>
  <c r="AR208" i="1"/>
  <c r="AV208" i="1"/>
  <c r="BR129" i="1"/>
  <c r="BR132" i="1" s="1"/>
  <c r="BR130" i="1"/>
  <c r="BR133" i="1" s="1"/>
  <c r="BE222" i="1"/>
  <c r="BE220" i="1" s="1"/>
  <c r="BF222" i="1"/>
  <c r="BF220" i="1" s="1"/>
  <c r="AT130" i="1"/>
  <c r="AT133" i="1" s="1"/>
  <c r="AT129" i="1"/>
  <c r="AT132" i="1" s="1"/>
  <c r="AN130" i="1"/>
  <c r="AN133" i="1" s="1"/>
  <c r="AN129" i="1"/>
  <c r="AN132" i="1" s="1"/>
  <c r="AT208" i="1"/>
  <c r="AX208" i="1"/>
  <c r="BV222" i="1"/>
  <c r="BV220" i="1" s="1"/>
  <c r="BU222" i="1"/>
  <c r="BU220" i="1" s="1"/>
  <c r="AV222" i="1"/>
  <c r="AV220" i="1" s="1"/>
  <c r="AU222" i="1"/>
  <c r="AU220" i="1" s="1"/>
  <c r="BT130" i="1"/>
  <c r="BT133" i="1" s="1"/>
  <c r="BT129" i="1"/>
  <c r="BT132" i="1" s="1"/>
  <c r="BD130" i="1"/>
  <c r="BD133" i="1" s="1"/>
  <c r="BD129" i="1"/>
  <c r="BD132" i="1" s="1"/>
  <c r="BO222" i="1"/>
  <c r="BO220" i="1" s="1"/>
  <c r="BP222" i="1"/>
  <c r="BP220" i="1" s="1"/>
  <c r="AX129" i="1"/>
  <c r="AX132" i="1" s="1"/>
  <c r="AX130" i="1"/>
  <c r="AX133" i="1" s="1"/>
  <c r="AP129" i="1"/>
  <c r="AP132" i="1" s="1"/>
  <c r="AP130" i="1"/>
  <c r="AP133" i="1" s="1"/>
  <c r="AZ129" i="1"/>
  <c r="AZ132" i="1" s="1"/>
  <c r="AZ130" i="1"/>
  <c r="AZ133" i="1" s="1"/>
  <c r="BH208" i="1"/>
  <c r="BD208" i="1"/>
  <c r="BN208" i="1"/>
  <c r="BR208" i="1"/>
  <c r="BB208" i="1"/>
  <c r="BF208" i="1"/>
  <c r="BT208" i="1"/>
  <c r="BX208" i="1"/>
  <c r="BL132" i="1"/>
  <c r="BL133" i="1"/>
  <c r="BK60" i="1"/>
  <c r="BK59" i="1"/>
  <c r="AY59" i="1"/>
  <c r="AY60" i="1"/>
  <c r="AP59" i="1"/>
  <c r="AP60" i="1"/>
  <c r="AP62" i="1" s="1"/>
  <c r="BU60" i="1"/>
  <c r="BY62" i="1" s="1"/>
  <c r="BU59" i="1"/>
  <c r="AS59" i="1"/>
  <c r="AS60" i="1"/>
  <c r="AS63" i="1" s="1"/>
  <c r="BP59" i="1"/>
  <c r="BP60" i="1"/>
  <c r="BQ63" i="1" s="1"/>
  <c r="BI57" i="1"/>
  <c r="BL74" i="1"/>
  <c r="BM59" i="1"/>
  <c r="BM60" i="1"/>
  <c r="BV132" i="1"/>
  <c r="BE59" i="1"/>
  <c r="BE60" i="1"/>
  <c r="BF253" i="1"/>
  <c r="BF61" i="1"/>
  <c r="BF264" i="1" s="1"/>
  <c r="BF67" i="1"/>
  <c r="BJ62" i="1"/>
  <c r="BD74" i="1"/>
  <c r="BV74" i="1"/>
  <c r="BD59" i="1"/>
  <c r="BD60" i="1"/>
  <c r="BO60" i="1"/>
  <c r="BO59" i="1"/>
  <c r="AL133" i="1"/>
  <c r="AL132" i="1"/>
  <c r="AI57" i="1"/>
  <c r="AL74" i="1"/>
  <c r="AU60" i="1"/>
  <c r="AU59" i="1"/>
  <c r="BC57" i="1"/>
  <c r="BF74" i="1"/>
  <c r="BX132" i="1"/>
  <c r="BX133" i="1"/>
  <c r="AZ253" i="1"/>
  <c r="AZ67" i="1"/>
  <c r="AZ61" i="1"/>
  <c r="AZ264" i="1" s="1"/>
  <c r="BR57" i="1"/>
  <c r="BR74" i="1"/>
  <c r="AR74" i="1"/>
  <c r="AP74" i="1"/>
  <c r="BV133" i="1"/>
  <c r="AO60" i="1"/>
  <c r="AR61" i="1"/>
  <c r="AR264" i="1" s="1"/>
  <c r="AR67" i="1"/>
  <c r="AR253" i="1"/>
  <c r="AX57" i="1"/>
  <c r="AZ74" i="1"/>
  <c r="BN57" i="1"/>
  <c r="BP74" i="1"/>
  <c r="BV61" i="1"/>
  <c r="BV264" i="1" s="1"/>
  <c r="BV67" i="1"/>
  <c r="BV253" i="1"/>
  <c r="BZ62" i="1"/>
  <c r="BH60" i="1"/>
  <c r="BH59" i="1"/>
  <c r="AQ57" i="1"/>
  <c r="AT74" i="1"/>
  <c r="BX74" i="1"/>
  <c r="BZ74" i="1"/>
  <c r="BW57" i="1"/>
  <c r="BB57" i="1"/>
  <c r="BB74" i="1"/>
  <c r="AN74" i="1"/>
  <c r="AN57" i="1"/>
  <c r="BH132" i="1"/>
  <c r="BH133" i="1"/>
  <c r="AV57" i="1"/>
  <c r="AV74" i="1"/>
  <c r="AX74" i="1"/>
  <c r="BT57" i="1"/>
  <c r="BT74" i="1"/>
  <c r="BJ132" i="1"/>
  <c r="BJ133" i="1"/>
  <c r="BN74" i="1"/>
  <c r="BY74" i="1"/>
  <c r="BZ132" i="1"/>
  <c r="BZ133" i="1"/>
  <c r="BJ74" i="1"/>
  <c r="BG57" i="1"/>
  <c r="BH74" i="1"/>
  <c r="BS59" i="1"/>
  <c r="BS60" i="1"/>
  <c r="BJ71" i="1"/>
  <c r="BJ212" i="1"/>
  <c r="BJ214" i="1" s="1"/>
  <c r="BJ85" i="1"/>
  <c r="BQ61" i="1"/>
  <c r="BQ264" i="1" s="1"/>
  <c r="BQ67" i="1"/>
  <c r="BQ253" i="1"/>
  <c r="AT67" i="1"/>
  <c r="AT253" i="1"/>
  <c r="AT61" i="1"/>
  <c r="AT264" i="1" s="1"/>
  <c r="BA253" i="1"/>
  <c r="BA61" i="1"/>
  <c r="BA264" i="1" s="1"/>
  <c r="BA63" i="1"/>
  <c r="BA67" i="1"/>
  <c r="AW67" i="1"/>
  <c r="AW253" i="1"/>
  <c r="AW61" i="1"/>
  <c r="AW264" i="1" s="1"/>
  <c r="BA62" i="1"/>
  <c r="CR157" i="1"/>
  <c r="CS51" i="1"/>
  <c r="BL63" i="1" l="1"/>
  <c r="BK67" i="1"/>
  <c r="BK61" i="1"/>
  <c r="BK264" i="1" s="1"/>
  <c r="AY253" i="1"/>
  <c r="AY61" i="1"/>
  <c r="AY264" i="1" s="1"/>
  <c r="AT62" i="1"/>
  <c r="AP253" i="1"/>
  <c r="AP67" i="1"/>
  <c r="AP61" i="1"/>
  <c r="AP264" i="1" s="1"/>
  <c r="AZ63" i="1"/>
  <c r="AY67" i="1"/>
  <c r="BU61" i="1"/>
  <c r="BU264" i="1" s="1"/>
  <c r="BU253" i="1"/>
  <c r="BU67" i="1"/>
  <c r="BK63" i="1"/>
  <c r="BK253" i="1"/>
  <c r="AS67" i="1"/>
  <c r="AS61" i="1"/>
  <c r="AS264" i="1" s="1"/>
  <c r="BV63" i="1"/>
  <c r="BU62" i="1"/>
  <c r="AS253" i="1"/>
  <c r="AT63" i="1"/>
  <c r="AW62" i="1"/>
  <c r="BP67" i="1"/>
  <c r="BP62" i="1"/>
  <c r="BP253" i="1"/>
  <c r="BP61" i="1"/>
  <c r="BP264" i="1" s="1"/>
  <c r="BI60" i="1"/>
  <c r="BI63" i="1" s="1"/>
  <c r="BI59" i="1"/>
  <c r="BM67" i="1"/>
  <c r="BM63" i="1"/>
  <c r="BM253" i="1"/>
  <c r="BM246" i="1"/>
  <c r="BQ62" i="1"/>
  <c r="BM61" i="1"/>
  <c r="BM264" i="1" s="1"/>
  <c r="BE61" i="1"/>
  <c r="BE264" i="1" s="1"/>
  <c r="BE67" i="1"/>
  <c r="BE253" i="1"/>
  <c r="BF63" i="1"/>
  <c r="BF71" i="1"/>
  <c r="BF212" i="1"/>
  <c r="BF214" i="1" s="1"/>
  <c r="BF85" i="1"/>
  <c r="BC60" i="1"/>
  <c r="BC59" i="1"/>
  <c r="BS62" i="1"/>
  <c r="BE62" i="1"/>
  <c r="BD67" i="1"/>
  <c r="BD253" i="1"/>
  <c r="BD61" i="1"/>
  <c r="BD264" i="1" s="1"/>
  <c r="BD62" i="1"/>
  <c r="BE63" i="1"/>
  <c r="BO253" i="1"/>
  <c r="BO61" i="1"/>
  <c r="BO264" i="1" s="1"/>
  <c r="BO67" i="1"/>
  <c r="BP63" i="1"/>
  <c r="BO62" i="1"/>
  <c r="AI60" i="1"/>
  <c r="AI59" i="1"/>
  <c r="AU61" i="1"/>
  <c r="AU264" i="1" s="1"/>
  <c r="AU253" i="1"/>
  <c r="AY62" i="1"/>
  <c r="AU67" i="1"/>
  <c r="AU246" i="1"/>
  <c r="AU63" i="1"/>
  <c r="AP63" i="1"/>
  <c r="AO67" i="1"/>
  <c r="AZ85" i="1"/>
  <c r="AZ71" i="1"/>
  <c r="AZ212" i="1"/>
  <c r="AZ214" i="1" s="1"/>
  <c r="BR60" i="1"/>
  <c r="BR59" i="1"/>
  <c r="AO62" i="1"/>
  <c r="BH62" i="1"/>
  <c r="AO253" i="1"/>
  <c r="AS62" i="1"/>
  <c r="AO61" i="1"/>
  <c r="AO264" i="1" s="1"/>
  <c r="BW60" i="1"/>
  <c r="BW62" i="1" s="1"/>
  <c r="BW59" i="1"/>
  <c r="BN60" i="1"/>
  <c r="BN59" i="1"/>
  <c r="AQ60" i="1"/>
  <c r="AQ59" i="1"/>
  <c r="AR71" i="1"/>
  <c r="AR212" i="1"/>
  <c r="AR214" i="1" s="1"/>
  <c r="AR85" i="1"/>
  <c r="BT60" i="1"/>
  <c r="BT59" i="1"/>
  <c r="AV59" i="1"/>
  <c r="AV60" i="1"/>
  <c r="AN60" i="1"/>
  <c r="AN59" i="1"/>
  <c r="BH67" i="1"/>
  <c r="BL62" i="1"/>
  <c r="BH253" i="1"/>
  <c r="BH61" i="1"/>
  <c r="BH264" i="1" s="1"/>
  <c r="AX60" i="1"/>
  <c r="AX59" i="1"/>
  <c r="BV212" i="1"/>
  <c r="BV214" i="1" s="1"/>
  <c r="BV85" i="1"/>
  <c r="BV71" i="1"/>
  <c r="BG59" i="1"/>
  <c r="BG60" i="1"/>
  <c r="BB60" i="1"/>
  <c r="BB59" i="1"/>
  <c r="BS253" i="1"/>
  <c r="BS61" i="1"/>
  <c r="BS264" i="1" s="1"/>
  <c r="BS67" i="1"/>
  <c r="BQ212" i="1"/>
  <c r="BQ214" i="1" s="1"/>
  <c r="BQ138" i="1"/>
  <c r="BQ139" i="1" s="1"/>
  <c r="BQ85" i="1"/>
  <c r="BQ71" i="1"/>
  <c r="AT85" i="1"/>
  <c r="AT212" i="1"/>
  <c r="AT214" i="1" s="1"/>
  <c r="AT71" i="1"/>
  <c r="AW212" i="1"/>
  <c r="AW214" i="1" s="1"/>
  <c r="AW85" i="1"/>
  <c r="AW138" i="1"/>
  <c r="AW139" i="1" s="1"/>
  <c r="AW71" i="1"/>
  <c r="BA71" i="1"/>
  <c r="BA212" i="1"/>
  <c r="BA214" i="1" s="1"/>
  <c r="BA85" i="1"/>
  <c r="BA138" i="1"/>
  <c r="BA139" i="1" s="1"/>
  <c r="CS213" i="1"/>
  <c r="CS151" i="1"/>
  <c r="CR222" i="1"/>
  <c r="CR220" i="1" s="1"/>
  <c r="AC144" i="1"/>
  <c r="AC147" i="1" s="1"/>
  <c r="AC268" i="1" s="1"/>
  <c r="BK71" i="1" l="1"/>
  <c r="BK212" i="1"/>
  <c r="BK214" i="1" s="1"/>
  <c r="BK138" i="1"/>
  <c r="BK139" i="1" s="1"/>
  <c r="BK85" i="1"/>
  <c r="AP212" i="1"/>
  <c r="AP214" i="1" s="1"/>
  <c r="AP85" i="1"/>
  <c r="AP71" i="1"/>
  <c r="BU138" i="1"/>
  <c r="BU139" i="1" s="1"/>
  <c r="BU71" i="1"/>
  <c r="BU212" i="1"/>
  <c r="BU214" i="1" s="1"/>
  <c r="BU85" i="1"/>
  <c r="BS63" i="1"/>
  <c r="BS246" i="1"/>
  <c r="AY212" i="1"/>
  <c r="AY214" i="1" s="1"/>
  <c r="AY85" i="1"/>
  <c r="AY138" i="1"/>
  <c r="AY139" i="1" s="1"/>
  <c r="AY71" i="1"/>
  <c r="AS71" i="1"/>
  <c r="AS138" i="1"/>
  <c r="AS139" i="1" s="1"/>
  <c r="AS212" i="1"/>
  <c r="AS214" i="1" s="1"/>
  <c r="AS85" i="1"/>
  <c r="BI62" i="1"/>
  <c r="BK246" i="1"/>
  <c r="BM85" i="1"/>
  <c r="BM71" i="1"/>
  <c r="BP71" i="1"/>
  <c r="BP212" i="1"/>
  <c r="BP214" i="1" s="1"/>
  <c r="BP85" i="1"/>
  <c r="BM62" i="1"/>
  <c r="BL246" i="1"/>
  <c r="BI67" i="1"/>
  <c r="BI253" i="1"/>
  <c r="BJ63" i="1"/>
  <c r="BI61" i="1"/>
  <c r="BI264" i="1" s="1"/>
  <c r="BM138" i="1"/>
  <c r="BM139" i="1" s="1"/>
  <c r="BM212" i="1"/>
  <c r="BM214" i="1" s="1"/>
  <c r="BE85" i="1"/>
  <c r="BE212" i="1"/>
  <c r="BE214" i="1" s="1"/>
  <c r="BE71" i="1"/>
  <c r="BE138" i="1"/>
  <c r="BE139" i="1" s="1"/>
  <c r="BF246" i="1"/>
  <c r="BD63" i="1"/>
  <c r="BC62" i="1"/>
  <c r="BC67" i="1"/>
  <c r="BC253" i="1"/>
  <c r="BC61" i="1"/>
  <c r="BC264" i="1" s="1"/>
  <c r="BD71" i="1"/>
  <c r="BD212" i="1"/>
  <c r="BD214" i="1" s="1"/>
  <c r="BD85" i="1"/>
  <c r="BO71" i="1"/>
  <c r="BO85" i="1"/>
  <c r="BO212" i="1"/>
  <c r="BO214" i="1" s="1"/>
  <c r="BO138" i="1"/>
  <c r="BO139" i="1" s="1"/>
  <c r="AI61" i="1"/>
  <c r="AI253" i="1"/>
  <c r="AJ63" i="1"/>
  <c r="AM62" i="1"/>
  <c r="AI67" i="1"/>
  <c r="AL246" i="1"/>
  <c r="AU71" i="1"/>
  <c r="AU85" i="1"/>
  <c r="AU212" i="1"/>
  <c r="AU214" i="1" s="1"/>
  <c r="AU138" i="1"/>
  <c r="AU139" i="1" s="1"/>
  <c r="AO212" i="1"/>
  <c r="AO214" i="1" s="1"/>
  <c r="AO85" i="1"/>
  <c r="AO138" i="1"/>
  <c r="AO139" i="1" s="1"/>
  <c r="AO71" i="1"/>
  <c r="BR61" i="1"/>
  <c r="BR264" i="1" s="1"/>
  <c r="BR253" i="1"/>
  <c r="BR67" i="1"/>
  <c r="BR226" i="1" s="1"/>
  <c r="BR224" i="1" s="1"/>
  <c r="BV62" i="1"/>
  <c r="BR63" i="1"/>
  <c r="BR246" i="1"/>
  <c r="AN61" i="1"/>
  <c r="AN264" i="1" s="1"/>
  <c r="AQ246" i="1"/>
  <c r="AO63" i="1"/>
  <c r="AN246" i="1"/>
  <c r="AN62" i="1"/>
  <c r="AP246" i="1"/>
  <c r="AR62" i="1"/>
  <c r="AO246" i="1"/>
  <c r="AN67" i="1"/>
  <c r="AN63" i="1"/>
  <c r="AN253" i="1"/>
  <c r="BX62" i="1"/>
  <c r="BT61" i="1"/>
  <c r="BT264" i="1" s="1"/>
  <c r="BT253" i="1"/>
  <c r="BT67" i="1"/>
  <c r="BU63" i="1"/>
  <c r="BT62" i="1"/>
  <c r="BW246" i="1"/>
  <c r="BV246" i="1"/>
  <c r="AZ62" i="1"/>
  <c r="AV61" i="1"/>
  <c r="AV264" i="1" s="1"/>
  <c r="AV253" i="1"/>
  <c r="AV67" i="1"/>
  <c r="AY246" i="1"/>
  <c r="AW246" i="1"/>
  <c r="AW63" i="1"/>
  <c r="AV62" i="1"/>
  <c r="AV63" i="1"/>
  <c r="AX246" i="1"/>
  <c r="AV246" i="1"/>
  <c r="AR63" i="1"/>
  <c r="AQ62" i="1"/>
  <c r="AQ253" i="1"/>
  <c r="AQ67" i="1"/>
  <c r="AQ61" i="1"/>
  <c r="AQ264" i="1" s="1"/>
  <c r="AQ63" i="1"/>
  <c r="AU62" i="1"/>
  <c r="AT246" i="1"/>
  <c r="AS246" i="1"/>
  <c r="AR246" i="1"/>
  <c r="BN253" i="1"/>
  <c r="BR62" i="1"/>
  <c r="BN67" i="1"/>
  <c r="BQ73" i="1" s="1"/>
  <c r="BN62" i="1"/>
  <c r="BN61" i="1"/>
  <c r="BN264" i="1" s="1"/>
  <c r="BO63" i="1"/>
  <c r="BN246" i="1"/>
  <c r="BQ246" i="1"/>
  <c r="BN63" i="1"/>
  <c r="BO246" i="1"/>
  <c r="BP246" i="1"/>
  <c r="BB61" i="1"/>
  <c r="BB264" i="1" s="1"/>
  <c r="BF62" i="1"/>
  <c r="BB253" i="1"/>
  <c r="BB67" i="1"/>
  <c r="BB226" i="1" s="1"/>
  <c r="BB224" i="1" s="1"/>
  <c r="BC63" i="1"/>
  <c r="BD246" i="1"/>
  <c r="BB246" i="1"/>
  <c r="BB63" i="1"/>
  <c r="BC246" i="1"/>
  <c r="BE246" i="1"/>
  <c r="BB62" i="1"/>
  <c r="AX67" i="1"/>
  <c r="AX253" i="1"/>
  <c r="AX61" i="1"/>
  <c r="AX264" i="1" s="1"/>
  <c r="AZ246" i="1"/>
  <c r="AX63" i="1"/>
  <c r="AY63" i="1"/>
  <c r="AX62" i="1"/>
  <c r="BA246" i="1"/>
  <c r="BH71" i="1"/>
  <c r="BH85" i="1"/>
  <c r="BH212" i="1"/>
  <c r="BH214" i="1" s="1"/>
  <c r="BT246" i="1"/>
  <c r="BT63" i="1"/>
  <c r="BK62" i="1"/>
  <c r="BG67" i="1"/>
  <c r="BH246" i="1"/>
  <c r="BG62" i="1"/>
  <c r="BG61" i="1"/>
  <c r="BG264" i="1" s="1"/>
  <c r="BH63" i="1"/>
  <c r="BG246" i="1"/>
  <c r="BG253" i="1"/>
  <c r="BJ246" i="1"/>
  <c r="BG63" i="1"/>
  <c r="BI246" i="1"/>
  <c r="BX246" i="1"/>
  <c r="BW253" i="1"/>
  <c r="BW63" i="1"/>
  <c r="BX63" i="1"/>
  <c r="BW67" i="1"/>
  <c r="X80" i="1"/>
  <c r="BY246" i="1"/>
  <c r="CA62" i="1"/>
  <c r="BW61" i="1"/>
  <c r="BW264" i="1" s="1"/>
  <c r="BZ246" i="1"/>
  <c r="BS212" i="1"/>
  <c r="BS214" i="1" s="1"/>
  <c r="BS71" i="1"/>
  <c r="BS138" i="1"/>
  <c r="BS139" i="1" s="1"/>
  <c r="BS85" i="1"/>
  <c r="BQ226" i="1"/>
  <c r="BQ224" i="1" s="1"/>
  <c r="BQ148" i="1"/>
  <c r="BQ74" i="1" s="1"/>
  <c r="BQ111" i="1"/>
  <c r="AW148" i="1"/>
  <c r="AW74" i="1" s="1"/>
  <c r="AW226" i="1"/>
  <c r="AW224" i="1" s="1"/>
  <c r="AW111" i="1"/>
  <c r="BA226" i="1"/>
  <c r="BA224" i="1" s="1"/>
  <c r="BA111" i="1"/>
  <c r="BA148" i="1"/>
  <c r="BA74" i="1" s="1"/>
  <c r="CS153" i="1"/>
  <c r="AC225" i="1"/>
  <c r="CA245" i="1"/>
  <c r="CB245" i="1"/>
  <c r="BU245" i="1"/>
  <c r="BK73" i="1" l="1"/>
  <c r="BM88" i="1"/>
  <c r="BI108" i="1" s="1"/>
  <c r="BK111" i="1"/>
  <c r="BL226" i="1"/>
  <c r="BL224" i="1" s="1"/>
  <c r="BK226" i="1"/>
  <c r="BK224" i="1" s="1"/>
  <c r="BK148" i="1"/>
  <c r="BK74" i="1" s="1"/>
  <c r="BV226" i="1"/>
  <c r="BV224" i="1" s="1"/>
  <c r="BU226" i="1"/>
  <c r="BU224" i="1" s="1"/>
  <c r="BU111" i="1"/>
  <c r="BU148" i="1"/>
  <c r="BU74" i="1" s="1"/>
  <c r="AU88" i="1"/>
  <c r="AY111" i="1"/>
  <c r="AY226" i="1"/>
  <c r="AY224" i="1" s="1"/>
  <c r="AY148" i="1"/>
  <c r="AY74" i="1" s="1"/>
  <c r="AZ226" i="1"/>
  <c r="AZ224" i="1" s="1"/>
  <c r="AS226" i="1"/>
  <c r="AS224" i="1" s="1"/>
  <c r="AS111" i="1"/>
  <c r="AS148" i="1"/>
  <c r="AS74" i="1" s="1"/>
  <c r="AT226" i="1"/>
  <c r="AT224" i="1" s="1"/>
  <c r="AO73" i="1"/>
  <c r="BL73" i="1"/>
  <c r="BI71" i="1"/>
  <c r="BI212" i="1"/>
  <c r="BI214" i="1" s="1"/>
  <c r="BI85" i="1"/>
  <c r="BI138" i="1"/>
  <c r="BI139" i="1" s="1"/>
  <c r="BM73" i="1"/>
  <c r="BM226" i="1"/>
  <c r="BM224" i="1" s="1"/>
  <c r="BM148" i="1"/>
  <c r="BM74" i="1" s="1"/>
  <c r="BM111" i="1"/>
  <c r="AX226" i="1"/>
  <c r="AX224" i="1" s="1"/>
  <c r="BA73" i="1"/>
  <c r="BF226" i="1"/>
  <c r="BF224" i="1" s="1"/>
  <c r="BE111" i="1"/>
  <c r="BE148" i="1"/>
  <c r="BE74" i="1" s="1"/>
  <c r="BE226" i="1"/>
  <c r="BE224" i="1" s="1"/>
  <c r="S80" i="1"/>
  <c r="BF73" i="1"/>
  <c r="BC85" i="1"/>
  <c r="BF88" i="1" s="1"/>
  <c r="BC138" i="1"/>
  <c r="BC139" i="1" s="1"/>
  <c r="BC212" i="1"/>
  <c r="BC214" i="1" s="1"/>
  <c r="BC71" i="1"/>
  <c r="BO226" i="1"/>
  <c r="BO224" i="1" s="1"/>
  <c r="BO148" i="1"/>
  <c r="BO74" i="1" s="1"/>
  <c r="BP226" i="1"/>
  <c r="BP224" i="1" s="1"/>
  <c r="BO111" i="1"/>
  <c r="AI85" i="1"/>
  <c r="AL88" i="1" s="1"/>
  <c r="AI71" i="1"/>
  <c r="AL73" i="1"/>
  <c r="N80" i="1"/>
  <c r="AI226" i="1"/>
  <c r="AI224" i="1" s="1"/>
  <c r="AI212" i="1"/>
  <c r="AI214" i="1" s="1"/>
  <c r="AI218" i="1" s="1"/>
  <c r="AI232" i="1" s="1"/>
  <c r="AU111" i="1"/>
  <c r="AU226" i="1"/>
  <c r="AU224" i="1" s="1"/>
  <c r="AU148" i="1"/>
  <c r="AU74" i="1" s="1"/>
  <c r="AU73" i="1"/>
  <c r="AP226" i="1"/>
  <c r="AP224" i="1" s="1"/>
  <c r="AO111" i="1"/>
  <c r="AO148" i="1"/>
  <c r="AO74" i="1" s="1"/>
  <c r="AO226" i="1"/>
  <c r="AO224" i="1" s="1"/>
  <c r="AV226" i="1"/>
  <c r="AV224" i="1" s="1"/>
  <c r="AY73" i="1"/>
  <c r="BT73" i="1"/>
  <c r="BR71" i="1"/>
  <c r="BR212" i="1"/>
  <c r="BR214" i="1" s="1"/>
  <c r="BR85" i="1"/>
  <c r="BR73" i="1"/>
  <c r="V80" i="1"/>
  <c r="AW73" i="1"/>
  <c r="BV73" i="1"/>
  <c r="BO73" i="1"/>
  <c r="BN226" i="1"/>
  <c r="BN224" i="1" s="1"/>
  <c r="BU73" i="1"/>
  <c r="BX73" i="1"/>
  <c r="BW138" i="1"/>
  <c r="BW139" i="1" s="1"/>
  <c r="BY73" i="1"/>
  <c r="BW212" i="1"/>
  <c r="BW214" i="1" s="1"/>
  <c r="BW71" i="1"/>
  <c r="BZ73" i="1"/>
  <c r="BW85" i="1"/>
  <c r="BN71" i="1"/>
  <c r="BN85" i="1"/>
  <c r="BN212" i="1"/>
  <c r="BN214" i="1" s="1"/>
  <c r="BN73" i="1"/>
  <c r="U80" i="1"/>
  <c r="BP73" i="1"/>
  <c r="AV212" i="1"/>
  <c r="AV214" i="1" s="1"/>
  <c r="AV71" i="1"/>
  <c r="AV85" i="1"/>
  <c r="AV73" i="1"/>
  <c r="Q80" i="1"/>
  <c r="AX73" i="1"/>
  <c r="BT212" i="1"/>
  <c r="BT214" i="1" s="1"/>
  <c r="BT71" i="1"/>
  <c r="BT85" i="1"/>
  <c r="BV88" i="1" s="1"/>
  <c r="BR108" i="1" s="1"/>
  <c r="AX71" i="1"/>
  <c r="AX85" i="1"/>
  <c r="AX212" i="1"/>
  <c r="AX214" i="1" s="1"/>
  <c r="AZ73" i="1"/>
  <c r="BB85" i="1"/>
  <c r="BB71" i="1"/>
  <c r="BB212" i="1"/>
  <c r="BB214" i="1" s="1"/>
  <c r="BB73" i="1"/>
  <c r="R80" i="1"/>
  <c r="BD73" i="1"/>
  <c r="BE73" i="1"/>
  <c r="AQ138" i="1"/>
  <c r="AQ139" i="1" s="1"/>
  <c r="AQ212" i="1"/>
  <c r="AQ214" i="1" s="1"/>
  <c r="AQ71" i="1"/>
  <c r="AQ85" i="1"/>
  <c r="AS73" i="1"/>
  <c r="AR73" i="1"/>
  <c r="AT73" i="1"/>
  <c r="P80" i="1"/>
  <c r="BG71" i="1"/>
  <c r="BG85" i="1"/>
  <c r="BG138" i="1"/>
  <c r="BG139" i="1" s="1"/>
  <c r="BJ73" i="1"/>
  <c r="BH73" i="1"/>
  <c r="BG212" i="1"/>
  <c r="BG214" i="1" s="1"/>
  <c r="T80" i="1"/>
  <c r="AN71" i="1"/>
  <c r="AP73" i="1"/>
  <c r="AN85" i="1"/>
  <c r="AN212" i="1"/>
  <c r="AN214" i="1" s="1"/>
  <c r="AN73" i="1"/>
  <c r="O80" i="1"/>
  <c r="AN226" i="1"/>
  <c r="AN224" i="1" s="1"/>
  <c r="BT226" i="1"/>
  <c r="BT224" i="1" s="1"/>
  <c r="BS111" i="1"/>
  <c r="BS148" i="1"/>
  <c r="BS74" i="1" s="1"/>
  <c r="BS226" i="1"/>
  <c r="BS224" i="1" s="1"/>
  <c r="BS73" i="1"/>
  <c r="BQ113" i="1"/>
  <c r="BQ114" i="1"/>
  <c r="BQ115" i="1"/>
  <c r="BA114" i="1"/>
  <c r="BA113" i="1"/>
  <c r="BA115" i="1"/>
  <c r="AW114" i="1"/>
  <c r="AW113" i="1"/>
  <c r="AW115" i="1"/>
  <c r="CS157" i="1"/>
  <c r="CT51" i="1"/>
  <c r="AD143" i="1"/>
  <c r="W78" i="1"/>
  <c r="BM104" i="1" l="1"/>
  <c r="BM106" i="1"/>
  <c r="BM105" i="1"/>
  <c r="BK115" i="1"/>
  <c r="BK113" i="1"/>
  <c r="BK114" i="1"/>
  <c r="BU113" i="1"/>
  <c r="BU115" i="1"/>
  <c r="BU114" i="1"/>
  <c r="AU106" i="1"/>
  <c r="AU105" i="1"/>
  <c r="AQ108" i="1"/>
  <c r="AU104" i="1"/>
  <c r="AY113" i="1"/>
  <c r="AY114" i="1"/>
  <c r="AY115" i="1"/>
  <c r="BL88" i="1"/>
  <c r="BK88" i="1"/>
  <c r="BR88" i="1"/>
  <c r="BR105" i="1" s="1"/>
  <c r="BT88" i="1"/>
  <c r="BS88" i="1"/>
  <c r="AS114" i="1"/>
  <c r="AS115" i="1"/>
  <c r="AS113" i="1"/>
  <c r="BI111" i="1"/>
  <c r="BI148" i="1"/>
  <c r="BI74" i="1" s="1"/>
  <c r="BI226" i="1"/>
  <c r="BI224" i="1" s="1"/>
  <c r="BI73" i="1"/>
  <c r="BJ226" i="1"/>
  <c r="BJ224" i="1" s="1"/>
  <c r="AI229" i="1"/>
  <c r="AI230" i="1" s="1"/>
  <c r="BM114" i="1"/>
  <c r="BM115" i="1"/>
  <c r="BM113" i="1"/>
  <c r="BU88" i="1"/>
  <c r="BU104" i="1" s="1"/>
  <c r="BE113" i="1"/>
  <c r="BE115" i="1"/>
  <c r="BE114" i="1"/>
  <c r="BC226" i="1"/>
  <c r="BC224" i="1" s="1"/>
  <c r="BC148" i="1"/>
  <c r="BC74" i="1" s="1"/>
  <c r="BC111" i="1"/>
  <c r="BC73" i="1"/>
  <c r="BD226" i="1"/>
  <c r="BD224" i="1" s="1"/>
  <c r="BB108" i="1"/>
  <c r="BF104" i="1"/>
  <c r="BF106" i="1"/>
  <c r="BF105" i="1"/>
  <c r="BO113" i="1"/>
  <c r="BO114" i="1"/>
  <c r="BO115" i="1"/>
  <c r="AL104" i="1"/>
  <c r="AL105" i="1"/>
  <c r="AL106" i="1"/>
  <c r="AU114" i="1"/>
  <c r="AU115" i="1"/>
  <c r="AU113" i="1"/>
  <c r="AO115" i="1"/>
  <c r="AO113" i="1"/>
  <c r="AO114" i="1"/>
  <c r="BA88" i="1"/>
  <c r="AZ88" i="1"/>
  <c r="AY88" i="1"/>
  <c r="AY105" i="1" s="1"/>
  <c r="AX88" i="1"/>
  <c r="AV88" i="1"/>
  <c r="AW88" i="1"/>
  <c r="AT88" i="1"/>
  <c r="AR88" i="1"/>
  <c r="AS88" i="1"/>
  <c r="BQ88" i="1"/>
  <c r="BO88" i="1"/>
  <c r="BN88" i="1"/>
  <c r="BP88" i="1"/>
  <c r="AQ88" i="1"/>
  <c r="AN88" i="1"/>
  <c r="AP88" i="1"/>
  <c r="AO88" i="1"/>
  <c r="BJ88" i="1"/>
  <c r="BF108" i="1" s="1"/>
  <c r="BG88" i="1"/>
  <c r="BH88" i="1"/>
  <c r="BI88" i="1"/>
  <c r="BE88" i="1"/>
  <c r="BE105" i="1" s="1"/>
  <c r="BD88" i="1"/>
  <c r="BB88" i="1"/>
  <c r="BC88" i="1"/>
  <c r="BZ88" i="1"/>
  <c r="BX88" i="1"/>
  <c r="BY88" i="1"/>
  <c r="BW88" i="1"/>
  <c r="BG226" i="1"/>
  <c r="BG224" i="1" s="1"/>
  <c r="BG148" i="1"/>
  <c r="BG74" i="1" s="1"/>
  <c r="BG111" i="1"/>
  <c r="BG73" i="1"/>
  <c r="BH226" i="1"/>
  <c r="BH224" i="1" s="1"/>
  <c r="AQ148" i="1"/>
  <c r="AQ74" i="1" s="1"/>
  <c r="AQ226" i="1"/>
  <c r="AQ224" i="1" s="1"/>
  <c r="AQ111" i="1"/>
  <c r="AR226" i="1"/>
  <c r="AR224" i="1" s="1"/>
  <c r="AQ73" i="1"/>
  <c r="BW226" i="1"/>
  <c r="BW224" i="1" s="1"/>
  <c r="BX226" i="1"/>
  <c r="BX224" i="1" s="1"/>
  <c r="BW148" i="1"/>
  <c r="BW74" i="1" s="1"/>
  <c r="BW73" i="1"/>
  <c r="BW111" i="1"/>
  <c r="BV106" i="1"/>
  <c r="BV105" i="1"/>
  <c r="BV104" i="1"/>
  <c r="BS113" i="1"/>
  <c r="BS114" i="1"/>
  <c r="BS115" i="1"/>
  <c r="AC51" i="1"/>
  <c r="CT213" i="1"/>
  <c r="CT151" i="1"/>
  <c r="CS222" i="1"/>
  <c r="CS220" i="1" s="1"/>
  <c r="W79" i="1"/>
  <c r="BL104" i="1" l="1"/>
  <c r="BL105" i="1"/>
  <c r="BN108" i="1"/>
  <c r="BR104" i="1"/>
  <c r="BR106" i="1"/>
  <c r="BV89" i="1"/>
  <c r="BP108" i="1"/>
  <c r="BT106" i="1"/>
  <c r="BT104" i="1"/>
  <c r="BT105" i="1"/>
  <c r="BS106" i="1"/>
  <c r="BO108" i="1"/>
  <c r="BS105" i="1"/>
  <c r="BS104" i="1"/>
  <c r="BH108" i="1"/>
  <c r="BL106" i="1"/>
  <c r="BK104" i="1"/>
  <c r="BK105" i="1"/>
  <c r="BK106" i="1"/>
  <c r="BG108" i="1"/>
  <c r="BT89" i="1"/>
  <c r="BV108" i="1"/>
  <c r="BZ89" i="1"/>
  <c r="BY89" i="1"/>
  <c r="BI114" i="1"/>
  <c r="BI115" i="1"/>
  <c r="BI113" i="1"/>
  <c r="BQ108" i="1"/>
  <c r="BU106" i="1"/>
  <c r="BU105" i="1"/>
  <c r="BW104" i="1"/>
  <c r="BW89" i="1"/>
  <c r="BC114" i="1"/>
  <c r="BC113" i="1"/>
  <c r="BC115" i="1"/>
  <c r="AW108" i="1"/>
  <c r="BE89" i="1"/>
  <c r="BQ105" i="1"/>
  <c r="BM108" i="1"/>
  <c r="AQ105" i="1"/>
  <c r="AQ104" i="1"/>
  <c r="BU89" i="1"/>
  <c r="BA106" i="1"/>
  <c r="AX89" i="1"/>
  <c r="CD89" i="1"/>
  <c r="BZ106" i="1"/>
  <c r="BX105" i="1"/>
  <c r="BT108" i="1"/>
  <c r="BX106" i="1"/>
  <c r="CB89" i="1"/>
  <c r="BX104" i="1"/>
  <c r="AN106" i="1"/>
  <c r="AR89" i="1"/>
  <c r="AN105" i="1"/>
  <c r="AN104" i="1"/>
  <c r="BO104" i="1"/>
  <c r="BK108" i="1"/>
  <c r="BO105" i="1"/>
  <c r="BO89" i="1"/>
  <c r="BO106" i="1"/>
  <c r="AP108" i="1"/>
  <c r="CA89" i="1"/>
  <c r="BS108" i="1"/>
  <c r="BW106" i="1"/>
  <c r="BE106" i="1"/>
  <c r="BI89" i="1"/>
  <c r="BE104" i="1"/>
  <c r="BJ105" i="1"/>
  <c r="BJ89" i="1"/>
  <c r="BJ104" i="1"/>
  <c r="AU89" i="1"/>
  <c r="AQ89" i="1"/>
  <c r="AQ106" i="1"/>
  <c r="BQ104" i="1"/>
  <c r="BQ89" i="1"/>
  <c r="BQ106" i="1"/>
  <c r="AW104" i="1"/>
  <c r="AW105" i="1"/>
  <c r="AS108" i="1"/>
  <c r="BA89" i="1"/>
  <c r="AW106" i="1"/>
  <c r="AV108" i="1"/>
  <c r="AZ106" i="1"/>
  <c r="AZ105" i="1"/>
  <c r="BD89" i="1"/>
  <c r="AZ104" i="1"/>
  <c r="AZ108" i="1"/>
  <c r="BD104" i="1"/>
  <c r="BH89" i="1"/>
  <c r="BD106" i="1"/>
  <c r="BD105" i="1"/>
  <c r="AY106" i="1"/>
  <c r="AU108" i="1"/>
  <c r="BC89" i="1"/>
  <c r="AY89" i="1"/>
  <c r="AT105" i="1"/>
  <c r="BJ106" i="1"/>
  <c r="BW105" i="1"/>
  <c r="AM108" i="1"/>
  <c r="BS89" i="1"/>
  <c r="BC106" i="1"/>
  <c r="AY108" i="1"/>
  <c r="BG89" i="1"/>
  <c r="BC105" i="1"/>
  <c r="BC104" i="1"/>
  <c r="BM89" i="1"/>
  <c r="BI106" i="1"/>
  <c r="BI104" i="1"/>
  <c r="BI105" i="1"/>
  <c r="BE108" i="1"/>
  <c r="AO106" i="1"/>
  <c r="AO104" i="1"/>
  <c r="AS89" i="1"/>
  <c r="AO105" i="1"/>
  <c r="BP89" i="1"/>
  <c r="BL108" i="1"/>
  <c r="BP105" i="1"/>
  <c r="BP106" i="1"/>
  <c r="BP104" i="1"/>
  <c r="AS105" i="1"/>
  <c r="AO108" i="1"/>
  <c r="AS106" i="1"/>
  <c r="AS104" i="1"/>
  <c r="AW89" i="1"/>
  <c r="AV105" i="1"/>
  <c r="AV104" i="1"/>
  <c r="AZ89" i="1"/>
  <c r="AV106" i="1"/>
  <c r="AR108" i="1"/>
  <c r="BA104" i="1"/>
  <c r="BA105" i="1"/>
  <c r="BC108" i="1"/>
  <c r="BG104" i="1"/>
  <c r="BG105" i="1"/>
  <c r="BG106" i="1"/>
  <c r="BK89" i="1"/>
  <c r="AT106" i="1"/>
  <c r="AT104" i="1"/>
  <c r="AY104" i="1"/>
  <c r="BZ105" i="1"/>
  <c r="CC109" i="1" s="1"/>
  <c r="BA108" i="1"/>
  <c r="BN89" i="1"/>
  <c r="BZ104" i="1"/>
  <c r="CC89" i="1"/>
  <c r="BY106" i="1"/>
  <c r="BU108" i="1"/>
  <c r="BY105" i="1"/>
  <c r="BY104" i="1"/>
  <c r="AX108" i="1"/>
  <c r="BF89" i="1"/>
  <c r="BB106" i="1"/>
  <c r="BB105" i="1"/>
  <c r="BB104" i="1"/>
  <c r="BH106" i="1"/>
  <c r="BH104" i="1"/>
  <c r="BD108" i="1"/>
  <c r="BL89" i="1"/>
  <c r="BH105" i="1"/>
  <c r="AT89" i="1"/>
  <c r="AP106" i="1"/>
  <c r="AP89" i="1"/>
  <c r="AL108" i="1"/>
  <c r="AP105" i="1"/>
  <c r="AP104" i="1"/>
  <c r="BR89" i="1"/>
  <c r="BJ108" i="1"/>
  <c r="BN106" i="1"/>
  <c r="BN104" i="1"/>
  <c r="BN105" i="1"/>
  <c r="AN108" i="1"/>
  <c r="AR106" i="1"/>
  <c r="AR105" i="1"/>
  <c r="AR104" i="1"/>
  <c r="AV89" i="1"/>
  <c r="AX105" i="1"/>
  <c r="BB89" i="1"/>
  <c r="AX104" i="1"/>
  <c r="AT108" i="1"/>
  <c r="AX106" i="1"/>
  <c r="BX89" i="1"/>
  <c r="BW113" i="1"/>
  <c r="BW115" i="1"/>
  <c r="BW114" i="1"/>
  <c r="BG113" i="1"/>
  <c r="BG115" i="1"/>
  <c r="BG114" i="1"/>
  <c r="AQ114" i="1"/>
  <c r="AQ115" i="1"/>
  <c r="AQ113" i="1"/>
  <c r="AC213" i="1"/>
  <c r="AC151" i="1"/>
  <c r="AC153" i="1" s="1"/>
  <c r="AC52" i="1" s="1"/>
  <c r="CT153" i="1"/>
  <c r="AD144" i="1"/>
  <c r="AD147" i="1" s="1"/>
  <c r="AD268" i="1" s="1"/>
  <c r="AR128" i="1"/>
  <c r="W80" i="1"/>
  <c r="CB109" i="1" l="1"/>
  <c r="BT109" i="1"/>
  <c r="BH109" i="1"/>
  <c r="BM109" i="1"/>
  <c r="BG109" i="1"/>
  <c r="BN109" i="1"/>
  <c r="BB109" i="1"/>
  <c r="BI109" i="1"/>
  <c r="AW109" i="1"/>
  <c r="BL109" i="1"/>
  <c r="BY109" i="1"/>
  <c r="AZ109" i="1"/>
  <c r="AR109" i="1"/>
  <c r="AV109" i="1"/>
  <c r="BJ109" i="1"/>
  <c r="BE109" i="1"/>
  <c r="AS109" i="1"/>
  <c r="AU109" i="1"/>
  <c r="BA109" i="1"/>
  <c r="AT109" i="1"/>
  <c r="AQ109" i="1"/>
  <c r="AP109" i="1"/>
  <c r="AO109" i="1"/>
  <c r="BP109" i="1"/>
  <c r="BO109" i="1"/>
  <c r="AY109" i="1"/>
  <c r="AX109" i="1"/>
  <c r="CA109" i="1"/>
  <c r="BR109" i="1"/>
  <c r="BC109" i="1"/>
  <c r="BZ109" i="1"/>
  <c r="BF109" i="1"/>
  <c r="BS109" i="1"/>
  <c r="BD109" i="1"/>
  <c r="BK109" i="1"/>
  <c r="BQ109" i="1"/>
  <c r="BX109" i="1"/>
  <c r="BW109" i="1"/>
  <c r="BV109" i="1"/>
  <c r="BU109" i="1"/>
  <c r="CU51" i="1"/>
  <c r="CT157" i="1"/>
  <c r="AD225" i="1"/>
  <c r="AB157" i="1"/>
  <c r="AR129" i="1"/>
  <c r="AR132" i="1" s="1"/>
  <c r="AR130" i="1"/>
  <c r="AR133" i="1" s="1"/>
  <c r="CA246" i="1"/>
  <c r="CB246" i="1"/>
  <c r="W212" i="1"/>
  <c r="W214" i="1" s="1"/>
  <c r="BU246" i="1"/>
  <c r="CT222" i="1" l="1"/>
  <c r="CT220" i="1" s="1"/>
  <c r="CU213" i="1"/>
  <c r="CU151" i="1"/>
  <c r="AB222" i="1"/>
  <c r="AB220" i="1" s="1"/>
  <c r="AE143" i="1"/>
  <c r="CA108" i="1"/>
  <c r="CU153" i="1" l="1"/>
  <c r="CF108" i="1"/>
  <c r="CU157" i="1" l="1"/>
  <c r="CV51" i="1"/>
  <c r="AE144" i="1"/>
  <c r="AE147" i="1" s="1"/>
  <c r="AE268" i="1" s="1"/>
  <c r="CV213" i="1" l="1"/>
  <c r="CV151" i="1"/>
  <c r="CU222" i="1"/>
  <c r="CU220" i="1" s="1"/>
  <c r="AE225" i="1"/>
  <c r="AC157" i="1"/>
  <c r="W139" i="1"/>
  <c r="CV153" i="1" l="1"/>
  <c r="W73" i="1"/>
  <c r="AC222" i="1"/>
  <c r="AC220" i="1" s="1"/>
  <c r="X226" i="1"/>
  <c r="X224" i="1" s="1"/>
  <c r="W226" i="1"/>
  <c r="W224" i="1" s="1"/>
  <c r="W148" i="1"/>
  <c r="W74" i="1" s="1"/>
  <c r="W194" i="1"/>
  <c r="CW51" i="1" l="1"/>
  <c r="CV157" i="1"/>
  <c r="CV222" i="1" l="1"/>
  <c r="CV220" i="1" s="1"/>
  <c r="CW213" i="1"/>
  <c r="CW151" i="1"/>
  <c r="CW153" i="1" l="1"/>
  <c r="CW157" i="1" l="1"/>
  <c r="CX51" i="1"/>
  <c r="AD51" i="1" l="1"/>
  <c r="CX213" i="1"/>
  <c r="CX151" i="1"/>
  <c r="CW222" i="1"/>
  <c r="CW220" i="1" s="1"/>
  <c r="AD213" i="1" l="1"/>
  <c r="AD151" i="1"/>
  <c r="AD153" i="1" s="1"/>
  <c r="CX153" i="1"/>
  <c r="AD157" i="1" l="1"/>
  <c r="AD222" i="1" s="1"/>
  <c r="AD220" i="1" s="1"/>
  <c r="AD52" i="1"/>
  <c r="CX157" i="1"/>
  <c r="CY51" i="1"/>
  <c r="CY213" i="1" l="1"/>
  <c r="CY151" i="1"/>
  <c r="CX222" i="1"/>
  <c r="CX220" i="1" s="1"/>
  <c r="CY153" i="1" l="1"/>
  <c r="W199" i="1"/>
  <c r="CY157" i="1" l="1"/>
  <c r="CZ51" i="1"/>
  <c r="W202" i="1"/>
  <c r="W175" i="1"/>
  <c r="X216" i="1" s="1"/>
  <c r="CZ213" i="1" l="1"/>
  <c r="CZ151" i="1"/>
  <c r="CY222" i="1"/>
  <c r="CY220" i="1" s="1"/>
  <c r="W204" i="1"/>
  <c r="W203" i="1" s="1"/>
  <c r="W216" i="1"/>
  <c r="W167" i="1"/>
  <c r="X215" i="1" s="1"/>
  <c r="X217" i="1" s="1"/>
  <c r="X218" i="1" s="1"/>
  <c r="X232" i="1" s="1"/>
  <c r="W198" i="1"/>
  <c r="CZ153" i="1" l="1"/>
  <c r="W201" i="1"/>
  <c r="W176" i="1"/>
  <c r="W215" i="1"/>
  <c r="W217" i="1" s="1"/>
  <c r="W218" i="1" s="1"/>
  <c r="CZ157" i="1" l="1"/>
  <c r="CZ222" i="1" s="1"/>
  <c r="CZ220" i="1" s="1"/>
  <c r="DA51" i="1"/>
  <c r="W200" i="1"/>
  <c r="W205" i="1"/>
  <c r="W229" i="1"/>
  <c r="W232" i="1"/>
  <c r="DA213" i="1" l="1"/>
  <c r="DA151" i="1"/>
  <c r="W208" i="1"/>
  <c r="W209" i="1" s="1"/>
  <c r="X208" i="1"/>
  <c r="X209" i="1" s="1"/>
  <c r="DA153" i="1" l="1"/>
  <c r="W180" i="1"/>
  <c r="X228" i="1" l="1"/>
  <c r="X229" i="1" s="1"/>
  <c r="X230" i="1" s="1"/>
  <c r="W265" i="1"/>
  <c r="W267" i="1"/>
  <c r="W263" i="1"/>
  <c r="DA157" i="1"/>
  <c r="DA222" i="1" s="1"/>
  <c r="DA220" i="1" s="1"/>
  <c r="DB51" i="1"/>
  <c r="W187" i="1"/>
  <c r="W128" i="1" s="1"/>
  <c r="W184" i="1"/>
  <c r="W230" i="1"/>
  <c r="AE51" i="1" l="1"/>
  <c r="AE213" i="1" s="1"/>
  <c r="DB213" i="1"/>
  <c r="DB151" i="1"/>
  <c r="W185" i="1"/>
  <c r="DB153" i="1" l="1"/>
  <c r="DB157" i="1" s="1"/>
  <c r="DB222" i="1" s="1"/>
  <c r="DB220" i="1" s="1"/>
  <c r="AE151" i="1"/>
  <c r="AE153" i="1" s="1"/>
  <c r="C112" i="2"/>
  <c r="C111" i="2"/>
  <c r="C113" i="2"/>
  <c r="AE157" i="1" l="1"/>
  <c r="AE222" i="1" s="1"/>
  <c r="AE220" i="1" s="1"/>
  <c r="AE52" i="1"/>
  <c r="B92" i="1"/>
  <c r="B93" i="1"/>
  <c r="AK198" i="1" l="1"/>
  <c r="AK163" i="1" s="1"/>
  <c r="AM163" i="1" l="1"/>
  <c r="AO163" i="1" l="1"/>
  <c r="AQ163" i="1" l="1"/>
  <c r="AS163" i="1" l="1"/>
  <c r="AU163" i="1" l="1"/>
  <c r="AW163" i="1" l="1"/>
  <c r="AY163" i="1" l="1"/>
  <c r="BA163" i="1" l="1"/>
  <c r="BC163" i="1" l="1"/>
  <c r="BE163" i="1" l="1"/>
  <c r="BG163" i="1" l="1"/>
  <c r="BI163" i="1" l="1"/>
  <c r="BK163" i="1" l="1"/>
  <c r="BM163" i="1" l="1"/>
  <c r="BO163" i="1" l="1"/>
  <c r="BQ163" i="1" l="1"/>
  <c r="BS163" i="1" l="1"/>
  <c r="BU163" i="1" l="1"/>
  <c r="BW163" i="1" l="1"/>
  <c r="BY163" i="1" l="1"/>
  <c r="AK164" i="1" l="1"/>
  <c r="AK167" i="1" s="1"/>
  <c r="AL215" i="1" l="1"/>
  <c r="AK215" i="1"/>
  <c r="AK201" i="1"/>
  <c r="AM164" i="1"/>
  <c r="AM167" i="1" s="1"/>
  <c r="AM201" i="1" l="1"/>
  <c r="AM200" i="1" s="1"/>
  <c r="AN215" i="1"/>
  <c r="AM215" i="1"/>
  <c r="AJ200" i="1"/>
  <c r="AK200" i="1"/>
  <c r="AO164" i="1" l="1"/>
  <c r="AO167" i="1" s="1"/>
  <c r="AP215" i="1" l="1"/>
  <c r="AO201" i="1"/>
  <c r="AO200" i="1" s="1"/>
  <c r="AO215" i="1"/>
  <c r="AQ164" i="1" l="1"/>
  <c r="AQ167" i="1" s="1"/>
  <c r="AQ201" i="1" l="1"/>
  <c r="AQ200" i="1" s="1"/>
  <c r="AR215" i="1"/>
  <c r="AQ215" i="1"/>
  <c r="AS164" i="1" l="1"/>
  <c r="AS167" i="1" s="1"/>
  <c r="AT215" i="1" l="1"/>
  <c r="AS201" i="1"/>
  <c r="AS200" i="1" s="1"/>
  <c r="AS215" i="1"/>
  <c r="AU164" i="1" l="1"/>
  <c r="AU167" i="1" s="1"/>
  <c r="AU201" i="1" l="1"/>
  <c r="AU200" i="1" s="1"/>
  <c r="AV215" i="1"/>
  <c r="AU215" i="1"/>
  <c r="AW164" i="1" l="1"/>
  <c r="AW167" i="1" s="1"/>
  <c r="AW201" i="1" l="1"/>
  <c r="AW200" i="1" s="1"/>
  <c r="AX215" i="1"/>
  <c r="AW215" i="1"/>
  <c r="AY164" i="1" l="1"/>
  <c r="AY167" i="1" s="1"/>
  <c r="AY201" i="1" l="1"/>
  <c r="AY200" i="1" s="1"/>
  <c r="AZ215" i="1"/>
  <c r="AY215" i="1"/>
  <c r="BA164" i="1" l="1"/>
  <c r="BA167" i="1" s="1"/>
  <c r="BB215" i="1" l="1"/>
  <c r="BA201" i="1"/>
  <c r="BA200" i="1" s="1"/>
  <c r="BA215" i="1"/>
  <c r="BC164" i="1" l="1"/>
  <c r="BC167" i="1" s="1"/>
  <c r="BD215" i="1" l="1"/>
  <c r="BC201" i="1"/>
  <c r="BC200" i="1" s="1"/>
  <c r="BC215" i="1"/>
  <c r="BE164" i="1" l="1"/>
  <c r="BE167" i="1" s="1"/>
  <c r="BF215" i="1" l="1"/>
  <c r="BE201" i="1"/>
  <c r="BE200" i="1" s="1"/>
  <c r="BE215" i="1"/>
  <c r="BG164" i="1" l="1"/>
  <c r="BG167" i="1" s="1"/>
  <c r="BG201" i="1" l="1"/>
  <c r="BG200" i="1" s="1"/>
  <c r="BH215" i="1"/>
  <c r="BG215" i="1"/>
  <c r="BI164" i="1" l="1"/>
  <c r="BI167" i="1" s="1"/>
  <c r="BJ215" i="1" l="1"/>
  <c r="BI201" i="1"/>
  <c r="BI200" i="1" s="1"/>
  <c r="BI215" i="1"/>
  <c r="BK164" i="1" l="1"/>
  <c r="BK167" i="1" s="1"/>
  <c r="BL215" i="1" l="1"/>
  <c r="BK201" i="1"/>
  <c r="BK200" i="1" s="1"/>
  <c r="BK215" i="1"/>
  <c r="BM164" i="1" l="1"/>
  <c r="BM167" i="1" s="1"/>
  <c r="BM201" i="1" l="1"/>
  <c r="BM200" i="1" s="1"/>
  <c r="BN215" i="1"/>
  <c r="BM215" i="1"/>
  <c r="BO164" i="1" l="1"/>
  <c r="BO167" i="1" s="1"/>
  <c r="BO201" i="1" l="1"/>
  <c r="BO200" i="1" s="1"/>
  <c r="BP215" i="1"/>
  <c r="BO215" i="1"/>
  <c r="BQ164" i="1" l="1"/>
  <c r="BQ167" i="1" s="1"/>
  <c r="BR215" i="1" l="1"/>
  <c r="BQ201" i="1"/>
  <c r="BQ200" i="1" s="1"/>
  <c r="BQ215" i="1"/>
  <c r="BS164" i="1" l="1"/>
  <c r="BS167" i="1" s="1"/>
  <c r="BT215" i="1" l="1"/>
  <c r="BS201" i="1"/>
  <c r="BS200" i="1" s="1"/>
  <c r="BS215" i="1"/>
  <c r="BU164" i="1" l="1"/>
  <c r="BU167" i="1" s="1"/>
  <c r="BU201" i="1" l="1"/>
  <c r="BU200" i="1" s="1"/>
  <c r="BV215" i="1"/>
  <c r="BU215" i="1"/>
  <c r="BW164" i="1" l="1"/>
  <c r="BW167" i="1" s="1"/>
  <c r="BW201" i="1" l="1"/>
  <c r="BW200" i="1" s="1"/>
  <c r="BX215" i="1"/>
  <c r="BW215" i="1"/>
  <c r="BY164" i="1" l="1"/>
  <c r="BY167" i="1" s="1"/>
  <c r="BZ215" i="1" l="1"/>
  <c r="BY201" i="1"/>
  <c r="BY200" i="1" s="1"/>
  <c r="BY215" i="1"/>
  <c r="AK202" i="1" l="1"/>
  <c r="AK172" i="1" s="1"/>
  <c r="AK175" i="1" s="1"/>
  <c r="AK176" i="1" l="1"/>
  <c r="AK204" i="1"/>
  <c r="AL216" i="1"/>
  <c r="AL217" i="1" s="1"/>
  <c r="AL218" i="1" s="1"/>
  <c r="AL232" i="1" s="1"/>
  <c r="AK216" i="1"/>
  <c r="AK217" i="1" s="1"/>
  <c r="AK218" i="1" s="1"/>
  <c r="AM172" i="1"/>
  <c r="AM175" i="1" s="1"/>
  <c r="AK232" i="1" l="1"/>
  <c r="AK229" i="1"/>
  <c r="AK179" i="1" s="1"/>
  <c r="AK180" i="1" s="1"/>
  <c r="AK184" i="1" s="1"/>
  <c r="AK185" i="1" s="1"/>
  <c r="AN216" i="1"/>
  <c r="AN217" i="1" s="1"/>
  <c r="AN218" i="1" s="1"/>
  <c r="AN232" i="1" s="1"/>
  <c r="AM204" i="1"/>
  <c r="AM203" i="1" s="1"/>
  <c r="AM216" i="1"/>
  <c r="AM217" i="1" s="1"/>
  <c r="AM218" i="1" s="1"/>
  <c r="AM176" i="1"/>
  <c r="AJ203" i="1"/>
  <c r="AJ205" i="1"/>
  <c r="AN208" i="1" s="1"/>
  <c r="AK203" i="1"/>
  <c r="AK205" i="1"/>
  <c r="AO172" i="1"/>
  <c r="AO175" i="1" s="1"/>
  <c r="AM205" i="1" l="1"/>
  <c r="AO204" i="1"/>
  <c r="AO203" i="1" s="1"/>
  <c r="AP216" i="1"/>
  <c r="AP217" i="1" s="1"/>
  <c r="AP218" i="1" s="1"/>
  <c r="AP232" i="1" s="1"/>
  <c r="AO216" i="1"/>
  <c r="AO217" i="1" s="1"/>
  <c r="AO218" i="1" s="1"/>
  <c r="AM232" i="1"/>
  <c r="AM229" i="1"/>
  <c r="AO176" i="1"/>
  <c r="AL228" i="1" l="1"/>
  <c r="AL229" i="1" s="1"/>
  <c r="AL230" i="1" s="1"/>
  <c r="AK230" i="1"/>
  <c r="AO205" i="1"/>
  <c r="AO208" i="1" s="1"/>
  <c r="AO232" i="1"/>
  <c r="AO229" i="1"/>
  <c r="AQ172" i="1"/>
  <c r="AQ175" i="1" s="1"/>
  <c r="AK187" i="1"/>
  <c r="AL56" i="1" s="1"/>
  <c r="AM179" i="1"/>
  <c r="AM180" i="1" s="1"/>
  <c r="AM184" i="1" s="1"/>
  <c r="AN228" i="1" l="1"/>
  <c r="AN229" i="1" s="1"/>
  <c r="AN230" i="1" s="1"/>
  <c r="AM267" i="1"/>
  <c r="AM265" i="1"/>
  <c r="AM263" i="1"/>
  <c r="AQ204" i="1"/>
  <c r="AQ203" i="1" s="1"/>
  <c r="AR216" i="1"/>
  <c r="AR217" i="1" s="1"/>
  <c r="AR218" i="1" s="1"/>
  <c r="AR232" i="1" s="1"/>
  <c r="AQ216" i="1"/>
  <c r="AQ217" i="1" s="1"/>
  <c r="AQ218" i="1" s="1"/>
  <c r="AM230" i="1"/>
  <c r="AQ176" i="1"/>
  <c r="AO179" i="1"/>
  <c r="AO180" i="1" s="1"/>
  <c r="AM187" i="1"/>
  <c r="AO265" i="1" l="1"/>
  <c r="AO267" i="1"/>
  <c r="AO263" i="1"/>
  <c r="AM128" i="1"/>
  <c r="AM129" i="1" s="1"/>
  <c r="AM132" i="1" s="1"/>
  <c r="AN56" i="1"/>
  <c r="AQ205" i="1"/>
  <c r="AQ208" i="1" s="1"/>
  <c r="AQ232" i="1"/>
  <c r="AQ229" i="1"/>
  <c r="AP228" i="1"/>
  <c r="AP229" i="1" s="1"/>
  <c r="AP230" i="1" s="1"/>
  <c r="AO230" i="1"/>
  <c r="AS172" i="1"/>
  <c r="AS175" i="1" s="1"/>
  <c r="AO187" i="1"/>
  <c r="AO184" i="1"/>
  <c r="AM185" i="1"/>
  <c r="AM130" i="1" l="1"/>
  <c r="AM133" i="1" s="1"/>
  <c r="AO128" i="1"/>
  <c r="AO130" i="1" s="1"/>
  <c r="AO133" i="1" s="1"/>
  <c r="AP56" i="1"/>
  <c r="AS204" i="1"/>
  <c r="AS203" i="1" s="1"/>
  <c r="AT216" i="1"/>
  <c r="AT217" i="1" s="1"/>
  <c r="AT218" i="1" s="1"/>
  <c r="AT232" i="1" s="1"/>
  <c r="AS216" i="1"/>
  <c r="AS217" i="1" s="1"/>
  <c r="AS218" i="1" s="1"/>
  <c r="AO185" i="1"/>
  <c r="AS176" i="1"/>
  <c r="AQ179" i="1"/>
  <c r="AQ180" i="1" s="1"/>
  <c r="AQ265" i="1" l="1"/>
  <c r="AQ267" i="1"/>
  <c r="AQ263" i="1"/>
  <c r="AO129" i="1"/>
  <c r="AO132" i="1" s="1"/>
  <c r="AS205" i="1"/>
  <c r="AS208" i="1" s="1"/>
  <c r="AS232" i="1"/>
  <c r="AS229" i="1"/>
  <c r="AR228" i="1"/>
  <c r="AR229" i="1" s="1"/>
  <c r="AR230" i="1" s="1"/>
  <c r="AQ230" i="1"/>
  <c r="AQ184" i="1"/>
  <c r="AQ187" i="1"/>
  <c r="AU172" i="1"/>
  <c r="AU175" i="1" s="1"/>
  <c r="AQ128" i="1" l="1"/>
  <c r="AQ129" i="1" s="1"/>
  <c r="AQ132" i="1" s="1"/>
  <c r="AR56" i="1"/>
  <c r="AU204" i="1"/>
  <c r="AU203" i="1" s="1"/>
  <c r="AV216" i="1"/>
  <c r="AV217" i="1" s="1"/>
  <c r="AV218" i="1" s="1"/>
  <c r="AV232" i="1" s="1"/>
  <c r="AU216" i="1"/>
  <c r="AU217" i="1" s="1"/>
  <c r="AU218" i="1" s="1"/>
  <c r="AU176" i="1"/>
  <c r="AS179" i="1"/>
  <c r="AS180" i="1" s="1"/>
  <c r="AQ185" i="1"/>
  <c r="AS267" i="1" l="1"/>
  <c r="AS265" i="1"/>
  <c r="AS263" i="1"/>
  <c r="AQ130" i="1"/>
  <c r="AQ133" i="1" s="1"/>
  <c r="AU205" i="1"/>
  <c r="AU208" i="1" s="1"/>
  <c r="AU232" i="1"/>
  <c r="AU229" i="1"/>
  <c r="AT228" i="1"/>
  <c r="AT229" i="1" s="1"/>
  <c r="AT230" i="1" s="1"/>
  <c r="AS230" i="1"/>
  <c r="AS187" i="1"/>
  <c r="AS184" i="1"/>
  <c r="AW172" i="1"/>
  <c r="AW175" i="1" s="1"/>
  <c r="AS128" i="1" l="1"/>
  <c r="AS129" i="1" s="1"/>
  <c r="AS132" i="1" s="1"/>
  <c r="AT56" i="1"/>
  <c r="AW204" i="1"/>
  <c r="AW205" i="1" s="1"/>
  <c r="AW208" i="1" s="1"/>
  <c r="AX216" i="1"/>
  <c r="AX217" i="1" s="1"/>
  <c r="AX218" i="1" s="1"/>
  <c r="AX232" i="1" s="1"/>
  <c r="AW216" i="1"/>
  <c r="AW217" i="1" s="1"/>
  <c r="AW218" i="1" s="1"/>
  <c r="AU179" i="1"/>
  <c r="AU180" i="1" s="1"/>
  <c r="AS185" i="1"/>
  <c r="AW176" i="1"/>
  <c r="AU267" i="1" l="1"/>
  <c r="AU265" i="1"/>
  <c r="AU263" i="1"/>
  <c r="AS130" i="1"/>
  <c r="AS133" i="1" s="1"/>
  <c r="AW203" i="1"/>
  <c r="AW232" i="1"/>
  <c r="AW229" i="1"/>
  <c r="AV228" i="1"/>
  <c r="AV229" i="1" s="1"/>
  <c r="AV230" i="1" s="1"/>
  <c r="AU230" i="1"/>
  <c r="AU187" i="1"/>
  <c r="AU184" i="1"/>
  <c r="AY172" i="1"/>
  <c r="AY175" i="1" s="1"/>
  <c r="AU128" i="1" l="1"/>
  <c r="AU130" i="1" s="1"/>
  <c r="AU133" i="1" s="1"/>
  <c r="AV56" i="1"/>
  <c r="AY204" i="1"/>
  <c r="AY203" i="1" s="1"/>
  <c r="AZ216" i="1"/>
  <c r="AZ217" i="1" s="1"/>
  <c r="AZ218" i="1" s="1"/>
  <c r="AZ232" i="1" s="1"/>
  <c r="AY216" i="1"/>
  <c r="AY217" i="1" s="1"/>
  <c r="AY218" i="1" s="1"/>
  <c r="AW179" i="1"/>
  <c r="AW180" i="1" s="1"/>
  <c r="AY176" i="1"/>
  <c r="AU185" i="1"/>
  <c r="AW265" i="1" l="1"/>
  <c r="AW267" i="1"/>
  <c r="AW263" i="1"/>
  <c r="AU129" i="1"/>
  <c r="AU132" i="1" s="1"/>
  <c r="AY205" i="1"/>
  <c r="AY208" i="1" s="1"/>
  <c r="AY232" i="1"/>
  <c r="AY229" i="1"/>
  <c r="AX228" i="1"/>
  <c r="AX229" i="1" s="1"/>
  <c r="AX230" i="1" s="1"/>
  <c r="AW230" i="1"/>
  <c r="BA172" i="1"/>
  <c r="BA175" i="1" s="1"/>
  <c r="AW184" i="1"/>
  <c r="AW187" i="1"/>
  <c r="AW128" i="1" l="1"/>
  <c r="AW130" i="1" s="1"/>
  <c r="AW133" i="1" s="1"/>
  <c r="AX56" i="1"/>
  <c r="BB216" i="1"/>
  <c r="BB217" i="1" s="1"/>
  <c r="BB218" i="1" s="1"/>
  <c r="BB232" i="1" s="1"/>
  <c r="BA204" i="1"/>
  <c r="BA203" i="1" s="1"/>
  <c r="BA216" i="1"/>
  <c r="BA217" i="1" s="1"/>
  <c r="BA218" i="1" s="1"/>
  <c r="AW185" i="1"/>
  <c r="BA176" i="1"/>
  <c r="AY179" i="1"/>
  <c r="AY180" i="1" s="1"/>
  <c r="AY265" i="1" l="1"/>
  <c r="AY267" i="1"/>
  <c r="AY263" i="1"/>
  <c r="AW129" i="1"/>
  <c r="AW132" i="1" s="1"/>
  <c r="BA205" i="1"/>
  <c r="BA208" i="1" s="1"/>
  <c r="BA232" i="1"/>
  <c r="BA229" i="1"/>
  <c r="AZ228" i="1"/>
  <c r="AZ229" i="1" s="1"/>
  <c r="AZ230" i="1" s="1"/>
  <c r="AY230" i="1"/>
  <c r="AY184" i="1"/>
  <c r="AY187" i="1"/>
  <c r="BC172" i="1"/>
  <c r="BC175" i="1" s="1"/>
  <c r="AY128" i="1" l="1"/>
  <c r="AY130" i="1" s="1"/>
  <c r="AY133" i="1" s="1"/>
  <c r="AZ56" i="1"/>
  <c r="BC204" i="1"/>
  <c r="BC203" i="1" s="1"/>
  <c r="BD216" i="1"/>
  <c r="BD217" i="1" s="1"/>
  <c r="BD218" i="1" s="1"/>
  <c r="BD232" i="1" s="1"/>
  <c r="BC216" i="1"/>
  <c r="BC217" i="1" s="1"/>
  <c r="BC218" i="1" s="1"/>
  <c r="AY185" i="1"/>
  <c r="BC176" i="1"/>
  <c r="BA179" i="1"/>
  <c r="BA180" i="1" s="1"/>
  <c r="BA267" i="1" l="1"/>
  <c r="BA265" i="1"/>
  <c r="BA263" i="1"/>
  <c r="AY129" i="1"/>
  <c r="AY132" i="1" s="1"/>
  <c r="BC205" i="1"/>
  <c r="BC208" i="1" s="1"/>
  <c r="BC232" i="1"/>
  <c r="BC229" i="1"/>
  <c r="BB228" i="1"/>
  <c r="BB229" i="1" s="1"/>
  <c r="BB230" i="1" s="1"/>
  <c r="BA230" i="1"/>
  <c r="BE172" i="1"/>
  <c r="BE175" i="1" s="1"/>
  <c r="BA187" i="1"/>
  <c r="BA184" i="1"/>
  <c r="BA128" i="1" l="1"/>
  <c r="BA129" i="1" s="1"/>
  <c r="BA132" i="1" s="1"/>
  <c r="BB56" i="1"/>
  <c r="BE204" i="1"/>
  <c r="BE203" i="1" s="1"/>
  <c r="BF216" i="1"/>
  <c r="BF217" i="1" s="1"/>
  <c r="BF218" i="1" s="1"/>
  <c r="BF232" i="1" s="1"/>
  <c r="BE216" i="1"/>
  <c r="BE217" i="1" s="1"/>
  <c r="BE218" i="1" s="1"/>
  <c r="BC179" i="1"/>
  <c r="BC180" i="1" s="1"/>
  <c r="BA185" i="1"/>
  <c r="BE176" i="1"/>
  <c r="BC267" i="1" l="1"/>
  <c r="BC265" i="1"/>
  <c r="BC263" i="1"/>
  <c r="BA130" i="1"/>
  <c r="BA133" i="1" s="1"/>
  <c r="BE205" i="1"/>
  <c r="BE208" i="1" s="1"/>
  <c r="BE232" i="1"/>
  <c r="BE229" i="1"/>
  <c r="BD228" i="1"/>
  <c r="BD229" i="1" s="1"/>
  <c r="BD230" i="1" s="1"/>
  <c r="BC230" i="1"/>
  <c r="BG172" i="1"/>
  <c r="BG175" i="1" s="1"/>
  <c r="BC184" i="1"/>
  <c r="BC187" i="1"/>
  <c r="BC128" i="1" l="1"/>
  <c r="BC129" i="1" s="1"/>
  <c r="BC132" i="1" s="1"/>
  <c r="BD56" i="1"/>
  <c r="BG204" i="1"/>
  <c r="BG205" i="1" s="1"/>
  <c r="BG208" i="1" s="1"/>
  <c r="BH216" i="1"/>
  <c r="BH217" i="1" s="1"/>
  <c r="BH218" i="1" s="1"/>
  <c r="BH232" i="1" s="1"/>
  <c r="BG216" i="1"/>
  <c r="BG217" i="1" s="1"/>
  <c r="BG218" i="1" s="1"/>
  <c r="BC185" i="1"/>
  <c r="BE179" i="1"/>
  <c r="BE180" i="1" s="1"/>
  <c r="BG176" i="1"/>
  <c r="BE265" i="1" l="1"/>
  <c r="BE267" i="1"/>
  <c r="BE263" i="1"/>
  <c r="BC130" i="1"/>
  <c r="BC133" i="1" s="1"/>
  <c r="BG203" i="1"/>
  <c r="BG232" i="1"/>
  <c r="BG229" i="1"/>
  <c r="BF228" i="1"/>
  <c r="BF229" i="1" s="1"/>
  <c r="BF230" i="1" s="1"/>
  <c r="BE230" i="1"/>
  <c r="BE187" i="1"/>
  <c r="BE184" i="1"/>
  <c r="BI172" i="1"/>
  <c r="BI175" i="1" s="1"/>
  <c r="BE128" i="1" l="1"/>
  <c r="BE129" i="1" s="1"/>
  <c r="BE132" i="1" s="1"/>
  <c r="BF56" i="1"/>
  <c r="BI204" i="1"/>
  <c r="BI203" i="1" s="1"/>
  <c r="BJ216" i="1"/>
  <c r="BJ217" i="1" s="1"/>
  <c r="BJ218" i="1" s="1"/>
  <c r="BJ232" i="1" s="1"/>
  <c r="BI216" i="1"/>
  <c r="BI217" i="1" s="1"/>
  <c r="BI218" i="1" s="1"/>
  <c r="BE185" i="1"/>
  <c r="BG179" i="1"/>
  <c r="BG180" i="1" s="1"/>
  <c r="BI176" i="1"/>
  <c r="BG265" i="1" l="1"/>
  <c r="BG267" i="1"/>
  <c r="BG263" i="1"/>
  <c r="BE130" i="1"/>
  <c r="BE133" i="1" s="1"/>
  <c r="BI205" i="1"/>
  <c r="BI208" i="1" s="1"/>
  <c r="BI232" i="1"/>
  <c r="BI229" i="1"/>
  <c r="BH228" i="1"/>
  <c r="BH229" i="1" s="1"/>
  <c r="BH230" i="1" s="1"/>
  <c r="BG230" i="1"/>
  <c r="BG184" i="1"/>
  <c r="BG187" i="1"/>
  <c r="BK172" i="1"/>
  <c r="BK175" i="1" s="1"/>
  <c r="BG128" i="1" l="1"/>
  <c r="BG129" i="1" s="1"/>
  <c r="BG132" i="1" s="1"/>
  <c r="BH56" i="1"/>
  <c r="BL216" i="1"/>
  <c r="BL217" i="1" s="1"/>
  <c r="BL218" i="1" s="1"/>
  <c r="BL232" i="1" s="1"/>
  <c r="BK204" i="1"/>
  <c r="BK203" i="1" s="1"/>
  <c r="BK216" i="1"/>
  <c r="BK217" i="1" s="1"/>
  <c r="BK218" i="1" s="1"/>
  <c r="BK176" i="1"/>
  <c r="BG185" i="1"/>
  <c r="BI179" i="1"/>
  <c r="BI180" i="1" s="1"/>
  <c r="BI267" i="1" l="1"/>
  <c r="BI265" i="1"/>
  <c r="BI263" i="1"/>
  <c r="BG130" i="1"/>
  <c r="BG133" i="1" s="1"/>
  <c r="BK205" i="1"/>
  <c r="BK208" i="1" s="1"/>
  <c r="BK232" i="1"/>
  <c r="BK229" i="1"/>
  <c r="BJ228" i="1"/>
  <c r="BJ229" i="1" s="1"/>
  <c r="BJ230" i="1" s="1"/>
  <c r="BI230" i="1"/>
  <c r="BI187" i="1"/>
  <c r="BI184" i="1"/>
  <c r="BM172" i="1"/>
  <c r="BM175" i="1" s="1"/>
  <c r="BI128" i="1" l="1"/>
  <c r="BI130" i="1" s="1"/>
  <c r="BI133" i="1" s="1"/>
  <c r="BJ56" i="1"/>
  <c r="BM204" i="1"/>
  <c r="BM203" i="1" s="1"/>
  <c r="BN216" i="1"/>
  <c r="BN217" i="1" s="1"/>
  <c r="BN218" i="1" s="1"/>
  <c r="BN232" i="1" s="1"/>
  <c r="BM216" i="1"/>
  <c r="BM217" i="1" s="1"/>
  <c r="BM218" i="1" s="1"/>
  <c r="BM176" i="1"/>
  <c r="BI185" i="1"/>
  <c r="BK179" i="1"/>
  <c r="BK180" i="1" s="1"/>
  <c r="BK267" i="1" l="1"/>
  <c r="BK265" i="1"/>
  <c r="BK263" i="1"/>
  <c r="BI129" i="1"/>
  <c r="BI132" i="1" s="1"/>
  <c r="BM205" i="1"/>
  <c r="BM208" i="1" s="1"/>
  <c r="BM232" i="1"/>
  <c r="BM229" i="1"/>
  <c r="BL228" i="1"/>
  <c r="BL229" i="1" s="1"/>
  <c r="BL230" i="1" s="1"/>
  <c r="BK230" i="1"/>
  <c r="BK187" i="1"/>
  <c r="BK184" i="1"/>
  <c r="BO172" i="1"/>
  <c r="BO175" i="1" s="1"/>
  <c r="BK128" i="1" l="1"/>
  <c r="BK130" i="1" s="1"/>
  <c r="BK133" i="1" s="1"/>
  <c r="BL56" i="1"/>
  <c r="BO204" i="1"/>
  <c r="BO203" i="1" s="1"/>
  <c r="BP216" i="1"/>
  <c r="BP217" i="1" s="1"/>
  <c r="BP218" i="1" s="1"/>
  <c r="BP232" i="1" s="1"/>
  <c r="BO216" i="1"/>
  <c r="BO217" i="1" s="1"/>
  <c r="BO218" i="1" s="1"/>
  <c r="BM179" i="1"/>
  <c r="BM180" i="1" s="1"/>
  <c r="BK185" i="1"/>
  <c r="BO176" i="1"/>
  <c r="BM265" i="1" l="1"/>
  <c r="BM267" i="1"/>
  <c r="BM263" i="1"/>
  <c r="BK129" i="1"/>
  <c r="BK132" i="1" s="1"/>
  <c r="BO205" i="1"/>
  <c r="BO208" i="1" s="1"/>
  <c r="BO232" i="1"/>
  <c r="BO229" i="1"/>
  <c r="BN228" i="1"/>
  <c r="BN229" i="1" s="1"/>
  <c r="BN230" i="1" s="1"/>
  <c r="BM230" i="1"/>
  <c r="BM184" i="1"/>
  <c r="BM187" i="1"/>
  <c r="BQ172" i="1"/>
  <c r="BQ175" i="1" s="1"/>
  <c r="BM128" i="1" l="1"/>
  <c r="BM129" i="1" s="1"/>
  <c r="BM132" i="1" s="1"/>
  <c r="BN56" i="1"/>
  <c r="BQ204" i="1"/>
  <c r="BQ203" i="1" s="1"/>
  <c r="BR216" i="1"/>
  <c r="BR217" i="1" s="1"/>
  <c r="BR218" i="1" s="1"/>
  <c r="BR232" i="1" s="1"/>
  <c r="BQ216" i="1"/>
  <c r="BQ217" i="1" s="1"/>
  <c r="BQ218" i="1" s="1"/>
  <c r="BO179" i="1"/>
  <c r="BO180" i="1" s="1"/>
  <c r="BQ176" i="1"/>
  <c r="BM185" i="1"/>
  <c r="BO265" i="1" l="1"/>
  <c r="BO267" i="1"/>
  <c r="BO263" i="1"/>
  <c r="BM130" i="1"/>
  <c r="BM133" i="1" s="1"/>
  <c r="BQ205" i="1"/>
  <c r="BQ208" i="1" s="1"/>
  <c r="BQ232" i="1"/>
  <c r="BQ229" i="1"/>
  <c r="BP228" i="1"/>
  <c r="BP229" i="1" s="1"/>
  <c r="BP230" i="1" s="1"/>
  <c r="BO230" i="1"/>
  <c r="BS172" i="1"/>
  <c r="BS175" i="1" s="1"/>
  <c r="BO184" i="1"/>
  <c r="BO187" i="1"/>
  <c r="BO128" i="1" l="1"/>
  <c r="BO129" i="1" s="1"/>
  <c r="BO132" i="1" s="1"/>
  <c r="BP56" i="1"/>
  <c r="BS204" i="1"/>
  <c r="BS203" i="1" s="1"/>
  <c r="BT216" i="1"/>
  <c r="BT217" i="1" s="1"/>
  <c r="BT218" i="1" s="1"/>
  <c r="BT232" i="1" s="1"/>
  <c r="BS216" i="1"/>
  <c r="BS217" i="1" s="1"/>
  <c r="BS218" i="1" s="1"/>
  <c r="BO185" i="1"/>
  <c r="BS176" i="1"/>
  <c r="BQ179" i="1"/>
  <c r="BQ180" i="1" s="1"/>
  <c r="BQ267" i="1" l="1"/>
  <c r="BQ265" i="1"/>
  <c r="BQ263" i="1"/>
  <c r="BO130" i="1"/>
  <c r="BO133" i="1" s="1"/>
  <c r="BS205" i="1"/>
  <c r="BS208" i="1" s="1"/>
  <c r="BS232" i="1"/>
  <c r="BS229" i="1"/>
  <c r="BR228" i="1"/>
  <c r="BR229" i="1" s="1"/>
  <c r="BR230" i="1" s="1"/>
  <c r="BQ230" i="1"/>
  <c r="BQ184" i="1"/>
  <c r="BQ187" i="1"/>
  <c r="BU172" i="1"/>
  <c r="BU175" i="1" s="1"/>
  <c r="BQ128" i="1" l="1"/>
  <c r="BQ129" i="1" s="1"/>
  <c r="BQ132" i="1" s="1"/>
  <c r="BR56" i="1"/>
  <c r="BU204" i="1"/>
  <c r="BU203" i="1" s="1"/>
  <c r="BV216" i="1"/>
  <c r="BV217" i="1" s="1"/>
  <c r="BV218" i="1" s="1"/>
  <c r="BV232" i="1" s="1"/>
  <c r="BU216" i="1"/>
  <c r="BU217" i="1" s="1"/>
  <c r="BU218" i="1" s="1"/>
  <c r="BS179" i="1"/>
  <c r="BS180" i="1" s="1"/>
  <c r="BQ185" i="1"/>
  <c r="BU176" i="1"/>
  <c r="BS267" i="1" l="1"/>
  <c r="BS265" i="1"/>
  <c r="BS263" i="1"/>
  <c r="BQ130" i="1"/>
  <c r="BQ133" i="1" s="1"/>
  <c r="BU205" i="1"/>
  <c r="BU208" i="1" s="1"/>
  <c r="BU232" i="1"/>
  <c r="BU229" i="1"/>
  <c r="BT228" i="1"/>
  <c r="BT229" i="1" s="1"/>
  <c r="BT230" i="1" s="1"/>
  <c r="BS230" i="1"/>
  <c r="BS184" i="1"/>
  <c r="BS187" i="1"/>
  <c r="BW172" i="1"/>
  <c r="BW175" i="1" s="1"/>
  <c r="BS128" i="1" l="1"/>
  <c r="BS130" i="1" s="1"/>
  <c r="BS133" i="1" s="1"/>
  <c r="BT56" i="1"/>
  <c r="BW204" i="1"/>
  <c r="BW203" i="1" s="1"/>
  <c r="BX216" i="1"/>
  <c r="BX217" i="1" s="1"/>
  <c r="BX218" i="1" s="1"/>
  <c r="BX232" i="1" s="1"/>
  <c r="BW216" i="1"/>
  <c r="BW217" i="1" s="1"/>
  <c r="BW218" i="1" s="1"/>
  <c r="BW176" i="1"/>
  <c r="BS185" i="1"/>
  <c r="BU179" i="1"/>
  <c r="BU180" i="1" s="1"/>
  <c r="BU265" i="1" l="1"/>
  <c r="BU267" i="1"/>
  <c r="BU263" i="1"/>
  <c r="BS129" i="1"/>
  <c r="BS132" i="1" s="1"/>
  <c r="BW205" i="1"/>
  <c r="BW208" i="1" s="1"/>
  <c r="BW232" i="1"/>
  <c r="BW229" i="1"/>
  <c r="BV228" i="1"/>
  <c r="BV229" i="1" s="1"/>
  <c r="BV230" i="1" s="1"/>
  <c r="BU230" i="1"/>
  <c r="BU184" i="1"/>
  <c r="BU187" i="1"/>
  <c r="BY172" i="1"/>
  <c r="BY175" i="1" s="1"/>
  <c r="BU128" i="1" l="1"/>
  <c r="BU130" i="1" s="1"/>
  <c r="BU133" i="1" s="1"/>
  <c r="BV56" i="1"/>
  <c r="BZ216" i="1"/>
  <c r="BZ217" i="1" s="1"/>
  <c r="BZ218" i="1" s="1"/>
  <c r="BZ232" i="1" s="1"/>
  <c r="BY204" i="1"/>
  <c r="BY203" i="1" s="1"/>
  <c r="BY216" i="1"/>
  <c r="BY217" i="1" s="1"/>
  <c r="BY218" i="1" s="1"/>
  <c r="BW179" i="1"/>
  <c r="BW180" i="1" s="1"/>
  <c r="BY176" i="1"/>
  <c r="BU185" i="1"/>
  <c r="BW265" i="1" l="1"/>
  <c r="BW267" i="1"/>
  <c r="BW263" i="1"/>
  <c r="BU129" i="1"/>
  <c r="BU132" i="1" s="1"/>
  <c r="BY205" i="1"/>
  <c r="BY208" i="1" s="1"/>
  <c r="BY232" i="1"/>
  <c r="BY229" i="1"/>
  <c r="BX228" i="1"/>
  <c r="BX229" i="1" s="1"/>
  <c r="BX230" i="1" s="1"/>
  <c r="BW230" i="1"/>
  <c r="BW184" i="1"/>
  <c r="BW187" i="1"/>
  <c r="BW128" i="1" l="1"/>
  <c r="BW130" i="1" s="1"/>
  <c r="BW133" i="1" s="1"/>
  <c r="BX56" i="1"/>
  <c r="BW185" i="1"/>
  <c r="BY179" i="1"/>
  <c r="BY180" i="1" s="1"/>
  <c r="BY267" i="1" l="1"/>
  <c r="BY265" i="1"/>
  <c r="BY263" i="1"/>
  <c r="BW129" i="1"/>
  <c r="BW132" i="1" s="1"/>
  <c r="BZ228" i="1"/>
  <c r="BZ229" i="1" s="1"/>
  <c r="BZ230" i="1" s="1"/>
  <c r="BY230" i="1"/>
  <c r="BY187" i="1"/>
  <c r="BY184" i="1"/>
  <c r="BY128" i="1" l="1"/>
  <c r="BY129" i="1" s="1"/>
  <c r="BY132" i="1" s="1"/>
  <c r="BZ56" i="1"/>
  <c r="BY185" i="1"/>
  <c r="CC164" i="1"/>
  <c r="CC163" i="1"/>
  <c r="CA163" i="1"/>
  <c r="CA172" i="1"/>
  <c r="CA175" i="1" s="1"/>
  <c r="CA164" i="1"/>
  <c r="BY130" i="1" l="1"/>
  <c r="BY133" i="1" s="1"/>
  <c r="CA167" i="1"/>
  <c r="CA201" i="1" s="1"/>
  <c r="CA200" i="1" s="1"/>
  <c r="CB216" i="1"/>
  <c r="CA204" i="1"/>
  <c r="CA203" i="1" s="1"/>
  <c r="CA216" i="1"/>
  <c r="CC172" i="1"/>
  <c r="CC175" i="1" s="1"/>
  <c r="CC167" i="1"/>
  <c r="CA176" i="1" l="1"/>
  <c r="CA215" i="1"/>
  <c r="CA217" i="1" s="1"/>
  <c r="CA218" i="1" s="1"/>
  <c r="CA232" i="1" s="1"/>
  <c r="CB215" i="1"/>
  <c r="CB217" i="1" s="1"/>
  <c r="CB218" i="1" s="1"/>
  <c r="CB232" i="1" s="1"/>
  <c r="CA205" i="1"/>
  <c r="CD215" i="1"/>
  <c r="CC201" i="1"/>
  <c r="CC200" i="1" s="1"/>
  <c r="CC215" i="1"/>
  <c r="CC204" i="1"/>
  <c r="CC203" i="1" s="1"/>
  <c r="CD216" i="1"/>
  <c r="CC216" i="1"/>
  <c r="CC176" i="1"/>
  <c r="CA208" i="1" l="1"/>
  <c r="CE208" i="1"/>
  <c r="CC217" i="1"/>
  <c r="CC218" i="1" s="1"/>
  <c r="CC232" i="1" s="1"/>
  <c r="CD217" i="1"/>
  <c r="CD218" i="1" s="1"/>
  <c r="CD232" i="1" s="1"/>
  <c r="CA229" i="1"/>
  <c r="CA179" i="1" s="1"/>
  <c r="CA180" i="1" s="1"/>
  <c r="CC205" i="1"/>
  <c r="CA267" i="1" l="1"/>
  <c r="CA265" i="1"/>
  <c r="CA263" i="1"/>
  <c r="CC208" i="1"/>
  <c r="CG208" i="1"/>
  <c r="CC229" i="1"/>
  <c r="CC179" i="1" s="1"/>
  <c r="CC180" i="1" s="1"/>
  <c r="CB228" i="1"/>
  <c r="CB229" i="1" s="1"/>
  <c r="CB230" i="1" s="1"/>
  <c r="CA230" i="1"/>
  <c r="CA187" i="1"/>
  <c r="CA184" i="1"/>
  <c r="CC265" i="1" l="1"/>
  <c r="CC267" i="1"/>
  <c r="CC263" i="1"/>
  <c r="CA128" i="1"/>
  <c r="CA129" i="1" s="1"/>
  <c r="CA132" i="1" s="1"/>
  <c r="CB56" i="1"/>
  <c r="CD228" i="1"/>
  <c r="CD229" i="1" s="1"/>
  <c r="CD230" i="1" s="1"/>
  <c r="CC230" i="1"/>
  <c r="CC184" i="1"/>
  <c r="CC187" i="1"/>
  <c r="CA185" i="1"/>
  <c r="CA130" i="1" l="1"/>
  <c r="CA133" i="1" s="1"/>
  <c r="CC128" i="1"/>
  <c r="CC129" i="1" s="1"/>
  <c r="CC132" i="1" s="1"/>
  <c r="CD56" i="1"/>
  <c r="CC185" i="1"/>
  <c r="CC130" i="1" l="1"/>
  <c r="CC133" i="1" s="1"/>
  <c r="CE108" i="1"/>
  <c r="CD108" i="1"/>
  <c r="CC108" i="1"/>
  <c r="CB108" i="1"/>
  <c r="CI164" i="1" l="1"/>
  <c r="CI172" i="1"/>
  <c r="CI175" i="1" s="1"/>
  <c r="CI163" i="1"/>
  <c r="CJ216" i="1" l="1"/>
  <c r="CI167" i="1"/>
  <c r="CI216" i="1"/>
  <c r="CJ215" i="1" l="1"/>
  <c r="CJ217" i="1" s="1"/>
  <c r="CJ218" i="1" s="1"/>
  <c r="CJ232" i="1" s="1"/>
  <c r="CI176" i="1"/>
  <c r="CI215" i="1"/>
  <c r="CI217" i="1" s="1"/>
  <c r="CI218" i="1" s="1"/>
  <c r="CI232" i="1" s="1"/>
  <c r="CI205" i="1" l="1"/>
  <c r="CI208" i="1" s="1"/>
  <c r="CI229" i="1"/>
  <c r="CI179" i="1" s="1"/>
  <c r="CI180" i="1" s="1"/>
  <c r="CI267" i="1" l="1"/>
  <c r="CI265" i="1"/>
  <c r="CI263" i="1"/>
  <c r="CI230" i="1"/>
  <c r="CJ228" i="1"/>
  <c r="CJ229" i="1" s="1"/>
  <c r="CI187" i="1"/>
  <c r="CI184" i="1"/>
  <c r="CI128" i="1" l="1"/>
  <c r="CI130" i="1" s="1"/>
  <c r="CI133" i="1" s="1"/>
  <c r="CJ56" i="1"/>
  <c r="CJ230" i="1"/>
  <c r="CI185" i="1"/>
  <c r="CI129" i="1" l="1"/>
  <c r="CI132" i="1" s="1"/>
  <c r="CJ187" i="1"/>
  <c r="CJ128" i="1" l="1"/>
  <c r="CK56" i="1"/>
  <c r="CJ129" i="1" l="1"/>
  <c r="CJ132" i="1" s="1"/>
  <c r="CJ130" i="1"/>
  <c r="CJ133" i="1" s="1"/>
  <c r="CK250" i="1" l="1"/>
  <c r="CK272" i="1"/>
  <c r="CK271" i="1"/>
  <c r="CN29" i="1"/>
  <c r="CN272" i="1"/>
  <c r="CM29" i="1"/>
  <c r="CM272" i="1"/>
  <c r="CN250" i="1"/>
  <c r="CM250" i="1"/>
  <c r="CM117" i="1"/>
  <c r="CM118" i="1" s="1"/>
  <c r="CM121" i="1" s="1"/>
  <c r="CN117" i="1"/>
  <c r="CN118" i="1" s="1"/>
  <c r="CN121" i="1" s="1"/>
  <c r="CN36" i="1" l="1"/>
  <c r="CN46" i="1"/>
  <c r="CM36" i="1"/>
  <c r="CM46" i="1"/>
  <c r="AA18" i="1"/>
  <c r="CN30" i="1"/>
  <c r="CM30" i="1"/>
  <c r="CM165" i="1"/>
  <c r="CQ272" i="1"/>
  <c r="CO29" i="1"/>
  <c r="CN42" i="1"/>
  <c r="CR272" i="1"/>
  <c r="CN164" i="1"/>
  <c r="CN163" i="1"/>
  <c r="CN172" i="1"/>
  <c r="CM42" i="1"/>
  <c r="CM172" i="1"/>
  <c r="CN31" i="1"/>
  <c r="CN171" i="1"/>
  <c r="CN165" i="1"/>
  <c r="CM164" i="1"/>
  <c r="CM31" i="1"/>
  <c r="CM34" i="1"/>
  <c r="CM171" i="1"/>
  <c r="CM163" i="1"/>
  <c r="CK163" i="1"/>
  <c r="CK172" i="1"/>
  <c r="CK164" i="1"/>
  <c r="CM244" i="1"/>
  <c r="CK171" i="1"/>
  <c r="CK244" i="1"/>
  <c r="CK165" i="1"/>
  <c r="CN244" i="1"/>
  <c r="CO36" i="1" l="1"/>
  <c r="CO46" i="1"/>
  <c r="CO30" i="1"/>
  <c r="CO244" i="1"/>
  <c r="CM175" i="1"/>
  <c r="CK175" i="1"/>
  <c r="CN34" i="1"/>
  <c r="CN37" i="1"/>
  <c r="CN167" i="1"/>
  <c r="CM167" i="1"/>
  <c r="CN175" i="1"/>
  <c r="CR29" i="1"/>
  <c r="CM37" i="1"/>
  <c r="CR250" i="1"/>
  <c r="CQ29" i="1"/>
  <c r="CQ250" i="1"/>
  <c r="CR117" i="1"/>
  <c r="CR118" i="1" s="1"/>
  <c r="CR121" i="1" s="1"/>
  <c r="CP272" i="1"/>
  <c r="CN38" i="1"/>
  <c r="CO117" i="1"/>
  <c r="CO118" i="1" s="1"/>
  <c r="CO121" i="1" s="1"/>
  <c r="CO272" i="1"/>
  <c r="CO250" i="1"/>
  <c r="CK167" i="1"/>
  <c r="AA20" i="1"/>
  <c r="AA19" i="1" s="1"/>
  <c r="CM38" i="1"/>
  <c r="CP250" i="1"/>
  <c r="CP29" i="1"/>
  <c r="CQ117" i="1"/>
  <c r="CQ118" i="1" s="1"/>
  <c r="CQ121" i="1" s="1"/>
  <c r="AB27" i="1"/>
  <c r="CP117" i="1"/>
  <c r="CP118" i="1" s="1"/>
  <c r="CP121" i="1" s="1"/>
  <c r="CO163" i="1"/>
  <c r="CO171" i="1"/>
  <c r="CO172" i="1"/>
  <c r="CO42" i="1"/>
  <c r="CO164" i="1"/>
  <c r="CO165" i="1"/>
  <c r="CO31" i="1"/>
  <c r="CK216" i="1" l="1"/>
  <c r="CL216" i="1"/>
  <c r="CK215" i="1"/>
  <c r="CK217" i="1" s="1"/>
  <c r="CL215" i="1"/>
  <c r="CL217" i="1" s="1"/>
  <c r="CL218" i="1" s="1"/>
  <c r="CL232" i="1" s="1"/>
  <c r="CR36" i="1"/>
  <c r="CR46" i="1"/>
  <c r="CQ36" i="1"/>
  <c r="CQ46" i="1"/>
  <c r="CP36" i="1"/>
  <c r="CP46" i="1"/>
  <c r="AB272" i="1"/>
  <c r="AB18" i="1"/>
  <c r="CR30" i="1"/>
  <c r="CQ30" i="1"/>
  <c r="CP30" i="1"/>
  <c r="CN269" i="1"/>
  <c r="CN270" i="1" s="1"/>
  <c r="CN216" i="1"/>
  <c r="CN48" i="1"/>
  <c r="CN251" i="1"/>
  <c r="CN252" i="1" s="1"/>
  <c r="CN49" i="1"/>
  <c r="CN53" i="1"/>
  <c r="CN176" i="1"/>
  <c r="CM176" i="1"/>
  <c r="CN215" i="1"/>
  <c r="CR171" i="1"/>
  <c r="CR163" i="1"/>
  <c r="CR164" i="1"/>
  <c r="CR31" i="1"/>
  <c r="CR165" i="1"/>
  <c r="CR42" i="1"/>
  <c r="CR172" i="1"/>
  <c r="CQ31" i="1"/>
  <c r="CQ42" i="1"/>
  <c r="CQ165" i="1"/>
  <c r="CQ164" i="1"/>
  <c r="CQ171" i="1"/>
  <c r="CQ172" i="1"/>
  <c r="CQ163" i="1"/>
  <c r="CN50" i="1"/>
  <c r="CM49" i="1"/>
  <c r="CM251" i="1"/>
  <c r="CM252" i="1" s="1"/>
  <c r="CM48" i="1"/>
  <c r="CM53" i="1"/>
  <c r="CK176" i="1"/>
  <c r="CK269" i="1"/>
  <c r="CK270" i="1" s="1"/>
  <c r="CS117" i="1"/>
  <c r="CS118" i="1" s="1"/>
  <c r="CS121" i="1" s="1"/>
  <c r="CS272" i="1"/>
  <c r="CM269" i="1"/>
  <c r="CM270" i="1" s="1"/>
  <c r="CK251" i="1"/>
  <c r="CK252" i="1" s="1"/>
  <c r="CK245" i="1"/>
  <c r="CN245" i="1"/>
  <c r="CR244" i="1"/>
  <c r="CP244" i="1"/>
  <c r="AB29" i="1"/>
  <c r="CO175" i="1"/>
  <c r="CS29" i="1"/>
  <c r="CS250" i="1"/>
  <c r="CO167" i="1"/>
  <c r="CM131" i="1"/>
  <c r="CN131" i="1"/>
  <c r="CM216" i="1"/>
  <c r="CP164" i="1"/>
  <c r="AB164" i="1" s="1"/>
  <c r="AB199" i="1" s="1"/>
  <c r="CP163" i="1"/>
  <c r="CP171" i="1"/>
  <c r="CP34" i="1"/>
  <c r="CP172" i="1"/>
  <c r="AB172" i="1" s="1"/>
  <c r="AB202" i="1" s="1"/>
  <c r="CP165" i="1"/>
  <c r="AB165" i="1" s="1"/>
  <c r="CP31" i="1"/>
  <c r="CP42" i="1"/>
  <c r="CT272" i="1"/>
  <c r="CO37" i="1"/>
  <c r="CO38" i="1"/>
  <c r="CM215" i="1"/>
  <c r="CQ244" i="1"/>
  <c r="CO34" i="1"/>
  <c r="CM245" i="1"/>
  <c r="CM50" i="1"/>
  <c r="CS36" i="1" l="1"/>
  <c r="CS46" i="1"/>
  <c r="AA22" i="1"/>
  <c r="AA21" i="1" s="1"/>
  <c r="CS30" i="1"/>
  <c r="CU272" i="1"/>
  <c r="CU29" i="1"/>
  <c r="CU250" i="1"/>
  <c r="CS244" i="1"/>
  <c r="CW272" i="1"/>
  <c r="CR167" i="1"/>
  <c r="CQ175" i="1"/>
  <c r="AB42" i="1"/>
  <c r="AB45" i="1" s="1"/>
  <c r="AB46" i="1" s="1"/>
  <c r="CN217" i="1"/>
  <c r="CR175" i="1"/>
  <c r="CR37" i="1"/>
  <c r="CR38" i="1"/>
  <c r="CR34" i="1"/>
  <c r="CV272" i="1"/>
  <c r="CV250" i="1"/>
  <c r="CV29" i="1"/>
  <c r="CQ34" i="1"/>
  <c r="CQ37" i="1"/>
  <c r="CQ167" i="1"/>
  <c r="CO131" i="1"/>
  <c r="CO269" i="1"/>
  <c r="CO270" i="1" s="1"/>
  <c r="AB117" i="1"/>
  <c r="AB207" i="1"/>
  <c r="CQ38" i="1"/>
  <c r="AB34" i="1"/>
  <c r="AB35" i="1" s="1"/>
  <c r="AB20" i="1" s="1"/>
  <c r="AB19" i="1" s="1"/>
  <c r="CM217" i="1"/>
  <c r="CO176" i="1"/>
  <c r="CO215" i="1"/>
  <c r="CO245" i="1"/>
  <c r="AC27" i="1"/>
  <c r="CV117" i="1"/>
  <c r="CV118" i="1" s="1"/>
  <c r="CV121" i="1" s="1"/>
  <c r="AB30" i="1"/>
  <c r="AB77" i="1"/>
  <c r="AB163" i="1"/>
  <c r="CP167" i="1"/>
  <c r="CS163" i="1"/>
  <c r="CS34" i="1"/>
  <c r="CS171" i="1"/>
  <c r="CS31" i="1"/>
  <c r="CS164" i="1"/>
  <c r="CS172" i="1"/>
  <c r="CS165" i="1"/>
  <c r="CS42" i="1"/>
  <c r="CT117" i="1"/>
  <c r="CT118" i="1" s="1"/>
  <c r="CT121" i="1" s="1"/>
  <c r="CO216" i="1"/>
  <c r="CO49" i="1"/>
  <c r="CO251" i="1"/>
  <c r="CO252" i="1" s="1"/>
  <c r="CO53" i="1"/>
  <c r="CO50" i="1"/>
  <c r="CO48" i="1"/>
  <c r="CP37" i="1"/>
  <c r="CP38" i="1"/>
  <c r="CT250" i="1"/>
  <c r="CT29" i="1"/>
  <c r="AB171" i="1"/>
  <c r="AB175" i="1" s="1"/>
  <c r="CP175" i="1"/>
  <c r="CU117" i="1"/>
  <c r="CU118" i="1" s="1"/>
  <c r="CU121" i="1" s="1"/>
  <c r="CU36" i="1" l="1"/>
  <c r="CU46" i="1"/>
  <c r="CV36" i="1"/>
  <c r="CV46" i="1"/>
  <c r="AC272" i="1"/>
  <c r="AC18" i="1"/>
  <c r="CT36" i="1"/>
  <c r="CT46" i="1"/>
  <c r="CU30" i="1"/>
  <c r="CV30" i="1"/>
  <c r="CT30" i="1"/>
  <c r="CY250" i="1"/>
  <c r="CU42" i="1"/>
  <c r="CU163" i="1"/>
  <c r="CU171" i="1"/>
  <c r="CU164" i="1"/>
  <c r="CU172" i="1"/>
  <c r="CU165" i="1"/>
  <c r="CU31" i="1"/>
  <c r="CQ216" i="1"/>
  <c r="CV163" i="1"/>
  <c r="CV37" i="1"/>
  <c r="CV171" i="1"/>
  <c r="CR216" i="1"/>
  <c r="CR176" i="1"/>
  <c r="CR251" i="1"/>
  <c r="CR252" i="1" s="1"/>
  <c r="CR48" i="1"/>
  <c r="CR53" i="1"/>
  <c r="CR49" i="1"/>
  <c r="CV165" i="1"/>
  <c r="CV164" i="1"/>
  <c r="CV42" i="1"/>
  <c r="CV31" i="1"/>
  <c r="CV172" i="1"/>
  <c r="CQ53" i="1"/>
  <c r="CQ48" i="1"/>
  <c r="CQ49" i="1"/>
  <c r="CR50" i="1"/>
  <c r="CR269" i="1"/>
  <c r="CR270" i="1" s="1"/>
  <c r="CQ251" i="1"/>
  <c r="CQ252" i="1" s="1"/>
  <c r="CR215" i="1"/>
  <c r="CQ176" i="1"/>
  <c r="AB37" i="1"/>
  <c r="CP131" i="1"/>
  <c r="CP269" i="1"/>
  <c r="CP270" i="1" s="1"/>
  <c r="CQ269" i="1"/>
  <c r="CQ270" i="1" s="1"/>
  <c r="CS175" i="1"/>
  <c r="CS216" i="1" s="1"/>
  <c r="CV244" i="1"/>
  <c r="CP216" i="1"/>
  <c r="CP251" i="1"/>
  <c r="CP252" i="1" s="1"/>
  <c r="CP49" i="1"/>
  <c r="CP50" i="1"/>
  <c r="CP48" i="1"/>
  <c r="CP53" i="1"/>
  <c r="CT244" i="1"/>
  <c r="CP245" i="1"/>
  <c r="CU244" i="1"/>
  <c r="CR245" i="1"/>
  <c r="CQ245" i="1"/>
  <c r="CS269" i="1"/>
  <c r="CS270" i="1" s="1"/>
  <c r="CS37" i="1"/>
  <c r="CS38" i="1"/>
  <c r="AC29" i="1"/>
  <c r="CO217" i="1"/>
  <c r="CW250" i="1"/>
  <c r="CW29" i="1"/>
  <c r="CQ131" i="1"/>
  <c r="CW117" i="1"/>
  <c r="CW118" i="1" s="1"/>
  <c r="CW121" i="1" s="1"/>
  <c r="CS167" i="1"/>
  <c r="CT163" i="1"/>
  <c r="CT172" i="1"/>
  <c r="AC172" i="1" s="1"/>
  <c r="AC202" i="1" s="1"/>
  <c r="CT34" i="1"/>
  <c r="AC34" i="1" s="1"/>
  <c r="CT164" i="1"/>
  <c r="AC164" i="1" s="1"/>
  <c r="AC199" i="1" s="1"/>
  <c r="CT171" i="1"/>
  <c r="CT42" i="1"/>
  <c r="CT31" i="1"/>
  <c r="CT165" i="1"/>
  <c r="AC165" i="1" s="1"/>
  <c r="AB78" i="1"/>
  <c r="AB36" i="1"/>
  <c r="AB47" i="1"/>
  <c r="CQ50" i="1"/>
  <c r="CQ215" i="1"/>
  <c r="CP176" i="1"/>
  <c r="CP215" i="1"/>
  <c r="AB204" i="1"/>
  <c r="AB203" i="1" s="1"/>
  <c r="AB216" i="1"/>
  <c r="CR131" i="1"/>
  <c r="AB167" i="1"/>
  <c r="AB198" i="1"/>
  <c r="CW36" i="1" l="1"/>
  <c r="CW46" i="1"/>
  <c r="AB269" i="1"/>
  <c r="AB270" i="1" s="1"/>
  <c r="AB22" i="1"/>
  <c r="AB21" i="1" s="1"/>
  <c r="CW30" i="1"/>
  <c r="CU34" i="1"/>
  <c r="CU37" i="1"/>
  <c r="CU167" i="1"/>
  <c r="CY272" i="1"/>
  <c r="CY29" i="1"/>
  <c r="CY46" i="1" s="1"/>
  <c r="CU175" i="1"/>
  <c r="CW244" i="1"/>
  <c r="DA272" i="1"/>
  <c r="CQ217" i="1"/>
  <c r="AC42" i="1"/>
  <c r="AC45" i="1" s="1"/>
  <c r="AC46" i="1" s="1"/>
  <c r="CV167" i="1"/>
  <c r="CV34" i="1"/>
  <c r="CV38" i="1"/>
  <c r="CV175" i="1"/>
  <c r="CZ272" i="1"/>
  <c r="CZ250" i="1"/>
  <c r="CZ29" i="1"/>
  <c r="CR217" i="1"/>
  <c r="CX117" i="1"/>
  <c r="CX118" i="1" s="1"/>
  <c r="CX121" i="1" s="1"/>
  <c r="CX272" i="1"/>
  <c r="CP217" i="1"/>
  <c r="AC117" i="1"/>
  <c r="AC207" i="1"/>
  <c r="AB49" i="1"/>
  <c r="CT167" i="1"/>
  <c r="CT215" i="1" s="1"/>
  <c r="AC163" i="1"/>
  <c r="CS176" i="1"/>
  <c r="CS215" i="1"/>
  <c r="CS217" i="1" s="1"/>
  <c r="CY117" i="1"/>
  <c r="CY118" i="1" s="1"/>
  <c r="CY121" i="1" s="1"/>
  <c r="CS50" i="1"/>
  <c r="CS48" i="1"/>
  <c r="CS53" i="1"/>
  <c r="CS251" i="1"/>
  <c r="CS252" i="1" s="1"/>
  <c r="CS49" i="1"/>
  <c r="AB176" i="1"/>
  <c r="AB201" i="1"/>
  <c r="AB215" i="1"/>
  <c r="AB217" i="1" s="1"/>
  <c r="AB79" i="1"/>
  <c r="AB53" i="1"/>
  <c r="AB131" i="1"/>
  <c r="AB48" i="1"/>
  <c r="CW34" i="1"/>
  <c r="CW171" i="1"/>
  <c r="CW163" i="1"/>
  <c r="CW31" i="1"/>
  <c r="CW165" i="1"/>
  <c r="CW164" i="1"/>
  <c r="CW172" i="1"/>
  <c r="CW42" i="1"/>
  <c r="CT175" i="1"/>
  <c r="AC171" i="1"/>
  <c r="AC175" i="1" s="1"/>
  <c r="CS131" i="1"/>
  <c r="CK264" i="1"/>
  <c r="CK246" i="1"/>
  <c r="CK253" i="1"/>
  <c r="CS245" i="1"/>
  <c r="CT38" i="1"/>
  <c r="CT37" i="1"/>
  <c r="AC30" i="1"/>
  <c r="AC35" i="1"/>
  <c r="AC20" i="1" s="1"/>
  <c r="AC19" i="1" s="1"/>
  <c r="AC77" i="1"/>
  <c r="CX250" i="1"/>
  <c r="CX29" i="1"/>
  <c r="CZ117" i="1"/>
  <c r="CZ118" i="1" s="1"/>
  <c r="CZ121" i="1" s="1"/>
  <c r="CU38" i="1"/>
  <c r="AD27" i="1"/>
  <c r="CU176" i="1" l="1"/>
  <c r="CZ36" i="1"/>
  <c r="CZ46" i="1"/>
  <c r="CX36" i="1"/>
  <c r="CX46" i="1"/>
  <c r="AD272" i="1"/>
  <c r="AD18" i="1"/>
  <c r="CY30" i="1"/>
  <c r="CY36" i="1"/>
  <c r="CZ172" i="1"/>
  <c r="CZ30" i="1"/>
  <c r="CX30" i="1"/>
  <c r="CU49" i="1"/>
  <c r="CU251" i="1"/>
  <c r="CU252" i="1" s="1"/>
  <c r="CU48" i="1"/>
  <c r="CU53" i="1"/>
  <c r="CY164" i="1"/>
  <c r="CV215" i="1"/>
  <c r="CY172" i="1"/>
  <c r="CY165" i="1"/>
  <c r="CY171" i="1"/>
  <c r="CY163" i="1"/>
  <c r="CZ244" i="1"/>
  <c r="CV269" i="1"/>
  <c r="CV270" i="1" s="1"/>
  <c r="CV53" i="1"/>
  <c r="CV251" i="1"/>
  <c r="CV252" i="1" s="1"/>
  <c r="CV48" i="1"/>
  <c r="CV50" i="1"/>
  <c r="CV49" i="1"/>
  <c r="CZ42" i="1"/>
  <c r="CZ163" i="1"/>
  <c r="CZ31" i="1"/>
  <c r="CZ171" i="1"/>
  <c r="CZ165" i="1"/>
  <c r="CZ164" i="1"/>
  <c r="CV176" i="1"/>
  <c r="CV216" i="1"/>
  <c r="AC37" i="1"/>
  <c r="CU131" i="1"/>
  <c r="CT269" i="1"/>
  <c r="CT270" i="1" s="1"/>
  <c r="CU269" i="1"/>
  <c r="CU270" i="1" s="1"/>
  <c r="CW175" i="1"/>
  <c r="CW216" i="1" s="1"/>
  <c r="CX244" i="1"/>
  <c r="CY244" i="1"/>
  <c r="CY31" i="1"/>
  <c r="CU216" i="1"/>
  <c r="CT216" i="1"/>
  <c r="CT217" i="1" s="1"/>
  <c r="CK212" i="1"/>
  <c r="CK214" i="1" s="1"/>
  <c r="CK218" i="1" s="1"/>
  <c r="CK232" i="1" s="1"/>
  <c r="CK138" i="1"/>
  <c r="CV245" i="1"/>
  <c r="AC47" i="1"/>
  <c r="AC78" i="1"/>
  <c r="AC36" i="1"/>
  <c r="CW167" i="1"/>
  <c r="CT245" i="1"/>
  <c r="AC198" i="1"/>
  <c r="AC167" i="1"/>
  <c r="DA250" i="1"/>
  <c r="DA29" i="1"/>
  <c r="CT176" i="1"/>
  <c r="CU215" i="1"/>
  <c r="CX163" i="1"/>
  <c r="CX164" i="1"/>
  <c r="AD164" i="1" s="1"/>
  <c r="AD199" i="1" s="1"/>
  <c r="CX172" i="1"/>
  <c r="AD172" i="1" s="1"/>
  <c r="AD202" i="1" s="1"/>
  <c r="CX171" i="1"/>
  <c r="CX31" i="1"/>
  <c r="CX42" i="1"/>
  <c r="CX165" i="1"/>
  <c r="AD165" i="1" s="1"/>
  <c r="CT53" i="1"/>
  <c r="CT49" i="1"/>
  <c r="CT48" i="1"/>
  <c r="CT251" i="1"/>
  <c r="CT252" i="1" s="1"/>
  <c r="CT50" i="1"/>
  <c r="CW38" i="1"/>
  <c r="CW37" i="1"/>
  <c r="CU245" i="1"/>
  <c r="CU50" i="1"/>
  <c r="AD29" i="1"/>
  <c r="DA117" i="1"/>
  <c r="DA118" i="1" s="1"/>
  <c r="DA121" i="1" s="1"/>
  <c r="AC204" i="1"/>
  <c r="AC203" i="1" s="1"/>
  <c r="AC216" i="1"/>
  <c r="AB200" i="1"/>
  <c r="AB205" i="1"/>
  <c r="AB208" i="1" s="1"/>
  <c r="AB209" i="1" s="1"/>
  <c r="CT131" i="1"/>
  <c r="CV131" i="1"/>
  <c r="DA36" i="1" l="1"/>
  <c r="DA46" i="1"/>
  <c r="AC269" i="1"/>
  <c r="AC270" i="1" s="1"/>
  <c r="AC22" i="1"/>
  <c r="AC21" i="1" s="1"/>
  <c r="CZ175" i="1"/>
  <c r="CY175" i="1"/>
  <c r="CY167" i="1"/>
  <c r="DA244" i="1"/>
  <c r="DA30" i="1"/>
  <c r="CY34" i="1"/>
  <c r="CY37" i="1"/>
  <c r="CV217" i="1"/>
  <c r="CY38" i="1"/>
  <c r="CY42" i="1"/>
  <c r="AD42" i="1"/>
  <c r="AD45" i="1" s="1"/>
  <c r="AD46" i="1" s="1"/>
  <c r="CZ167" i="1"/>
  <c r="CZ34" i="1"/>
  <c r="CZ37" i="1"/>
  <c r="CZ38" i="1"/>
  <c r="CW245" i="1"/>
  <c r="CW269" i="1"/>
  <c r="CW270" i="1" s="1"/>
  <c r="DB117" i="1"/>
  <c r="DB118" i="1" s="1"/>
  <c r="DB121" i="1" s="1"/>
  <c r="DB272" i="1"/>
  <c r="AD117" i="1"/>
  <c r="AD207" i="1"/>
  <c r="CU217" i="1"/>
  <c r="AC49" i="1"/>
  <c r="AD171" i="1"/>
  <c r="AD175" i="1" s="1"/>
  <c r="CX175" i="1"/>
  <c r="DA171" i="1"/>
  <c r="DA172" i="1"/>
  <c r="DA164" i="1"/>
  <c r="DA163" i="1"/>
  <c r="DA42" i="1"/>
  <c r="DA31" i="1"/>
  <c r="DA165" i="1"/>
  <c r="CK139" i="1"/>
  <c r="CL226" i="1" s="1"/>
  <c r="CL224" i="1" s="1"/>
  <c r="CX38" i="1"/>
  <c r="CX37" i="1"/>
  <c r="AC201" i="1"/>
  <c r="AC176" i="1"/>
  <c r="AC215" i="1"/>
  <c r="AC217" i="1" s="1"/>
  <c r="AC53" i="1"/>
  <c r="AC79" i="1"/>
  <c r="AC48" i="1"/>
  <c r="AC131" i="1"/>
  <c r="DB29" i="1"/>
  <c r="DB250" i="1"/>
  <c r="CW176" i="1"/>
  <c r="CW215" i="1"/>
  <c r="CW217" i="1" s="1"/>
  <c r="AD163" i="1"/>
  <c r="CX167" i="1"/>
  <c r="AD77" i="1"/>
  <c r="AD30" i="1"/>
  <c r="CW53" i="1"/>
  <c r="CW49" i="1"/>
  <c r="CW251" i="1"/>
  <c r="CW252" i="1" s="1"/>
  <c r="CW50" i="1"/>
  <c r="CW48" i="1"/>
  <c r="CW131" i="1"/>
  <c r="CX34" i="1"/>
  <c r="AD34" i="1" s="1"/>
  <c r="AD35" i="1" s="1"/>
  <c r="AD20" i="1" s="1"/>
  <c r="AD19" i="1" s="1"/>
  <c r="AE27" i="1"/>
  <c r="CY176" i="1" l="1"/>
  <c r="CZ216" i="1"/>
  <c r="DB36" i="1"/>
  <c r="DB46" i="1"/>
  <c r="AE272" i="1"/>
  <c r="AE18" i="1"/>
  <c r="DB244" i="1"/>
  <c r="DB30" i="1"/>
  <c r="CY53" i="1"/>
  <c r="CY49" i="1"/>
  <c r="CY48" i="1"/>
  <c r="CY251" i="1"/>
  <c r="CY252" i="1" s="1"/>
  <c r="CY269" i="1"/>
  <c r="CY270" i="1" s="1"/>
  <c r="CK73" i="1"/>
  <c r="CK111" i="1"/>
  <c r="CZ215" i="1"/>
  <c r="CZ176" i="1"/>
  <c r="CZ269" i="1"/>
  <c r="CZ270" i="1" s="1"/>
  <c r="CZ48" i="1"/>
  <c r="CZ251" i="1"/>
  <c r="CZ252" i="1" s="1"/>
  <c r="CZ50" i="1"/>
  <c r="CZ53" i="1"/>
  <c r="CZ49" i="1"/>
  <c r="AD37" i="1"/>
  <c r="CZ131" i="1"/>
  <c r="CX269" i="1"/>
  <c r="CX270" i="1" s="1"/>
  <c r="CY245" i="1"/>
  <c r="CY50" i="1"/>
  <c r="CZ245" i="1"/>
  <c r="CX245" i="1"/>
  <c r="CY131" i="1"/>
  <c r="CX131" i="1"/>
  <c r="DA167" i="1"/>
  <c r="DA215" i="1" s="1"/>
  <c r="AD36" i="1"/>
  <c r="AD78" i="1"/>
  <c r="AD47" i="1"/>
  <c r="CY215" i="1"/>
  <c r="CX176" i="1"/>
  <c r="CY216" i="1"/>
  <c r="CX216" i="1"/>
  <c r="AD204" i="1"/>
  <c r="AD203" i="1" s="1"/>
  <c r="AD216" i="1"/>
  <c r="CG108" i="1"/>
  <c r="DA38" i="1"/>
  <c r="DA37" i="1"/>
  <c r="DA269" i="1"/>
  <c r="DA270" i="1" s="1"/>
  <c r="CX215" i="1"/>
  <c r="CX53" i="1"/>
  <c r="CX49" i="1"/>
  <c r="CX48" i="1"/>
  <c r="CX251" i="1"/>
  <c r="CX252" i="1" s="1"/>
  <c r="CX50" i="1"/>
  <c r="AD198" i="1"/>
  <c r="AD167" i="1"/>
  <c r="CK226" i="1"/>
  <c r="CK224" i="1" s="1"/>
  <c r="CK229" i="1" s="1"/>
  <c r="CK148" i="1"/>
  <c r="CK74" i="1" s="1"/>
  <c r="AC200" i="1"/>
  <c r="AC205" i="1"/>
  <c r="AC208" i="1" s="1"/>
  <c r="AC209" i="1" s="1"/>
  <c r="DA34" i="1"/>
  <c r="DB164" i="1"/>
  <c r="AE164" i="1" s="1"/>
  <c r="AE199" i="1" s="1"/>
  <c r="DB34" i="1"/>
  <c r="DB163" i="1"/>
  <c r="DB42" i="1"/>
  <c r="DB172" i="1"/>
  <c r="AE172" i="1" s="1"/>
  <c r="AE202" i="1" s="1"/>
  <c r="DB31" i="1"/>
  <c r="DB165" i="1"/>
  <c r="AE165" i="1" s="1"/>
  <c r="DB171" i="1"/>
  <c r="AE29" i="1"/>
  <c r="DA175" i="1"/>
  <c r="CZ217" i="1" l="1"/>
  <c r="AD269" i="1"/>
  <c r="AD270" i="1" s="1"/>
  <c r="AD22" i="1"/>
  <c r="AD21" i="1" s="1"/>
  <c r="CK114" i="1"/>
  <c r="CK115" i="1"/>
  <c r="CK113" i="1"/>
  <c r="AE42" i="1"/>
  <c r="AE45" i="1" s="1"/>
  <c r="AE46" i="1" s="1"/>
  <c r="AE117" i="1"/>
  <c r="AE207" i="1"/>
  <c r="AD49" i="1"/>
  <c r="DA176" i="1"/>
  <c r="CK179" i="1"/>
  <c r="CK180" i="1" s="1"/>
  <c r="CL228" i="1" s="1"/>
  <c r="CL229" i="1" s="1"/>
  <c r="CL230" i="1" s="1"/>
  <c r="DB38" i="1"/>
  <c r="DB269" i="1"/>
  <c r="DB270" i="1" s="1"/>
  <c r="DB37" i="1"/>
  <c r="CX217" i="1"/>
  <c r="CY217" i="1"/>
  <c r="AD176" i="1"/>
  <c r="AD201" i="1"/>
  <c r="AD215" i="1"/>
  <c r="AD217" i="1" s="1"/>
  <c r="DB167" i="1"/>
  <c r="AE163" i="1"/>
  <c r="DA53" i="1"/>
  <c r="DA48" i="1"/>
  <c r="DA49" i="1"/>
  <c r="DA50" i="1"/>
  <c r="DA251" i="1"/>
  <c r="DA252" i="1" s="1"/>
  <c r="AD53" i="1"/>
  <c r="AD48" i="1"/>
  <c r="AD131" i="1"/>
  <c r="AD79" i="1"/>
  <c r="AE30" i="1"/>
  <c r="AE77" i="1"/>
  <c r="AE34" i="1"/>
  <c r="AE35" i="1" s="1"/>
  <c r="DA131" i="1"/>
  <c r="DA245" i="1"/>
  <c r="AE171" i="1"/>
  <c r="AE175" i="1" s="1"/>
  <c r="DB175" i="1"/>
  <c r="DB216" i="1" s="1"/>
  <c r="DA216" i="1"/>
  <c r="DA217" i="1" s="1"/>
  <c r="AE37" i="1" l="1"/>
  <c r="AE20" i="1"/>
  <c r="AE19" i="1" s="1"/>
  <c r="CK230" i="1"/>
  <c r="CK267" i="1"/>
  <c r="CK263" i="1"/>
  <c r="CK265" i="1"/>
  <c r="AE47" i="1"/>
  <c r="AE22" i="1" s="1"/>
  <c r="AE36" i="1"/>
  <c r="AE78" i="1"/>
  <c r="DB53" i="1"/>
  <c r="DB50" i="1"/>
  <c r="DB251" i="1"/>
  <c r="DB252" i="1" s="1"/>
  <c r="DB48" i="1"/>
  <c r="DB49" i="1"/>
  <c r="DB131" i="1"/>
  <c r="AD205" i="1"/>
  <c r="AD208" i="1" s="1"/>
  <c r="AD209" i="1" s="1"/>
  <c r="AD200" i="1"/>
  <c r="AE167" i="1"/>
  <c r="AE198" i="1"/>
  <c r="CK184" i="1"/>
  <c r="CK187" i="1"/>
  <c r="DB176" i="1"/>
  <c r="DB215" i="1"/>
  <c r="DB217" i="1" s="1"/>
  <c r="AE204" i="1"/>
  <c r="AE203" i="1" s="1"/>
  <c r="AE216" i="1"/>
  <c r="DB245" i="1"/>
  <c r="AE21" i="1" l="1"/>
  <c r="CK128" i="1"/>
  <c r="CL56" i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AE49" i="1"/>
  <c r="AE269" i="1"/>
  <c r="AE270" i="1" s="1"/>
  <c r="CK185" i="1"/>
  <c r="AE176" i="1"/>
  <c r="AE201" i="1"/>
  <c r="AE215" i="1"/>
  <c r="AE217" i="1" s="1"/>
  <c r="AE53" i="1"/>
  <c r="AE48" i="1"/>
  <c r="AE79" i="1"/>
  <c r="AE131" i="1"/>
  <c r="CK129" i="1" l="1"/>
  <c r="CK132" i="1" s="1"/>
  <c r="CK130" i="1"/>
  <c r="CK133" i="1" s="1"/>
  <c r="AE205" i="1"/>
  <c r="AE208" i="1" s="1"/>
  <c r="AE209" i="1" s="1"/>
  <c r="AE200" i="1"/>
  <c r="CM106" i="1" l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H108" i="1"/>
  <c r="CM105" i="1" l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M228" i="1" l="1"/>
  <c r="AB228" i="1"/>
  <c r="CM55" i="1" l="1"/>
  <c r="CM271" i="1" s="1"/>
  <c r="CM57" i="1" l="1"/>
  <c r="CM58" i="1" l="1"/>
  <c r="CM60" i="1" l="1"/>
  <c r="CM62" i="1" l="1"/>
  <c r="CM63" i="1"/>
  <c r="CM253" i="1"/>
  <c r="CM67" i="1"/>
  <c r="CM61" i="1"/>
  <c r="CM264" i="1" s="1"/>
  <c r="CM246" i="1"/>
  <c r="CM212" i="1" l="1"/>
  <c r="CM214" i="1" s="1"/>
  <c r="CM218" i="1" s="1"/>
  <c r="CM232" i="1" s="1"/>
  <c r="CM85" i="1"/>
  <c r="CM138" i="1"/>
  <c r="CM139" i="1" l="1"/>
  <c r="CM88" i="1"/>
  <c r="CM89" i="1" l="1"/>
  <c r="CM97" i="1"/>
  <c r="CI108" i="1"/>
  <c r="CM104" i="1"/>
  <c r="CM98" i="1"/>
  <c r="CM148" i="1"/>
  <c r="CM74" i="1" s="1"/>
  <c r="CM111" i="1"/>
  <c r="CM113" i="1" s="1"/>
  <c r="CM226" i="1"/>
  <c r="CM224" i="1" s="1"/>
  <c r="CM229" i="1" s="1"/>
  <c r="CM73" i="1"/>
  <c r="CM179" i="1" l="1"/>
  <c r="CM180" i="1" s="1"/>
  <c r="CM101" i="1"/>
  <c r="CM127" i="1"/>
  <c r="CM100" i="1"/>
  <c r="CM126" i="1"/>
  <c r="CM230" i="1" l="1"/>
  <c r="CM267" i="1"/>
  <c r="CM265" i="1"/>
  <c r="CM263" i="1"/>
  <c r="CN228" i="1"/>
  <c r="CM184" i="1"/>
  <c r="CM187" i="1"/>
  <c r="CM185" i="1" l="1"/>
  <c r="CN55" i="1"/>
  <c r="CN271" i="1" s="1"/>
  <c r="CM128" i="1"/>
  <c r="CM129" i="1" l="1"/>
  <c r="CM132" i="1" s="1"/>
  <c r="CM130" i="1"/>
  <c r="CM133" i="1" s="1"/>
  <c r="CN57" i="1"/>
  <c r="CN58" i="1" l="1"/>
  <c r="CN60" i="1" s="1"/>
  <c r="CN62" i="1" l="1"/>
  <c r="CN63" i="1"/>
  <c r="CN67" i="1"/>
  <c r="CN253" i="1"/>
  <c r="CN61" i="1"/>
  <c r="CN264" i="1" s="1"/>
  <c r="CN246" i="1"/>
  <c r="CN85" i="1" l="1"/>
  <c r="CN212" i="1"/>
  <c r="CN214" i="1" s="1"/>
  <c r="CN218" i="1" s="1"/>
  <c r="CN232" i="1" s="1"/>
  <c r="CN138" i="1"/>
  <c r="CN88" i="1" l="1"/>
  <c r="CN139" i="1"/>
  <c r="CN89" i="1" l="1"/>
  <c r="CN148" i="1"/>
  <c r="CN74" i="1" s="1"/>
  <c r="CN226" i="1"/>
  <c r="CN224" i="1" s="1"/>
  <c r="CN229" i="1" s="1"/>
  <c r="CN111" i="1"/>
  <c r="CN113" i="1" s="1"/>
  <c r="CN73" i="1"/>
  <c r="CN104" i="1"/>
  <c r="CN97" i="1"/>
  <c r="CN98" i="1"/>
  <c r="CJ108" i="1"/>
  <c r="CN100" i="1" l="1"/>
  <c r="CN126" i="1"/>
  <c r="CN179" i="1"/>
  <c r="CN180" i="1" s="1"/>
  <c r="CN127" i="1"/>
  <c r="CN101" i="1"/>
  <c r="CN230" i="1" l="1"/>
  <c r="CN267" i="1"/>
  <c r="CN265" i="1"/>
  <c r="CN263" i="1"/>
  <c r="CN184" i="1"/>
  <c r="CN187" i="1"/>
  <c r="CO228" i="1"/>
  <c r="CN185" i="1" l="1"/>
  <c r="CO55" i="1"/>
  <c r="CO271" i="1" s="1"/>
  <c r="CN128" i="1"/>
  <c r="CO57" i="1" l="1"/>
  <c r="CN130" i="1"/>
  <c r="CN133" i="1" s="1"/>
  <c r="CN129" i="1"/>
  <c r="CN132" i="1" s="1"/>
  <c r="CO58" i="1" l="1"/>
  <c r="CO60" i="1" l="1"/>
  <c r="CO61" i="1" l="1"/>
  <c r="CO264" i="1" s="1"/>
  <c r="CO63" i="1"/>
  <c r="CO62" i="1"/>
  <c r="CO253" i="1"/>
  <c r="CO67" i="1"/>
  <c r="CO246" i="1"/>
  <c r="CO85" i="1" l="1"/>
  <c r="CO212" i="1"/>
  <c r="CO214" i="1" s="1"/>
  <c r="CO218" i="1" s="1"/>
  <c r="CO232" i="1" s="1"/>
  <c r="CO138" i="1"/>
  <c r="CO139" i="1" l="1"/>
  <c r="CO88" i="1"/>
  <c r="CK108" i="1" s="1"/>
  <c r="CO89" i="1" l="1"/>
  <c r="CO98" i="1"/>
  <c r="CO104" i="1"/>
  <c r="CO97" i="1"/>
  <c r="CO111" i="1"/>
  <c r="CO113" i="1" s="1"/>
  <c r="CO226" i="1"/>
  <c r="CO224" i="1" s="1"/>
  <c r="CO229" i="1" s="1"/>
  <c r="CO148" i="1"/>
  <c r="CO74" i="1" s="1"/>
  <c r="CO73" i="1"/>
  <c r="CO179" i="1" l="1"/>
  <c r="CO180" i="1" s="1"/>
  <c r="CO100" i="1"/>
  <c r="CO126" i="1"/>
  <c r="CO127" i="1"/>
  <c r="CO101" i="1"/>
  <c r="CO230" i="1" l="1"/>
  <c r="CO265" i="1"/>
  <c r="CO263" i="1"/>
  <c r="CO267" i="1"/>
  <c r="CO184" i="1"/>
  <c r="CO187" i="1"/>
  <c r="CP228" i="1"/>
  <c r="CP55" i="1" l="1"/>
  <c r="CP271" i="1" s="1"/>
  <c r="CO128" i="1"/>
  <c r="CO185" i="1"/>
  <c r="CO130" i="1" l="1"/>
  <c r="CO133" i="1" s="1"/>
  <c r="CO129" i="1"/>
  <c r="CO132" i="1" s="1"/>
  <c r="CP57" i="1"/>
  <c r="AB55" i="1"/>
  <c r="AB56" i="1" l="1"/>
  <c r="AB271" i="1"/>
  <c r="AB57" i="1"/>
  <c r="CP58" i="1"/>
  <c r="AB58" i="1" s="1"/>
  <c r="AB59" i="1" l="1"/>
  <c r="CP60" i="1"/>
  <c r="CP61" i="1" s="1"/>
  <c r="CP264" i="1" s="1"/>
  <c r="AB60" i="1"/>
  <c r="CP62" i="1" l="1"/>
  <c r="CP246" i="1"/>
  <c r="CP253" i="1"/>
  <c r="CP67" i="1"/>
  <c r="CP138" i="1" s="1"/>
  <c r="CP63" i="1"/>
  <c r="AB62" i="1"/>
  <c r="AB67" i="1"/>
  <c r="AB61" i="1"/>
  <c r="AB264" i="1" s="1"/>
  <c r="AB80" i="1"/>
  <c r="CP212" i="1" l="1"/>
  <c r="CP214" i="1" s="1"/>
  <c r="CP218" i="1" s="1"/>
  <c r="CP232" i="1" s="1"/>
  <c r="CP85" i="1"/>
  <c r="CP88" i="1" s="1"/>
  <c r="CL108" i="1" s="1"/>
  <c r="AB138" i="1"/>
  <c r="AB139" i="1" s="1"/>
  <c r="AB73" i="1" s="1"/>
  <c r="CP139" i="1"/>
  <c r="AB70" i="1"/>
  <c r="AB71" i="1" s="1"/>
  <c r="AB212" i="1"/>
  <c r="AB214" i="1" s="1"/>
  <c r="AB218" i="1" s="1"/>
  <c r="AB232" i="1" s="1"/>
  <c r="CP89" i="1" l="1"/>
  <c r="AB148" i="1"/>
  <c r="AB74" i="1" s="1"/>
  <c r="AB194" i="1"/>
  <c r="AB226" i="1"/>
  <c r="AB224" i="1" s="1"/>
  <c r="AB229" i="1" s="1"/>
  <c r="CP97" i="1"/>
  <c r="CP104" i="1"/>
  <c r="CP98" i="1"/>
  <c r="CP226" i="1"/>
  <c r="CP224" i="1" s="1"/>
  <c r="CP229" i="1" s="1"/>
  <c r="CP148" i="1"/>
  <c r="CP74" i="1" s="1"/>
  <c r="CP111" i="1"/>
  <c r="CP113" i="1" s="1"/>
  <c r="CP73" i="1"/>
  <c r="CP179" i="1" l="1"/>
  <c r="CP100" i="1"/>
  <c r="CP126" i="1"/>
  <c r="AB97" i="1"/>
  <c r="CP127" i="1"/>
  <c r="CP101" i="1"/>
  <c r="AB98" i="1"/>
  <c r="AB101" i="1" l="1"/>
  <c r="CP180" i="1"/>
  <c r="AB179" i="1"/>
  <c r="AB180" i="1" s="1"/>
  <c r="AB100" i="1"/>
  <c r="AB267" i="1" l="1"/>
  <c r="AB265" i="1"/>
  <c r="AB263" i="1"/>
  <c r="CP265" i="1"/>
  <c r="CP263" i="1"/>
  <c r="CP267" i="1"/>
  <c r="CP184" i="1"/>
  <c r="CQ228" i="1"/>
  <c r="CP187" i="1"/>
  <c r="CP230" i="1"/>
  <c r="AB187" i="1"/>
  <c r="AB128" i="1" s="1"/>
  <c r="AB184" i="1"/>
  <c r="AC228" i="1"/>
  <c r="AB230" i="1"/>
  <c r="AB185" i="1" l="1"/>
  <c r="CP128" i="1"/>
  <c r="CQ55" i="1"/>
  <c r="CQ271" i="1" s="1"/>
  <c r="CP185" i="1"/>
  <c r="CQ57" i="1" l="1"/>
  <c r="CP129" i="1"/>
  <c r="CP132" i="1" s="1"/>
  <c r="CP130" i="1"/>
  <c r="CP133" i="1" s="1"/>
  <c r="CQ58" i="1" l="1"/>
  <c r="CQ60" i="1" s="1"/>
  <c r="CQ67" i="1" l="1"/>
  <c r="CQ61" i="1"/>
  <c r="CQ264" i="1" s="1"/>
  <c r="CQ62" i="1"/>
  <c r="CQ63" i="1"/>
  <c r="CQ253" i="1"/>
  <c r="CQ246" i="1"/>
  <c r="CQ85" i="1" l="1"/>
  <c r="CQ212" i="1"/>
  <c r="CQ214" i="1" s="1"/>
  <c r="CQ218" i="1" s="1"/>
  <c r="CQ232" i="1" s="1"/>
  <c r="CQ138" i="1"/>
  <c r="CQ139" i="1" l="1"/>
  <c r="CQ88" i="1"/>
  <c r="CQ89" i="1" l="1"/>
  <c r="CQ98" i="1"/>
  <c r="CQ97" i="1"/>
  <c r="CQ104" i="1"/>
  <c r="CQ148" i="1"/>
  <c r="CQ74" i="1" s="1"/>
  <c r="CQ226" i="1"/>
  <c r="CQ224" i="1" s="1"/>
  <c r="CQ229" i="1" s="1"/>
  <c r="CQ111" i="1"/>
  <c r="CQ113" i="1" s="1"/>
  <c r="CQ73" i="1"/>
  <c r="CQ179" i="1" l="1"/>
  <c r="CQ180" i="1" s="1"/>
  <c r="CQ230" i="1" s="1"/>
  <c r="CQ126" i="1"/>
  <c r="CQ100" i="1"/>
  <c r="CQ127" i="1"/>
  <c r="CQ101" i="1"/>
  <c r="CQ267" i="1" l="1"/>
  <c r="CQ265" i="1"/>
  <c r="CQ263" i="1"/>
  <c r="CQ187" i="1"/>
  <c r="CR228" i="1"/>
  <c r="CQ184" i="1"/>
  <c r="CQ185" i="1" l="1"/>
  <c r="CQ128" i="1"/>
  <c r="CR55" i="1"/>
  <c r="CR271" i="1" s="1"/>
  <c r="CR57" i="1" l="1"/>
  <c r="CQ129" i="1"/>
  <c r="CQ132" i="1" s="1"/>
  <c r="CQ130" i="1"/>
  <c r="CQ133" i="1" s="1"/>
  <c r="CR58" i="1" l="1"/>
  <c r="CR60" i="1" s="1"/>
  <c r="CR253" i="1" l="1"/>
  <c r="CR61" i="1"/>
  <c r="CR264" i="1" s="1"/>
  <c r="CR67" i="1"/>
  <c r="CR62" i="1"/>
  <c r="CR63" i="1"/>
  <c r="CR246" i="1"/>
  <c r="CR85" i="1" l="1"/>
  <c r="CR212" i="1"/>
  <c r="CR214" i="1" s="1"/>
  <c r="CR218" i="1" s="1"/>
  <c r="CR232" i="1" s="1"/>
  <c r="CR138" i="1"/>
  <c r="CR139" i="1" l="1"/>
  <c r="CR88" i="1"/>
  <c r="CR89" i="1" l="1"/>
  <c r="CR104" i="1"/>
  <c r="CR97" i="1"/>
  <c r="CR98" i="1"/>
  <c r="CR148" i="1"/>
  <c r="CR74" i="1" s="1"/>
  <c r="CR226" i="1"/>
  <c r="CR224" i="1" s="1"/>
  <c r="CR229" i="1" s="1"/>
  <c r="CR111" i="1"/>
  <c r="CR113" i="1" s="1"/>
  <c r="CR73" i="1"/>
  <c r="CR179" i="1" l="1"/>
  <c r="CR180" i="1" s="1"/>
  <c r="CR127" i="1"/>
  <c r="CR101" i="1"/>
  <c r="CR126" i="1"/>
  <c r="CR100" i="1"/>
  <c r="CR267" i="1" l="1"/>
  <c r="CR265" i="1"/>
  <c r="CR263" i="1"/>
  <c r="CS228" i="1"/>
  <c r="CR187" i="1"/>
  <c r="CR184" i="1"/>
  <c r="CR230" i="1"/>
  <c r="CR185" i="1" l="1"/>
  <c r="CR128" i="1"/>
  <c r="CS55" i="1"/>
  <c r="CS271" i="1" s="1"/>
  <c r="CS57" i="1" l="1"/>
  <c r="CR129" i="1"/>
  <c r="CR132" i="1" s="1"/>
  <c r="CR130" i="1"/>
  <c r="CR133" i="1" s="1"/>
  <c r="CS58" i="1" l="1"/>
  <c r="CS60" i="1" l="1"/>
  <c r="CS67" i="1" l="1"/>
  <c r="CS63" i="1"/>
  <c r="CS253" i="1"/>
  <c r="CS62" i="1"/>
  <c r="CS61" i="1"/>
  <c r="CS264" i="1" s="1"/>
  <c r="CS246" i="1"/>
  <c r="CS85" i="1" l="1"/>
  <c r="CS212" i="1"/>
  <c r="CS214" i="1" s="1"/>
  <c r="CS218" i="1" s="1"/>
  <c r="CS232" i="1" s="1"/>
  <c r="CS138" i="1"/>
  <c r="CS139" i="1" l="1"/>
  <c r="CS88" i="1"/>
  <c r="CS89" i="1" l="1"/>
  <c r="CS97" i="1"/>
  <c r="CS98" i="1"/>
  <c r="CS104" i="1"/>
  <c r="CS148" i="1"/>
  <c r="CS74" i="1" s="1"/>
  <c r="CS111" i="1"/>
  <c r="CS113" i="1" s="1"/>
  <c r="CS226" i="1"/>
  <c r="CS224" i="1" s="1"/>
  <c r="CS229" i="1" s="1"/>
  <c r="CS73" i="1"/>
  <c r="CS179" i="1" l="1"/>
  <c r="CS180" i="1" s="1"/>
  <c r="CS127" i="1"/>
  <c r="CS101" i="1"/>
  <c r="CS126" i="1"/>
  <c r="CS100" i="1"/>
  <c r="CS265" i="1" l="1"/>
  <c r="CS267" i="1"/>
  <c r="CS263" i="1"/>
  <c r="CT228" i="1"/>
  <c r="CS184" i="1"/>
  <c r="CS187" i="1"/>
  <c r="CS230" i="1"/>
  <c r="CT55" i="1" l="1"/>
  <c r="CT271" i="1" s="1"/>
  <c r="CS128" i="1"/>
  <c r="CS185" i="1"/>
  <c r="CS130" i="1" l="1"/>
  <c r="CS133" i="1" s="1"/>
  <c r="CS129" i="1"/>
  <c r="CS132" i="1" s="1"/>
  <c r="CT57" i="1"/>
  <c r="AC55" i="1"/>
  <c r="AC56" i="1" l="1"/>
  <c r="AC271" i="1"/>
  <c r="AC57" i="1"/>
  <c r="CT58" i="1"/>
  <c r="AC58" i="1" s="1"/>
  <c r="AC59" i="1" l="1"/>
  <c r="CT60" i="1"/>
  <c r="CT63" i="1" s="1"/>
  <c r="AC60" i="1"/>
  <c r="CT62" i="1" l="1"/>
  <c r="CT67" i="1"/>
  <c r="CT253" i="1"/>
  <c r="CT246" i="1"/>
  <c r="CT61" i="1"/>
  <c r="CT264" i="1" s="1"/>
  <c r="AC62" i="1"/>
  <c r="AC61" i="1"/>
  <c r="AC264" i="1" s="1"/>
  <c r="AC80" i="1"/>
  <c r="AC67" i="1"/>
  <c r="CT138" i="1" l="1"/>
  <c r="CT85" i="1"/>
  <c r="CT88" i="1" s="1"/>
  <c r="CT212" i="1"/>
  <c r="CT214" i="1" s="1"/>
  <c r="CT218" i="1" s="1"/>
  <c r="CT232" i="1" s="1"/>
  <c r="AC70" i="1"/>
  <c r="AC71" i="1" s="1"/>
  <c r="AC212" i="1"/>
  <c r="AC214" i="1" s="1"/>
  <c r="AC218" i="1" s="1"/>
  <c r="AC232" i="1" s="1"/>
  <c r="CT139" i="1" l="1"/>
  <c r="AC138" i="1"/>
  <c r="AC139" i="1" s="1"/>
  <c r="AC148" i="1" s="1"/>
  <c r="AC74" i="1" s="1"/>
  <c r="CT89" i="1"/>
  <c r="CT104" i="1"/>
  <c r="CT97" i="1"/>
  <c r="CT98" i="1"/>
  <c r="CT148" i="1" l="1"/>
  <c r="CT74" i="1" s="1"/>
  <c r="CT111" i="1"/>
  <c r="CT113" i="1" s="1"/>
  <c r="CT226" i="1"/>
  <c r="CT224" i="1" s="1"/>
  <c r="CT229" i="1" s="1"/>
  <c r="CT179" i="1" s="1"/>
  <c r="CT73" i="1"/>
  <c r="AC73" i="1"/>
  <c r="AC226" i="1"/>
  <c r="AC224" i="1" s="1"/>
  <c r="AC229" i="1" s="1"/>
  <c r="AC194" i="1"/>
  <c r="CT126" i="1"/>
  <c r="CT100" i="1"/>
  <c r="AC97" i="1"/>
  <c r="CT127" i="1"/>
  <c r="CT101" i="1"/>
  <c r="AC98" i="1"/>
  <c r="AC100" i="1" l="1"/>
  <c r="CT180" i="1"/>
  <c r="AC179" i="1"/>
  <c r="AC180" i="1" s="1"/>
  <c r="AC101" i="1"/>
  <c r="CT265" i="1" l="1"/>
  <c r="CT267" i="1"/>
  <c r="CT263" i="1"/>
  <c r="AC267" i="1"/>
  <c r="AC265" i="1"/>
  <c r="AC263" i="1"/>
  <c r="CU228" i="1"/>
  <c r="CT184" i="1"/>
  <c r="CT187" i="1"/>
  <c r="CT230" i="1"/>
  <c r="AD228" i="1"/>
  <c r="AC187" i="1"/>
  <c r="AC128" i="1" s="1"/>
  <c r="AC184" i="1"/>
  <c r="AC230" i="1"/>
  <c r="AC185" i="1" l="1"/>
  <c r="CT185" i="1"/>
  <c r="CT128" i="1"/>
  <c r="CU55" i="1"/>
  <c r="CU271" i="1" s="1"/>
  <c r="CU57" i="1" l="1"/>
  <c r="CT129" i="1"/>
  <c r="CT132" i="1" s="1"/>
  <c r="CT130" i="1"/>
  <c r="CT133" i="1" s="1"/>
  <c r="CU58" i="1" l="1"/>
  <c r="CU60" i="1" s="1"/>
  <c r="CU61" i="1" l="1"/>
  <c r="CU264" i="1" s="1"/>
  <c r="CU62" i="1"/>
  <c r="CU63" i="1"/>
  <c r="CU67" i="1"/>
  <c r="CU253" i="1"/>
  <c r="CU246" i="1"/>
  <c r="CU212" i="1" l="1"/>
  <c r="CU214" i="1" s="1"/>
  <c r="CU218" i="1" s="1"/>
  <c r="CU232" i="1" s="1"/>
  <c r="CU85" i="1"/>
  <c r="CU138" i="1"/>
  <c r="CU139" i="1" l="1"/>
  <c r="CU88" i="1"/>
  <c r="CU89" i="1" l="1"/>
  <c r="CU104" i="1"/>
  <c r="CU98" i="1"/>
  <c r="CU97" i="1"/>
  <c r="CU148" i="1"/>
  <c r="CU74" i="1" s="1"/>
  <c r="CU226" i="1"/>
  <c r="CU224" i="1" s="1"/>
  <c r="CU229" i="1" s="1"/>
  <c r="CU111" i="1"/>
  <c r="CU113" i="1" s="1"/>
  <c r="CU73" i="1"/>
  <c r="CU179" i="1" l="1"/>
  <c r="CU180" i="1" s="1"/>
  <c r="CU126" i="1"/>
  <c r="CU100" i="1"/>
  <c r="CU127" i="1"/>
  <c r="CU101" i="1"/>
  <c r="CU267" i="1" l="1"/>
  <c r="CU263" i="1"/>
  <c r="CU265" i="1"/>
  <c r="CU184" i="1"/>
  <c r="CU187" i="1"/>
  <c r="CV228" i="1"/>
  <c r="CU230" i="1"/>
  <c r="CU185" i="1" l="1"/>
  <c r="CV55" i="1"/>
  <c r="CV271" i="1" s="1"/>
  <c r="CU128" i="1"/>
  <c r="CU129" i="1" l="1"/>
  <c r="CU132" i="1" s="1"/>
  <c r="CU130" i="1"/>
  <c r="CU133" i="1" s="1"/>
  <c r="CV57" i="1"/>
  <c r="CV58" i="1" l="1"/>
  <c r="CV60" i="1" l="1"/>
  <c r="CV67" i="1" l="1"/>
  <c r="CV253" i="1"/>
  <c r="CV61" i="1"/>
  <c r="CV264" i="1" s="1"/>
  <c r="CV63" i="1"/>
  <c r="CV62" i="1"/>
  <c r="CV246" i="1"/>
  <c r="CV212" i="1" l="1"/>
  <c r="CV214" i="1" s="1"/>
  <c r="CV218" i="1" s="1"/>
  <c r="CV232" i="1" s="1"/>
  <c r="CV85" i="1"/>
  <c r="CV138" i="1"/>
  <c r="CV139" i="1" l="1"/>
  <c r="CV88" i="1"/>
  <c r="CV89" i="1" l="1"/>
  <c r="CV97" i="1"/>
  <c r="CV98" i="1"/>
  <c r="CV104" i="1"/>
  <c r="CV111" i="1"/>
  <c r="CV113" i="1" s="1"/>
  <c r="CV148" i="1"/>
  <c r="CV74" i="1" s="1"/>
  <c r="CV226" i="1"/>
  <c r="CV224" i="1" s="1"/>
  <c r="CV229" i="1" s="1"/>
  <c r="CV73" i="1"/>
  <c r="CV179" i="1" l="1"/>
  <c r="CV180" i="1" s="1"/>
  <c r="CV127" i="1"/>
  <c r="CV101" i="1"/>
  <c r="CV126" i="1"/>
  <c r="CV100" i="1"/>
  <c r="CV265" i="1" l="1"/>
  <c r="CV263" i="1"/>
  <c r="CV267" i="1"/>
  <c r="CV187" i="1"/>
  <c r="CW228" i="1"/>
  <c r="CV184" i="1"/>
  <c r="CV230" i="1"/>
  <c r="CV185" i="1" l="1"/>
  <c r="CV128" i="1"/>
  <c r="CW55" i="1"/>
  <c r="CW271" i="1" s="1"/>
  <c r="CW57" i="1" l="1"/>
  <c r="CV130" i="1"/>
  <c r="CV133" i="1" s="1"/>
  <c r="CV129" i="1"/>
  <c r="CV132" i="1" s="1"/>
  <c r="CW58" i="1" l="1"/>
  <c r="CW60" i="1" l="1"/>
  <c r="CW61" i="1" l="1"/>
  <c r="CW264" i="1" s="1"/>
  <c r="CW63" i="1"/>
  <c r="CW67" i="1"/>
  <c r="CW62" i="1"/>
  <c r="CW253" i="1"/>
  <c r="CW246" i="1"/>
  <c r="CW212" i="1" l="1"/>
  <c r="CW214" i="1" s="1"/>
  <c r="CW218" i="1" s="1"/>
  <c r="CW232" i="1" s="1"/>
  <c r="CW85" i="1"/>
  <c r="CW138" i="1"/>
  <c r="CW139" i="1" l="1"/>
  <c r="CW88" i="1"/>
  <c r="CW89" i="1" l="1"/>
  <c r="CW104" i="1"/>
  <c r="CW98" i="1"/>
  <c r="CW97" i="1"/>
  <c r="CW226" i="1"/>
  <c r="CW224" i="1" s="1"/>
  <c r="CW229" i="1" s="1"/>
  <c r="CW148" i="1"/>
  <c r="CW74" i="1" s="1"/>
  <c r="CW111" i="1"/>
  <c r="CW113" i="1" s="1"/>
  <c r="CW73" i="1"/>
  <c r="CW179" i="1" l="1"/>
  <c r="CW180" i="1" s="1"/>
  <c r="CW126" i="1"/>
  <c r="CW100" i="1"/>
  <c r="CW127" i="1"/>
  <c r="CW101" i="1"/>
  <c r="CW265" i="1" l="1"/>
  <c r="CW263" i="1"/>
  <c r="CW267" i="1"/>
  <c r="CW184" i="1"/>
  <c r="CX228" i="1"/>
  <c r="CW187" i="1"/>
  <c r="CW230" i="1"/>
  <c r="CX55" i="1" l="1"/>
  <c r="CX271" i="1" s="1"/>
  <c r="CW128" i="1"/>
  <c r="CW185" i="1"/>
  <c r="CW129" i="1" l="1"/>
  <c r="CW132" i="1" s="1"/>
  <c r="CW130" i="1"/>
  <c r="CW133" i="1" s="1"/>
  <c r="CX57" i="1"/>
  <c r="AD55" i="1"/>
  <c r="AD56" i="1" l="1"/>
  <c r="AD271" i="1"/>
  <c r="AD57" i="1"/>
  <c r="CX58" i="1"/>
  <c r="AD58" i="1" s="1"/>
  <c r="AD59" i="1" l="1"/>
  <c r="CX60" i="1"/>
  <c r="CX246" i="1" s="1"/>
  <c r="AD60" i="1"/>
  <c r="CX63" i="1" l="1"/>
  <c r="CX253" i="1"/>
  <c r="CX67" i="1"/>
  <c r="CX61" i="1"/>
  <c r="CX264" i="1" s="1"/>
  <c r="CX62" i="1"/>
  <c r="AD62" i="1"/>
  <c r="AD80" i="1"/>
  <c r="AD67" i="1"/>
  <c r="AD61" i="1"/>
  <c r="AD264" i="1" s="1"/>
  <c r="CX85" i="1" l="1"/>
  <c r="CX88" i="1" s="1"/>
  <c r="CX212" i="1"/>
  <c r="CX214" i="1" s="1"/>
  <c r="CX218" i="1" s="1"/>
  <c r="CX232" i="1" s="1"/>
  <c r="CX138" i="1"/>
  <c r="AD70" i="1"/>
  <c r="AD71" i="1" s="1"/>
  <c r="AD212" i="1"/>
  <c r="AD214" i="1" s="1"/>
  <c r="AD218" i="1" s="1"/>
  <c r="AD232" i="1" s="1"/>
  <c r="AD138" i="1" l="1"/>
  <c r="AD139" i="1" s="1"/>
  <c r="CX139" i="1"/>
  <c r="CX226" i="1" s="1"/>
  <c r="CX224" i="1" s="1"/>
  <c r="CX229" i="1" s="1"/>
  <c r="CX89" i="1"/>
  <c r="CX97" i="1"/>
  <c r="CX104" i="1"/>
  <c r="CX98" i="1"/>
  <c r="AD194" i="1" l="1"/>
  <c r="AD148" i="1"/>
  <c r="AD74" i="1" s="1"/>
  <c r="AD73" i="1"/>
  <c r="AD226" i="1"/>
  <c r="AD224" i="1" s="1"/>
  <c r="AD229" i="1" s="1"/>
  <c r="CX148" i="1"/>
  <c r="CX74" i="1" s="1"/>
  <c r="CX111" i="1"/>
  <c r="CX113" i="1" s="1"/>
  <c r="CX73" i="1"/>
  <c r="CX179" i="1"/>
  <c r="CX101" i="1"/>
  <c r="CX127" i="1"/>
  <c r="AD98" i="1"/>
  <c r="CX126" i="1"/>
  <c r="CX100" i="1"/>
  <c r="AD97" i="1"/>
  <c r="AD101" i="1" l="1"/>
  <c r="AD100" i="1"/>
  <c r="CX180" i="1"/>
  <c r="AD179" i="1"/>
  <c r="AD180" i="1" s="1"/>
  <c r="AD267" i="1" l="1"/>
  <c r="AD265" i="1"/>
  <c r="AD263" i="1"/>
  <c r="CX267" i="1"/>
  <c r="CX265" i="1"/>
  <c r="CX263" i="1"/>
  <c r="AE228" i="1"/>
  <c r="AD184" i="1"/>
  <c r="AD187" i="1"/>
  <c r="AD128" i="1" s="1"/>
  <c r="AD230" i="1"/>
  <c r="CY228" i="1"/>
  <c r="CX184" i="1"/>
  <c r="CX187" i="1"/>
  <c r="CX230" i="1"/>
  <c r="AD185" i="1" l="1"/>
  <c r="CX128" i="1"/>
  <c r="CY55" i="1"/>
  <c r="CY271" i="1" s="1"/>
  <c r="CX185" i="1"/>
  <c r="CY57" i="1" l="1"/>
  <c r="CX129" i="1"/>
  <c r="CX132" i="1" s="1"/>
  <c r="CX130" i="1"/>
  <c r="CX133" i="1" s="1"/>
  <c r="CY58" i="1" l="1"/>
  <c r="CY60" i="1" l="1"/>
  <c r="CY61" i="1" l="1"/>
  <c r="CY264" i="1" s="1"/>
  <c r="CY253" i="1"/>
  <c r="CY62" i="1"/>
  <c r="CY63" i="1"/>
  <c r="CY67" i="1"/>
  <c r="CY246" i="1"/>
  <c r="CY85" i="1" l="1"/>
  <c r="CY212" i="1"/>
  <c r="CY214" i="1" s="1"/>
  <c r="CY218" i="1" s="1"/>
  <c r="CY232" i="1" s="1"/>
  <c r="CY138" i="1"/>
  <c r="CY139" i="1" l="1"/>
  <c r="CY88" i="1"/>
  <c r="CY89" i="1" s="1"/>
  <c r="CY97" i="1" l="1"/>
  <c r="CY104" i="1"/>
  <c r="CY98" i="1"/>
  <c r="CY111" i="1"/>
  <c r="CY113" i="1" s="1"/>
  <c r="CY148" i="1"/>
  <c r="CY74" i="1" s="1"/>
  <c r="CY226" i="1"/>
  <c r="CY224" i="1" s="1"/>
  <c r="CY229" i="1" s="1"/>
  <c r="CY73" i="1"/>
  <c r="CY179" i="1" l="1"/>
  <c r="CY180" i="1" s="1"/>
  <c r="CY127" i="1"/>
  <c r="CY101" i="1"/>
  <c r="CY100" i="1"/>
  <c r="CY126" i="1"/>
  <c r="CY230" i="1" l="1"/>
  <c r="CY267" i="1"/>
  <c r="CY265" i="1"/>
  <c r="CY263" i="1"/>
  <c r="CZ228" i="1"/>
  <c r="CY184" i="1"/>
  <c r="CY187" i="1"/>
  <c r="CY185" i="1" l="1"/>
  <c r="CZ55" i="1"/>
  <c r="CZ271" i="1" s="1"/>
  <c r="CY128" i="1"/>
  <c r="CY130" i="1" l="1"/>
  <c r="CY133" i="1" s="1"/>
  <c r="CY129" i="1"/>
  <c r="CY132" i="1" s="1"/>
  <c r="CZ57" i="1"/>
  <c r="CZ58" i="1" l="1"/>
  <c r="CZ60" i="1" l="1"/>
  <c r="CZ253" i="1" l="1"/>
  <c r="CZ62" i="1"/>
  <c r="CZ61" i="1"/>
  <c r="CZ264" i="1" s="1"/>
  <c r="CZ63" i="1"/>
  <c r="CZ67" i="1"/>
  <c r="CZ246" i="1"/>
  <c r="CZ212" i="1" l="1"/>
  <c r="CZ214" i="1" s="1"/>
  <c r="CZ218" i="1" s="1"/>
  <c r="CZ232" i="1" s="1"/>
  <c r="CZ85" i="1"/>
  <c r="CZ138" i="1"/>
  <c r="CZ139" i="1" l="1"/>
  <c r="CZ88" i="1"/>
  <c r="CZ89" i="1" s="1"/>
  <c r="CZ104" i="1" l="1"/>
  <c r="CZ98" i="1"/>
  <c r="CZ97" i="1"/>
  <c r="CZ148" i="1"/>
  <c r="CZ74" i="1" s="1"/>
  <c r="CZ226" i="1"/>
  <c r="CZ224" i="1" s="1"/>
  <c r="CZ229" i="1" s="1"/>
  <c r="CZ111" i="1"/>
  <c r="CZ113" i="1" s="1"/>
  <c r="CZ73" i="1"/>
  <c r="CZ179" i="1" l="1"/>
  <c r="CZ180" i="1" s="1"/>
  <c r="CZ126" i="1"/>
  <c r="CZ100" i="1"/>
  <c r="CZ101" i="1"/>
  <c r="CZ127" i="1"/>
  <c r="CZ265" i="1" l="1"/>
  <c r="CZ263" i="1"/>
  <c r="CZ267" i="1"/>
  <c r="CZ184" i="1"/>
  <c r="CZ187" i="1"/>
  <c r="DA228" i="1"/>
  <c r="CZ230" i="1"/>
  <c r="CZ128" i="1" l="1"/>
  <c r="DA55" i="1"/>
  <c r="DA271" i="1" s="1"/>
  <c r="CZ185" i="1"/>
  <c r="DA57" i="1" l="1"/>
  <c r="CZ129" i="1"/>
  <c r="CZ132" i="1" s="1"/>
  <c r="CZ130" i="1"/>
  <c r="CZ133" i="1" s="1"/>
  <c r="DA58" i="1" l="1"/>
  <c r="DA60" i="1" l="1"/>
  <c r="DA253" i="1" l="1"/>
  <c r="DA67" i="1"/>
  <c r="DA62" i="1"/>
  <c r="DA63" i="1"/>
  <c r="DA61" i="1"/>
  <c r="DA264" i="1" s="1"/>
  <c r="DA246" i="1"/>
  <c r="DA85" i="1" l="1"/>
  <c r="DA212" i="1"/>
  <c r="DA214" i="1" s="1"/>
  <c r="DA218" i="1" s="1"/>
  <c r="DA232" i="1" s="1"/>
  <c r="DA138" i="1"/>
  <c r="DA139" i="1" l="1"/>
  <c r="DA88" i="1"/>
  <c r="DA89" i="1" s="1"/>
  <c r="DA98" i="1" l="1"/>
  <c r="DA97" i="1"/>
  <c r="DA104" i="1"/>
  <c r="DA148" i="1"/>
  <c r="DA74" i="1" s="1"/>
  <c r="DA226" i="1"/>
  <c r="DA224" i="1" s="1"/>
  <c r="DA229" i="1" s="1"/>
  <c r="DA111" i="1"/>
  <c r="DA113" i="1" s="1"/>
  <c r="DA73" i="1"/>
  <c r="DA179" i="1" l="1"/>
  <c r="DA180" i="1" s="1"/>
  <c r="DA126" i="1"/>
  <c r="DA100" i="1"/>
  <c r="DA101" i="1"/>
  <c r="DA127" i="1"/>
  <c r="DA230" i="1" l="1"/>
  <c r="DA267" i="1"/>
  <c r="DA263" i="1"/>
  <c r="DA265" i="1"/>
  <c r="DA187" i="1"/>
  <c r="DB228" i="1"/>
  <c r="DA184" i="1"/>
  <c r="DA185" i="1" l="1"/>
  <c r="DA128" i="1"/>
  <c r="DB55" i="1"/>
  <c r="DB271" i="1" s="1"/>
  <c r="DA130" i="1" l="1"/>
  <c r="DA133" i="1" s="1"/>
  <c r="DA129" i="1"/>
  <c r="DA132" i="1" s="1"/>
  <c r="DB57" i="1"/>
  <c r="AE55" i="1"/>
  <c r="AE56" i="1" l="1"/>
  <c r="AE271" i="1"/>
  <c r="AE57" i="1"/>
  <c r="DB58" i="1"/>
  <c r="AE58" i="1" s="1"/>
  <c r="AE59" i="1" l="1"/>
  <c r="DB60" i="1"/>
  <c r="AE60" i="1"/>
  <c r="AE62" i="1" s="1"/>
  <c r="AE61" i="1" l="1"/>
  <c r="AE264" i="1" s="1"/>
  <c r="AE67" i="1"/>
  <c r="AE80" i="1"/>
  <c r="DB62" i="1"/>
  <c r="DB63" i="1"/>
  <c r="DB253" i="1"/>
  <c r="DB61" i="1"/>
  <c r="DB264" i="1" s="1"/>
  <c r="DB67" i="1"/>
  <c r="DB246" i="1"/>
  <c r="AE70" i="1" l="1"/>
  <c r="AE71" i="1" s="1"/>
  <c r="AE212" i="1"/>
  <c r="AE214" i="1" s="1"/>
  <c r="AE218" i="1" s="1"/>
  <c r="AE232" i="1" s="1"/>
  <c r="DB212" i="1"/>
  <c r="DB214" i="1" s="1"/>
  <c r="DB218" i="1" s="1"/>
  <c r="DB232" i="1" s="1"/>
  <c r="DB85" i="1"/>
  <c r="DB88" i="1" s="1"/>
  <c r="DB89" i="1" s="1"/>
  <c r="DB138" i="1"/>
  <c r="AE138" i="1" l="1"/>
  <c r="AE139" i="1" s="1"/>
  <c r="DB139" i="1"/>
  <c r="DB98" i="1"/>
  <c r="DB97" i="1"/>
  <c r="DB104" i="1"/>
  <c r="DB126" i="1" l="1"/>
  <c r="DB100" i="1"/>
  <c r="AE97" i="1"/>
  <c r="DB127" i="1"/>
  <c r="DB101" i="1"/>
  <c r="AE98" i="1"/>
  <c r="DB226" i="1"/>
  <c r="DB224" i="1" s="1"/>
  <c r="DB229" i="1" s="1"/>
  <c r="DB148" i="1"/>
  <c r="DB74" i="1" s="1"/>
  <c r="DB111" i="1"/>
  <c r="DB113" i="1" s="1"/>
  <c r="DB73" i="1"/>
  <c r="AE226" i="1"/>
  <c r="AE224" i="1" s="1"/>
  <c r="AE229" i="1" s="1"/>
  <c r="AE148" i="1"/>
  <c r="AE74" i="1" s="1"/>
  <c r="AE194" i="1"/>
  <c r="AE73" i="1"/>
  <c r="AE101" i="1" l="1"/>
  <c r="AE100" i="1"/>
  <c r="DB179" i="1"/>
  <c r="AE179" i="1" l="1"/>
  <c r="AE180" i="1" s="1"/>
  <c r="DB180" i="1"/>
  <c r="DB263" i="1" l="1"/>
  <c r="DB267" i="1"/>
  <c r="DB265" i="1"/>
  <c r="AE265" i="1"/>
  <c r="AE263" i="1"/>
  <c r="AE267" i="1"/>
  <c r="DB184" i="1"/>
  <c r="DB187" i="1"/>
  <c r="DB128" i="1" s="1"/>
  <c r="DB230" i="1"/>
  <c r="AE187" i="1"/>
  <c r="AE128" i="1" s="1"/>
  <c r="AE184" i="1"/>
  <c r="AE230" i="1"/>
  <c r="AE185" i="1" l="1"/>
  <c r="DB129" i="1"/>
  <c r="DB132" i="1" s="1"/>
  <c r="DB130" i="1"/>
  <c r="DB133" i="1" s="1"/>
  <c r="DB185" i="1"/>
  <c r="W6" i="1" l="1"/>
  <c r="AA82" i="1" l="1"/>
  <c r="AB82" i="1"/>
  <c r="AA84" i="1"/>
  <c r="AA85" i="1"/>
  <c r="AA88" i="1"/>
  <c r="AA89" i="1"/>
  <c r="AA105" i="1"/>
  <c r="AA104" i="1"/>
  <c r="AA126" i="1"/>
  <c r="AA129" i="1"/>
  <c r="AA132" i="1"/>
  <c r="AA106" i="1"/>
  <c r="AA127" i="1"/>
  <c r="AA130" i="1"/>
  <c r="AA133" i="1"/>
  <c r="AA118" i="1"/>
  <c r="AA111" i="1"/>
  <c r="AA122" i="1"/>
  <c r="AA123" i="1"/>
  <c r="AA121" i="1"/>
  <c r="AA115" i="1"/>
  <c r="AA114" i="1"/>
  <c r="AA113" i="1"/>
  <c r="AA87" i="1"/>
  <c r="Z82" i="1"/>
  <c r="Y82" i="1"/>
  <c r="X82" i="1"/>
  <c r="W82" i="1"/>
  <c r="V82" i="1"/>
  <c r="V84" i="1"/>
  <c r="V85" i="1"/>
  <c r="V88" i="1"/>
  <c r="U108" i="1"/>
  <c r="X84" i="1"/>
  <c r="X127" i="1"/>
  <c r="X130" i="1"/>
  <c r="X133" i="1"/>
  <c r="X85" i="1"/>
  <c r="X88" i="1"/>
  <c r="X104" i="1"/>
  <c r="X106" i="1"/>
  <c r="X105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I84" i="1"/>
  <c r="I118" i="1"/>
  <c r="Q84" i="1"/>
  <c r="Q118" i="1"/>
  <c r="U84" i="1"/>
  <c r="U118" i="1"/>
  <c r="R84" i="1"/>
  <c r="R118" i="1"/>
  <c r="N84" i="1"/>
  <c r="N85" i="1"/>
  <c r="N88" i="1"/>
  <c r="H82" i="1"/>
  <c r="H84" i="1"/>
  <c r="H118" i="1"/>
  <c r="G82" i="1"/>
  <c r="G84" i="1"/>
  <c r="G85" i="1"/>
  <c r="G88" i="1"/>
  <c r="T84" i="1"/>
  <c r="T85" i="1"/>
  <c r="T88" i="1"/>
  <c r="R85" i="1"/>
  <c r="R88" i="1"/>
  <c r="K84" i="1"/>
  <c r="I123" i="1"/>
  <c r="T87" i="1"/>
  <c r="L84" i="1"/>
  <c r="L111" i="1"/>
  <c r="L114" i="1"/>
  <c r="L115" i="1"/>
  <c r="R122" i="1"/>
  <c r="H121" i="1"/>
  <c r="Y84" i="1"/>
  <c r="F82" i="1"/>
  <c r="N126" i="1"/>
  <c r="R104" i="1"/>
  <c r="G89" i="1"/>
  <c r="N89" i="1"/>
  <c r="U122" i="1"/>
  <c r="K127" i="1"/>
  <c r="X126" i="1"/>
  <c r="K130" i="1"/>
  <c r="I126" i="1"/>
  <c r="G126" i="1"/>
  <c r="N111" i="1"/>
  <c r="R111" i="1"/>
  <c r="T111" i="1"/>
  <c r="T113" i="1"/>
  <c r="R123" i="1"/>
  <c r="S108" i="1"/>
  <c r="R114" i="1"/>
  <c r="R127" i="1"/>
  <c r="V118" i="1"/>
  <c r="Q111" i="1"/>
  <c r="G105" i="1"/>
  <c r="H123" i="1"/>
  <c r="N87" i="1"/>
  <c r="N104" i="1"/>
  <c r="Q85" i="1"/>
  <c r="Q122" i="1"/>
  <c r="R115" i="1"/>
  <c r="G104" i="1"/>
  <c r="M84" i="1"/>
  <c r="M85" i="1"/>
  <c r="M87" i="1"/>
  <c r="K133" i="1"/>
  <c r="V87" i="1"/>
  <c r="AC82" i="1"/>
  <c r="AD82" i="1"/>
  <c r="AE82" i="1"/>
  <c r="AE84" i="1"/>
  <c r="AE118" i="1"/>
  <c r="AE121" i="1"/>
  <c r="V105" i="1"/>
  <c r="Q87" i="1"/>
  <c r="S84" i="1"/>
  <c r="S126" i="1"/>
  <c r="S129" i="1"/>
  <c r="AD84" i="1"/>
  <c r="AD118" i="1"/>
  <c r="AD122" i="1"/>
  <c r="X111" i="1"/>
  <c r="I129" i="1"/>
  <c r="U85" i="1"/>
  <c r="R87" i="1"/>
  <c r="G111" i="1"/>
  <c r="Z84" i="1"/>
  <c r="Z111" i="1"/>
  <c r="Z114" i="1"/>
  <c r="L85" i="1"/>
  <c r="L88" i="1"/>
  <c r="L105" i="1"/>
  <c r="W108" i="1"/>
  <c r="F108" i="1"/>
  <c r="K126" i="1"/>
  <c r="X129" i="1"/>
  <c r="E82" i="1"/>
  <c r="E84" i="1"/>
  <c r="R105" i="1"/>
  <c r="E111" i="1"/>
  <c r="AB84" i="1"/>
  <c r="AB111" i="1"/>
  <c r="AB113" i="1"/>
  <c r="Z85" i="1"/>
  <c r="Z88" i="1"/>
  <c r="Z89" i="1"/>
  <c r="AA83" i="1"/>
  <c r="AB83" i="1"/>
  <c r="Z83" i="1"/>
  <c r="Y83" i="1"/>
  <c r="X83" i="1"/>
  <c r="U111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X118" i="1"/>
  <c r="X121" i="1"/>
  <c r="AE126" i="1"/>
  <c r="AE129" i="1"/>
  <c r="AE132" i="1"/>
  <c r="H111" i="1"/>
  <c r="I122" i="1"/>
  <c r="U123" i="1"/>
  <c r="I85" i="1"/>
  <c r="I88" i="1"/>
  <c r="I89" i="1"/>
  <c r="T115" i="1"/>
  <c r="V106" i="1"/>
  <c r="K118" i="1"/>
  <c r="Y111" i="1"/>
  <c r="L118" i="1"/>
  <c r="I127" i="1"/>
  <c r="N105" i="1"/>
  <c r="H127" i="1"/>
  <c r="V127" i="1"/>
  <c r="I130" i="1"/>
  <c r="V123" i="1"/>
  <c r="Y85" i="1"/>
  <c r="Y88" i="1"/>
  <c r="Y105" i="1"/>
  <c r="R126" i="1"/>
  <c r="R106" i="1"/>
  <c r="T89" i="1"/>
  <c r="R113" i="1"/>
  <c r="R89" i="1"/>
  <c r="K85" i="1"/>
  <c r="K88" i="1"/>
  <c r="K105" i="1"/>
  <c r="K89" i="1"/>
  <c r="K106" i="1"/>
  <c r="H85" i="1"/>
  <c r="H88" i="1"/>
  <c r="H106" i="1"/>
  <c r="H104" i="1"/>
  <c r="O84" i="1"/>
  <c r="H126" i="1"/>
  <c r="H129" i="1"/>
  <c r="K111" i="1"/>
  <c r="K113" i="1"/>
  <c r="M118" i="1"/>
  <c r="M122" i="1"/>
  <c r="AD85" i="1"/>
  <c r="AD88" i="1"/>
  <c r="AC108" i="1"/>
  <c r="J84" i="1"/>
  <c r="J118" i="1"/>
  <c r="J122" i="1"/>
  <c r="R130" i="1"/>
  <c r="Y127" i="1"/>
  <c r="G106" i="1"/>
  <c r="V89" i="1"/>
  <c r="S85" i="1"/>
  <c r="S88" i="1"/>
  <c r="R121" i="1"/>
  <c r="Q123" i="1"/>
  <c r="AE85" i="1"/>
  <c r="AE88" i="1"/>
  <c r="N106" i="1"/>
  <c r="N113" i="1"/>
  <c r="Q126" i="1"/>
  <c r="Z104" i="1"/>
  <c r="V122" i="1"/>
  <c r="Y113" i="1"/>
  <c r="R133" i="1"/>
  <c r="S111" i="1"/>
  <c r="S127" i="1"/>
  <c r="M108" i="1"/>
  <c r="O118" i="1"/>
  <c r="Z106" i="1"/>
  <c r="AD111" i="1"/>
  <c r="AD114" i="1"/>
  <c r="W84" i="1"/>
  <c r="W118" i="1"/>
  <c r="W122" i="1"/>
  <c r="H132" i="1"/>
  <c r="K122" i="1"/>
  <c r="I105" i="1"/>
  <c r="AB126" i="1"/>
  <c r="T127" i="1"/>
  <c r="AE105" i="1"/>
  <c r="Y118" i="1"/>
  <c r="N129" i="1"/>
  <c r="J121" i="1"/>
  <c r="U88" i="1"/>
  <c r="Y104" i="1"/>
  <c r="X123" i="1"/>
  <c r="T108" i="1"/>
  <c r="F84" i="1"/>
  <c r="F85" i="1"/>
  <c r="F88" i="1"/>
  <c r="F89" i="1"/>
  <c r="W85" i="1"/>
  <c r="W88" i="1"/>
  <c r="V108" i="1"/>
  <c r="U114" i="1"/>
  <c r="V126" i="1"/>
  <c r="J126" i="1"/>
  <c r="N118" i="1"/>
  <c r="X114" i="1"/>
  <c r="H122" i="1"/>
  <c r="I132" i="1"/>
  <c r="K108" i="1"/>
  <c r="G115" i="1"/>
  <c r="AE104" i="1"/>
  <c r="I111" i="1"/>
  <c r="AC84" i="1"/>
  <c r="AC127" i="1"/>
  <c r="AC130" i="1"/>
  <c r="H115" i="1"/>
  <c r="S106" i="1"/>
  <c r="X87" i="1"/>
  <c r="I87" i="1"/>
  <c r="AB115" i="1"/>
  <c r="K114" i="1"/>
  <c r="Y87" i="1"/>
  <c r="I115" i="1"/>
  <c r="X132" i="1"/>
  <c r="H113" i="1"/>
  <c r="AC85" i="1"/>
  <c r="AC88" i="1"/>
  <c r="AC104" i="1"/>
  <c r="R108" i="1"/>
  <c r="O127" i="1"/>
  <c r="O130" i="1"/>
  <c r="O133" i="1"/>
  <c r="T126" i="1"/>
  <c r="T129" i="1"/>
  <c r="T132" i="1"/>
  <c r="AC111" i="1"/>
  <c r="AC114" i="1"/>
  <c r="I113" i="1"/>
  <c r="AE89" i="1"/>
  <c r="AB127" i="1"/>
  <c r="AB130" i="1"/>
  <c r="Z126" i="1"/>
  <c r="J85" i="1"/>
  <c r="H114" i="1"/>
  <c r="X115" i="1"/>
  <c r="Y89" i="1"/>
  <c r="H130" i="1"/>
  <c r="Z118" i="1"/>
  <c r="L121" i="1"/>
  <c r="L87" i="1"/>
  <c r="J111" i="1"/>
  <c r="AD105" i="1"/>
  <c r="Y108" i="1"/>
  <c r="Q121" i="1"/>
  <c r="Q115" i="1"/>
  <c r="L122" i="1"/>
  <c r="AE87" i="1"/>
  <c r="E113" i="1"/>
  <c r="Y130" i="1"/>
  <c r="AD126" i="1"/>
  <c r="E85" i="1"/>
  <c r="M123" i="1"/>
  <c r="E114" i="1"/>
  <c r="U127" i="1"/>
  <c r="Q113" i="1"/>
  <c r="AC126" i="1"/>
  <c r="AC129" i="1"/>
  <c r="T105" i="1"/>
  <c r="G87" i="1"/>
  <c r="J83" i="1"/>
  <c r="I83" i="1"/>
  <c r="I104" i="1"/>
  <c r="S87" i="1"/>
  <c r="H83" i="1"/>
  <c r="G83" i="1"/>
  <c r="AB118" i="1"/>
  <c r="AB122" i="1"/>
  <c r="E126" i="1"/>
  <c r="E129" i="1"/>
  <c r="N114" i="1"/>
  <c r="M126" i="1"/>
  <c r="AE127" i="1"/>
  <c r="AE130" i="1"/>
  <c r="AE133" i="1"/>
  <c r="O85" i="1"/>
  <c r="I106" i="1"/>
  <c r="J127" i="1"/>
  <c r="J130" i="1"/>
  <c r="U126" i="1"/>
  <c r="F127" i="1"/>
  <c r="F130" i="1"/>
  <c r="L127" i="1"/>
  <c r="P84" i="1"/>
  <c r="P85" i="1"/>
  <c r="P88" i="1"/>
  <c r="P106" i="1"/>
  <c r="K104" i="1"/>
  <c r="F133" i="1"/>
  <c r="H108" i="1"/>
  <c r="Q127" i="1"/>
  <c r="F83" i="1"/>
  <c r="G118" i="1"/>
  <c r="Y106" i="1"/>
  <c r="Q129" i="1"/>
  <c r="Q132" i="1"/>
  <c r="P127" i="1"/>
  <c r="T104" i="1"/>
  <c r="AE111" i="1"/>
  <c r="Q108" i="1"/>
  <c r="X113" i="1"/>
  <c r="G129" i="1"/>
  <c r="AD104" i="1"/>
  <c r="W111" i="1"/>
  <c r="G122" i="1"/>
  <c r="I114" i="1"/>
  <c r="F111" i="1"/>
  <c r="Y126" i="1"/>
  <c r="P111" i="1"/>
  <c r="W126" i="1"/>
  <c r="W129" i="1"/>
  <c r="Z122" i="1"/>
  <c r="E132" i="1"/>
  <c r="M88" i="1"/>
  <c r="AE115" i="1"/>
  <c r="L130" i="1"/>
  <c r="H133" i="1"/>
  <c r="S130" i="1"/>
  <c r="M89" i="1"/>
  <c r="T118" i="1"/>
  <c r="AD108" i="1"/>
  <c r="S89" i="1"/>
  <c r="AD113" i="1"/>
  <c r="Z105" i="1"/>
  <c r="Z127" i="1"/>
  <c r="Z130" i="1"/>
  <c r="U121" i="1"/>
  <c r="AE114" i="1"/>
  <c r="AB129" i="1"/>
  <c r="U113" i="1"/>
  <c r="G127" i="1"/>
  <c r="S113" i="1"/>
  <c r="N115" i="1"/>
  <c r="AB114" i="1"/>
  <c r="X122" i="1"/>
  <c r="AB108" i="1"/>
  <c r="AC118" i="1"/>
  <c r="AC121" i="1"/>
  <c r="F118" i="1"/>
  <c r="S132" i="1"/>
  <c r="N122" i="1"/>
  <c r="J115" i="1"/>
  <c r="J129" i="1"/>
  <c r="K121" i="1"/>
  <c r="W121" i="1"/>
  <c r="M104" i="1"/>
  <c r="M129" i="1"/>
  <c r="O126" i="1"/>
  <c r="N132" i="1"/>
  <c r="P130" i="1"/>
  <c r="O111" i="1"/>
  <c r="O114" i="1"/>
  <c r="M105" i="1"/>
  <c r="G132" i="1"/>
  <c r="U105" i="1"/>
  <c r="U89" i="1"/>
  <c r="F105" i="1"/>
  <c r="P126" i="1"/>
  <c r="P129" i="1"/>
  <c r="P132" i="1"/>
  <c r="F121" i="1"/>
  <c r="N127" i="1"/>
  <c r="N130" i="1"/>
  <c r="N133" i="1"/>
  <c r="F122" i="1"/>
  <c r="F123" i="1"/>
  <c r="U106" i="1"/>
  <c r="U104" i="1"/>
  <c r="V104" i="1"/>
  <c r="U115" i="1"/>
  <c r="Q114" i="1"/>
  <c r="J123" i="1"/>
  <c r="M106" i="1"/>
  <c r="W132" i="1"/>
  <c r="AD123" i="1"/>
  <c r="Y122" i="1"/>
  <c r="N121" i="1"/>
  <c r="S115" i="1"/>
  <c r="F106" i="1"/>
  <c r="L126" i="1"/>
  <c r="L129" i="1"/>
  <c r="L132" i="1"/>
  <c r="J114" i="1"/>
  <c r="AC87" i="1"/>
  <c r="AE122" i="1"/>
  <c r="E87" i="1"/>
  <c r="AD87" i="1"/>
  <c r="Z113" i="1"/>
  <c r="O121" i="1"/>
  <c r="J133" i="1"/>
  <c r="AC122" i="1"/>
  <c r="AD115" i="1"/>
  <c r="P89" i="1"/>
  <c r="Z129" i="1"/>
  <c r="Z132" i="1"/>
  <c r="M127" i="1"/>
  <c r="M130" i="1"/>
  <c r="M133" i="1"/>
  <c r="L133" i="1"/>
  <c r="Y123" i="1"/>
  <c r="AC83" i="1"/>
  <c r="AD83" i="1"/>
  <c r="AE83" i="1"/>
  <c r="X108" i="1"/>
  <c r="P118" i="1"/>
  <c r="S105" i="1"/>
  <c r="W104" i="1"/>
  <c r="AC106" i="1"/>
  <c r="G113" i="1"/>
  <c r="AB132" i="1"/>
  <c r="T130" i="1"/>
  <c r="T133" i="1"/>
  <c r="G130" i="1"/>
  <c r="S118" i="1"/>
  <c r="N123" i="1"/>
  <c r="L106" i="1"/>
  <c r="W127" i="1"/>
  <c r="W130" i="1"/>
  <c r="W133" i="1"/>
  <c r="F104" i="1"/>
  <c r="O115" i="1"/>
  <c r="AE106" i="1"/>
  <c r="AB133" i="1"/>
  <c r="J87" i="1"/>
  <c r="Z121" i="1"/>
  <c r="AC89" i="1"/>
  <c r="T123" i="1"/>
  <c r="P87" i="1"/>
  <c r="P113" i="1"/>
  <c r="W106" i="1"/>
  <c r="Y114" i="1"/>
  <c r="Y121" i="1"/>
  <c r="O87" i="1"/>
  <c r="AC113" i="1"/>
  <c r="V129" i="1"/>
  <c r="V132" i="1"/>
  <c r="R129" i="1"/>
  <c r="R132" i="1"/>
  <c r="Q130" i="1"/>
  <c r="Q133" i="1"/>
  <c r="U130" i="1"/>
  <c r="U133" i="1"/>
  <c r="AC105" i="1"/>
  <c r="G133" i="1"/>
  <c r="W105" i="1"/>
  <c r="P115" i="1"/>
  <c r="W123" i="1"/>
  <c r="S114" i="1"/>
  <c r="T122" i="1"/>
  <c r="P122" i="1"/>
  <c r="W89" i="1"/>
  <c r="O122" i="1"/>
  <c r="E108" i="1"/>
  <c r="P114" i="1"/>
  <c r="O123" i="1"/>
  <c r="S123" i="1"/>
  <c r="S121" i="1"/>
  <c r="P123" i="1"/>
  <c r="S122" i="1"/>
  <c r="P121" i="1"/>
  <c r="Q88" i="1"/>
  <c r="AB121" i="1"/>
  <c r="G114" i="1"/>
  <c r="H105" i="1"/>
  <c r="O88" i="1"/>
  <c r="Q89" i="1"/>
  <c r="L113" i="1"/>
  <c r="L123" i="1"/>
  <c r="G108" i="1"/>
  <c r="Y115" i="1"/>
  <c r="X89" i="1"/>
  <c r="Z108" i="1"/>
  <c r="T114" i="1"/>
  <c r="Y129" i="1"/>
  <c r="Y132" i="1"/>
  <c r="Z87" i="1"/>
  <c r="J88" i="1"/>
  <c r="T106" i="1"/>
  <c r="G123" i="1"/>
  <c r="AE123" i="1"/>
  <c r="F114" i="1"/>
  <c r="E127" i="1"/>
  <c r="E130" i="1"/>
  <c r="F126" i="1"/>
  <c r="E118" i="1"/>
  <c r="Z115" i="1"/>
  <c r="M111" i="1"/>
  <c r="E88" i="1"/>
  <c r="U129" i="1"/>
  <c r="K129" i="1"/>
  <c r="K132" i="1"/>
  <c r="AD127" i="1"/>
  <c r="AD130" i="1"/>
  <c r="V121" i="1"/>
  <c r="AB85" i="1"/>
  <c r="AB88" i="1"/>
  <c r="V111" i="1"/>
  <c r="I121" i="1"/>
  <c r="AD121" i="1"/>
  <c r="E122" i="1"/>
  <c r="V130" i="1"/>
  <c r="AC123" i="1"/>
  <c r="AC132" i="1"/>
  <c r="W87" i="1"/>
  <c r="F113" i="1"/>
  <c r="AB87" i="1"/>
  <c r="O113" i="1"/>
  <c r="J106" i="1"/>
  <c r="AC115" i="1"/>
  <c r="F129" i="1"/>
  <c r="F115" i="1"/>
  <c r="J108" i="1"/>
  <c r="P108" i="1"/>
  <c r="AD89" i="1"/>
  <c r="E133" i="1"/>
  <c r="P105" i="1"/>
  <c r="O129" i="1"/>
  <c r="S104" i="1"/>
  <c r="I133" i="1"/>
  <c r="AC133" i="1"/>
  <c r="K115" i="1"/>
  <c r="L89" i="1"/>
  <c r="H89" i="1"/>
  <c r="AD106" i="1"/>
  <c r="U87" i="1"/>
  <c r="J113" i="1"/>
  <c r="E115" i="1"/>
  <c r="O108" i="1"/>
  <c r="E123" i="1"/>
  <c r="T121" i="1"/>
  <c r="H87" i="1"/>
  <c r="E89" i="1"/>
  <c r="K123" i="1"/>
  <c r="AE113" i="1"/>
  <c r="N108" i="1"/>
  <c r="O105" i="1"/>
  <c r="M121" i="1"/>
  <c r="E121" i="1"/>
  <c r="S133" i="1"/>
  <c r="L104" i="1"/>
  <c r="AD129" i="1"/>
  <c r="AD132" i="1"/>
  <c r="J132" i="1"/>
  <c r="O106" i="1"/>
  <c r="K87" i="1"/>
  <c r="E104" i="1"/>
  <c r="AB123" i="1"/>
  <c r="Q105" i="1"/>
  <c r="Y133" i="1"/>
  <c r="J89" i="1"/>
  <c r="Z123" i="1"/>
  <c r="W115" i="1"/>
  <c r="P104" i="1"/>
  <c r="W114" i="1"/>
  <c r="AD133" i="1"/>
  <c r="Z133" i="1"/>
  <c r="Q106" i="1"/>
  <c r="E83" i="1"/>
  <c r="AB106" i="1"/>
  <c r="G121" i="1"/>
  <c r="L108" i="1"/>
  <c r="M132" i="1"/>
  <c r="O132" i="1"/>
  <c r="W113" i="1"/>
  <c r="P133" i="1"/>
  <c r="O89" i="1"/>
  <c r="M114" i="1"/>
  <c r="E105" i="1"/>
  <c r="F132" i="1"/>
  <c r="D108" i="1"/>
  <c r="AA108" i="1"/>
  <c r="J105" i="1"/>
  <c r="Q104" i="1"/>
  <c r="J104" i="1"/>
  <c r="AB105" i="1"/>
  <c r="V114" i="1"/>
  <c r="I108" i="1"/>
  <c r="F87" i="1"/>
  <c r="E106" i="1"/>
  <c r="V113" i="1"/>
  <c r="AB89" i="1"/>
  <c r="U132" i="1"/>
  <c r="O104" i="1"/>
  <c r="V133" i="1"/>
  <c r="V115" i="1"/>
  <c r="M115" i="1"/>
  <c r="M113" i="1"/>
  <c r="AB1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CK14" authorId="0" shapeId="0" xr:uid="{75004151-1739-4D76-B393-7CED39B05EE4}">
      <text>
        <r>
          <rPr>
            <b/>
            <sz val="9"/>
            <color indexed="81"/>
            <rFont val="Tahoma"/>
            <family val="2"/>
          </rPr>
          <t>dhwanil shah:</t>
        </r>
        <r>
          <rPr>
            <sz val="9"/>
            <color indexed="81"/>
            <rFont val="Tahoma"/>
            <family val="2"/>
          </rPr>
          <t xml:space="preserve">
7 lac MT export 
7 di pipes 
rest is domestic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<sst xmlns="http://schemas.openxmlformats.org/spreadsheetml/2006/main" count="693" uniqueCount="553">
  <si>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</si>
  <si>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</si>
  <si>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</si>
  <si>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</si>
  <si>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</si>
  <si>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</si>
  <si>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</si>
  <si>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</si>
  <si>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</si>
  <si>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</si>
  <si>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</si>
  <si>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</si>
  <si>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</si>
  <si>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</si>
  <si>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</si>
  <si>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</si>
  <si>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</si>
  <si>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</si>
  <si>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</si>
  <si>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</si>
  <si>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</si>
  <si>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</si>
  <si>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</si>
  <si>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</si>
  <si>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</si>
  <si>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</si>
  <si>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</si>
  <si>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</si>
  <si>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</si>
  <si>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</si>
  <si>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</si>
  <si>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</si>
  <si>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</si>
  <si>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</si>
  <si>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</si>
  <si>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</si>
  <si>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</si>
  <si>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</si>
  <si>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</si>
  <si>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</si>
  <si>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</si>
  <si>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</si>
  <si>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</si>
  <si>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</si>
  <si>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</si>
  <si>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</si>
  <si>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</si>
  <si>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</si>
  <si>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</si>
  <si>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</si>
  <si>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</si>
  <si>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</si>
  <si>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</si>
  <si>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</si>
  <si>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</si>
  <si>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</si>
  <si>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</si>
  <si>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</si>
  <si>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</si>
  <si>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</si>
  <si>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</si>
  <si>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</si>
  <si>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</si>
  <si>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</si>
  <si>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</si>
  <si>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</si>
  <si>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</si>
  <si>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</si>
  <si>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</si>
  <si>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</si>
  <si>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</si>
  <si>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</si>
  <si>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</si>
  <si>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</si>
  <si>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</si>
  <si>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</si>
  <si>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</si>
  <si>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</si>
  <si>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</si>
  <si>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</si>
  <si>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</si>
  <si>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</si>
  <si>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</si>
  <si>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</si>
  <si>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</si>
  <si>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</si>
  <si>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</si>
  <si>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</si>
  <si>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</si>
  <si>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</si>
  <si>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</si>
  <si>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</si>
  <si>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</si>
  <si>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</si>
  <si>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</si>
  <si>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</si>
  <si>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</si>
  <si>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</si>
  <si>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</si>
  <si>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</si>
  <si>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</si>
  <si>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</si>
  <si>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</si>
  <si>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</si>
  <si>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</si>
  <si>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</si>
  <si>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</si>
  <si>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</si>
  <si>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</si>
  <si>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</si>
  <si>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</si>
  <si>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</si>
  <si>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</si>
  <si>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</si>
  <si>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</si>
  <si>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</si>
  <si>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</si>
  <si>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</si>
  <si>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</si>
  <si>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</si>
  <si>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</si>
  <si>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</si>
  <si>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</si>
  <si>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</si>
  <si>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</si>
  <si>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</si>
  <si>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</si>
  <si>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</si>
  <si>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</si>
  <si>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</si>
  <si>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</si>
  <si>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</si>
  <si>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</si>
  <si>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</si>
  <si>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</si>
  <si>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</si>
  <si>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</si>
  <si>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</si>
  <si>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</si>
  <si>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</si>
  <si>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</si>
  <si>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</si>
  <si>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</si>
  <si>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</si>
  <si>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</si>
  <si>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</si>
  <si>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</si>
  <si>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</si>
  <si>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</si>
  <si>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</si>
  <si>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</si>
  <si>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</si>
  <si>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</si>
  <si>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</si>
  <si>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</si>
  <si>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</si>
  <si>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</si>
  <si>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</si>
  <si>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</si>
  <si>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</si>
  <si>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</si>
  <si>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</si>
  <si>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</si>
  <si>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</si>
  <si>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</si>
  <si>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</si>
  <si>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</si>
  <si>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</si>
  <si>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</si>
  <si>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</si>
  <si>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</si>
  <si>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</si>
  <si>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</si>
  <si>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</si>
  <si>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</si>
  <si>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</si>
  <si>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</si>
  <si>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</si>
  <si>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</si>
  <si>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</si>
  <si>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</si>
  <si>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</si>
  <si>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</si>
  <si>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</si>
  <si>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</si>
  <si>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</si>
  <si>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</si>
  <si>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</si>
  <si>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</si>
  <si>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</si>
  <si>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</si>
  <si>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</si>
  <si>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</si>
  <si>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</si>
  <si>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</si>
  <si>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</si>
  <si>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</si>
  <si>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</si>
  <si>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</si>
  <si>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</si>
  <si>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</si>
  <si>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</si>
  <si>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</si>
  <si>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</si>
  <si>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</si>
  <si>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</si>
  <si>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</si>
  <si>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</si>
  <si>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</si>
  <si>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</si>
  <si>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</si>
  <si>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</si>
  <si>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</si>
  <si>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</si>
  <si>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</si>
  <si>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</si>
  <si>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</si>
  <si>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</si>
  <si>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</si>
  <si>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</si>
  <si>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</si>
  <si>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</si>
  <si>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</si>
  <si>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</si>
  <si>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</si>
  <si>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</si>
  <si>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</si>
  <si>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</si>
  <si>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</si>
  <si>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</si>
  <si>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</si>
  <si>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</si>
  <si>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</si>
  <si>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</si>
  <si>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</si>
  <si>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</si>
  <si>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</si>
  <si>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</si>
  <si>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</si>
  <si>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</si>
  <si>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</si>
  <si>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</si>
  <si>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</si>
  <si>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</si>
  <si>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</si>
  <si>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</si>
  <si>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</si>
  <si>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</si>
  <si>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</si>
  <si>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</si>
  <si>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</si>
  <si>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</si>
  <si>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</si>
  <si>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</si>
  <si>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</si>
  <si>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</si>
  <si>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</si>
  <si>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</si>
  <si>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</si>
  <si>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</si>
  <si>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</si>
  <si>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</si>
  <si>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</si>
  <si>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</si>
  <si>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</si>
  <si>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</si>
  <si>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</si>
  <si>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</si>
  <si>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</si>
  <si>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</si>
  <si>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</si>
  <si>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</si>
  <si>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</si>
  <si>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</si>
  <si>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</si>
  <si>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</si>
  <si>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</si>
  <si>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</si>
  <si>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</si>
  <si>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</si>
  <si>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</si>
  <si>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</si>
  <si>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</si>
  <si>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</si>
  <si>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</si>
  <si>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</si>
  <si>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</si>
  <si>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</si>
  <si>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</si>
  <si>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</si>
  <si>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</si>
  <si>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</si>
  <si>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</si>
  <si>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</si>
  <si>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</si>
  <si>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</si>
  <si>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</si>
  <si>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</si>
  <si>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</si>
  <si>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</si>
  <si>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</si>
  <si>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</si>
  <si>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</si>
  <si>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</si>
  <si>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</si>
  <si>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</si>
  <si>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</si>
  <si>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</si>
  <si>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</si>
  <si>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</si>
  <si>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</si>
  <si>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</si>
  <si>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</si>
  <si>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</si>
  <si>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</si>
  <si>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</si>
  <si>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</si>
  <si>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</si>
  <si>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</si>
  <si>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</si>
  <si>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</si>
  <si>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</si>
  <si>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</si>
  <si>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</si>
  <si>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</si>
  <si>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</si>
  <si>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</si>
  <si>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</si>
  <si>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</si>
  <si>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</si>
  <si>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</si>
  <si>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</si>
  <si>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</si>
  <si>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</si>
  <si>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</si>
  <si>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</si>
  <si>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</si>
  <si>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</si>
  <si>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</si>
  <si>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</si>
  <si>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</si>
  <si>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</si>
  <si>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</si>
  <si>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</si>
  <si>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</si>
  <si>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</si>
  <si>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</si>
  <si>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</si>
  <si>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</si>
  <si>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</si>
  <si>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</si>
  <si>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</si>
  <si>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</si>
  <si>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</si>
  <si>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</si>
  <si>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</si>
  <si>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</si>
  <si>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</si>
  <si>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</si>
  <si>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</si>
  <si>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</si>
  <si>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</si>
  <si>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</si>
  <si>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</si>
  <si>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</si>
  <si>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</si>
  <si>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</si>
  <si>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</si>
  <si>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</si>
  <si>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</si>
  <si>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</si>
  <si>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</si>
  <si>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</si>
  <si>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</si>
  <si>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</si>
  <si>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</si>
  <si>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</si>
  <si>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</si>
  <si>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</si>
  <si>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</si>
  <si>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</si>
  <si>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</si>
  <si>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</si>
  <si>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</si>
  <si>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</si>
  <si>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</si>
  <si>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</si>
  <si>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</si>
  <si>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</si>
  <si>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</si>
  <si>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</si>
  <si>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</si>
  <si>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</si>
  <si>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</si>
  <si>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</si>
  <si>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</si>
  <si>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</si>
  <si>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</si>
  <si>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</si>
  <si>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</si>
  <si>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</si>
  <si>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</si>
  <si>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</si>
  <si>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</si>
  <si>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</si>
  <si>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</si>
  <si>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</si>
  <si>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</si>
  <si>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</si>
  <si>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</si>
  <si>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</si>
  <si>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</si>
  <si>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</si>
  <si>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</si>
  <si>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</si>
  <si>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</si>
  <si>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</si>
  <si>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</si>
  <si>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</si>
  <si>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</si>
  <si>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</si>
  <si>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</si>
  <si>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</si>
  <si>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</si>
  <si>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</si>
  <si>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</si>
  <si>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</si>
  <si>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</si>
  <si>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</si>
  <si>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</si>
  <si>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</si>
  <si>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</si>
  <si>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</si>
  <si>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</si>
  <si>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</si>
  <si>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</si>
  <si>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</si>
  <si>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</si>
  <si>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</si>
  <si>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</si>
  <si>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</si>
  <si>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</si>
  <si>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</si>
  <si>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</si>
  <si>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</si>
  <si>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</si>
  <si>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</si>
  <si>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</si>
  <si>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</si>
  <si>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</si>
  <si>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</si>
  <si>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</si>
  <si>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</si>
  <si>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</si>
  <si>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</si>
  <si>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</si>
  <si>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</si>
  <si>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</si>
  <si>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</si>
  <si>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</si>
  <si>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</si>
  <si>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</si>
  <si>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</si>
  <si>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</si>
  <si>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</si>
  <si>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</si>
  <si>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</si>
  <si>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</si>
  <si>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</si>
  <si>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</si>
  <si>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</si>
  <si>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</si>
  <si>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</si>
  <si>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</si>
  <si>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</si>
  <si>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</si>
  <si>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</si>
  <si>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</si>
  <si>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</si>
  <si>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</si>
  <si>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</si>
  <si>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</si>
  <si>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</si>
  <si>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</si>
  <si>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</si>
  <si>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</si>
  <si>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</si>
  <si>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</si>
  <si>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</si>
  <si>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</si>
  <si>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</si>
  <si>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</si>
  <si>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</si>
  <si>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</si>
  <si>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</si>
  <si>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</si>
  <si>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</si>
  <si>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</si>
  <si>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</si>
  <si>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</si>
  <si>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</si>
  <si>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</si>
  <si>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</si>
  <si>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</si>
  <si>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</si>
  <si>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</si>
  <si>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</si>
  <si>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</si>
  <si>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</si>
  <si>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</si>
  <si>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</si>
  <si>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</si>
  <si>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</si>
  <si>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</si>
  <si>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</si>
  <si>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Jindal Saw Ltd.</t>
  </si>
  <si>
    <t>DATE</t>
  </si>
  <si>
    <t>ADJCLOSE</t>
  </si>
  <si>
    <t>ADJHIGH</t>
  </si>
  <si>
    <t>ADJLOW</t>
  </si>
  <si>
    <t>ADJOPEN</t>
  </si>
  <si>
    <t>CLOSE</t>
  </si>
  <si>
    <t>VOLUME</t>
  </si>
  <si>
    <t>Orderbook Crs</t>
  </si>
  <si>
    <t>Sales Vol - MT</t>
  </si>
  <si>
    <t>OB MT - Pipes</t>
  </si>
  <si>
    <t>Pipes Abu Dhabi</t>
  </si>
  <si>
    <t>Pellets</t>
  </si>
  <si>
    <t>Unit Matrix</t>
  </si>
  <si>
    <t xml:space="preserve">Sales </t>
  </si>
  <si>
    <t xml:space="preserve">Raw Mat </t>
  </si>
  <si>
    <t>GP</t>
  </si>
  <si>
    <t xml:space="preserve">Other Cost </t>
  </si>
  <si>
    <t>EBIDTA</t>
  </si>
  <si>
    <t>DI Pipes</t>
  </si>
  <si>
    <t xml:space="preserve">MP, rajasthan, and UP - by mar end to release 8000 crs </t>
  </si>
  <si>
    <t xml:space="preserve">Thrust on jal jeevan mission - some things are seeing </t>
  </si>
  <si>
    <t xml:space="preserve">positivity on the EPC sector </t>
  </si>
  <si>
    <t xml:space="preserve">620,000 MT order from Saudi company - jobwork - 18-24 months </t>
  </si>
  <si>
    <t xml:space="preserve">stuck money - </t>
  </si>
  <si>
    <t xml:space="preserve">450 crs jal jeevan mission money has not come </t>
  </si>
  <si>
    <t xml:space="preserve">all at starting point </t>
  </si>
  <si>
    <t xml:space="preserve">Feed back from ground is good </t>
  </si>
  <si>
    <t>1 in Abu Dhabi  - adnoc demand local</t>
  </si>
  <si>
    <t xml:space="preserve">2 expansion - KSA - local demand </t>
  </si>
  <si>
    <t>Total Vol with Abu Dhabi</t>
  </si>
  <si>
    <t>Vol Growth pipes only</t>
  </si>
  <si>
    <t>Current Capacity - MT pipes</t>
  </si>
  <si>
    <t xml:space="preserve">20 lakh MT  - can do in full swing in pipe </t>
  </si>
  <si>
    <t xml:space="preserve">Pellet - don’t take this vol. compare company of pipe volumes only </t>
  </si>
  <si>
    <t>Rajeev Goyal - VP Finance Mar 19, 2026</t>
  </si>
  <si>
    <t>Pipes- MT Standalone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</si>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</sst>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_ * #,##0.0_ ;_ * \-#,##0.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65" fontId="20" fillId="2" borderId="0" xfId="2" applyNumberFormat="1" applyFont="1" applyFill="1" applyAlignment="1">
      <alignment horizontal="center"/>
    </xf>
    <xf numFmtId="165" fontId="21" fillId="2" borderId="0" xfId="5" applyNumberFormat="1" applyFont="1" applyFill="1" applyBorder="1"/>
    <xf numFmtId="165" fontId="20" fillId="7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center"/>
    </xf>
    <xf numFmtId="168" fontId="18" fillId="7" borderId="0" xfId="2" applyNumberFormat="1" applyFont="1" applyFill="1" applyAlignment="1">
      <alignment horizontal="center"/>
    </xf>
    <xf numFmtId="43" fontId="18" fillId="2" borderId="0" xfId="2" applyFont="1" applyFill="1" applyAlignment="1">
      <alignment horizontal="left"/>
    </xf>
    <xf numFmtId="43" fontId="6" fillId="2" borderId="0" xfId="2" applyFont="1" applyFill="1" applyAlignment="1">
      <alignment horizontal="left"/>
    </xf>
    <xf numFmtId="43" fontId="6" fillId="2" borderId="0" xfId="2" applyFont="1" applyFill="1" applyAlignment="1">
      <alignment horizontal="center"/>
    </xf>
    <xf numFmtId="43" fontId="5" fillId="0" borderId="0" xfId="2" applyFont="1" applyAlignment="1">
      <alignment horizontal="center"/>
    </xf>
    <xf numFmtId="43" fontId="6" fillId="0" borderId="0" xfId="2" applyFont="1" applyFill="1" applyAlignment="1">
      <alignment horizontal="center"/>
    </xf>
    <xf numFmtId="10" fontId="6" fillId="2" borderId="0" xfId="2" applyNumberFormat="1" applyFont="1" applyFill="1" applyAlignment="1"/>
    <xf numFmtId="10" fontId="6" fillId="7" borderId="0" xfId="2" applyNumberFormat="1" applyFont="1" applyFill="1" applyAlignment="1"/>
    <xf numFmtId="165" fontId="18" fillId="7" borderId="0" xfId="2" applyNumberFormat="1" applyFont="1" applyFill="1" applyAlignment="1">
      <alignment horizontal="center"/>
    </xf>
    <xf numFmtId="9" fontId="20" fillId="2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68" fontId="4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165" fontId="7" fillId="0" borderId="0" xfId="2" applyNumberFormat="1" applyFont="1" applyAlignment="1">
      <alignment horizontal="center"/>
    </xf>
    <xf numFmtId="10" fontId="5" fillId="0" borderId="0" xfId="2" applyNumberFormat="1" applyFont="1" applyAlignment="1">
      <alignment horizontal="center"/>
    </xf>
  </cellXfs>
  <cellStyles count="6">
    <cellStyle name="Comma" xfId="2" builtinId="3"/>
    <cellStyle name="Comma 3" xfId="5" xr:uid="{5962F6AF-C1D9-4623-BE84-AC05C761C4AB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3"/>
  <sheetViews>
    <sheetView tabSelected="1" zoomScale="130" zoomScaleNormal="130" workbookViewId="0">
      <pane xSplit="1" ySplit="1" topLeftCell="CY7" activePane="bottomRight" state="frozen"/>
      <selection pane="topRight" activeCell="B1" sqref="B1"/>
      <selection pane="bottomLeft" activeCell="A2" sqref="A2"/>
      <selection pane="bottomRight" activeCell="DF26" sqref="DF26:DF273"/>
    </sheetView>
  </sheetViews>
  <sheetFormatPr defaultColWidth="11.140625" defaultRowHeight="12" outlineLevelRow="1" x14ac:dyDescent="0.2"/>
  <cols>
    <col min="1" max="1" width="35.85546875" style="2" customWidth="1"/>
    <col min="2" max="20" width="11.140625" style="2"/>
    <col min="21" max="26" width="11.42578125" style="2" bestFit="1" customWidth="1"/>
    <col min="27" max="29" width="11.140625" style="19"/>
    <col min="30" max="31" width="12.140625" style="19" bestFit="1" customWidth="1"/>
    <col min="32" max="81" width="11.140625" style="2"/>
    <col min="82" max="89" width="11.42578125" style="2" bestFit="1" customWidth="1"/>
    <col min="90" max="90" width="10.140625" style="24" customWidth="1"/>
    <col min="91" max="91" width="9.5703125" style="24" customWidth="1"/>
    <col min="92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Jindal Saw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51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8"/>
      <c r="AB3" s="108"/>
      <c r="AC3" s="108"/>
      <c r="AD3" s="108"/>
      <c r="AE3" s="108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E3" s="117"/>
    </row>
    <row r="4" spans="1:110" s="109" customFormat="1" x14ac:dyDescent="0.2">
      <c r="A4" s="155" t="s">
        <v>547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>
        <v>1800000</v>
      </c>
      <c r="X4" s="107">
        <f>W4</f>
        <v>1800000</v>
      </c>
      <c r="Y4" s="107">
        <v>2350000</v>
      </c>
      <c r="Z4" s="107">
        <f>Y4</f>
        <v>2350000</v>
      </c>
      <c r="AA4" s="107">
        <v>2700000</v>
      </c>
      <c r="AB4" s="108"/>
      <c r="AC4" s="108"/>
      <c r="AD4" s="108"/>
      <c r="AE4" s="108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>
        <f t="shared" ref="CE4:CF4" si="33">CF4</f>
        <v>587500</v>
      </c>
      <c r="CF4" s="107">
        <f t="shared" si="33"/>
        <v>587500</v>
      </c>
      <c r="CG4" s="107">
        <f>CH4</f>
        <v>587500</v>
      </c>
      <c r="CH4" s="187">
        <f>Z4/4</f>
        <v>587500</v>
      </c>
      <c r="CI4" s="187">
        <f>AA4/4</f>
        <v>675000</v>
      </c>
      <c r="CJ4" s="187">
        <f>CI4</f>
        <v>675000</v>
      </c>
      <c r="CK4" s="187">
        <f t="shared" ref="CK4:CL4" si="34">CJ4</f>
        <v>675000</v>
      </c>
      <c r="CL4" s="188">
        <f t="shared" si="34"/>
        <v>675000</v>
      </c>
      <c r="CM4" s="188">
        <f t="shared" ref="CM4:CR4" si="35">+CL4</f>
        <v>675000</v>
      </c>
      <c r="CN4" s="108">
        <f t="shared" si="35"/>
        <v>675000</v>
      </c>
      <c r="CO4" s="108">
        <f t="shared" si="35"/>
        <v>675000</v>
      </c>
      <c r="CP4" s="108">
        <f t="shared" si="35"/>
        <v>675000</v>
      </c>
      <c r="CQ4" s="108">
        <f t="shared" si="35"/>
        <v>675000</v>
      </c>
      <c r="CR4" s="108">
        <f t="shared" si="35"/>
        <v>675000</v>
      </c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E4" s="117"/>
      <c r="DF4" s="199">
        <v>675000</v>
      </c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545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>
        <f t="shared" ref="Q6:T6" si="36">+Q7+Q10</f>
        <v>2158700</v>
      </c>
      <c r="R6" s="156">
        <f t="shared" si="36"/>
        <v>2240000</v>
      </c>
      <c r="S6" s="156">
        <f t="shared" si="36"/>
        <v>2471860</v>
      </c>
      <c r="T6" s="156">
        <f t="shared" si="36"/>
        <v>2666194</v>
      </c>
      <c r="U6" s="156">
        <f t="shared" ref="U6:X6" si="37">+U7+U10</f>
        <v>2569827</v>
      </c>
      <c r="V6" s="156">
        <f t="shared" si="37"/>
        <v>2355422</v>
      </c>
      <c r="W6" s="156">
        <f t="shared" si="37"/>
        <v>2540977</v>
      </c>
      <c r="X6" s="156">
        <f t="shared" si="37"/>
        <v>2823000</v>
      </c>
      <c r="Y6" s="156">
        <f>+Y7+Y10</f>
        <v>3651600</v>
      </c>
      <c r="Z6" s="156">
        <f>+Z7+Z10</f>
        <v>3546300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524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>
        <f t="shared" ref="Q7:T7" si="38">Q8+Q9</f>
        <v>2158700</v>
      </c>
      <c r="R7" s="156">
        <f t="shared" si="38"/>
        <v>2240000</v>
      </c>
      <c r="S7" s="156">
        <f t="shared" si="38"/>
        <v>2471860</v>
      </c>
      <c r="T7" s="156">
        <f t="shared" si="38"/>
        <v>2666194</v>
      </c>
      <c r="U7" s="156">
        <f>U8+U9</f>
        <v>2569827</v>
      </c>
      <c r="V7" s="156">
        <f>V8+V9</f>
        <v>2355422</v>
      </c>
      <c r="W7" s="156">
        <f>W8+W9</f>
        <v>2540977</v>
      </c>
      <c r="X7" s="156">
        <f>SUM(BW7:BZ7)</f>
        <v>2823000</v>
      </c>
      <c r="Y7" s="156">
        <f>SUM(CA7:CD7)</f>
        <v>3460600</v>
      </c>
      <c r="Z7" s="156">
        <f>SUM(CE7:CH7)</f>
        <v>3347000</v>
      </c>
      <c r="AA7" s="157">
        <f>SUM(CI7:CL7)</f>
        <v>2830000</v>
      </c>
      <c r="AB7" s="157">
        <f>+SUM(CM7:CP7)</f>
        <v>0</v>
      </c>
      <c r="AC7" s="157">
        <f>+SUM(CQ7:CT7)</f>
        <v>0</v>
      </c>
      <c r="AD7" s="157">
        <f>+SUM(CU7:CX7)</f>
        <v>0</v>
      </c>
      <c r="AE7" s="157">
        <f>+SUM(CY7:DB7)</f>
        <v>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84">
        <v>641405</v>
      </c>
      <c r="BL7" s="184">
        <v>625800</v>
      </c>
      <c r="BM7" s="184">
        <v>720900</v>
      </c>
      <c r="BN7" s="184">
        <v>596200</v>
      </c>
      <c r="BO7" s="184">
        <v>394906</v>
      </c>
      <c r="BP7" s="184">
        <v>620800</v>
      </c>
      <c r="BQ7" s="184">
        <v>615800</v>
      </c>
      <c r="BR7" s="184">
        <v>744894</v>
      </c>
      <c r="BS7" s="184">
        <f>257800+366200</f>
        <v>624000</v>
      </c>
      <c r="BT7" s="184">
        <v>616000</v>
      </c>
      <c r="BU7" s="184">
        <v>659500</v>
      </c>
      <c r="BV7" s="184">
        <v>686700</v>
      </c>
      <c r="BW7" s="184">
        <f>233200+295200</f>
        <v>528400</v>
      </c>
      <c r="BX7" s="184">
        <v>657800</v>
      </c>
      <c r="BY7" s="184">
        <v>820362</v>
      </c>
      <c r="BZ7" s="184">
        <v>816438</v>
      </c>
      <c r="CA7" s="184">
        <v>805000</v>
      </c>
      <c r="CB7" s="184">
        <v>885000</v>
      </c>
      <c r="CC7" s="184">
        <v>893600</v>
      </c>
      <c r="CD7" s="184">
        <f>478000+399000</f>
        <v>877000</v>
      </c>
      <c r="CE7" s="184">
        <f>400000+413000</f>
        <v>813000</v>
      </c>
      <c r="CF7" s="184">
        <f>432000+396000</f>
        <v>828000</v>
      </c>
      <c r="CG7" s="184">
        <f>432000+443000</f>
        <v>875000</v>
      </c>
      <c r="CH7" s="184">
        <f>434000+397000</f>
        <v>831000</v>
      </c>
      <c r="CI7" s="184">
        <f>326000+222000</f>
        <v>548000</v>
      </c>
      <c r="CJ7" s="184">
        <f>293000+356000</f>
        <v>649000</v>
      </c>
      <c r="CK7" s="184">
        <f>370000+491000</f>
        <v>861000</v>
      </c>
      <c r="CL7" s="186">
        <f>CL8+CL9</f>
        <v>772000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x14ac:dyDescent="0.2">
      <c r="A8" s="189" t="s">
        <v>551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>
        <v>958700</v>
      </c>
      <c r="R8" s="107">
        <v>1040000</v>
      </c>
      <c r="S8" s="107">
        <v>1171860</v>
      </c>
      <c r="T8" s="107">
        <v>1266194</v>
      </c>
      <c r="U8" s="107">
        <v>1237931</v>
      </c>
      <c r="V8" s="107">
        <v>1090656</v>
      </c>
      <c r="W8" s="107">
        <v>1023567</v>
      </c>
      <c r="X8" s="107">
        <v>1285619</v>
      </c>
      <c r="Y8" s="107">
        <v>1716000</v>
      </c>
      <c r="Z8" s="107">
        <v>1698000</v>
      </c>
      <c r="AA8" s="108">
        <f t="shared" ref="AA8:AA10" si="39">SUM(CI8:CL8)</f>
        <v>1387000</v>
      </c>
      <c r="AB8" s="108">
        <f t="shared" ref="AB8:AB10" si="40">+SUM(CM8:CP8)</f>
        <v>1525700</v>
      </c>
      <c r="AC8" s="108">
        <f t="shared" ref="AC8:AC10" si="41">+SUM(CQ8:CT8)</f>
        <v>1678270</v>
      </c>
      <c r="AD8" s="108">
        <f t="shared" ref="AD8:AD10" si="42">+SUM(CU8:CX8)</f>
        <v>1846097.0000000005</v>
      </c>
      <c r="AE8" s="108">
        <f t="shared" ref="AE8:AE10" si="43">+SUM(CY8:DB8)</f>
        <v>2030706.7000000007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87">
        <f>+BK7-BK9</f>
        <v>321405</v>
      </c>
      <c r="BL8" s="187">
        <f t="shared" ref="BL8:BR8" si="44">+BL7-BL9</f>
        <v>305800</v>
      </c>
      <c r="BM8" s="187">
        <f t="shared" si="44"/>
        <v>400900</v>
      </c>
      <c r="BN8" s="187">
        <f t="shared" si="44"/>
        <v>276200</v>
      </c>
      <c r="BO8" s="187">
        <f t="shared" si="44"/>
        <v>214906</v>
      </c>
      <c r="BP8" s="187">
        <f t="shared" si="44"/>
        <v>254600</v>
      </c>
      <c r="BQ8" s="187">
        <f t="shared" si="44"/>
        <v>249600</v>
      </c>
      <c r="BR8" s="187">
        <f t="shared" si="44"/>
        <v>378694</v>
      </c>
      <c r="BS8" s="187">
        <v>257800</v>
      </c>
      <c r="BT8" s="187">
        <v>295000</v>
      </c>
      <c r="BU8" s="187">
        <v>310000</v>
      </c>
      <c r="BV8" s="187">
        <v>350000</v>
      </c>
      <c r="BW8" s="187">
        <v>233200</v>
      </c>
      <c r="BX8" s="187">
        <v>280000</v>
      </c>
      <c r="BY8" s="187">
        <v>330000</v>
      </c>
      <c r="BZ8" s="187">
        <v>410000</v>
      </c>
      <c r="CA8" s="187">
        <v>340000</v>
      </c>
      <c r="CB8" s="187">
        <v>375000</v>
      </c>
      <c r="CC8" s="187">
        <v>390000</v>
      </c>
      <c r="CD8" s="187">
        <v>478000</v>
      </c>
      <c r="CE8" s="187">
        <v>400000</v>
      </c>
      <c r="CF8" s="187">
        <f>+Z8-CE8-CG8-CH8</f>
        <v>432000</v>
      </c>
      <c r="CG8" s="187">
        <v>432000</v>
      </c>
      <c r="CH8" s="187">
        <v>434000</v>
      </c>
      <c r="CI8" s="187">
        <v>326000</v>
      </c>
      <c r="CJ8" s="187">
        <v>293000</v>
      </c>
      <c r="CK8" s="187">
        <v>370000</v>
      </c>
      <c r="CL8" s="196">
        <v>398000</v>
      </c>
      <c r="CM8" s="196">
        <f>+CI8*1.1</f>
        <v>358600</v>
      </c>
      <c r="CN8" s="196">
        <f t="shared" ref="CN8:CU8" si="45">+CJ8*1.1</f>
        <v>322300</v>
      </c>
      <c r="CO8" s="196">
        <f t="shared" si="45"/>
        <v>407000.00000000006</v>
      </c>
      <c r="CP8" s="196">
        <f t="shared" si="45"/>
        <v>437800.00000000006</v>
      </c>
      <c r="CQ8" s="196">
        <f t="shared" si="45"/>
        <v>394460.00000000006</v>
      </c>
      <c r="CR8" s="196">
        <f t="shared" si="45"/>
        <v>354530</v>
      </c>
      <c r="CS8" s="196">
        <f t="shared" si="45"/>
        <v>447700.00000000012</v>
      </c>
      <c r="CT8" s="196">
        <f t="shared" si="45"/>
        <v>481580.00000000012</v>
      </c>
      <c r="CU8" s="196">
        <f t="shared" si="45"/>
        <v>433906.00000000012</v>
      </c>
      <c r="CV8" s="196">
        <f t="shared" ref="CV8" si="46">+CR8*1.1</f>
        <v>389983.00000000006</v>
      </c>
      <c r="CW8" s="196">
        <f t="shared" ref="CW8" si="47">+CS8*1.1</f>
        <v>492470.00000000017</v>
      </c>
      <c r="CX8" s="196">
        <f t="shared" ref="CX8" si="48">+CT8*1.1</f>
        <v>529738.00000000012</v>
      </c>
      <c r="CY8" s="196">
        <f t="shared" ref="CY8" si="49">+CU8*1.1</f>
        <v>477296.60000000015</v>
      </c>
      <c r="CZ8" s="196">
        <f t="shared" ref="CZ8" si="50">+CV8*1.1</f>
        <v>428981.3000000001</v>
      </c>
      <c r="DA8" s="196">
        <f t="shared" ref="DA8" si="51">+CW8*1.1</f>
        <v>541717.00000000023</v>
      </c>
      <c r="DB8" s="196">
        <f t="shared" ref="DB8" si="52">+CX8*1.1</f>
        <v>582711.80000000016</v>
      </c>
      <c r="DE8" s="117"/>
      <c r="DF8" s="200">
        <v>347200</v>
      </c>
    </row>
    <row r="9" spans="1:110" s="158" customFormat="1" x14ac:dyDescent="0.2">
      <c r="A9" s="155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>
        <v>1200000</v>
      </c>
      <c r="R9" s="156">
        <v>1200000</v>
      </c>
      <c r="S9" s="156">
        <v>1300000</v>
      </c>
      <c r="T9" s="156">
        <v>1400000</v>
      </c>
      <c r="U9" s="156">
        <v>1331896</v>
      </c>
      <c r="V9" s="156">
        <v>1264766</v>
      </c>
      <c r="W9" s="156">
        <v>1517410</v>
      </c>
      <c r="X9" s="156">
        <f>+X7-X8</f>
        <v>1537381</v>
      </c>
      <c r="Y9" s="156">
        <f t="shared" ref="Y9:Z9" si="53">+Y7-Y8</f>
        <v>1744600</v>
      </c>
      <c r="Z9" s="156">
        <f t="shared" si="53"/>
        <v>1649000</v>
      </c>
      <c r="AA9" s="157">
        <f t="shared" si="39"/>
        <v>1443000</v>
      </c>
      <c r="AB9" s="157">
        <f t="shared" si="40"/>
        <v>0</v>
      </c>
      <c r="AC9" s="157">
        <f t="shared" si="41"/>
        <v>0</v>
      </c>
      <c r="AD9" s="157">
        <f t="shared" si="42"/>
        <v>0</v>
      </c>
      <c r="AE9" s="157">
        <f t="shared" si="43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84">
        <v>320000</v>
      </c>
      <c r="BL9" s="184">
        <v>320000</v>
      </c>
      <c r="BM9" s="184">
        <v>320000</v>
      </c>
      <c r="BN9" s="184">
        <v>320000</v>
      </c>
      <c r="BO9" s="184">
        <v>180000</v>
      </c>
      <c r="BP9" s="184">
        <f t="shared" ref="BP9:BQ9" si="54">+BQ9</f>
        <v>366200</v>
      </c>
      <c r="BQ9" s="184">
        <f t="shared" si="54"/>
        <v>366200</v>
      </c>
      <c r="BR9" s="184">
        <f>+BS9</f>
        <v>366200</v>
      </c>
      <c r="BS9" s="184">
        <f>+BS7-BS8</f>
        <v>366200</v>
      </c>
      <c r="BT9" s="184">
        <f t="shared" ref="BT9:CD9" si="55">+BT7-BT8</f>
        <v>321000</v>
      </c>
      <c r="BU9" s="184">
        <f t="shared" si="55"/>
        <v>349500</v>
      </c>
      <c r="BV9" s="184">
        <f t="shared" si="55"/>
        <v>336700</v>
      </c>
      <c r="BW9" s="184">
        <f t="shared" si="55"/>
        <v>295200</v>
      </c>
      <c r="BX9" s="184">
        <f t="shared" si="55"/>
        <v>377800</v>
      </c>
      <c r="BY9" s="184">
        <f t="shared" si="55"/>
        <v>490362</v>
      </c>
      <c r="BZ9" s="184">
        <f t="shared" si="55"/>
        <v>406438</v>
      </c>
      <c r="CA9" s="184">
        <f t="shared" si="55"/>
        <v>465000</v>
      </c>
      <c r="CB9" s="184">
        <f t="shared" si="55"/>
        <v>510000</v>
      </c>
      <c r="CC9" s="184">
        <f t="shared" si="55"/>
        <v>503600</v>
      </c>
      <c r="CD9" s="184">
        <f t="shared" si="55"/>
        <v>399000</v>
      </c>
      <c r="CE9" s="184">
        <f t="shared" ref="CE9" si="56">+CE7-CE8</f>
        <v>413000</v>
      </c>
      <c r="CF9" s="184">
        <f t="shared" ref="CF9" si="57">+CF7-CF8</f>
        <v>396000</v>
      </c>
      <c r="CG9" s="184">
        <f t="shared" ref="CG9" si="58">+CG7-CG8</f>
        <v>443000</v>
      </c>
      <c r="CH9" s="184">
        <f t="shared" ref="CH9" si="59">+CH7-CH8</f>
        <v>397000</v>
      </c>
      <c r="CI9" s="184">
        <f t="shared" ref="CI9" si="60">+CI7-CI8</f>
        <v>222000</v>
      </c>
      <c r="CJ9" s="184">
        <f t="shared" ref="CJ9:CK9" si="61">+CJ7-CJ8</f>
        <v>356000</v>
      </c>
      <c r="CK9" s="184">
        <f t="shared" si="61"/>
        <v>491000</v>
      </c>
      <c r="CL9" s="186">
        <v>374000</v>
      </c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E9" s="159"/>
      <c r="DF9" s="201"/>
    </row>
    <row r="10" spans="1:110" s="158" customFormat="1" x14ac:dyDescent="0.2">
      <c r="A10" s="155" t="s">
        <v>526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>
        <v>191000</v>
      </c>
      <c r="Z10" s="156">
        <v>199300</v>
      </c>
      <c r="AA10" s="157">
        <f t="shared" si="39"/>
        <v>209000</v>
      </c>
      <c r="AB10" s="157">
        <f t="shared" si="40"/>
        <v>208000</v>
      </c>
      <c r="AC10" s="157">
        <f t="shared" si="41"/>
        <v>208000</v>
      </c>
      <c r="AD10" s="157">
        <f t="shared" si="42"/>
        <v>208000</v>
      </c>
      <c r="AE10" s="157">
        <f t="shared" si="43"/>
        <v>208000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84">
        <v>37362</v>
      </c>
      <c r="BZ10" s="184">
        <v>39638</v>
      </c>
      <c r="CA10" s="184">
        <v>43000</v>
      </c>
      <c r="CB10" s="184">
        <v>59000</v>
      </c>
      <c r="CC10" s="184">
        <v>63000</v>
      </c>
      <c r="CD10" s="184">
        <v>26000</v>
      </c>
      <c r="CE10" s="184">
        <v>36800</v>
      </c>
      <c r="CF10" s="184">
        <v>61000</v>
      </c>
      <c r="CG10" s="184">
        <v>57000</v>
      </c>
      <c r="CH10" s="184">
        <f>+Z10-CE10-CF10-CG10</f>
        <v>44500</v>
      </c>
      <c r="CI10" s="184">
        <v>51000</v>
      </c>
      <c r="CJ10" s="184">
        <v>58000</v>
      </c>
      <c r="CK10" s="184">
        <v>52000</v>
      </c>
      <c r="CL10" s="186">
        <v>48000</v>
      </c>
      <c r="CM10" s="186">
        <v>52000</v>
      </c>
      <c r="CN10" s="186">
        <f t="shared" ref="CN10:CU10" si="62">+CM10</f>
        <v>52000</v>
      </c>
      <c r="CO10" s="186">
        <f t="shared" si="62"/>
        <v>52000</v>
      </c>
      <c r="CP10" s="186">
        <f t="shared" si="62"/>
        <v>52000</v>
      </c>
      <c r="CQ10" s="186">
        <f t="shared" si="62"/>
        <v>52000</v>
      </c>
      <c r="CR10" s="186">
        <f t="shared" si="62"/>
        <v>52000</v>
      </c>
      <c r="CS10" s="186">
        <f t="shared" si="62"/>
        <v>52000</v>
      </c>
      <c r="CT10" s="186">
        <f t="shared" si="62"/>
        <v>52000</v>
      </c>
      <c r="CU10" s="186">
        <f t="shared" si="62"/>
        <v>52000</v>
      </c>
      <c r="CV10" s="186">
        <f t="shared" ref="CV10:DB10" si="63">+CU10</f>
        <v>52000</v>
      </c>
      <c r="CW10" s="186">
        <f t="shared" si="63"/>
        <v>52000</v>
      </c>
      <c r="CX10" s="186">
        <f t="shared" si="63"/>
        <v>52000</v>
      </c>
      <c r="CY10" s="186">
        <f t="shared" si="63"/>
        <v>52000</v>
      </c>
      <c r="CZ10" s="186">
        <f t="shared" si="63"/>
        <v>52000</v>
      </c>
      <c r="DA10" s="186">
        <f t="shared" si="63"/>
        <v>52000</v>
      </c>
      <c r="DB10" s="186">
        <f t="shared" si="63"/>
        <v>52000</v>
      </c>
      <c r="DE10" s="159"/>
      <c r="DF10" s="201">
        <v>41600</v>
      </c>
    </row>
    <row r="11" spans="1:110" s="192" customFormat="1" x14ac:dyDescent="0.2">
      <c r="A11" s="190" t="s">
        <v>546</v>
      </c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4">
        <f t="shared" ref="R11" si="64">(R10+R8)/(Q8+Q10)-1</f>
        <v>8.4802336497340258E-2</v>
      </c>
      <c r="S11" s="194">
        <f t="shared" ref="S11" si="65">(S10+S8)/(R8+R10)-1</f>
        <v>0.12678846153846157</v>
      </c>
      <c r="T11" s="194">
        <f t="shared" ref="T11" si="66">(T10+T8)/(S8+S10)-1</f>
        <v>8.0499377058693034E-2</v>
      </c>
      <c r="U11" s="194">
        <f t="shared" ref="U11" si="67">(U10+U8)/(T8+T10)-1</f>
        <v>-2.2321224077826884E-2</v>
      </c>
      <c r="V11" s="194">
        <f t="shared" ref="V11:Y11" si="68">(V10+V8)/(U8+U10)-1</f>
        <v>-0.11896866626653668</v>
      </c>
      <c r="W11" s="194">
        <f t="shared" si="68"/>
        <v>-6.1512520904849932E-2</v>
      </c>
      <c r="X11" s="194">
        <f t="shared" si="68"/>
        <v>0.25601841403640413</v>
      </c>
      <c r="Y11" s="194">
        <f t="shared" si="68"/>
        <v>0.48333215361627357</v>
      </c>
      <c r="Z11" s="194">
        <f>(Z10+Z8)/(Y8+Y10)-1</f>
        <v>-5.0865233350813055E-3</v>
      </c>
      <c r="AA11" s="195">
        <f t="shared" ref="AA11:AE11" si="69">(AA10+AA8)/(Z8+Z10)-1</f>
        <v>-0.15880461708744009</v>
      </c>
      <c r="AB11" s="195">
        <f t="shared" si="69"/>
        <v>8.6278195488721732E-2</v>
      </c>
      <c r="AC11" s="195">
        <f t="shared" si="69"/>
        <v>8.8002537924669832E-2</v>
      </c>
      <c r="AD11" s="195">
        <f t="shared" si="69"/>
        <v>8.8972946608916192E-2</v>
      </c>
      <c r="AE11" s="195">
        <f t="shared" si="69"/>
        <v>8.9873895926044556E-2</v>
      </c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4">
        <f t="shared" ref="BQ11" si="70">(BQ10+BQ8)/(BM8+BM10)-1</f>
        <v>-0.37740084809179342</v>
      </c>
      <c r="BR11" s="194">
        <f t="shared" ref="BR11" si="71">(BR10+BR8)/(BN8+BN10)-1</f>
        <v>0.371086169442433</v>
      </c>
      <c r="BS11" s="194">
        <f t="shared" ref="BS11" si="72">(BS10+BS8)/(BO8+BO10)-1</f>
        <v>0.19959424120313063</v>
      </c>
      <c r="BT11" s="194">
        <f t="shared" ref="BT11" si="73">(BT10+BT8)/(BP8+BP10)-1</f>
        <v>0.15868028279654367</v>
      </c>
      <c r="BU11" s="194">
        <f t="shared" ref="BU11" si="74">(BU10+BU8)/(BQ8+BQ10)-1</f>
        <v>0.24198717948717952</v>
      </c>
      <c r="BV11" s="194">
        <f t="shared" ref="BV11" si="75">(BV10+BV8)/(BR8+BR10)-1</f>
        <v>-7.5770939069539023E-2</v>
      </c>
      <c r="BW11" s="194">
        <f t="shared" ref="BW11" si="76">(BW10+BW8)/(BS8+BS10)-1</f>
        <v>-9.5422808378588075E-2</v>
      </c>
      <c r="BX11" s="194">
        <f t="shared" ref="BX11" si="77">(BX10+BX8)/(BT8+BT10)-1</f>
        <v>-5.084745762711862E-2</v>
      </c>
      <c r="BY11" s="194">
        <f t="shared" ref="BY11" si="78">(BY10+BY8)/(BU8+BU10)-1</f>
        <v>0.18503870967741931</v>
      </c>
      <c r="BZ11" s="194">
        <f t="shared" ref="BZ11" si="79">(BZ10+BZ8)/(BV8+BV10)-1</f>
        <v>0.28468000000000004</v>
      </c>
      <c r="CA11" s="194">
        <f t="shared" ref="CA11" si="80">(CA10+CA8)/(BW8+BW10)-1</f>
        <v>0.64236706689536871</v>
      </c>
      <c r="CB11" s="194">
        <f t="shared" ref="CB11" si="81">(CB10+CB8)/(BX8+BX10)-1</f>
        <v>0.55000000000000004</v>
      </c>
      <c r="CC11" s="194">
        <f t="shared" ref="CC11:CJ11" si="82">(CC10+CC8)/(BY8+BY10)-1</f>
        <v>0.23311610890620149</v>
      </c>
      <c r="CD11" s="194">
        <f t="shared" si="82"/>
        <v>0.12090170314786564</v>
      </c>
      <c r="CE11" s="194">
        <f t="shared" si="82"/>
        <v>0.14046997389033944</v>
      </c>
      <c r="CF11" s="194">
        <f t="shared" si="82"/>
        <v>0.1359447004608294</v>
      </c>
      <c r="CG11" s="194">
        <f t="shared" si="82"/>
        <v>7.9470198675496651E-2</v>
      </c>
      <c r="CH11" s="194">
        <f t="shared" si="82"/>
        <v>-5.0595238095238138E-2</v>
      </c>
      <c r="CI11" s="194">
        <f t="shared" si="82"/>
        <v>-0.13690476190476186</v>
      </c>
      <c r="CJ11" s="194">
        <f t="shared" si="82"/>
        <v>-0.28803245436105473</v>
      </c>
      <c r="CK11" s="194">
        <f>(CK10+CK8)/(CG8+CG10)-1</f>
        <v>-0.13701431492842531</v>
      </c>
      <c r="CL11" s="195">
        <f t="shared" ref="CL11:DB11" si="83">(CL10+CL8)/(CH8+CH10)-1</f>
        <v>-6.792058516196442E-2</v>
      </c>
      <c r="CM11" s="195">
        <f t="shared" si="83"/>
        <v>8.9124668435013321E-2</v>
      </c>
      <c r="CN11" s="195">
        <f t="shared" si="83"/>
        <v>6.6381766381766294E-2</v>
      </c>
      <c r="CO11" s="195">
        <f t="shared" si="83"/>
        <v>8.7677725118483485E-2</v>
      </c>
      <c r="CP11" s="195">
        <f t="shared" si="83"/>
        <v>9.8206278026905958E-2</v>
      </c>
      <c r="CQ11" s="195">
        <f t="shared" si="83"/>
        <v>8.7335606429615353E-2</v>
      </c>
      <c r="CR11" s="195">
        <f t="shared" si="83"/>
        <v>8.6107400480897711E-2</v>
      </c>
      <c r="CS11" s="195">
        <f t="shared" si="83"/>
        <v>8.8671023965141815E-2</v>
      </c>
      <c r="CT11" s="195">
        <f t="shared" si="83"/>
        <v>8.9383421804818397E-2</v>
      </c>
      <c r="CU11" s="195">
        <f t="shared" si="83"/>
        <v>8.8352819961474927E-2</v>
      </c>
      <c r="CV11" s="195">
        <f t="shared" si="83"/>
        <v>8.720881607753439E-2</v>
      </c>
      <c r="CW11" s="195">
        <f t="shared" si="83"/>
        <v>8.9593756253752543E-2</v>
      </c>
      <c r="CX11" s="195">
        <f t="shared" si="83"/>
        <v>9.0254507290378205E-2</v>
      </c>
      <c r="CY11" s="195">
        <f t="shared" si="83"/>
        <v>8.9298341654558522E-2</v>
      </c>
      <c r="CZ11" s="195">
        <f t="shared" si="83"/>
        <v>8.8234841611555259E-2</v>
      </c>
      <c r="DA11" s="195">
        <f t="shared" si="83"/>
        <v>9.0449427883997346E-2</v>
      </c>
      <c r="DB11" s="195">
        <f t="shared" si="83"/>
        <v>9.1061268131014339E-2</v>
      </c>
      <c r="DE11" s="193"/>
      <c r="DF11" s="202">
        <v>-0.18746081504702194</v>
      </c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84"/>
      <c r="CF12" s="184"/>
      <c r="CG12" s="184"/>
      <c r="CH12" s="184"/>
      <c r="CI12" s="184"/>
      <c r="CJ12" s="184"/>
      <c r="CK12" s="184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ht="12.75" x14ac:dyDescent="0.2">
      <c r="A13" s="155" t="s">
        <v>523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f>CD13</f>
        <v>12657.5</v>
      </c>
      <c r="Z13" s="156">
        <f>CH13</f>
        <v>11271</v>
      </c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85">
        <f>1.44*83*100</f>
        <v>11952</v>
      </c>
      <c r="CC13" s="185">
        <f>1.49*83*100</f>
        <v>12367</v>
      </c>
      <c r="CD13" s="185">
        <f>+((1509+16)/10)*83</f>
        <v>12657.5</v>
      </c>
      <c r="CE13" s="185">
        <f>165*83</f>
        <v>13695</v>
      </c>
      <c r="CF13" s="185">
        <f>162*83</f>
        <v>13446</v>
      </c>
      <c r="CG13" s="184">
        <f>148*83</f>
        <v>12284</v>
      </c>
      <c r="CH13" s="184">
        <f>132.6*85</f>
        <v>11271</v>
      </c>
      <c r="CI13" s="184">
        <f>130.5*85</f>
        <v>11092.5</v>
      </c>
      <c r="CJ13" s="184">
        <f>145.2*88</f>
        <v>12777.599999999999</v>
      </c>
      <c r="CK13" s="184">
        <f>148.1*90</f>
        <v>13329</v>
      </c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525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>
        <f>CD14</f>
        <v>1376000</v>
      </c>
      <c r="Z14" s="156">
        <f t="shared" ref="Z14:Z15" si="84">CH14</f>
        <v>1301000</v>
      </c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84">
        <v>1376000</v>
      </c>
      <c r="CE14" s="184">
        <v>1524000</v>
      </c>
      <c r="CF14" s="184">
        <v>1469000</v>
      </c>
      <c r="CG14" s="184">
        <v>1394000</v>
      </c>
      <c r="CH14" s="184">
        <v>1301000</v>
      </c>
      <c r="CI14" s="184">
        <v>1560000</v>
      </c>
      <c r="CJ14" s="184">
        <v>1925000</v>
      </c>
      <c r="CK14" s="184">
        <v>1964000</v>
      </c>
      <c r="CL14" s="186">
        <v>1900000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534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>
        <f t="shared" si="84"/>
        <v>625000</v>
      </c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84"/>
      <c r="CE15" s="184"/>
      <c r="CF15" s="184"/>
      <c r="CG15" s="184">
        <v>680000</v>
      </c>
      <c r="CH15" s="184">
        <v>625000</v>
      </c>
      <c r="CI15" s="184"/>
      <c r="CJ15" s="184"/>
      <c r="CK15" s="184">
        <v>700000</v>
      </c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84"/>
      <c r="CE16" s="184"/>
      <c r="CF16" s="184"/>
      <c r="CG16" s="184"/>
      <c r="CH16" s="184"/>
      <c r="CI16" s="184"/>
      <c r="CJ16" s="184"/>
      <c r="CK16" s="184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528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84"/>
      <c r="CE17" s="184"/>
      <c r="CF17" s="184"/>
      <c r="CG17" s="184"/>
      <c r="CH17" s="184"/>
      <c r="CI17" s="184"/>
      <c r="CJ17" s="184"/>
      <c r="CK17" s="184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529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>
        <f t="shared" ref="Q18:T18" si="85">+Q27*10^7/(Q$8+Q$10)/1000</f>
        <v>82.82472306248043</v>
      </c>
      <c r="R18" s="156">
        <f t="shared" si="85"/>
        <v>70.606386538461535</v>
      </c>
      <c r="S18" s="156">
        <f t="shared" si="85"/>
        <v>73.083213865137466</v>
      </c>
      <c r="T18" s="156">
        <f t="shared" si="85"/>
        <v>95.696248758089212</v>
      </c>
      <c r="U18" s="156">
        <f t="shared" ref="U18:X18" si="86">+U27*10^7/(U$8+U$10)/1000</f>
        <v>93.923141112065224</v>
      </c>
      <c r="V18" s="156">
        <f t="shared" si="86"/>
        <v>97.772678094651283</v>
      </c>
      <c r="W18" s="156">
        <f t="shared" si="86"/>
        <v>129.92233141553021</v>
      </c>
      <c r="X18" s="156">
        <f t="shared" si="86"/>
        <v>138.9841694934502</v>
      </c>
      <c r="Y18" s="156">
        <f t="shared" ref="Y18:Z18" si="87">+Y27*10^7/(Y$8+Y$10)/1000</f>
        <v>109.8987420031463</v>
      </c>
      <c r="Z18" s="156">
        <f t="shared" si="87"/>
        <v>109.78176777525957</v>
      </c>
      <c r="AA18" s="157">
        <f t="shared" ref="AA18:AE18" si="88">+AA27*10^7/(AA$8+AA$10)/1000</f>
        <v>112.12509523809524</v>
      </c>
      <c r="AB18" s="157">
        <f t="shared" si="88"/>
        <v>107.41601706710368</v>
      </c>
      <c r="AC18" s="157">
        <f t="shared" si="88"/>
        <v>107.88968609865471</v>
      </c>
      <c r="AD18" s="157">
        <f t="shared" si="88"/>
        <v>107.88968609865469</v>
      </c>
      <c r="AE18" s="157">
        <f t="shared" si="88"/>
        <v>107.88968609865468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>
        <f t="shared" ref="BO18:CJ18" si="89">+BO27*10^7/(BO$8+BO$10)/1000</f>
        <v>76.349194531562631</v>
      </c>
      <c r="BP18" s="156">
        <f t="shared" si="89"/>
        <v>93.256873527101334</v>
      </c>
      <c r="BQ18" s="156">
        <f t="shared" si="89"/>
        <v>114.77083333333333</v>
      </c>
      <c r="BR18" s="156">
        <f t="shared" si="89"/>
        <v>99.91840377719214</v>
      </c>
      <c r="BS18" s="156">
        <f t="shared" si="89"/>
        <v>111.89294026377036</v>
      </c>
      <c r="BT18" s="156">
        <f t="shared" si="89"/>
        <v>100.77559322033898</v>
      </c>
      <c r="BU18" s="156">
        <f t="shared" si="89"/>
        <v>111.96903225806452</v>
      </c>
      <c r="BV18" s="156">
        <f t="shared" si="89"/>
        <v>113.42571428571429</v>
      </c>
      <c r="BW18" s="156">
        <f t="shared" si="89"/>
        <v>149.15437392795883</v>
      </c>
      <c r="BX18" s="156">
        <f t="shared" si="89"/>
        <v>144.41214285714287</v>
      </c>
      <c r="BY18" s="156">
        <f t="shared" si="89"/>
        <v>140.40483229076494</v>
      </c>
      <c r="BZ18" s="156">
        <f t="shared" si="89"/>
        <v>115.38370867230974</v>
      </c>
      <c r="CA18" s="156">
        <f t="shared" si="89"/>
        <v>115.14934725848563</v>
      </c>
      <c r="CB18" s="156">
        <f t="shared" si="89"/>
        <v>125.94976958525345</v>
      </c>
      <c r="CC18" s="156">
        <f t="shared" si="89"/>
        <v>124.85849889624724</v>
      </c>
      <c r="CD18" s="156">
        <f t="shared" si="89"/>
        <v>107.64206349206349</v>
      </c>
      <c r="CE18" s="156">
        <f t="shared" si="89"/>
        <v>113.07417582417582</v>
      </c>
      <c r="CF18" s="156">
        <f t="shared" si="89"/>
        <v>113.02068965517242</v>
      </c>
      <c r="CG18" s="156">
        <f t="shared" si="89"/>
        <v>107.79754601226995</v>
      </c>
      <c r="CH18" s="156">
        <f t="shared" si="89"/>
        <v>105.46687565308255</v>
      </c>
      <c r="CI18" s="156">
        <f t="shared" si="89"/>
        <v>108.34694960212201</v>
      </c>
      <c r="CJ18" s="156">
        <f t="shared" si="89"/>
        <v>120.61538461538461</v>
      </c>
      <c r="CK18" s="156">
        <f>+CK27*10^7/(CK$8+CK$10)/1000</f>
        <v>117.14241706161137</v>
      </c>
      <c r="CL18" s="156">
        <f>+CL27*10^7/(CL$8+CL$10)/1000</f>
        <v>103.88968609865469</v>
      </c>
      <c r="CM18" s="157">
        <f>+CL18+2</f>
        <v>105.88968609865469</v>
      </c>
      <c r="CN18" s="157">
        <f>+CM18+2</f>
        <v>107.88968609865469</v>
      </c>
      <c r="CO18" s="157">
        <f t="shared" ref="CO18:DB18" si="90">+CN18</f>
        <v>107.88968609865469</v>
      </c>
      <c r="CP18" s="157">
        <f t="shared" si="90"/>
        <v>107.88968609865469</v>
      </c>
      <c r="CQ18" s="157">
        <f t="shared" si="90"/>
        <v>107.88968609865469</v>
      </c>
      <c r="CR18" s="157">
        <f t="shared" si="90"/>
        <v>107.88968609865469</v>
      </c>
      <c r="CS18" s="157">
        <f t="shared" si="90"/>
        <v>107.88968609865469</v>
      </c>
      <c r="CT18" s="157">
        <f t="shared" si="90"/>
        <v>107.88968609865469</v>
      </c>
      <c r="CU18" s="157">
        <f t="shared" si="90"/>
        <v>107.88968609865469</v>
      </c>
      <c r="CV18" s="157">
        <f t="shared" si="90"/>
        <v>107.88968609865469</v>
      </c>
      <c r="CW18" s="157">
        <f t="shared" si="90"/>
        <v>107.88968609865469</v>
      </c>
      <c r="CX18" s="157">
        <f t="shared" si="90"/>
        <v>107.88968609865469</v>
      </c>
      <c r="CY18" s="157">
        <f t="shared" si="90"/>
        <v>107.88968609865469</v>
      </c>
      <c r="CZ18" s="157">
        <f t="shared" si="90"/>
        <v>107.88968609865469</v>
      </c>
      <c r="DA18" s="157">
        <f t="shared" si="90"/>
        <v>107.88968609865469</v>
      </c>
      <c r="DB18" s="157">
        <f t="shared" si="90"/>
        <v>107.88968609865469</v>
      </c>
      <c r="DE18" s="159"/>
      <c r="DF18" s="158">
        <v>117.14241706161137</v>
      </c>
    </row>
    <row r="19" spans="1:110" s="158" customFormat="1" x14ac:dyDescent="0.2">
      <c r="A19" s="155" t="s">
        <v>530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>
        <f t="shared" ref="Q19:T19" si="91">+Q18-Q20</f>
        <v>47.259395014081548</v>
      </c>
      <c r="R19" s="156">
        <f t="shared" si="91"/>
        <v>39.269639423076917</v>
      </c>
      <c r="S19" s="156">
        <f t="shared" si="91"/>
        <v>42.308058983154979</v>
      </c>
      <c r="T19" s="156">
        <f t="shared" si="91"/>
        <v>58.963830976927724</v>
      </c>
      <c r="U19" s="156">
        <f t="shared" ref="U19" si="92">+U18-U20</f>
        <v>56.018022813872513</v>
      </c>
      <c r="V19" s="156">
        <f t="shared" ref="V19" si="93">+V18-V20</f>
        <v>55.265001980459466</v>
      </c>
      <c r="W19" s="156">
        <f t="shared" ref="W19" si="94">+W18-W20</f>
        <v>77.203041911276955</v>
      </c>
      <c r="X19" s="156">
        <f t="shared" ref="X19" si="95">+X18-X20</f>
        <v>87.058821470435618</v>
      </c>
      <c r="Y19" s="156">
        <f t="shared" ref="Y19:Z19" si="96">+Y18-Y20</f>
        <v>63.71893025694807</v>
      </c>
      <c r="Z19" s="156">
        <f t="shared" si="96"/>
        <v>62.431284456859736</v>
      </c>
      <c r="AA19" s="157">
        <f t="shared" ref="AA19" si="97">+AA18-AA20</f>
        <v>62.987707393483717</v>
      </c>
      <c r="AB19" s="157">
        <f t="shared" ref="AB19" si="98">+AB18-AB20</f>
        <v>59.174663677130042</v>
      </c>
      <c r="AC19" s="157">
        <f t="shared" ref="AC19" si="99">+AC18-AC20</f>
        <v>59.174663677130035</v>
      </c>
      <c r="AD19" s="157">
        <f t="shared" ref="AD19" si="100">+AD18-AD20</f>
        <v>59.174663677130042</v>
      </c>
      <c r="AE19" s="157">
        <f t="shared" ref="AE19" si="101">+AE18-AE20</f>
        <v>59.174663677130013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>
        <f t="shared" ref="BO19" si="102">+BO18-BO20</f>
        <v>41.875517668189808</v>
      </c>
      <c r="BP19" s="156">
        <f t="shared" ref="BP19" si="103">+BP18-BP20</f>
        <v>50.76551453260015</v>
      </c>
      <c r="BQ19" s="156">
        <f t="shared" ref="BQ19" si="104">+BQ18-BQ20</f>
        <v>63.191907051282065</v>
      </c>
      <c r="BR19" s="156">
        <f t="shared" ref="BR19" si="105">+BR18-BR20</f>
        <v>59.621488589732088</v>
      </c>
      <c r="BS19" s="156">
        <f t="shared" ref="BS19" si="106">+BS18-BS20</f>
        <v>59.40845616757175</v>
      </c>
      <c r="BT19" s="156">
        <f t="shared" ref="BT19" si="107">+BT18-BT20</f>
        <v>56.470169491525418</v>
      </c>
      <c r="BU19" s="156">
        <f t="shared" ref="BU19" si="108">+BU18-BU20</f>
        <v>71.886774193548376</v>
      </c>
      <c r="BV19" s="156">
        <f t="shared" ref="BV19" si="109">+BV18-BV20</f>
        <v>70.781142857142868</v>
      </c>
      <c r="BW19" s="156">
        <f t="shared" ref="BW19" si="110">+BW18-BW20</f>
        <v>91.04245283018868</v>
      </c>
      <c r="BX19" s="156">
        <f t="shared" ref="BX19" si="111">+BX18-BX20</f>
        <v>89.6982142857143</v>
      </c>
      <c r="BY19" s="156">
        <f t="shared" ref="BY19" si="112">+BY18-BY20</f>
        <v>90.058852031511151</v>
      </c>
      <c r="BZ19" s="156">
        <f t="shared" ref="BZ19" si="113">+BZ18-BZ20</f>
        <v>72.264799683300794</v>
      </c>
      <c r="CA19" s="156">
        <f t="shared" ref="CA19" si="114">+CA18-CA20</f>
        <v>64.28694516971278</v>
      </c>
      <c r="CB19" s="156">
        <f t="shared" ref="CB19" si="115">+CB18-CB20</f>
        <v>74.973502304147459</v>
      </c>
      <c r="CC19" s="156">
        <f t="shared" ref="CC19" si="116">+CC18-CC20</f>
        <v>71.365562913907269</v>
      </c>
      <c r="CD19" s="156">
        <f t="shared" ref="CD19" si="117">+CD18-CD20</f>
        <v>63.537698412698404</v>
      </c>
      <c r="CE19" s="156">
        <f t="shared" ref="CE19" si="118">+CE18-CE20</f>
        <v>62.484203296703306</v>
      </c>
      <c r="CF19" s="156">
        <f t="shared" ref="CF19" si="119">+CF18-CF20</f>
        <v>65.34665314401623</v>
      </c>
      <c r="CG19" s="156">
        <f t="shared" ref="CG19" si="120">+CG18-CG20</f>
        <v>60.21145194274029</v>
      </c>
      <c r="CH19" s="156">
        <f t="shared" ref="CH19" si="121">+CH18-CH20</f>
        <v>61.647857889237216</v>
      </c>
      <c r="CI19" s="156">
        <f t="shared" ref="CI19" si="122">+CI18-CI20</f>
        <v>56.797347480106083</v>
      </c>
      <c r="CJ19" s="156">
        <f t="shared" ref="CJ19" si="123">+CJ18-CJ20</f>
        <v>67.251566951566943</v>
      </c>
      <c r="CK19" s="156">
        <f t="shared" ref="CK19:CL19" si="124">+CK18-CK20</f>
        <v>69.001184834123208</v>
      </c>
      <c r="CL19" s="156">
        <f t="shared" si="124"/>
        <v>59.174663677130035</v>
      </c>
      <c r="CM19" s="157">
        <f t="shared" ref="CM19:DB19" si="125">+CL19</f>
        <v>59.174663677130035</v>
      </c>
      <c r="CN19" s="157">
        <f t="shared" si="125"/>
        <v>59.174663677130035</v>
      </c>
      <c r="CO19" s="157">
        <f t="shared" si="125"/>
        <v>59.174663677130035</v>
      </c>
      <c r="CP19" s="157">
        <f t="shared" si="125"/>
        <v>59.174663677130035</v>
      </c>
      <c r="CQ19" s="157">
        <f t="shared" si="125"/>
        <v>59.174663677130035</v>
      </c>
      <c r="CR19" s="157">
        <f t="shared" si="125"/>
        <v>59.174663677130035</v>
      </c>
      <c r="CS19" s="157">
        <f t="shared" si="125"/>
        <v>59.174663677130035</v>
      </c>
      <c r="CT19" s="157">
        <f t="shared" si="125"/>
        <v>59.174663677130035</v>
      </c>
      <c r="CU19" s="157">
        <f t="shared" si="125"/>
        <v>59.174663677130035</v>
      </c>
      <c r="CV19" s="157">
        <f t="shared" si="125"/>
        <v>59.174663677130035</v>
      </c>
      <c r="CW19" s="157">
        <f t="shared" si="125"/>
        <v>59.174663677130035</v>
      </c>
      <c r="CX19" s="157">
        <f t="shared" si="125"/>
        <v>59.174663677130035</v>
      </c>
      <c r="CY19" s="157">
        <f t="shared" si="125"/>
        <v>59.174663677130035</v>
      </c>
      <c r="CZ19" s="157">
        <f t="shared" si="125"/>
        <v>59.174663677130035</v>
      </c>
      <c r="DA19" s="157">
        <f t="shared" si="125"/>
        <v>59.174663677130035</v>
      </c>
      <c r="DB19" s="157">
        <f t="shared" si="125"/>
        <v>59.174663677130035</v>
      </c>
      <c r="DE19" s="159"/>
      <c r="DF19" s="158">
        <v>69.001184834123208</v>
      </c>
    </row>
    <row r="20" spans="1:110" s="158" customFormat="1" x14ac:dyDescent="0.2">
      <c r="A20" s="155" t="s">
        <v>531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>
        <f t="shared" ref="Q20:T20" si="126">+Q35*10^7/(Q$8+Q$10)/1000</f>
        <v>35.565328048398882</v>
      </c>
      <c r="R20" s="156">
        <f t="shared" si="126"/>
        <v>31.336747115384618</v>
      </c>
      <c r="S20" s="156">
        <f t="shared" si="126"/>
        <v>30.775154881982488</v>
      </c>
      <c r="T20" s="156">
        <f t="shared" si="126"/>
        <v>36.732417781161487</v>
      </c>
      <c r="U20" s="156">
        <f t="shared" ref="U20:X20" si="127">+U35*10^7/(U$8+U$10)/1000</f>
        <v>37.905118298192711</v>
      </c>
      <c r="V20" s="156">
        <f t="shared" si="127"/>
        <v>42.507676114191817</v>
      </c>
      <c r="W20" s="156">
        <f t="shared" si="127"/>
        <v>52.719289504253247</v>
      </c>
      <c r="X20" s="156">
        <f t="shared" si="127"/>
        <v>51.925348023014578</v>
      </c>
      <c r="Y20" s="156">
        <f t="shared" ref="Y20:Z20" si="128">+Y35*10^7/(Y$8+Y$10)/1000</f>
        <v>46.179811746198226</v>
      </c>
      <c r="Z20" s="156">
        <f t="shared" si="128"/>
        <v>47.350483318399831</v>
      </c>
      <c r="AA20" s="157">
        <f t="shared" ref="AA20:AE20" si="129">+AA35*10^7/(AA$8+AA$10)/1000</f>
        <v>49.137387844611524</v>
      </c>
      <c r="AB20" s="157">
        <f t="shared" si="129"/>
        <v>48.241353389973639</v>
      </c>
      <c r="AC20" s="157">
        <f t="shared" si="129"/>
        <v>48.715022421524672</v>
      </c>
      <c r="AD20" s="157">
        <f t="shared" si="129"/>
        <v>48.715022421524651</v>
      </c>
      <c r="AE20" s="157">
        <f t="shared" si="129"/>
        <v>48.715022421524665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>
        <f t="shared" ref="BO20:CJ20" si="130">+BO35*10^7/(BO$8+BO$10)/1000</f>
        <v>34.473676863372823</v>
      </c>
      <c r="BP20" s="156">
        <f t="shared" si="130"/>
        <v>42.491358994501184</v>
      </c>
      <c r="BQ20" s="156">
        <f t="shared" si="130"/>
        <v>51.578926282051263</v>
      </c>
      <c r="BR20" s="156">
        <f t="shared" si="130"/>
        <v>40.296915187460051</v>
      </c>
      <c r="BS20" s="156">
        <f t="shared" si="130"/>
        <v>52.484484096198607</v>
      </c>
      <c r="BT20" s="156">
        <f t="shared" si="130"/>
        <v>44.305423728813558</v>
      </c>
      <c r="BU20" s="156">
        <f t="shared" si="130"/>
        <v>40.082258064516139</v>
      </c>
      <c r="BV20" s="156">
        <f t="shared" si="130"/>
        <v>42.644571428571417</v>
      </c>
      <c r="BW20" s="156">
        <f t="shared" si="130"/>
        <v>58.11192109777015</v>
      </c>
      <c r="BX20" s="156">
        <f t="shared" si="130"/>
        <v>54.713928571428575</v>
      </c>
      <c r="BY20" s="156">
        <f t="shared" si="130"/>
        <v>50.3459802592538</v>
      </c>
      <c r="BZ20" s="156">
        <f t="shared" si="130"/>
        <v>43.118908989008936</v>
      </c>
      <c r="CA20" s="156">
        <f t="shared" si="130"/>
        <v>50.862402088772853</v>
      </c>
      <c r="CB20" s="156">
        <f t="shared" si="130"/>
        <v>50.97626728110599</v>
      </c>
      <c r="CC20" s="156">
        <f t="shared" si="130"/>
        <v>53.492935982339965</v>
      </c>
      <c r="CD20" s="156">
        <f t="shared" si="130"/>
        <v>44.104365079365081</v>
      </c>
      <c r="CE20" s="156">
        <f t="shared" si="130"/>
        <v>50.589972527472518</v>
      </c>
      <c r="CF20" s="156">
        <f t="shared" si="130"/>
        <v>47.674036511156189</v>
      </c>
      <c r="CG20" s="156">
        <f t="shared" si="130"/>
        <v>47.586094069529658</v>
      </c>
      <c r="CH20" s="156">
        <f t="shared" si="130"/>
        <v>43.819017763845338</v>
      </c>
      <c r="CI20" s="156">
        <f t="shared" si="130"/>
        <v>51.549602122015926</v>
      </c>
      <c r="CJ20" s="156">
        <f t="shared" si="130"/>
        <v>53.36381766381767</v>
      </c>
      <c r="CK20" s="156">
        <f>+CK35*10^7/(CK$8+CK$10)/1000</f>
        <v>48.14123222748816</v>
      </c>
      <c r="CL20" s="156">
        <f>+CL35*10^7/(CL$8+CL$10)/1000</f>
        <v>44.715022421524658</v>
      </c>
      <c r="CM20" s="157">
        <f t="shared" ref="CM20:DB20" si="131">+CM18-CM19</f>
        <v>46.715022421524658</v>
      </c>
      <c r="CN20" s="157">
        <f t="shared" si="131"/>
        <v>48.715022421524658</v>
      </c>
      <c r="CO20" s="157">
        <f t="shared" si="131"/>
        <v>48.715022421524658</v>
      </c>
      <c r="CP20" s="157">
        <f t="shared" si="131"/>
        <v>48.715022421524658</v>
      </c>
      <c r="CQ20" s="157">
        <f t="shared" si="131"/>
        <v>48.715022421524658</v>
      </c>
      <c r="CR20" s="157">
        <f t="shared" si="131"/>
        <v>48.715022421524658</v>
      </c>
      <c r="CS20" s="157">
        <f t="shared" si="131"/>
        <v>48.715022421524658</v>
      </c>
      <c r="CT20" s="157">
        <f t="shared" si="131"/>
        <v>48.715022421524658</v>
      </c>
      <c r="CU20" s="157">
        <f t="shared" si="131"/>
        <v>48.715022421524658</v>
      </c>
      <c r="CV20" s="157">
        <f t="shared" si="131"/>
        <v>48.715022421524658</v>
      </c>
      <c r="CW20" s="157">
        <f t="shared" si="131"/>
        <v>48.715022421524658</v>
      </c>
      <c r="CX20" s="157">
        <f t="shared" si="131"/>
        <v>48.715022421524658</v>
      </c>
      <c r="CY20" s="157">
        <f t="shared" si="131"/>
        <v>48.715022421524658</v>
      </c>
      <c r="CZ20" s="157">
        <f t="shared" si="131"/>
        <v>48.715022421524658</v>
      </c>
      <c r="DA20" s="157">
        <f t="shared" si="131"/>
        <v>48.715022421524658</v>
      </c>
      <c r="DB20" s="157">
        <f t="shared" si="131"/>
        <v>48.715022421524658</v>
      </c>
      <c r="DE20" s="159"/>
      <c r="DF20" s="158">
        <v>48.14123222748816</v>
      </c>
    </row>
    <row r="21" spans="1:110" s="158" customFormat="1" x14ac:dyDescent="0.2">
      <c r="A21" s="155" t="s">
        <v>532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>
        <f t="shared" ref="Q21:T21" si="132">+Q20-Q22</f>
        <v>28.572117450714501</v>
      </c>
      <c r="R21" s="156">
        <f t="shared" si="132"/>
        <v>24.387976923076923</v>
      </c>
      <c r="S21" s="156">
        <f t="shared" si="132"/>
        <v>22.276204495417534</v>
      </c>
      <c r="T21" s="156">
        <f t="shared" si="132"/>
        <v>25.423292955107986</v>
      </c>
      <c r="U21" s="156">
        <f t="shared" ref="U21" si="133">+U20-U22</f>
        <v>26.079157885213313</v>
      </c>
      <c r="V21" s="156">
        <f t="shared" ref="V21" si="134">+V20-V22</f>
        <v>31.643293577443298</v>
      </c>
      <c r="W21" s="156">
        <f t="shared" ref="W21" si="135">+W20-W22</f>
        <v>39.477432351765927</v>
      </c>
      <c r="X21" s="156">
        <f t="shared" ref="X21" si="136">+X20-X22</f>
        <v>39.447232033751831</v>
      </c>
      <c r="Y21" s="156">
        <f t="shared" ref="Y21:Z21" si="137">+Y20-Y22</f>
        <v>29.521803880440483</v>
      </c>
      <c r="Z21" s="156">
        <f t="shared" si="137"/>
        <v>29.756482896748015</v>
      </c>
      <c r="AA21" s="157">
        <f t="shared" ref="AA21" si="138">+AA20-AA22</f>
        <v>35.59269611528822</v>
      </c>
      <c r="AB21" s="157">
        <f t="shared" ref="AB21" si="139">+AB20-AB22</f>
        <v>33.932959641255607</v>
      </c>
      <c r="AC21" s="157">
        <f t="shared" ref="AC21" si="140">+AC20-AC22</f>
        <v>33.932959641255607</v>
      </c>
      <c r="AD21" s="157">
        <f t="shared" ref="AD21" si="141">+AD20-AD22</f>
        <v>33.932959641255607</v>
      </c>
      <c r="AE21" s="157">
        <f t="shared" ref="AE21" si="142">+AE20-AE22</f>
        <v>33.932959641255614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>
        <f t="shared" ref="BO21" si="143">+BO20-BO22</f>
        <v>25.937851898039142</v>
      </c>
      <c r="BP21" s="156">
        <f t="shared" ref="BP21" si="144">+BP20-BP22</f>
        <v>31.638256087981148</v>
      </c>
      <c r="BQ21" s="156">
        <f t="shared" ref="BQ21" si="145">+BQ20-BQ22</f>
        <v>39.225961538461533</v>
      </c>
      <c r="BR21" s="156">
        <f t="shared" ref="BR21" si="146">+BR20-BR22</f>
        <v>27.754334634295766</v>
      </c>
      <c r="BS21" s="156">
        <f t="shared" ref="BS21" si="147">+BS20-BS22</f>
        <v>36.244375484871995</v>
      </c>
      <c r="BT21" s="156">
        <f t="shared" ref="BT21" si="148">+BT20-BT22</f>
        <v>31.487118644067799</v>
      </c>
      <c r="BU21" s="156">
        <f t="shared" ref="BU21" si="149">+BU20-BU22</f>
        <v>33.48193548387097</v>
      </c>
      <c r="BV21" s="156">
        <f t="shared" ref="BV21" si="150">+BV20-BV22</f>
        <v>31.198571428571427</v>
      </c>
      <c r="BW21" s="156">
        <f t="shared" ref="BW21" si="151">+BW20-BW22</f>
        <v>47.886363636363626</v>
      </c>
      <c r="BX21" s="156">
        <f t="shared" ref="BX21" si="152">+BX20-BX22</f>
        <v>42.879999999999995</v>
      </c>
      <c r="BY21" s="156">
        <f t="shared" ref="BY21" si="153">+BY20-BY22</f>
        <v>36.866632912495035</v>
      </c>
      <c r="BZ21" s="156">
        <f t="shared" ref="BZ21" si="154">+BZ20-BZ22</f>
        <v>29.776620303444105</v>
      </c>
      <c r="CA21" s="156">
        <f t="shared" ref="CA21" si="155">+CA20-CA22</f>
        <v>34.996605744125326</v>
      </c>
      <c r="CB21" s="156">
        <f t="shared" ref="CB21" si="156">+CB20-CB22</f>
        <v>32.450230414746549</v>
      </c>
      <c r="CC21" s="156">
        <f t="shared" ref="CC21" si="157">+CC20-CC22</f>
        <v>31.66181015452538</v>
      </c>
      <c r="CD21" s="156">
        <f t="shared" ref="CD21" si="158">+CD20-CD22</f>
        <v>25.844246031746028</v>
      </c>
      <c r="CE21" s="156">
        <f t="shared" ref="CE21" si="159">+CE20-CE22</f>
        <v>31.369276556776558</v>
      </c>
      <c r="CF21" s="156">
        <f t="shared" ref="CF21" si="160">+CF20-CF22</f>
        <v>29.132251521298169</v>
      </c>
      <c r="CG21" s="156">
        <f t="shared" ref="CG21" si="161">+CG20-CG22</f>
        <v>28.37505112474437</v>
      </c>
      <c r="CH21" s="156">
        <f t="shared" ref="CH21" si="162">+CH20-CH22</f>
        <v>28.434273772204797</v>
      </c>
      <c r="CI21" s="156">
        <f t="shared" ref="CI21" si="163">+CI20-CI22</f>
        <v>33.774801061007956</v>
      </c>
      <c r="CJ21" s="156">
        <f t="shared" ref="CJ21" si="164">+CJ20-CJ22</f>
        <v>40.511396011396009</v>
      </c>
      <c r="CK21" s="156">
        <f t="shared" ref="CK21:CL21" si="165">+CK20-CK22</f>
        <v>33.623933649289093</v>
      </c>
      <c r="CL21" s="156">
        <f t="shared" si="165"/>
        <v>33.932959641255607</v>
      </c>
      <c r="CM21" s="157">
        <f t="shared" ref="CM21:DB21" si="166">+CL21</f>
        <v>33.932959641255607</v>
      </c>
      <c r="CN21" s="157">
        <f t="shared" si="166"/>
        <v>33.932959641255607</v>
      </c>
      <c r="CO21" s="157">
        <f t="shared" si="166"/>
        <v>33.932959641255607</v>
      </c>
      <c r="CP21" s="157">
        <f t="shared" si="166"/>
        <v>33.932959641255607</v>
      </c>
      <c r="CQ21" s="157">
        <f t="shared" si="166"/>
        <v>33.932959641255607</v>
      </c>
      <c r="CR21" s="157">
        <f t="shared" si="166"/>
        <v>33.932959641255607</v>
      </c>
      <c r="CS21" s="157">
        <f t="shared" si="166"/>
        <v>33.932959641255607</v>
      </c>
      <c r="CT21" s="157">
        <f t="shared" si="166"/>
        <v>33.932959641255607</v>
      </c>
      <c r="CU21" s="157">
        <f t="shared" si="166"/>
        <v>33.932959641255607</v>
      </c>
      <c r="CV21" s="157">
        <f t="shared" si="166"/>
        <v>33.932959641255607</v>
      </c>
      <c r="CW21" s="157">
        <f t="shared" si="166"/>
        <v>33.932959641255607</v>
      </c>
      <c r="CX21" s="157">
        <f t="shared" si="166"/>
        <v>33.932959641255607</v>
      </c>
      <c r="CY21" s="157">
        <f t="shared" si="166"/>
        <v>33.932959641255607</v>
      </c>
      <c r="CZ21" s="157">
        <f t="shared" si="166"/>
        <v>33.932959641255607</v>
      </c>
      <c r="DA21" s="157">
        <f t="shared" si="166"/>
        <v>33.932959641255607</v>
      </c>
      <c r="DB21" s="157">
        <f t="shared" si="166"/>
        <v>33.932959641255607</v>
      </c>
      <c r="DE21" s="159"/>
      <c r="DF21" s="158">
        <v>33.623933649289093</v>
      </c>
    </row>
    <row r="22" spans="1:110" s="158" customFormat="1" x14ac:dyDescent="0.2">
      <c r="A22" s="155" t="s">
        <v>533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>
        <f t="shared" ref="Q22:T22" si="167">+Q47*10^7/(Q$8+Q$10)/1000</f>
        <v>6.9932105976843797</v>
      </c>
      <c r="R22" s="156">
        <f t="shared" si="167"/>
        <v>6.9487701923076939</v>
      </c>
      <c r="S22" s="156">
        <f t="shared" si="167"/>
        <v>8.4989503865649532</v>
      </c>
      <c r="T22" s="156">
        <f t="shared" si="167"/>
        <v>11.309124826053502</v>
      </c>
      <c r="U22" s="156">
        <f t="shared" ref="U22:X22" si="168">+U47*10^7/(U$8+U$10)/1000</f>
        <v>11.825960412979398</v>
      </c>
      <c r="V22" s="156">
        <f t="shared" si="168"/>
        <v>10.864382536748519</v>
      </c>
      <c r="W22" s="156">
        <f t="shared" si="168"/>
        <v>13.241857152487318</v>
      </c>
      <c r="X22" s="156">
        <f t="shared" si="168"/>
        <v>12.478115989262744</v>
      </c>
      <c r="Y22" s="156">
        <f t="shared" ref="Y22:Z22" si="169">+Y47*10^7/(Y$8+Y$10)/1000</f>
        <v>16.658007865757742</v>
      </c>
      <c r="Z22" s="156">
        <f t="shared" si="169"/>
        <v>17.594000421651817</v>
      </c>
      <c r="AA22" s="157">
        <f t="shared" ref="AA22:AE22" si="170">+AA47*10^7/(AA$8+AA$10)/1000</f>
        <v>13.544691729323306</v>
      </c>
      <c r="AB22" s="157">
        <f t="shared" si="170"/>
        <v>14.308393748718036</v>
      </c>
      <c r="AC22" s="157">
        <f t="shared" si="170"/>
        <v>14.782062780269062</v>
      </c>
      <c r="AD22" s="157">
        <f t="shared" si="170"/>
        <v>14.782062780269042</v>
      </c>
      <c r="AE22" s="157">
        <f t="shared" si="170"/>
        <v>14.782062780269051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>
        <f t="shared" ref="BO22:CJ22" si="171">+BO47*10^7/(BO$8+BO$10)/1000</f>
        <v>8.5358249653336795</v>
      </c>
      <c r="BP22" s="156">
        <f t="shared" si="171"/>
        <v>10.853102906520036</v>
      </c>
      <c r="BQ22" s="156">
        <f t="shared" si="171"/>
        <v>12.352964743589732</v>
      </c>
      <c r="BR22" s="156">
        <f t="shared" si="171"/>
        <v>12.542580553164283</v>
      </c>
      <c r="BS22" s="156">
        <f t="shared" si="171"/>
        <v>16.240108611326608</v>
      </c>
      <c r="BT22" s="156">
        <f t="shared" si="171"/>
        <v>12.818305084745758</v>
      </c>
      <c r="BU22" s="156">
        <f t="shared" si="171"/>
        <v>6.600322580645166</v>
      </c>
      <c r="BV22" s="156">
        <f t="shared" si="171"/>
        <v>11.445999999999991</v>
      </c>
      <c r="BW22" s="156">
        <f t="shared" si="171"/>
        <v>10.22555746140652</v>
      </c>
      <c r="BX22" s="156">
        <f t="shared" si="171"/>
        <v>11.833928571428576</v>
      </c>
      <c r="BY22" s="156">
        <f t="shared" si="171"/>
        <v>13.479347346758766</v>
      </c>
      <c r="BZ22" s="156">
        <f t="shared" si="171"/>
        <v>13.342288685564833</v>
      </c>
      <c r="CA22" s="156">
        <f t="shared" si="171"/>
        <v>15.865796344647528</v>
      </c>
      <c r="CB22" s="156">
        <f t="shared" si="171"/>
        <v>18.526036866359441</v>
      </c>
      <c r="CC22" s="156">
        <f t="shared" si="171"/>
        <v>21.831125827814585</v>
      </c>
      <c r="CD22" s="156">
        <f t="shared" si="171"/>
        <v>18.260119047619053</v>
      </c>
      <c r="CE22" s="156">
        <f t="shared" si="171"/>
        <v>19.22069597069596</v>
      </c>
      <c r="CF22" s="156">
        <f t="shared" si="171"/>
        <v>18.541784989858019</v>
      </c>
      <c r="CG22" s="156">
        <f t="shared" si="171"/>
        <v>19.211042944785287</v>
      </c>
      <c r="CH22" s="156">
        <f t="shared" si="171"/>
        <v>15.384743991640541</v>
      </c>
      <c r="CI22" s="156">
        <f t="shared" si="171"/>
        <v>17.77480106100797</v>
      </c>
      <c r="CJ22" s="156">
        <f t="shared" si="171"/>
        <v>12.852421652421663</v>
      </c>
      <c r="CK22" s="156">
        <f>+CK47*10^7/(CK$8+CK$10)/1000</f>
        <v>14.517298578199066</v>
      </c>
      <c r="CL22" s="156">
        <f>+CL47*10^7/(CL$8+CL$10)/1000</f>
        <v>10.782062780269051</v>
      </c>
      <c r="CM22" s="157">
        <f t="shared" ref="CM22:DB22" si="172">+CM20-CM21</f>
        <v>12.782062780269051</v>
      </c>
      <c r="CN22" s="157">
        <f t="shared" si="172"/>
        <v>14.782062780269051</v>
      </c>
      <c r="CO22" s="157">
        <f t="shared" si="172"/>
        <v>14.782062780269051</v>
      </c>
      <c r="CP22" s="157">
        <f t="shared" si="172"/>
        <v>14.782062780269051</v>
      </c>
      <c r="CQ22" s="157">
        <f t="shared" si="172"/>
        <v>14.782062780269051</v>
      </c>
      <c r="CR22" s="157">
        <f t="shared" si="172"/>
        <v>14.782062780269051</v>
      </c>
      <c r="CS22" s="157">
        <f t="shared" si="172"/>
        <v>14.782062780269051</v>
      </c>
      <c r="CT22" s="157">
        <f t="shared" si="172"/>
        <v>14.782062780269051</v>
      </c>
      <c r="CU22" s="157">
        <f t="shared" si="172"/>
        <v>14.782062780269051</v>
      </c>
      <c r="CV22" s="157">
        <f t="shared" si="172"/>
        <v>14.782062780269051</v>
      </c>
      <c r="CW22" s="157">
        <f t="shared" si="172"/>
        <v>14.782062780269051</v>
      </c>
      <c r="CX22" s="157">
        <f t="shared" si="172"/>
        <v>14.782062780269051</v>
      </c>
      <c r="CY22" s="157">
        <f t="shared" si="172"/>
        <v>14.782062780269051</v>
      </c>
      <c r="CZ22" s="157">
        <f t="shared" si="172"/>
        <v>14.782062780269051</v>
      </c>
      <c r="DA22" s="157">
        <f t="shared" si="172"/>
        <v>14.782062780269051</v>
      </c>
      <c r="DB22" s="157">
        <f t="shared" si="172"/>
        <v>14.782062780269051</v>
      </c>
      <c r="DE22" s="159"/>
      <c r="DF22" s="158">
        <v>14.517298578199068</v>
      </c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84"/>
      <c r="CE23" s="184"/>
      <c r="CF23" s="184"/>
      <c r="CG23" s="197"/>
      <c r="CH23" s="197"/>
      <c r="CI23" s="197"/>
      <c r="CJ23" s="197"/>
      <c r="CK23" s="197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84"/>
      <c r="CF24" s="184"/>
      <c r="CG24" s="184"/>
      <c r="CH24" s="184"/>
      <c r="CI24" s="184"/>
      <c r="CJ24" s="184"/>
      <c r="CK24" s="184"/>
      <c r="CL24" s="157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06" customFormat="1" x14ac:dyDescent="0.2">
      <c r="A25" s="151" t="s">
        <v>500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5"/>
      <c r="AB25" s="105"/>
      <c r="AC25" s="105"/>
      <c r="AD25" s="105"/>
      <c r="AE25" s="105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106" customFormat="1" x14ac:dyDescent="0.2">
      <c r="A26" s="151" t="s">
        <v>485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05"/>
      <c r="AC26" s="105"/>
      <c r="AD26" s="105"/>
      <c r="AE26" s="105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60"/>
      <c r="CK26" s="160"/>
      <c r="CL26" s="160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25" customFormat="1" outlineLevel="1" x14ac:dyDescent="0.2">
      <c r="A27" s="25" t="s">
        <v>430</v>
      </c>
      <c r="B27" s="25">
        <f>'Annual Raw'!C6</f>
        <v>0</v>
      </c>
      <c r="C27" s="25">
        <f>'Annual Raw'!D6</f>
        <v>0</v>
      </c>
      <c r="D27" s="25">
        <f>'Annual Raw'!E6</f>
        <v>0</v>
      </c>
      <c r="E27" s="25">
        <f>'Annual Raw'!F6</f>
        <v>0</v>
      </c>
      <c r="F27" s="25">
        <f>'Annual Raw'!G6</f>
        <v>0</v>
      </c>
      <c r="G27" s="25">
        <f>'Annual Raw'!H6</f>
        <v>0</v>
      </c>
      <c r="H27" s="25">
        <f>'Annual Raw'!I6</f>
        <v>0</v>
      </c>
      <c r="I27" s="25">
        <f>'Annual Raw'!J6</f>
        <v>0</v>
      </c>
      <c r="J27" s="25">
        <f>'Annual Raw'!K6</f>
        <v>0</v>
      </c>
      <c r="K27" s="25">
        <f>'Annual Raw'!L6</f>
        <v>7314.5981000000002</v>
      </c>
      <c r="L27" s="25">
        <f>'Annual Raw'!M6</f>
        <v>4754.7852000000003</v>
      </c>
      <c r="M27" s="25">
        <f>'Annual Raw'!N6</f>
        <v>6230.0772999999999</v>
      </c>
      <c r="N27" s="25">
        <f>'Annual Raw'!O6</f>
        <v>6924.1437999999998</v>
      </c>
      <c r="O27" s="25">
        <f>'Annual Raw'!P6</f>
        <v>6948.0411000000004</v>
      </c>
      <c r="P27" s="25">
        <f>'Annual Raw'!Q6</f>
        <v>8519.5488000000005</v>
      </c>
      <c r="Q27" s="25">
        <f>'Annual Raw'!R6</f>
        <v>7940.4062000000004</v>
      </c>
      <c r="R27" s="25">
        <f>'Annual Raw'!S6</f>
        <v>7343.0641999999998</v>
      </c>
      <c r="S27" s="25">
        <f>'Annual Raw'!T6</f>
        <v>8564.3294999999998</v>
      </c>
      <c r="T27" s="25">
        <f>'Annual Raw'!U6</f>
        <v>12117.0016</v>
      </c>
      <c r="U27" s="25">
        <f>'Annual Raw'!V6</f>
        <v>11627.0368</v>
      </c>
      <c r="V27" s="25">
        <f>'Annual Raw'!W6</f>
        <v>10663.6358</v>
      </c>
      <c r="W27" s="25">
        <f>'Annual Raw'!X6</f>
        <v>13298.4211</v>
      </c>
      <c r="X27" s="25">
        <f>'Annual Raw'!Y6</f>
        <v>17868.068899999998</v>
      </c>
      <c r="Y27" s="25">
        <f>'Annual Raw'!Z6</f>
        <v>20957.6901</v>
      </c>
      <c r="Z27" s="25">
        <f>'Annual Raw'!AA6</f>
        <v>20828.894799999998</v>
      </c>
      <c r="AA27" s="25">
        <f>'Annual Raw'!AB6</f>
        <v>17895.165199999999</v>
      </c>
      <c r="AB27" s="17">
        <f>+SUM(CM27:CP27)</f>
        <v>18622.714878923765</v>
      </c>
      <c r="AC27" s="17">
        <f>+SUM(CQ27:CT27)</f>
        <v>20350.907819730943</v>
      </c>
      <c r="AD27" s="17">
        <f>+SUM(CU27:CX27)</f>
        <v>22161.588054618835</v>
      </c>
      <c r="AE27" s="17">
        <f>+SUM(CY27:DB27)</f>
        <v>24153.336312995518</v>
      </c>
      <c r="AI27" s="25">
        <f>'QTR Raw'!C6+'QTR Raw'!C8</f>
        <v>1290.4299999999998</v>
      </c>
      <c r="AJ27" s="25">
        <f>'QTR Raw'!D6+'QTR Raw'!D8</f>
        <v>1636.93</v>
      </c>
      <c r="AK27" s="25">
        <f>'QTR Raw'!E6+'QTR Raw'!E8</f>
        <v>1722.73</v>
      </c>
      <c r="AL27" s="25">
        <f>'QTR Raw'!F6+'QTR Raw'!F8</f>
        <v>980.06999999999994</v>
      </c>
      <c r="AM27" s="25">
        <f>'QTR Raw'!G6+'QTR Raw'!G8</f>
        <v>1207.01</v>
      </c>
      <c r="AN27" s="25">
        <f>'QTR Raw'!H6+'QTR Raw'!H8</f>
        <v>1229.3900000000001</v>
      </c>
      <c r="AO27" s="25">
        <f>'QTR Raw'!I6+'QTR Raw'!I8</f>
        <v>1709.6100000000001</v>
      </c>
      <c r="AP27" s="25">
        <f>'QTR Raw'!J6+'QTR Raw'!J8</f>
        <v>1363.5800000000002</v>
      </c>
      <c r="AQ27" s="25">
        <f>'QTR Raw'!K6+'QTR Raw'!K8</f>
        <v>1149.07</v>
      </c>
      <c r="AR27" s="25">
        <f>'QTR Raw'!L6+'QTR Raw'!L8</f>
        <v>1591.36</v>
      </c>
      <c r="AS27" s="25">
        <f>'QTR Raw'!M6+'QTR Raw'!M8</f>
        <v>1777.4299999999998</v>
      </c>
      <c r="AT27" s="25">
        <f>'QTR Raw'!N6+'QTR Raw'!N8</f>
        <v>2142.42</v>
      </c>
      <c r="AU27" s="25">
        <f>'QTR Raw'!O6+'QTR Raw'!O8</f>
        <v>1992.14</v>
      </c>
      <c r="AV27" s="25">
        <f>'QTR Raw'!P6+'QTR Raw'!P8</f>
        <v>1402.61</v>
      </c>
      <c r="AW27" s="25">
        <f>'QTR Raw'!Q6+'QTR Raw'!Q8</f>
        <v>1128.6099999999999</v>
      </c>
      <c r="AX27" s="25">
        <f>'QTR Raw'!R6+'QTR Raw'!R8</f>
        <v>1858.85</v>
      </c>
      <c r="AY27" s="25">
        <f>'QTR Raw'!S6+'QTR Raw'!S8</f>
        <v>1327.13</v>
      </c>
      <c r="AZ27" s="25">
        <f>'QTR Raw'!T6+'QTR Raw'!T8</f>
        <v>1401.83</v>
      </c>
      <c r="BA27" s="25">
        <f>'QTR Raw'!U6+'QTR Raw'!U8</f>
        <v>1426.75</v>
      </c>
      <c r="BB27" s="25">
        <f>'QTR Raw'!V6+'QTR Raw'!V8</f>
        <v>1772.17</v>
      </c>
      <c r="BC27" s="25">
        <f>'QTR Raw'!W6+'QTR Raw'!W8</f>
        <v>1450.42</v>
      </c>
      <c r="BD27" s="25">
        <f>'QTR Raw'!X6+'QTR Raw'!X8</f>
        <v>1321.19</v>
      </c>
      <c r="BE27" s="25">
        <f>'QTR Raw'!Y6+'QTR Raw'!Y8</f>
        <v>2114.69</v>
      </c>
      <c r="BF27" s="25">
        <f>'QTR Raw'!Z6+'QTR Raw'!Z8</f>
        <v>2456.9899999999998</v>
      </c>
      <c r="BG27" s="25">
        <f>'QTR Raw'!AA6+'QTR Raw'!AA8</f>
        <v>2761.18</v>
      </c>
      <c r="BH27" s="25">
        <f>'QTR Raw'!AB6+'QTR Raw'!AB8</f>
        <v>2960.12</v>
      </c>
      <c r="BI27" s="25">
        <f>'QTR Raw'!AC6+'QTR Raw'!AC8</f>
        <v>2958.12</v>
      </c>
      <c r="BJ27" s="25">
        <f>'QTR Raw'!AD6+'QTR Raw'!AD8</f>
        <v>3437.58</v>
      </c>
      <c r="BK27" s="25">
        <f>'QTR Raw'!AE6+'QTR Raw'!AE8</f>
        <v>3056.46</v>
      </c>
      <c r="BL27" s="25">
        <f>'QTR Raw'!AF6+'QTR Raw'!AF8</f>
        <v>2681.59</v>
      </c>
      <c r="BM27" s="25">
        <f>'QTR Raw'!AG6+'QTR Raw'!AG8</f>
        <v>2987.97</v>
      </c>
      <c r="BN27" s="25">
        <f>'QTR Raw'!AH6+'QTR Raw'!AH8</f>
        <v>2901.02</v>
      </c>
      <c r="BO27" s="25">
        <f>'QTR Raw'!AI6+'QTR Raw'!AI8</f>
        <v>1640.79</v>
      </c>
      <c r="BP27" s="25">
        <f>'QTR Raw'!AJ6+'QTR Raw'!AJ8</f>
        <v>2374.3200000000002</v>
      </c>
      <c r="BQ27" s="25">
        <f>'QTR Raw'!AK6+'QTR Raw'!AK8</f>
        <v>2864.68</v>
      </c>
      <c r="BR27" s="25">
        <f>'QTR Raw'!AL6+'QTR Raw'!AL8</f>
        <v>3783.85</v>
      </c>
      <c r="BS27" s="25">
        <f>'QTR Raw'!AM6+'QTR Raw'!AM8</f>
        <v>2884.6</v>
      </c>
      <c r="BT27" s="25">
        <f>'QTR Raw'!AN6+'QTR Raw'!AN8</f>
        <v>2972.88</v>
      </c>
      <c r="BU27" s="25">
        <f>'QTR Raw'!AO6+'QTR Raw'!AO8</f>
        <v>3471.04</v>
      </c>
      <c r="BV27" s="25">
        <f>'QTR Raw'!AP6+'QTR Raw'!AP8</f>
        <v>3969.9</v>
      </c>
      <c r="BW27" s="25">
        <f>'QTR Raw'!AQ6+'QTR Raw'!AQ8</f>
        <v>3478.28</v>
      </c>
      <c r="BX27" s="25">
        <f>'QTR Raw'!AR6+'QTR Raw'!AR8</f>
        <v>4043.54</v>
      </c>
      <c r="BY27" s="25">
        <f>'QTR Raw'!AS6+'QTR Raw'!AS8</f>
        <v>5157.9399999999996</v>
      </c>
      <c r="BZ27" s="25">
        <f>'QTR Raw'!AT6+'QTR Raw'!AT8</f>
        <v>5188.09</v>
      </c>
      <c r="CA27" s="25">
        <f>'QTR Raw'!AU6+'QTR Raw'!AU8</f>
        <v>4410.22</v>
      </c>
      <c r="CB27" s="25">
        <f>'QTR Raw'!AV6+'QTR Raw'!AV8</f>
        <v>5466.22</v>
      </c>
      <c r="CC27" s="25">
        <f>'QTR Raw'!AW6+'QTR Raw'!AW8</f>
        <v>5656.09</v>
      </c>
      <c r="CD27" s="25">
        <f>'QTR Raw'!AX6+'QTR Raw'!AX8</f>
        <v>5425.16</v>
      </c>
      <c r="CE27" s="25">
        <f>'QTR Raw'!AY6+'QTR Raw'!AY8</f>
        <v>4939.08</v>
      </c>
      <c r="CF27" s="25">
        <f>'QTR Raw'!AZ6+'QTR Raw'!AZ8</f>
        <v>5571.92</v>
      </c>
      <c r="CG27" s="25">
        <f>'QTR Raw'!BA6+'QTR Raw'!BA8</f>
        <v>5271.3</v>
      </c>
      <c r="CH27" s="25">
        <f>'QTR Raw'!BB6+'QTR Raw'!BB8</f>
        <v>5046.59</v>
      </c>
      <c r="CI27" s="25">
        <f>'QTR Raw'!BC6+'QTR Raw'!BC8</f>
        <v>4084.68</v>
      </c>
      <c r="CJ27" s="25">
        <f>'QTR Raw'!BD6+'QTR Raw'!BD8</f>
        <v>4233.6000000000004</v>
      </c>
      <c r="CK27" s="25">
        <f>'QTR Raw'!BE6+'QTR Raw'!BE8</f>
        <v>4943.41</v>
      </c>
      <c r="CL27" s="25">
        <f>'QTR Raw'!BF6+'QTR Raw'!BF8</f>
        <v>4633.4799999999996</v>
      </c>
      <c r="CM27" s="17">
        <f t="shared" ref="CM27:DB27" si="173">+(CM$8+CM$10)*CM18/10^4</f>
        <v>4347.8305112107619</v>
      </c>
      <c r="CN27" s="17">
        <f t="shared" si="173"/>
        <v>4038.310950672645</v>
      </c>
      <c r="CO27" s="17">
        <f t="shared" si="173"/>
        <v>4952.1365919282507</v>
      </c>
      <c r="CP27" s="17">
        <f t="shared" si="173"/>
        <v>5284.4368251121077</v>
      </c>
      <c r="CQ27" s="17">
        <f t="shared" si="173"/>
        <v>4816.8429255605379</v>
      </c>
      <c r="CR27" s="17">
        <f t="shared" si="173"/>
        <v>4386.0394089686097</v>
      </c>
      <c r="CS27" s="17">
        <f t="shared" si="173"/>
        <v>5391.2476143497761</v>
      </c>
      <c r="CT27" s="17">
        <f t="shared" si="173"/>
        <v>5756.7778708520182</v>
      </c>
      <c r="CU27" s="17">
        <f t="shared" si="173"/>
        <v>5242.4245813452926</v>
      </c>
      <c r="CV27" s="17">
        <f t="shared" si="173"/>
        <v>4768.5407130941703</v>
      </c>
      <c r="CW27" s="17">
        <f t="shared" si="173"/>
        <v>5874.2697390134545</v>
      </c>
      <c r="CX27" s="17">
        <f t="shared" si="173"/>
        <v>6276.353021165919</v>
      </c>
      <c r="CY27" s="17">
        <f t="shared" si="173"/>
        <v>5710.56440270852</v>
      </c>
      <c r="CZ27" s="17">
        <f t="shared" si="173"/>
        <v>5189.2921476322872</v>
      </c>
      <c r="DA27" s="17">
        <f t="shared" si="173"/>
        <v>6405.5940761434995</v>
      </c>
      <c r="DB27" s="17">
        <f t="shared" si="173"/>
        <v>6847.8856865112111</v>
      </c>
      <c r="DE27" s="119"/>
      <c r="DF27" s="25">
        <v>17895.165199999999</v>
      </c>
    </row>
    <row r="28" spans="1:110" s="92" customFormat="1" outlineLevel="1" x14ac:dyDescent="0.2">
      <c r="A28" s="92" t="s">
        <v>109</v>
      </c>
      <c r="B28" s="92">
        <f>'Annual Raw'!C7+'Annual Raw'!C8+'Annual Raw'!C9</f>
        <v>0</v>
      </c>
      <c r="C28" s="92">
        <f>'Annual Raw'!D7+'Annual Raw'!D8+'Annual Raw'!D9</f>
        <v>0</v>
      </c>
      <c r="D28" s="92">
        <f>'Annual Raw'!E7+'Annual Raw'!E8+'Annual Raw'!E9</f>
        <v>0</v>
      </c>
      <c r="E28" s="92">
        <f>'Annual Raw'!F7+'Annual Raw'!F8+'Annual Raw'!F9</f>
        <v>0</v>
      </c>
      <c r="F28" s="92">
        <f>'Annual Raw'!G7+'Annual Raw'!G8+'Annual Raw'!G9</f>
        <v>0</v>
      </c>
      <c r="G28" s="92">
        <f>'Annual Raw'!H7+'Annual Raw'!H8+'Annual Raw'!H9</f>
        <v>0</v>
      </c>
      <c r="H28" s="92">
        <f>'Annual Raw'!I7+'Annual Raw'!I8+'Annual Raw'!I9</f>
        <v>0</v>
      </c>
      <c r="I28" s="92">
        <f>'Annual Raw'!J7+'Annual Raw'!J8+'Annual Raw'!J9</f>
        <v>0</v>
      </c>
      <c r="J28" s="92">
        <f>'Annual Raw'!K7+'Annual Raw'!K8+'Annual Raw'!K9</f>
        <v>0</v>
      </c>
      <c r="K28" s="92">
        <f>'Annual Raw'!L7+'Annual Raw'!L8+'Annual Raw'!L9</f>
        <v>204.3331</v>
      </c>
      <c r="L28" s="92">
        <f>'Annual Raw'!M7+'Annual Raw'!M8+'Annual Raw'!M9</f>
        <v>168.4598</v>
      </c>
      <c r="M28" s="92">
        <f>'Annual Raw'!N7+'Annual Raw'!N8+'Annual Raw'!N9</f>
        <v>193.6816</v>
      </c>
      <c r="N28" s="92">
        <f>'Annual Raw'!O7+'Annual Raw'!O8+'Annual Raw'!O9</f>
        <v>159.416</v>
      </c>
      <c r="O28" s="92">
        <f>'Annual Raw'!P7+'Annual Raw'!P8+'Annual Raw'!P9</f>
        <v>292.19369999999998</v>
      </c>
      <c r="P28" s="92">
        <f>'Annual Raw'!Q7+'Annual Raw'!Q8+'Annual Raw'!Q9</f>
        <v>311.71870000000001</v>
      </c>
      <c r="Q28" s="92">
        <f>'Annual Raw'!R7+'Annual Raw'!R8+'Annual Raw'!R9</f>
        <v>237.82759999999999</v>
      </c>
      <c r="R28" s="92">
        <f>'Annual Raw'!S7+'Annual Raw'!S8+'Annual Raw'!S9</f>
        <v>272.94279999999998</v>
      </c>
      <c r="S28" s="92">
        <f>'Annual Raw'!T7+'Annual Raw'!T8+'Annual Raw'!T9</f>
        <v>57.709600000000002</v>
      </c>
      <c r="T28" s="92">
        <f>'Annual Raw'!U7+'Annual Raw'!U8+'Annual Raw'!U9</f>
        <v>0</v>
      </c>
      <c r="U28" s="92">
        <f>'Annual Raw'!V7+'Annual Raw'!V8+'Annual Raw'!V9</f>
        <v>0</v>
      </c>
      <c r="V28" s="92">
        <f>'Annual Raw'!W7+'Annual Raw'!W8+'Annual Raw'!W9</f>
        <v>0</v>
      </c>
      <c r="W28" s="92">
        <f>'Annual Raw'!X7+'Annual Raw'!X8+'Annual Raw'!X9</f>
        <v>0</v>
      </c>
      <c r="X28" s="92">
        <f>'Annual Raw'!Y7+'Annual Raw'!Y8+'Annual Raw'!Y9</f>
        <v>0</v>
      </c>
      <c r="Y28" s="92">
        <f>'Annual Raw'!Z7+'Annual Raw'!Z8+'Annual Raw'!Z9</f>
        <v>0</v>
      </c>
      <c r="Z28" s="92">
        <f>'Annual Raw'!AA7+'Annual Raw'!AA8+'Annual Raw'!AA9</f>
        <v>0</v>
      </c>
      <c r="AA28" s="92">
        <f>'Annual Raw'!AB7+'Annual Raw'!AB8+'Annual Raw'!AB9</f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92">
        <f>+'QTR Raw'!C20+'QTR Raw'!C19+'QTR Raw'!C13+'QTR Raw'!C7</f>
        <v>0</v>
      </c>
      <c r="AJ28" s="92">
        <f>+'QTR Raw'!D20+'QTR Raw'!D19+'QTR Raw'!D13+'QTR Raw'!D7</f>
        <v>0</v>
      </c>
      <c r="AK28" s="92">
        <f>+'QTR Raw'!E20+'QTR Raw'!E19+'QTR Raw'!E13+'QTR Raw'!E7</f>
        <v>0</v>
      </c>
      <c r="AL28" s="92">
        <f>+'QTR Raw'!F20+'QTR Raw'!F19+'QTR Raw'!F13+'QTR Raw'!F7</f>
        <v>0</v>
      </c>
      <c r="AM28" s="92">
        <f>+'QTR Raw'!G20+'QTR Raw'!G19+'QTR Raw'!G13+'QTR Raw'!G7</f>
        <v>0</v>
      </c>
      <c r="AN28" s="92">
        <f>+'QTR Raw'!H20+'QTR Raw'!H19+'QTR Raw'!H13+'QTR Raw'!H7</f>
        <v>0</v>
      </c>
      <c r="AO28" s="92">
        <f>+'QTR Raw'!I20+'QTR Raw'!I19+'QTR Raw'!I13+'QTR Raw'!I7</f>
        <v>0</v>
      </c>
      <c r="AP28" s="92">
        <f>+'QTR Raw'!J20+'QTR Raw'!J19+'QTR Raw'!J13+'QTR Raw'!J7</f>
        <v>0</v>
      </c>
      <c r="AQ28" s="92">
        <f>+'QTR Raw'!K20+'QTR Raw'!K19+'QTR Raw'!K13+'QTR Raw'!K7</f>
        <v>0</v>
      </c>
      <c r="AR28" s="92">
        <f>+'QTR Raw'!L20+'QTR Raw'!L19+'QTR Raw'!L13+'QTR Raw'!L7</f>
        <v>0</v>
      </c>
      <c r="AS28" s="92">
        <f>+'QTR Raw'!M20+'QTR Raw'!M19+'QTR Raw'!M13+'QTR Raw'!M7</f>
        <v>0</v>
      </c>
      <c r="AT28" s="92">
        <f>+'QTR Raw'!N20+'QTR Raw'!N19+'QTR Raw'!N13+'QTR Raw'!N7</f>
        <v>58.4</v>
      </c>
      <c r="AU28" s="92">
        <f>+'QTR Raw'!O20+'QTR Raw'!O19+'QTR Raw'!O13+'QTR Raw'!O7</f>
        <v>0</v>
      </c>
      <c r="AV28" s="92">
        <f>+'QTR Raw'!P20+'QTR Raw'!P19+'QTR Raw'!P13+'QTR Raw'!P7</f>
        <v>56.58</v>
      </c>
      <c r="AW28" s="92">
        <f>+'QTR Raw'!Q20+'QTR Raw'!Q19+'QTR Raw'!Q13+'QTR Raw'!Q7</f>
        <v>50.83</v>
      </c>
      <c r="AX28" s="92">
        <f>+'QTR Raw'!R20+'QTR Raw'!R19+'QTR Raw'!R13+'QTR Raw'!R7</f>
        <v>29.54</v>
      </c>
      <c r="AY28" s="92">
        <f>+'QTR Raw'!S20+'QTR Raw'!S19+'QTR Raw'!S13+'QTR Raw'!S7</f>
        <v>47.74</v>
      </c>
      <c r="AZ28" s="92">
        <f>+'QTR Raw'!T20+'QTR Raw'!T19+'QTR Raw'!T13+'QTR Raw'!T7</f>
        <v>68.58</v>
      </c>
      <c r="BA28" s="92">
        <f>+'QTR Raw'!U20+'QTR Raw'!U19+'QTR Raw'!U13+'QTR Raw'!U7</f>
        <v>67.25</v>
      </c>
      <c r="BB28" s="92">
        <f>+'QTR Raw'!V20+'QTR Raw'!V19+'QTR Raw'!V13+'QTR Raw'!V7</f>
        <v>53.67</v>
      </c>
      <c r="BC28" s="92">
        <f>+'QTR Raw'!W20+'QTR Raw'!W19+'QTR Raw'!W13+'QTR Raw'!W7</f>
        <v>53.36</v>
      </c>
      <c r="BD28" s="92">
        <f>+'QTR Raw'!X20+'QTR Raw'!X19+'QTR Raw'!X13+'QTR Raw'!X7</f>
        <v>0</v>
      </c>
      <c r="BE28" s="92">
        <f>+'QTR Raw'!Y20+'QTR Raw'!Y19+'QTR Raw'!Y13+'QTR Raw'!Y7</f>
        <v>0</v>
      </c>
      <c r="BF28" s="92">
        <f>+'QTR Raw'!Z20+'QTR Raw'!Z19+'QTR Raw'!Z13+'QTR Raw'!Z7</f>
        <v>0</v>
      </c>
      <c r="BG28" s="92">
        <f>+'QTR Raw'!AA20+'QTR Raw'!AA19+'QTR Raw'!AA13+'QTR Raw'!AA7</f>
        <v>0</v>
      </c>
      <c r="BH28" s="92">
        <f>+'QTR Raw'!AB20+'QTR Raw'!AB19+'QTR Raw'!AB13+'QTR Raw'!AB7</f>
        <v>0</v>
      </c>
      <c r="BI28" s="92">
        <f>+'QTR Raw'!AC20+'QTR Raw'!AC19+'QTR Raw'!AC13+'QTR Raw'!AC7</f>
        <v>0</v>
      </c>
      <c r="BJ28" s="92">
        <f>+'QTR Raw'!AD20+'QTR Raw'!AD19+'QTR Raw'!AD13+'QTR Raw'!AD7</f>
        <v>0</v>
      </c>
      <c r="BK28" s="92">
        <f>+'QTR Raw'!AE20+'QTR Raw'!AE19+'QTR Raw'!AE13+'QTR Raw'!AE7</f>
        <v>0</v>
      </c>
      <c r="BL28" s="92">
        <f>+'QTR Raw'!AF20+'QTR Raw'!AF19+'QTR Raw'!AF13+'QTR Raw'!AF7</f>
        <v>0</v>
      </c>
      <c r="BM28" s="92">
        <f>+'QTR Raw'!AG20+'QTR Raw'!AG19+'QTR Raw'!AG13+'QTR Raw'!AG7</f>
        <v>0</v>
      </c>
      <c r="BN28" s="92">
        <f>+'QTR Raw'!AH20+'QTR Raw'!AH19+'QTR Raw'!AH13+'QTR Raw'!AH7</f>
        <v>0</v>
      </c>
      <c r="BO28" s="92">
        <f>+'QTR Raw'!AI20+'QTR Raw'!AI19+'QTR Raw'!AI13+'QTR Raw'!AI7</f>
        <v>0</v>
      </c>
      <c r="BP28" s="92">
        <f>+'QTR Raw'!AJ20+'QTR Raw'!AJ19+'QTR Raw'!AJ13+'QTR Raw'!AJ7</f>
        <v>0</v>
      </c>
      <c r="BQ28" s="92">
        <f>+'QTR Raw'!AK20+'QTR Raw'!AK19+'QTR Raw'!AK13+'QTR Raw'!AK7</f>
        <v>0</v>
      </c>
      <c r="BR28" s="92">
        <f>+'QTR Raw'!AL20+'QTR Raw'!AL19+'QTR Raw'!AL13+'QTR Raw'!AL7</f>
        <v>0</v>
      </c>
      <c r="BS28" s="92">
        <f>+'QTR Raw'!AM20+'QTR Raw'!AM19+'QTR Raw'!AM13+'QTR Raw'!AM7</f>
        <v>0</v>
      </c>
      <c r="BT28" s="92">
        <f>+'QTR Raw'!AN20+'QTR Raw'!AN19+'QTR Raw'!AN13+'QTR Raw'!AN7</f>
        <v>0</v>
      </c>
      <c r="BU28" s="92">
        <f>+'QTR Raw'!AO20+'QTR Raw'!AO19+'QTR Raw'!AO13+'QTR Raw'!AO7</f>
        <v>0</v>
      </c>
      <c r="BV28" s="92">
        <f>+'QTR Raw'!AP20+'QTR Raw'!AP19+'QTR Raw'!AP13+'QTR Raw'!AP7</f>
        <v>0</v>
      </c>
      <c r="BW28" s="92">
        <f>+'QTR Raw'!AQ20+'QTR Raw'!AQ19+'QTR Raw'!AQ13+'QTR Raw'!AQ7</f>
        <v>0</v>
      </c>
      <c r="BX28" s="92">
        <f>+'QTR Raw'!AR20+'QTR Raw'!AR19+'QTR Raw'!AR13+'QTR Raw'!AR7</f>
        <v>0</v>
      </c>
      <c r="BY28" s="92">
        <f>+'QTR Raw'!AS20+'QTR Raw'!AS19+'QTR Raw'!AS13+'QTR Raw'!AS7</f>
        <v>0</v>
      </c>
      <c r="BZ28" s="92">
        <f>+'QTR Raw'!AT20+'QTR Raw'!AT19+'QTR Raw'!AT13+'QTR Raw'!AT7</f>
        <v>0</v>
      </c>
      <c r="CA28" s="92">
        <f>+'QTR Raw'!AU20+'QTR Raw'!AU19+'QTR Raw'!AU13+'QTR Raw'!AU7</f>
        <v>0</v>
      </c>
      <c r="CB28" s="92">
        <f>+'QTR Raw'!AV20+'QTR Raw'!AV19+'QTR Raw'!AV13+'QTR Raw'!AV7</f>
        <v>0</v>
      </c>
      <c r="CC28" s="92">
        <f>+'QTR Raw'!AW20+'QTR Raw'!AW19+'QTR Raw'!AW13+'QTR Raw'!AW7</f>
        <v>0</v>
      </c>
      <c r="CD28" s="92">
        <f>+'QTR Raw'!AX20+'QTR Raw'!AX19+'QTR Raw'!AX13+'QTR Raw'!AX7</f>
        <v>0</v>
      </c>
      <c r="CE28" s="92">
        <f>+'QTR Raw'!AY20+'QTR Raw'!AY19+'QTR Raw'!AY13+'QTR Raw'!AY7</f>
        <v>0</v>
      </c>
      <c r="CF28" s="92">
        <f>+'QTR Raw'!AZ20+'QTR Raw'!AZ19+'QTR Raw'!AZ13+'QTR Raw'!AZ7</f>
        <v>0</v>
      </c>
      <c r="CG28" s="92">
        <f>+'QTR Raw'!BA20+'QTR Raw'!BA19+'QTR Raw'!BA13+'QTR Raw'!BA7</f>
        <v>0</v>
      </c>
      <c r="CH28" s="92">
        <f>+'QTR Raw'!BB20+'QTR Raw'!BB19+'QTR Raw'!BB13+'QTR Raw'!BB7</f>
        <v>0</v>
      </c>
      <c r="CI28" s="92">
        <f>+'QTR Raw'!BC20+'QTR Raw'!BC19+'QTR Raw'!BC13+'QTR Raw'!BC7</f>
        <v>0</v>
      </c>
      <c r="CJ28" s="92">
        <f>+'QTR Raw'!BD20+'QTR Raw'!BD19+'QTR Raw'!BD13+'QTR Raw'!BD7</f>
        <v>0</v>
      </c>
      <c r="CK28" s="92">
        <f>+'QTR Raw'!BE20+'QTR Raw'!BE19+'QTR Raw'!BE13+'QTR Raw'!BE7</f>
        <v>0</v>
      </c>
      <c r="CL28" s="92">
        <f>+'QTR Raw'!BF20+'QTR Raw'!BF19+'QTR Raw'!BF13+'QTR Raw'!BF7</f>
        <v>0</v>
      </c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E28" s="120"/>
      <c r="DF28" s="92">
        <v>0</v>
      </c>
    </row>
    <row r="29" spans="1:110" s="26" customFormat="1" x14ac:dyDescent="0.2">
      <c r="A29" s="26" t="s">
        <v>431</v>
      </c>
      <c r="B29" s="26">
        <f>+B27-B28</f>
        <v>0</v>
      </c>
      <c r="C29" s="26">
        <f>+C27-C28</f>
        <v>0</v>
      </c>
      <c r="D29" s="26">
        <f t="shared" ref="D29:U29" si="174">+D27-D28</f>
        <v>0</v>
      </c>
      <c r="E29" s="26">
        <f t="shared" si="174"/>
        <v>0</v>
      </c>
      <c r="F29" s="26">
        <f t="shared" si="174"/>
        <v>0</v>
      </c>
      <c r="G29" s="26">
        <f t="shared" si="174"/>
        <v>0</v>
      </c>
      <c r="H29" s="26">
        <f t="shared" si="174"/>
        <v>0</v>
      </c>
      <c r="I29" s="26">
        <f t="shared" si="174"/>
        <v>0</v>
      </c>
      <c r="J29" s="26">
        <f t="shared" si="174"/>
        <v>0</v>
      </c>
      <c r="K29" s="26">
        <f t="shared" si="174"/>
        <v>7110.2650000000003</v>
      </c>
      <c r="L29" s="26">
        <f t="shared" si="174"/>
        <v>4586.3254000000006</v>
      </c>
      <c r="M29" s="26">
        <f t="shared" si="174"/>
        <v>6036.3957</v>
      </c>
      <c r="N29" s="26">
        <f t="shared" si="174"/>
        <v>6764.7277999999997</v>
      </c>
      <c r="O29" s="26">
        <f t="shared" si="174"/>
        <v>6655.8474000000006</v>
      </c>
      <c r="P29" s="26">
        <f t="shared" si="174"/>
        <v>8207.830100000001</v>
      </c>
      <c r="Q29" s="26">
        <f t="shared" si="174"/>
        <v>7702.5786000000007</v>
      </c>
      <c r="R29" s="26">
        <f t="shared" si="174"/>
        <v>7070.1214</v>
      </c>
      <c r="S29" s="26">
        <f t="shared" si="174"/>
        <v>8506.6198999999997</v>
      </c>
      <c r="T29" s="26">
        <f t="shared" si="174"/>
        <v>12117.0016</v>
      </c>
      <c r="U29" s="26">
        <f t="shared" si="174"/>
        <v>11627.0368</v>
      </c>
      <c r="V29" s="26">
        <f t="shared" ref="V29:AA29" si="175">+V27-V28</f>
        <v>10663.6358</v>
      </c>
      <c r="W29" s="26">
        <f t="shared" si="175"/>
        <v>13298.4211</v>
      </c>
      <c r="X29" s="26">
        <f t="shared" si="175"/>
        <v>17868.068899999998</v>
      </c>
      <c r="Y29" s="26">
        <f t="shared" si="175"/>
        <v>20957.6901</v>
      </c>
      <c r="Z29" s="26">
        <f t="shared" si="175"/>
        <v>20828.894799999998</v>
      </c>
      <c r="AA29" s="26">
        <f t="shared" ref="AA29" si="176">+AA27-AA28</f>
        <v>17895.165199999999</v>
      </c>
      <c r="AB29" s="27">
        <f t="shared" ref="AB29:AD29" si="177">+AB27-AB28</f>
        <v>18622.714878923765</v>
      </c>
      <c r="AC29" s="27">
        <f t="shared" si="177"/>
        <v>20350.907819730943</v>
      </c>
      <c r="AD29" s="27">
        <f t="shared" si="177"/>
        <v>22161.588054618835</v>
      </c>
      <c r="AE29" s="27">
        <f t="shared" ref="AE29" si="178">+AE27-AE28</f>
        <v>24153.336312995518</v>
      </c>
      <c r="AI29" s="26">
        <f t="shared" ref="AI29" si="179">+AI27-AI28</f>
        <v>1290.4299999999998</v>
      </c>
      <c r="AJ29" s="26">
        <f t="shared" ref="AJ29" si="180">+AJ27-AJ28</f>
        <v>1636.93</v>
      </c>
      <c r="AK29" s="26">
        <f t="shared" ref="AK29:AM29" si="181">+AK27-AK28</f>
        <v>1722.73</v>
      </c>
      <c r="AL29" s="26">
        <f t="shared" si="181"/>
        <v>980.06999999999994</v>
      </c>
      <c r="AM29" s="26">
        <f t="shared" si="181"/>
        <v>1207.01</v>
      </c>
      <c r="AN29" s="26">
        <f t="shared" ref="AN29:AO29" si="182">+AN27-AN28</f>
        <v>1229.3900000000001</v>
      </c>
      <c r="AO29" s="26">
        <f t="shared" si="182"/>
        <v>1709.6100000000001</v>
      </c>
      <c r="AP29" s="26">
        <f t="shared" ref="AP29:AW29" si="183">+AP27-AP28</f>
        <v>1363.5800000000002</v>
      </c>
      <c r="AQ29" s="26">
        <f t="shared" si="183"/>
        <v>1149.07</v>
      </c>
      <c r="AR29" s="26">
        <f t="shared" si="183"/>
        <v>1591.36</v>
      </c>
      <c r="AS29" s="26">
        <f t="shared" si="183"/>
        <v>1777.4299999999998</v>
      </c>
      <c r="AT29" s="26">
        <f t="shared" si="183"/>
        <v>2084.02</v>
      </c>
      <c r="AU29" s="26">
        <f t="shared" si="183"/>
        <v>1992.14</v>
      </c>
      <c r="AV29" s="26">
        <f t="shared" si="183"/>
        <v>1346.03</v>
      </c>
      <c r="AW29" s="26">
        <f t="shared" si="183"/>
        <v>1077.78</v>
      </c>
      <c r="AX29" s="26">
        <f t="shared" ref="AX29:CF29" si="184">+AX27-AX28</f>
        <v>1829.31</v>
      </c>
      <c r="AY29" s="26">
        <f t="shared" si="184"/>
        <v>1279.3900000000001</v>
      </c>
      <c r="AZ29" s="26">
        <f t="shared" si="184"/>
        <v>1333.25</v>
      </c>
      <c r="BA29" s="26">
        <f t="shared" si="184"/>
        <v>1359.5</v>
      </c>
      <c r="BB29" s="26">
        <f t="shared" si="184"/>
        <v>1718.5</v>
      </c>
      <c r="BC29" s="26">
        <f t="shared" si="184"/>
        <v>1397.0600000000002</v>
      </c>
      <c r="BD29" s="26">
        <f t="shared" si="184"/>
        <v>1321.19</v>
      </c>
      <c r="BE29" s="26">
        <f t="shared" si="184"/>
        <v>2114.69</v>
      </c>
      <c r="BF29" s="26">
        <f t="shared" si="184"/>
        <v>2456.9899999999998</v>
      </c>
      <c r="BG29" s="26">
        <f t="shared" si="184"/>
        <v>2761.18</v>
      </c>
      <c r="BH29" s="26">
        <f t="shared" si="184"/>
        <v>2960.12</v>
      </c>
      <c r="BI29" s="26">
        <f t="shared" si="184"/>
        <v>2958.12</v>
      </c>
      <c r="BJ29" s="26">
        <f t="shared" si="184"/>
        <v>3437.58</v>
      </c>
      <c r="BK29" s="26">
        <f t="shared" si="184"/>
        <v>3056.46</v>
      </c>
      <c r="BL29" s="26">
        <f t="shared" si="184"/>
        <v>2681.59</v>
      </c>
      <c r="BM29" s="26">
        <f t="shared" si="184"/>
        <v>2987.97</v>
      </c>
      <c r="BN29" s="26">
        <f t="shared" si="184"/>
        <v>2901.02</v>
      </c>
      <c r="BO29" s="26">
        <f t="shared" si="184"/>
        <v>1640.79</v>
      </c>
      <c r="BP29" s="26">
        <f t="shared" si="184"/>
        <v>2374.3200000000002</v>
      </c>
      <c r="BQ29" s="26">
        <f t="shared" si="184"/>
        <v>2864.68</v>
      </c>
      <c r="BR29" s="26">
        <f t="shared" si="184"/>
        <v>3783.85</v>
      </c>
      <c r="BS29" s="26">
        <f t="shared" si="184"/>
        <v>2884.6</v>
      </c>
      <c r="BT29" s="26">
        <f t="shared" si="184"/>
        <v>2972.88</v>
      </c>
      <c r="BU29" s="26">
        <f t="shared" si="184"/>
        <v>3471.04</v>
      </c>
      <c r="BV29" s="26">
        <f t="shared" si="184"/>
        <v>3969.9</v>
      </c>
      <c r="BW29" s="26">
        <f t="shared" si="184"/>
        <v>3478.28</v>
      </c>
      <c r="BX29" s="26">
        <f t="shared" si="184"/>
        <v>4043.54</v>
      </c>
      <c r="BY29" s="26">
        <f t="shared" si="184"/>
        <v>5157.9399999999996</v>
      </c>
      <c r="BZ29" s="26">
        <f t="shared" si="184"/>
        <v>5188.09</v>
      </c>
      <c r="CA29" s="26">
        <f t="shared" si="184"/>
        <v>4410.22</v>
      </c>
      <c r="CB29" s="26">
        <f t="shared" si="184"/>
        <v>5466.22</v>
      </c>
      <c r="CC29" s="26">
        <f t="shared" si="184"/>
        <v>5656.09</v>
      </c>
      <c r="CD29" s="26">
        <f t="shared" si="184"/>
        <v>5425.16</v>
      </c>
      <c r="CE29" s="26">
        <f t="shared" si="184"/>
        <v>4939.08</v>
      </c>
      <c r="CF29" s="26">
        <f t="shared" si="184"/>
        <v>5571.92</v>
      </c>
      <c r="CG29" s="26">
        <f t="shared" ref="CG29:CH29" si="185">+CG27-CG28</f>
        <v>5271.3</v>
      </c>
      <c r="CH29" s="26">
        <f t="shared" si="185"/>
        <v>5046.59</v>
      </c>
      <c r="CI29" s="26">
        <f t="shared" ref="CI29:CJ29" si="186">+CI27-CI28</f>
        <v>4084.68</v>
      </c>
      <c r="CJ29" s="26">
        <f t="shared" si="186"/>
        <v>4233.6000000000004</v>
      </c>
      <c r="CK29" s="26">
        <f t="shared" ref="CK29:CL29" si="187">+CK27-CK28</f>
        <v>4943.41</v>
      </c>
      <c r="CL29" s="26">
        <f t="shared" si="187"/>
        <v>4633.4799999999996</v>
      </c>
      <c r="CM29" s="27">
        <f t="shared" ref="CM29:DB29" si="188">+CM27-CM28</f>
        <v>4347.8305112107619</v>
      </c>
      <c r="CN29" s="27">
        <f t="shared" si="188"/>
        <v>4038.310950672645</v>
      </c>
      <c r="CO29" s="27">
        <f t="shared" si="188"/>
        <v>4952.1365919282507</v>
      </c>
      <c r="CP29" s="27">
        <f t="shared" si="188"/>
        <v>5284.4368251121077</v>
      </c>
      <c r="CQ29" s="27">
        <f t="shared" si="188"/>
        <v>4816.8429255605379</v>
      </c>
      <c r="CR29" s="27">
        <f t="shared" si="188"/>
        <v>4386.0394089686097</v>
      </c>
      <c r="CS29" s="27">
        <f t="shared" si="188"/>
        <v>5391.2476143497761</v>
      </c>
      <c r="CT29" s="27">
        <f t="shared" si="188"/>
        <v>5756.7778708520182</v>
      </c>
      <c r="CU29" s="27">
        <f t="shared" si="188"/>
        <v>5242.4245813452926</v>
      </c>
      <c r="CV29" s="27">
        <f t="shared" si="188"/>
        <v>4768.5407130941703</v>
      </c>
      <c r="CW29" s="27">
        <f t="shared" si="188"/>
        <v>5874.2697390134545</v>
      </c>
      <c r="CX29" s="27">
        <f t="shared" si="188"/>
        <v>6276.353021165919</v>
      </c>
      <c r="CY29" s="27">
        <f t="shared" si="188"/>
        <v>5710.56440270852</v>
      </c>
      <c r="CZ29" s="27">
        <f t="shared" si="188"/>
        <v>5189.2921476322872</v>
      </c>
      <c r="DA29" s="27">
        <f t="shared" si="188"/>
        <v>6405.5940761434995</v>
      </c>
      <c r="DB29" s="27">
        <f t="shared" si="188"/>
        <v>6847.8856865112111</v>
      </c>
      <c r="DE29" s="121"/>
      <c r="DF29" s="26">
        <v>17895.165199999999</v>
      </c>
    </row>
    <row r="30" spans="1:110" s="39" customFormat="1" x14ac:dyDescent="0.2">
      <c r="A30" s="39" t="s">
        <v>484</v>
      </c>
      <c r="C30" s="39" t="e">
        <f t="shared" ref="C30" si="189">C29/B29-1</f>
        <v>#DIV/0!</v>
      </c>
      <c r="D30" s="39" t="e">
        <f t="shared" ref="D30" si="190">D29/C29-1</f>
        <v>#DIV/0!</v>
      </c>
      <c r="E30" s="39" t="e">
        <f t="shared" ref="E30" si="191">E29/D29-1</f>
        <v>#DIV/0!</v>
      </c>
      <c r="F30" s="39" t="e">
        <f t="shared" ref="F30:R30" si="192">F29/E29-1</f>
        <v>#DIV/0!</v>
      </c>
      <c r="G30" s="39" t="e">
        <f t="shared" si="192"/>
        <v>#DIV/0!</v>
      </c>
      <c r="H30" s="39" t="e">
        <f t="shared" si="192"/>
        <v>#DIV/0!</v>
      </c>
      <c r="I30" s="39" t="e">
        <f t="shared" si="192"/>
        <v>#DIV/0!</v>
      </c>
      <c r="J30" s="39" t="e">
        <f t="shared" si="192"/>
        <v>#DIV/0!</v>
      </c>
      <c r="K30" s="39" t="e">
        <f>K29/J29-1</f>
        <v>#DIV/0!</v>
      </c>
      <c r="L30" s="39">
        <f t="shared" si="192"/>
        <v>-0.35497124228140575</v>
      </c>
      <c r="M30" s="39">
        <f t="shared" si="192"/>
        <v>0.3161725724912583</v>
      </c>
      <c r="N30" s="39">
        <f t="shared" si="192"/>
        <v>0.12065678530650326</v>
      </c>
      <c r="O30" s="39">
        <f t="shared" si="192"/>
        <v>-1.6095311329452078E-2</v>
      </c>
      <c r="P30" s="39">
        <f t="shared" si="192"/>
        <v>0.23317582371254497</v>
      </c>
      <c r="Q30" s="39">
        <f t="shared" si="192"/>
        <v>-6.155725616201535E-2</v>
      </c>
      <c r="R30" s="39">
        <f t="shared" si="192"/>
        <v>-8.210980151504077E-2</v>
      </c>
      <c r="S30" s="39">
        <f t="shared" ref="S30:AA30" si="193">S29/R29-1</f>
        <v>0.20317876012708913</v>
      </c>
      <c r="T30" s="39">
        <f t="shared" si="193"/>
        <v>0.42442024475549922</v>
      </c>
      <c r="U30" s="39">
        <f t="shared" si="193"/>
        <v>-4.0436142221851323E-2</v>
      </c>
      <c r="V30" s="39">
        <f t="shared" si="193"/>
        <v>-8.2858686746394405E-2</v>
      </c>
      <c r="W30" s="39">
        <f t="shared" si="193"/>
        <v>0.24708132849023223</v>
      </c>
      <c r="X30" s="39">
        <f t="shared" si="193"/>
        <v>0.34362333435207582</v>
      </c>
      <c r="Y30" s="39">
        <f t="shared" si="193"/>
        <v>0.17291298893525098</v>
      </c>
      <c r="Z30" s="39">
        <f t="shared" si="193"/>
        <v>-6.1454911960933112E-3</v>
      </c>
      <c r="AA30" s="39">
        <f t="shared" si="193"/>
        <v>-0.14084902862920978</v>
      </c>
      <c r="AB30" s="40">
        <f t="shared" ref="AB30" si="194">AB29/AA29-1</f>
        <v>4.0656214725738549E-2</v>
      </c>
      <c r="AC30" s="40">
        <f t="shared" ref="AC30" si="195">AC29/AB29-1</f>
        <v>9.2800268491628923E-2</v>
      </c>
      <c r="AD30" s="40">
        <f t="shared" ref="AD30" si="196">AD29/AC29-1</f>
        <v>8.897294660891597E-2</v>
      </c>
      <c r="AE30" s="40">
        <f t="shared" ref="AE30" si="197">AE29/AD29-1</f>
        <v>8.9873895926044556E-2</v>
      </c>
      <c r="AM30" s="39">
        <f t="shared" ref="AM30:CI30" si="198">+IF(AI29&lt;0,1-AM29/AI29,AM29/AI29-1)</f>
        <v>-6.464511829390196E-2</v>
      </c>
      <c r="AN30" s="39">
        <f t="shared" si="198"/>
        <v>-0.24896605230522983</v>
      </c>
      <c r="AO30" s="39">
        <f t="shared" si="198"/>
        <v>-7.6158190778589097E-3</v>
      </c>
      <c r="AP30" s="39">
        <f t="shared" si="198"/>
        <v>0.39130878406644443</v>
      </c>
      <c r="AQ30" s="39">
        <f t="shared" si="198"/>
        <v>-4.8002916297296694E-2</v>
      </c>
      <c r="AR30" s="39">
        <f t="shared" si="198"/>
        <v>0.29443057125891681</v>
      </c>
      <c r="AS30" s="39">
        <f t="shared" si="198"/>
        <v>3.9669866226800021E-2</v>
      </c>
      <c r="AT30" s="39">
        <f t="shared" si="198"/>
        <v>0.52834450490620255</v>
      </c>
      <c r="AU30" s="39">
        <f t="shared" si="198"/>
        <v>0.73369768595472884</v>
      </c>
      <c r="AV30" s="39">
        <f t="shared" si="198"/>
        <v>-0.15416373416448825</v>
      </c>
      <c r="AW30" s="39">
        <f t="shared" si="198"/>
        <v>-0.39363012889396487</v>
      </c>
      <c r="AX30" s="39">
        <f t="shared" si="198"/>
        <v>-0.12222051611788753</v>
      </c>
      <c r="AY30" s="39">
        <f t="shared" si="198"/>
        <v>-0.35778107964299699</v>
      </c>
      <c r="AZ30" s="39">
        <f t="shared" si="198"/>
        <v>-9.4945877877907758E-3</v>
      </c>
      <c r="BA30" s="39">
        <f t="shared" si="198"/>
        <v>0.26138915177494493</v>
      </c>
      <c r="BB30" s="39">
        <f t="shared" si="198"/>
        <v>-6.0574752228982454E-2</v>
      </c>
      <c r="BC30" s="39">
        <f t="shared" si="198"/>
        <v>9.1973518629972162E-2</v>
      </c>
      <c r="BD30" s="39">
        <f t="shared" si="198"/>
        <v>-9.0455653478341835E-3</v>
      </c>
      <c r="BE30" s="39">
        <f t="shared" si="198"/>
        <v>0.55549098933431407</v>
      </c>
      <c r="BF30" s="39">
        <f t="shared" si="198"/>
        <v>0.42972941518766361</v>
      </c>
      <c r="BG30" s="39">
        <f t="shared" si="198"/>
        <v>0.97642191459207162</v>
      </c>
      <c r="BH30" s="39">
        <f t="shared" si="198"/>
        <v>1.2404953110453452</v>
      </c>
      <c r="BI30" s="39">
        <f t="shared" si="198"/>
        <v>0.39884332928230615</v>
      </c>
      <c r="BJ30" s="39">
        <f t="shared" si="198"/>
        <v>0.399102153447918</v>
      </c>
      <c r="BK30" s="39">
        <f t="shared" si="198"/>
        <v>0.10693978661296999</v>
      </c>
      <c r="BL30" s="39">
        <f t="shared" si="198"/>
        <v>-9.4094158344931844E-2</v>
      </c>
      <c r="BM30" s="39">
        <f t="shared" si="198"/>
        <v>1.0090868524603502E-2</v>
      </c>
      <c r="BN30" s="39">
        <f t="shared" si="198"/>
        <v>-0.15608654925848997</v>
      </c>
      <c r="BO30" s="39">
        <f t="shared" si="198"/>
        <v>-0.46317308258573642</v>
      </c>
      <c r="BP30" s="39">
        <f t="shared" si="198"/>
        <v>-0.11458500367319391</v>
      </c>
      <c r="BQ30" s="39">
        <f t="shared" si="198"/>
        <v>-4.1262127799141179E-2</v>
      </c>
      <c r="BR30" s="39">
        <f t="shared" si="198"/>
        <v>0.30431710226058417</v>
      </c>
      <c r="BS30" s="39">
        <f t="shared" si="198"/>
        <v>0.75805557079211838</v>
      </c>
      <c r="BT30" s="39">
        <f t="shared" si="198"/>
        <v>0.25209744263620748</v>
      </c>
      <c r="BU30" s="39">
        <f t="shared" si="198"/>
        <v>0.21166762081628665</v>
      </c>
      <c r="BV30" s="39">
        <f t="shared" si="198"/>
        <v>4.916949667666537E-2</v>
      </c>
      <c r="BW30" s="39">
        <f t="shared" si="198"/>
        <v>0.20581016432087651</v>
      </c>
      <c r="BX30" s="39">
        <f t="shared" si="198"/>
        <v>0.36014235354269264</v>
      </c>
      <c r="BY30" s="39">
        <f t="shared" si="198"/>
        <v>0.48599267078454855</v>
      </c>
      <c r="BZ30" s="39">
        <f t="shared" si="198"/>
        <v>0.30685659588402725</v>
      </c>
      <c r="CA30" s="39">
        <f t="shared" si="198"/>
        <v>0.26793127637797998</v>
      </c>
      <c r="CB30" s="39">
        <f t="shared" si="198"/>
        <v>0.35184021921385722</v>
      </c>
      <c r="CC30" s="39">
        <f t="shared" si="198"/>
        <v>9.6579254508583068E-2</v>
      </c>
      <c r="CD30" s="39">
        <f t="shared" si="198"/>
        <v>4.5695043840796812E-2</v>
      </c>
      <c r="CE30" s="39">
        <f t="shared" si="198"/>
        <v>0.11991692024434153</v>
      </c>
      <c r="CF30" s="39">
        <f t="shared" si="198"/>
        <v>1.9336945823622109E-2</v>
      </c>
      <c r="CG30" s="39">
        <f t="shared" si="198"/>
        <v>-6.803109568624266E-2</v>
      </c>
      <c r="CH30" s="39">
        <f t="shared" si="198"/>
        <v>-6.9780430438917906E-2</v>
      </c>
      <c r="CI30" s="39">
        <f t="shared" si="198"/>
        <v>-0.17298768191647029</v>
      </c>
      <c r="CJ30" s="39">
        <f>+IF(CF29&lt;0,1-CJ29/CF29,CJ29/CF29-1)</f>
        <v>-0.24019009605306607</v>
      </c>
      <c r="CK30" s="39">
        <f>+IF(CG29&lt;0,1-CK29/CG29,CK29/CG29-1)</f>
        <v>-6.2202872156773559E-2</v>
      </c>
      <c r="CL30" s="39">
        <f>+IF(CH29&lt;0,1-CL29/CH29,CL29/CH29-1)</f>
        <v>-8.1859235642285255E-2</v>
      </c>
      <c r="CM30" s="40">
        <f t="shared" ref="CM30:DB30" si="199">+IF(CI29&lt;0,1-CM29/CI29,CM29/CI29-1)</f>
        <v>6.4423776455135195E-2</v>
      </c>
      <c r="CN30" s="40">
        <f t="shared" si="199"/>
        <v>-4.6128365770822799E-2</v>
      </c>
      <c r="CO30" s="40">
        <f t="shared" si="199"/>
        <v>1.7652980287394815E-3</v>
      </c>
      <c r="CP30" s="40">
        <f t="shared" si="199"/>
        <v>0.14048983164103612</v>
      </c>
      <c r="CQ30" s="40">
        <f t="shared" si="199"/>
        <v>0.10787274553146453</v>
      </c>
      <c r="CR30" s="40">
        <f t="shared" si="199"/>
        <v>8.6107400480897711E-2</v>
      </c>
      <c r="CS30" s="40">
        <f t="shared" si="199"/>
        <v>8.8671023965141815E-2</v>
      </c>
      <c r="CT30" s="40">
        <f t="shared" si="199"/>
        <v>8.9383421804818397E-2</v>
      </c>
      <c r="CU30" s="40">
        <f t="shared" si="199"/>
        <v>8.8352819961474927E-2</v>
      </c>
      <c r="CV30" s="40">
        <f t="shared" si="199"/>
        <v>8.720881607753439E-2</v>
      </c>
      <c r="CW30" s="40">
        <f t="shared" si="199"/>
        <v>8.9593756253752543E-2</v>
      </c>
      <c r="CX30" s="40">
        <f t="shared" si="199"/>
        <v>9.0254507290378205E-2</v>
      </c>
      <c r="CY30" s="40">
        <f t="shared" si="199"/>
        <v>8.9298341654558522E-2</v>
      </c>
      <c r="CZ30" s="40">
        <f t="shared" si="199"/>
        <v>8.8234841611555259E-2</v>
      </c>
      <c r="DA30" s="40">
        <f t="shared" si="199"/>
        <v>9.0449427883997346E-2</v>
      </c>
      <c r="DB30" s="40">
        <f t="shared" si="199"/>
        <v>9.1061268131014339E-2</v>
      </c>
      <c r="DE30" s="122"/>
      <c r="DF30" s="39">
        <v>-0.14084902862920978</v>
      </c>
    </row>
    <row r="31" spans="1:110" s="39" customFormat="1" x14ac:dyDescent="0.2">
      <c r="A31" s="39" t="s">
        <v>446</v>
      </c>
      <c r="AB31" s="40"/>
      <c r="AC31" s="40"/>
      <c r="AD31" s="40"/>
      <c r="AE31" s="40"/>
      <c r="AJ31" s="39">
        <f t="shared" ref="AJ31:AL31" si="200">+IF(AI29&lt;0,1-AJ29/AI29,AJ29/AI29-1)</f>
        <v>0.26851514611408622</v>
      </c>
      <c r="AK31" s="39">
        <f t="shared" si="200"/>
        <v>5.2415191853041998E-2</v>
      </c>
      <c r="AL31" s="39">
        <f t="shared" si="200"/>
        <v>-0.43109483203984378</v>
      </c>
      <c r="AM31" s="39">
        <f t="shared" ref="AM31:CI31" si="201">+IF(AL29&lt;0,1-AM29/AL29,AM29/AL29-1)</f>
        <v>0.23155488893650467</v>
      </c>
      <c r="AN31" s="39">
        <f t="shared" si="201"/>
        <v>1.8541685652977202E-2</v>
      </c>
      <c r="AO31" s="39">
        <f t="shared" si="201"/>
        <v>0.39061648459805265</v>
      </c>
      <c r="AP31" s="39">
        <f t="shared" si="201"/>
        <v>-0.20240288720819366</v>
      </c>
      <c r="AQ31" s="39">
        <f t="shared" si="201"/>
        <v>-0.15731383563853985</v>
      </c>
      <c r="AR31" s="39">
        <f t="shared" si="201"/>
        <v>0.38491127607543496</v>
      </c>
      <c r="AS31" s="39">
        <f t="shared" si="201"/>
        <v>0.11692514578725111</v>
      </c>
      <c r="AT31" s="39">
        <f t="shared" si="201"/>
        <v>0.17249061847723968</v>
      </c>
      <c r="AU31" s="39">
        <f t="shared" si="201"/>
        <v>-4.4087868638496674E-2</v>
      </c>
      <c r="AV31" s="39">
        <f t="shared" si="201"/>
        <v>-0.32432961538847671</v>
      </c>
      <c r="AW31" s="39">
        <f t="shared" si="201"/>
        <v>-0.19928976322964576</v>
      </c>
      <c r="AX31" s="39">
        <f t="shared" si="201"/>
        <v>0.69729443856816786</v>
      </c>
      <c r="AY31" s="39">
        <f t="shared" si="201"/>
        <v>-0.30061607928672551</v>
      </c>
      <c r="AZ31" s="39">
        <f t="shared" si="201"/>
        <v>4.2098187417441091E-2</v>
      </c>
      <c r="BA31" s="39">
        <f t="shared" si="201"/>
        <v>1.9688730545659006E-2</v>
      </c>
      <c r="BB31" s="39">
        <f t="shared" si="201"/>
        <v>0.26406767193821268</v>
      </c>
      <c r="BC31" s="39">
        <f t="shared" si="201"/>
        <v>-0.18704684317718934</v>
      </c>
      <c r="BD31" s="39">
        <f t="shared" si="201"/>
        <v>-5.4306901636293481E-2</v>
      </c>
      <c r="BE31" s="39">
        <f t="shared" si="201"/>
        <v>0.60059491821766731</v>
      </c>
      <c r="BF31" s="39">
        <f t="shared" si="201"/>
        <v>0.16186769692011582</v>
      </c>
      <c r="BG31" s="39">
        <f t="shared" si="201"/>
        <v>0.12380595769620562</v>
      </c>
      <c r="BH31" s="39">
        <f t="shared" si="201"/>
        <v>7.2048906626877018E-2</v>
      </c>
      <c r="BI31" s="39">
        <f t="shared" si="201"/>
        <v>-6.7564828452904013E-4</v>
      </c>
      <c r="BJ31" s="39">
        <f t="shared" si="201"/>
        <v>0.16208267413086697</v>
      </c>
      <c r="BK31" s="39">
        <f t="shared" si="201"/>
        <v>-0.11086869251042886</v>
      </c>
      <c r="BL31" s="39">
        <f t="shared" si="201"/>
        <v>-0.12264842333941872</v>
      </c>
      <c r="BM31" s="39">
        <f t="shared" si="201"/>
        <v>0.11425311102741276</v>
      </c>
      <c r="BN31" s="39">
        <f t="shared" si="201"/>
        <v>-2.9100024431302773E-2</v>
      </c>
      <c r="BO31" s="39">
        <f t="shared" si="201"/>
        <v>-0.43440927673714769</v>
      </c>
      <c r="BP31" s="39">
        <f t="shared" si="201"/>
        <v>0.4470590386338289</v>
      </c>
      <c r="BQ31" s="39">
        <f t="shared" si="201"/>
        <v>0.20652650021900998</v>
      </c>
      <c r="BR31" s="39">
        <f t="shared" si="201"/>
        <v>0.32086306323917513</v>
      </c>
      <c r="BS31" s="39">
        <f t="shared" si="201"/>
        <v>-0.23765476961296039</v>
      </c>
      <c r="BT31" s="39">
        <f t="shared" si="201"/>
        <v>3.0603896554115106E-2</v>
      </c>
      <c r="BU31" s="39">
        <f t="shared" si="201"/>
        <v>0.16756814940394493</v>
      </c>
      <c r="BV31" s="39">
        <f t="shared" si="201"/>
        <v>0.14372061399465297</v>
      </c>
      <c r="BW31" s="39">
        <f t="shared" si="201"/>
        <v>-0.1238368724653014</v>
      </c>
      <c r="BX31" s="39">
        <f t="shared" si="201"/>
        <v>0.16251135618754087</v>
      </c>
      <c r="BY31" s="39">
        <f t="shared" si="201"/>
        <v>0.27560009298782751</v>
      </c>
      <c r="BZ31" s="39">
        <f t="shared" si="201"/>
        <v>5.8453568672764966E-3</v>
      </c>
      <c r="CA31" s="39">
        <f t="shared" si="201"/>
        <v>-0.14993379066284507</v>
      </c>
      <c r="CB31" s="39">
        <f t="shared" si="201"/>
        <v>0.23944383726888896</v>
      </c>
      <c r="CC31" s="39">
        <f t="shared" si="201"/>
        <v>3.4735155189509426E-2</v>
      </c>
      <c r="CD31" s="39">
        <f t="shared" si="201"/>
        <v>-4.082855824429954E-2</v>
      </c>
      <c r="CE31" s="39">
        <f t="shared" si="201"/>
        <v>-8.9597357497290364E-2</v>
      </c>
      <c r="CF31" s="39">
        <f t="shared" si="201"/>
        <v>0.12812912526219455</v>
      </c>
      <c r="CG31" s="39">
        <f t="shared" si="201"/>
        <v>-5.3952676994644566E-2</v>
      </c>
      <c r="CH31" s="39">
        <f t="shared" si="201"/>
        <v>-4.2628953009694048E-2</v>
      </c>
      <c r="CI31" s="39">
        <f t="shared" si="201"/>
        <v>-0.19060593390784675</v>
      </c>
      <c r="CJ31" s="39">
        <f>+IF(CI29&lt;0,1-CJ29/CI29,CJ29/CI29-1)</f>
        <v>3.6458180322571199E-2</v>
      </c>
      <c r="CK31" s="39">
        <f>+IF(CJ29&lt;0,1-CK29/CJ29,CK29/CJ29-1)</f>
        <v>0.16766109221466352</v>
      </c>
      <c r="CL31" s="39">
        <f>+IF(CK29&lt;0,1-CL29/CK29,CL29/CK29-1)</f>
        <v>-6.2695588672596503E-2</v>
      </c>
      <c r="CM31" s="40">
        <f t="shared" ref="CM31" si="202">+CM29/CL29-1</f>
        <v>-6.1649017323747501E-2</v>
      </c>
      <c r="CN31" s="40">
        <f t="shared" ref="CN31" si="203">+CN29/CM29-1</f>
        <v>-7.11894264829388E-2</v>
      </c>
      <c r="CO31" s="40">
        <f t="shared" ref="CO31" si="204">+CO29/CN29-1</f>
        <v>0.22628907293614753</v>
      </c>
      <c r="CP31" s="40">
        <f t="shared" ref="CP31" si="205">+CP29/CO29-1</f>
        <v>6.7102396514161278E-2</v>
      </c>
      <c r="CQ31" s="40">
        <f t="shared" ref="CQ31" si="206">+CQ29/CP29-1</f>
        <v>-8.8485095957533733E-2</v>
      </c>
      <c r="CR31" s="40">
        <f t="shared" ref="CR31" si="207">+CR29/CQ29-1</f>
        <v>-8.9436903641983645E-2</v>
      </c>
      <c r="CS31" s="40">
        <f t="shared" ref="CS31" si="208">+CS29/CR29-1</f>
        <v>0.22918357808771805</v>
      </c>
      <c r="CT31" s="40">
        <f t="shared" ref="CT31" si="209">+CT29/CS29-1</f>
        <v>6.780068040824494E-2</v>
      </c>
      <c r="CU31" s="40">
        <f t="shared" ref="CU31" si="210">+CU29/CT29-1</f>
        <v>-8.9347426815097886E-2</v>
      </c>
      <c r="CV31" s="40">
        <f t="shared" ref="CV31" si="211">+CV29/CU29-1</f>
        <v>-9.0394026828234497E-2</v>
      </c>
      <c r="CW31" s="40">
        <f t="shared" ref="CW31" si="212">+CW29/CV29-1</f>
        <v>0.23187995918395088</v>
      </c>
      <c r="CX31" s="40">
        <f t="shared" ref="CX31" si="213">+CX29/CW29-1</f>
        <v>6.8448215695997572E-2</v>
      </c>
      <c r="CY31" s="40">
        <f t="shared" ref="CY31" si="214">+CY29/CX29-1</f>
        <v>-9.0146079506582044E-2</v>
      </c>
      <c r="CZ31" s="40">
        <f t="shared" ref="CZ31" si="215">+CZ29/CY29-1</f>
        <v>-9.1282090230694779E-2</v>
      </c>
      <c r="DA31" s="40">
        <f t="shared" ref="DA31" si="216">+DA29/CZ29-1</f>
        <v>0.23438686701541234</v>
      </c>
      <c r="DB31" s="40">
        <f t="shared" ref="DB31" si="217">+DB29/DA29-1</f>
        <v>6.9047711283321656E-2</v>
      </c>
      <c r="DE31" s="122"/>
    </row>
    <row r="32" spans="1:110" s="23" customFormat="1" outlineLevel="1" x14ac:dyDescent="0.2">
      <c r="A32" s="23" t="s">
        <v>2</v>
      </c>
      <c r="B32" s="23">
        <f>'Annual Raw'!C11</f>
        <v>0</v>
      </c>
      <c r="C32" s="23">
        <f>'Annual Raw'!D11</f>
        <v>0</v>
      </c>
      <c r="D32" s="23">
        <f>'Annual Raw'!E11</f>
        <v>0</v>
      </c>
      <c r="E32" s="23">
        <f>'Annual Raw'!F11</f>
        <v>0</v>
      </c>
      <c r="F32" s="23">
        <f>'Annual Raw'!G11</f>
        <v>0</v>
      </c>
      <c r="G32" s="23">
        <f>'Annual Raw'!H11</f>
        <v>0</v>
      </c>
      <c r="H32" s="23">
        <f>'Annual Raw'!I11</f>
        <v>0</v>
      </c>
      <c r="I32" s="23">
        <f>'Annual Raw'!J11</f>
        <v>0</v>
      </c>
      <c r="J32" s="23">
        <f>'Annual Raw'!K11</f>
        <v>0</v>
      </c>
      <c r="K32" s="23">
        <f>'Annual Raw'!L11</f>
        <v>223.49780000000001</v>
      </c>
      <c r="L32" s="23">
        <f>'Annual Raw'!M11</f>
        <v>-41.9741</v>
      </c>
      <c r="M32" s="23">
        <f>'Annual Raw'!N11</f>
        <v>-658.76589999999999</v>
      </c>
      <c r="N32" s="23">
        <f>'Annual Raw'!O11</f>
        <v>304.51519999999999</v>
      </c>
      <c r="O32" s="23">
        <f>'Annual Raw'!P11</f>
        <v>78.259900000000002</v>
      </c>
      <c r="P32" s="23">
        <f>'Annual Raw'!Q11</f>
        <v>-353.3623</v>
      </c>
      <c r="Q32" s="23">
        <f>'Annual Raw'!R11</f>
        <v>13.423500000000001</v>
      </c>
      <c r="R32" s="23">
        <f>'Annual Raw'!S11</f>
        <v>-6.907</v>
      </c>
      <c r="S32" s="23">
        <f>'Annual Raw'!T11</f>
        <v>-257.88220000000001</v>
      </c>
      <c r="T32" s="23">
        <f>'Annual Raw'!U11</f>
        <v>-108.1233</v>
      </c>
      <c r="U32" s="23">
        <f>'Annual Raw'!V11</f>
        <v>206.20419999999999</v>
      </c>
      <c r="V32" s="23">
        <f>'Annual Raw'!W11</f>
        <v>3.9201999999999999</v>
      </c>
      <c r="W32" s="23">
        <f>'Annual Raw'!X11</f>
        <v>-290.51499999999999</v>
      </c>
      <c r="X32" s="23">
        <f>'Annual Raw'!Y11</f>
        <v>-40.2483</v>
      </c>
      <c r="Y32" s="23">
        <f>'Annual Raw'!Z11</f>
        <v>-530.13919999999996</v>
      </c>
      <c r="Z32" s="23">
        <f>'Annual Raw'!AA11</f>
        <v>162.1747</v>
      </c>
      <c r="AA32" s="23">
        <f>'Annual Raw'!AB11</f>
        <v>-587.21699999999998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Raw'!C10</f>
        <v>-191.53</v>
      </c>
      <c r="AJ32" s="23">
        <f>'QTR Raw'!D10</f>
        <v>112.79</v>
      </c>
      <c r="AK32" s="23">
        <f>'QTR Raw'!E10</f>
        <v>366.5</v>
      </c>
      <c r="AL32" s="23">
        <f>'QTR Raw'!F10</f>
        <v>-56.95</v>
      </c>
      <c r="AM32" s="23">
        <f>'QTR Raw'!G10</f>
        <v>28.77</v>
      </c>
      <c r="AN32" s="23">
        <f>'QTR Raw'!H10</f>
        <v>-70.38</v>
      </c>
      <c r="AO32" s="23">
        <f>'QTR Raw'!I10</f>
        <v>190.88</v>
      </c>
      <c r="AP32" s="23">
        <f>'QTR Raw'!J10</f>
        <v>93.36</v>
      </c>
      <c r="AQ32" s="23">
        <f>'QTR Raw'!K10</f>
        <v>-131.69</v>
      </c>
      <c r="AR32" s="23">
        <f>'QTR Raw'!L10</f>
        <v>-202.85</v>
      </c>
      <c r="AS32" s="23">
        <f>'QTR Raw'!M10</f>
        <v>-177.18</v>
      </c>
      <c r="AT32" s="23">
        <f>'QTR Raw'!N10</f>
        <v>252.99</v>
      </c>
      <c r="AU32" s="23">
        <f>'QTR Raw'!O10</f>
        <v>174.4</v>
      </c>
      <c r="AV32" s="23">
        <f>'QTR Raw'!P10</f>
        <v>-14.42</v>
      </c>
      <c r="AW32" s="23">
        <f>'QTR Raw'!Q10</f>
        <v>-178</v>
      </c>
      <c r="AX32" s="23">
        <f>'QTR Raw'!R10</f>
        <v>99.29</v>
      </c>
      <c r="AY32" s="23">
        <f>'QTR Raw'!S10</f>
        <v>-201.05</v>
      </c>
      <c r="AZ32" s="23">
        <f>'QTR Raw'!T10</f>
        <v>-77.400000000000006</v>
      </c>
      <c r="BA32" s="23">
        <f>'QTR Raw'!U10</f>
        <v>-4.6399999999999997</v>
      </c>
      <c r="BB32" s="23">
        <f>'QTR Raw'!V10</f>
        <v>179.9</v>
      </c>
      <c r="BC32" s="23">
        <f>'QTR Raw'!W10</f>
        <v>61.85</v>
      </c>
      <c r="BD32" s="23">
        <f>'QTR Raw'!X10</f>
        <v>-235.73</v>
      </c>
      <c r="BE32" s="23">
        <f>'QTR Raw'!Y10</f>
        <v>-109.49</v>
      </c>
      <c r="BF32" s="23">
        <f>'QTR Raw'!Z10</f>
        <v>57.89</v>
      </c>
      <c r="BG32" s="23">
        <f>'QTR Raw'!AA10</f>
        <v>82.31</v>
      </c>
      <c r="BH32" s="23">
        <f>'QTR Raw'!AB10</f>
        <v>-139.27000000000001</v>
      </c>
      <c r="BI32" s="23">
        <f>'QTR Raw'!AC10</f>
        <v>-206.37</v>
      </c>
      <c r="BJ32" s="23">
        <f>'QTR Raw'!AD10</f>
        <v>155.21</v>
      </c>
      <c r="BK32" s="23">
        <f>'QTR Raw'!AE10</f>
        <v>-50.49</v>
      </c>
      <c r="BL32" s="23">
        <f>'QTR Raw'!AF10</f>
        <v>-99.33</v>
      </c>
      <c r="BM32" s="23">
        <f>'QTR Raw'!AG10</f>
        <v>178.72</v>
      </c>
      <c r="BN32" s="23">
        <f>'QTR Raw'!AH10</f>
        <v>177.3</v>
      </c>
      <c r="BO32" s="23">
        <f>'QTR Raw'!AI10</f>
        <v>-54.29</v>
      </c>
      <c r="BP32" s="23">
        <f>'QTR Raw'!AJ10</f>
        <v>-144.72</v>
      </c>
      <c r="BQ32" s="23">
        <f>'QTR Raw'!AK10</f>
        <v>51.03</v>
      </c>
      <c r="BR32" s="23">
        <f>'QTR Raw'!AL10</f>
        <v>151.9</v>
      </c>
      <c r="BS32" s="23">
        <f>'QTR Raw'!AM10</f>
        <v>-159.69</v>
      </c>
      <c r="BT32" s="23">
        <f>'QTR Raw'!AN10</f>
        <v>-64.66</v>
      </c>
      <c r="BU32" s="23">
        <f>'QTR Raw'!AO10</f>
        <v>-88.51</v>
      </c>
      <c r="BV32" s="23">
        <f>'QTR Raw'!AP10</f>
        <v>22.34</v>
      </c>
      <c r="BW32" s="23">
        <f>'QTR Raw'!AQ10</f>
        <v>-98.48</v>
      </c>
      <c r="BX32" s="23">
        <f>'QTR Raw'!AR10</f>
        <v>-32.82</v>
      </c>
      <c r="BY32" s="23">
        <f>'QTR Raw'!AS10</f>
        <v>-8.83</v>
      </c>
      <c r="BZ32" s="23">
        <f>'QTR Raw'!AT10</f>
        <v>99.88</v>
      </c>
      <c r="CA32" s="23">
        <f>'QTR Raw'!AU10</f>
        <v>-462.92</v>
      </c>
      <c r="CB32" s="23">
        <f>'QTR Raw'!AV10</f>
        <v>-58.19</v>
      </c>
      <c r="CC32" s="23">
        <f>'QTR Raw'!AW10</f>
        <v>83.28</v>
      </c>
      <c r="CD32" s="23">
        <f>'QTR Raw'!AX10</f>
        <v>-92.31</v>
      </c>
      <c r="CE32" s="23">
        <f>'QTR Raw'!AY10</f>
        <v>-234.36</v>
      </c>
      <c r="CF32" s="23">
        <f>'QTR Raw'!AZ10</f>
        <v>396.53</v>
      </c>
      <c r="CG32" s="23">
        <f>'QTR Raw'!BA10</f>
        <v>-24.1</v>
      </c>
      <c r="CH32" s="23">
        <f>'QTR Raw'!BB10</f>
        <v>24.1</v>
      </c>
      <c r="CI32" s="23">
        <f>'QTR Raw'!BC10</f>
        <v>-928</v>
      </c>
      <c r="CJ32" s="23">
        <f>'QTR Raw'!BD10</f>
        <v>-102.29</v>
      </c>
      <c r="CK32" s="23">
        <f>'QTR Raw'!BE10</f>
        <v>466.23</v>
      </c>
      <c r="CL32" s="23">
        <f>'QTR Raw'!BF10</f>
        <v>-23.16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-587.21699999999998</v>
      </c>
    </row>
    <row r="33" spans="1:110" s="23" customFormat="1" outlineLevel="1" x14ac:dyDescent="0.2">
      <c r="A33" s="23" t="s">
        <v>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Raw'!C12</f>
        <v>0</v>
      </c>
      <c r="AJ33" s="23">
        <f>'QTR Raw'!D12</f>
        <v>0</v>
      </c>
      <c r="AK33" s="23">
        <f>'QTR Raw'!E12</f>
        <v>0</v>
      </c>
      <c r="AL33" s="23">
        <f>'QTR Raw'!F12</f>
        <v>21.38</v>
      </c>
      <c r="AM33" s="23">
        <f>'QTR Raw'!G12</f>
        <v>0</v>
      </c>
      <c r="AN33" s="23">
        <f>'QTR Raw'!H12</f>
        <v>0</v>
      </c>
      <c r="AO33" s="23">
        <f>'QTR Raw'!I12</f>
        <v>0</v>
      </c>
      <c r="AP33" s="23">
        <f>'QTR Raw'!J12</f>
        <v>4.4800000000000004</v>
      </c>
      <c r="AQ33" s="23">
        <f>'QTR Raw'!K12</f>
        <v>0</v>
      </c>
      <c r="AR33" s="23">
        <f>'QTR Raw'!L12</f>
        <v>0</v>
      </c>
      <c r="AS33" s="23">
        <f>'QTR Raw'!M12</f>
        <v>0</v>
      </c>
      <c r="AT33" s="23">
        <f>'QTR Raw'!N12</f>
        <v>0</v>
      </c>
      <c r="AU33" s="23">
        <f>'QTR Raw'!O12</f>
        <v>0</v>
      </c>
      <c r="AV33" s="23">
        <f>'QTR Raw'!P12</f>
        <v>0</v>
      </c>
      <c r="AW33" s="23">
        <f>'QTR Raw'!Q12</f>
        <v>0</v>
      </c>
      <c r="AX33" s="23">
        <f>'QTR Raw'!R12</f>
        <v>0</v>
      </c>
      <c r="AY33" s="23">
        <f>'QTR Raw'!S12</f>
        <v>0</v>
      </c>
      <c r="AZ33" s="23">
        <f>'QTR Raw'!T12</f>
        <v>0</v>
      </c>
      <c r="BA33" s="23">
        <f>'QTR Raw'!U12</f>
        <v>0</v>
      </c>
      <c r="BB33" s="23">
        <f>'QTR Raw'!V12</f>
        <v>0</v>
      </c>
      <c r="BC33" s="23">
        <f>'QTR Raw'!W12</f>
        <v>0</v>
      </c>
      <c r="BD33" s="23">
        <f>'QTR Raw'!X12</f>
        <v>0</v>
      </c>
      <c r="BE33" s="23">
        <f>'QTR Raw'!Y12</f>
        <v>0</v>
      </c>
      <c r="BF33" s="23">
        <f>'QTR Raw'!Z12</f>
        <v>0</v>
      </c>
      <c r="BG33" s="23">
        <f>'QTR Raw'!AA12</f>
        <v>6.05</v>
      </c>
      <c r="BH33" s="23">
        <f>'QTR Raw'!AB12</f>
        <v>50.95</v>
      </c>
      <c r="BI33" s="23">
        <f>'QTR Raw'!AC12</f>
        <v>176.15</v>
      </c>
      <c r="BJ33" s="23">
        <f>'QTR Raw'!AD12</f>
        <v>250.76</v>
      </c>
      <c r="BK33" s="23">
        <f>'QTR Raw'!AE12</f>
        <v>175.08</v>
      </c>
      <c r="BL33" s="23">
        <f>'QTR Raw'!AF12</f>
        <v>48.19</v>
      </c>
      <c r="BM33" s="23">
        <f>'QTR Raw'!AG12</f>
        <v>83.58</v>
      </c>
      <c r="BN33" s="23">
        <f>'QTR Raw'!AH12</f>
        <v>23.95</v>
      </c>
      <c r="BO33" s="23">
        <f>'QTR Raw'!AI12</f>
        <v>4.67</v>
      </c>
      <c r="BP33" s="23">
        <f>'QTR Raw'!AJ12</f>
        <v>13.87</v>
      </c>
      <c r="BQ33" s="23">
        <f>'QTR Raw'!AK12</f>
        <v>30.63</v>
      </c>
      <c r="BR33" s="23">
        <f>'QTR Raw'!AL12</f>
        <v>28.4</v>
      </c>
      <c r="BS33" s="23">
        <f>'QTR Raw'!AM12</f>
        <v>12.03</v>
      </c>
      <c r="BT33" s="23">
        <f>'QTR Raw'!AN12</f>
        <v>8.39</v>
      </c>
      <c r="BU33" s="23">
        <f>'QTR Raw'!AO12</f>
        <v>4.3099999999999996</v>
      </c>
      <c r="BV33" s="23">
        <f>'QTR Raw'!AP12</f>
        <v>2.2400000000000002</v>
      </c>
      <c r="BW33" s="23">
        <f>'QTR Raw'!AQ12</f>
        <v>0.42</v>
      </c>
      <c r="BX33" s="23">
        <f>'QTR Raw'!AR12</f>
        <v>0.61</v>
      </c>
      <c r="BY33" s="23">
        <f>'QTR Raw'!AS12</f>
        <v>-0.01</v>
      </c>
      <c r="BZ33" s="23">
        <f>'QTR Raw'!AT12</f>
        <v>67.209999999999994</v>
      </c>
      <c r="CA33" s="23">
        <f>'QTR Raw'!AU12</f>
        <v>18.38</v>
      </c>
      <c r="CB33" s="23">
        <f>'QTR Raw'!AV12</f>
        <v>11.16</v>
      </c>
      <c r="CC33" s="23">
        <f>'QTR Raw'!AW12</f>
        <v>0.7</v>
      </c>
      <c r="CD33" s="23">
        <f>'QTR Raw'!AX12</f>
        <v>4.09</v>
      </c>
      <c r="CE33" s="23">
        <f>'QTR Raw'!AY12</f>
        <v>7.59</v>
      </c>
      <c r="CF33" s="23">
        <f>'QTR Raw'!AZ12</f>
        <v>0.42</v>
      </c>
      <c r="CG33" s="23">
        <f>'QTR Raw'!BA12</f>
        <v>0.15</v>
      </c>
      <c r="CH33" s="23">
        <f>'QTR Raw'!BB12</f>
        <v>7.0000000000000007E-2</v>
      </c>
      <c r="CI33" s="23">
        <f>'QTR Raw'!BC12</f>
        <v>1.89</v>
      </c>
      <c r="CJ33" s="23">
        <f>'QTR Raw'!BD12</f>
        <v>0.03</v>
      </c>
      <c r="CK33" s="23">
        <f>'QTR Raw'!BE12</f>
        <v>0.81</v>
      </c>
      <c r="CL33" s="23">
        <f>'QTR Raw'!BF12</f>
        <v>0.98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4</v>
      </c>
      <c r="B34" s="23">
        <f>'Annual Raw'!C12</f>
        <v>0</v>
      </c>
      <c r="C34" s="23">
        <f>'Annual Raw'!D12</f>
        <v>0</v>
      </c>
      <c r="D34" s="23">
        <f>'Annual Raw'!E12</f>
        <v>0</v>
      </c>
      <c r="E34" s="23">
        <f>'Annual Raw'!F12</f>
        <v>0</v>
      </c>
      <c r="F34" s="23">
        <f>'Annual Raw'!G12</f>
        <v>0</v>
      </c>
      <c r="G34" s="23">
        <f>'Annual Raw'!H12</f>
        <v>0</v>
      </c>
      <c r="H34" s="23">
        <f>'Annual Raw'!I12</f>
        <v>0</v>
      </c>
      <c r="I34" s="23">
        <f>'Annual Raw'!J12</f>
        <v>0</v>
      </c>
      <c r="J34" s="23">
        <f>'Annual Raw'!K12</f>
        <v>0</v>
      </c>
      <c r="K34" s="23">
        <f>'Annual Raw'!L12</f>
        <v>4223.8507</v>
      </c>
      <c r="L34" s="23">
        <f>'Annual Raw'!M12</f>
        <v>2625.2844</v>
      </c>
      <c r="M34" s="23">
        <f>'Annual Raw'!N12</f>
        <v>4351.9859999999999</v>
      </c>
      <c r="N34" s="23">
        <f>'Annual Raw'!O12</f>
        <v>3955.3</v>
      </c>
      <c r="O34" s="23">
        <f>'Annual Raw'!P12</f>
        <v>3641.1019000000001</v>
      </c>
      <c r="P34" s="23">
        <f>'Annual Raw'!Q12</f>
        <v>4601.2761</v>
      </c>
      <c r="Q34" s="23">
        <f>'Annual Raw'!R12</f>
        <v>4279.5070999999998</v>
      </c>
      <c r="R34" s="23">
        <f>'Annual Raw'!S12</f>
        <v>3818.0066999999999</v>
      </c>
      <c r="S34" s="23">
        <f>'Annual Raw'!T12</f>
        <v>5158.0847999999996</v>
      </c>
      <c r="T34" s="23">
        <f>'Annual Raw'!U12</f>
        <v>7574.0882000000001</v>
      </c>
      <c r="U34" s="23">
        <f>'Annual Raw'!V12</f>
        <v>6728.4404999999997</v>
      </c>
      <c r="V34" s="23">
        <f>'Annual Raw'!W12</f>
        <v>6023.5904</v>
      </c>
      <c r="W34" s="23">
        <f>'Annual Raw'!X12</f>
        <v>8192.7636000000002</v>
      </c>
      <c r="X34" s="23">
        <f>'Annual Raw'!Y12</f>
        <v>11232.6958</v>
      </c>
      <c r="Y34" s="23">
        <f>'Annual Raw'!Z12</f>
        <v>12681.3392</v>
      </c>
      <c r="Z34" s="23">
        <f>'Annual Raw'!AA12</f>
        <v>11682.912899999999</v>
      </c>
      <c r="AA34" s="23">
        <f>'Annual Raw'!AB12</f>
        <v>10640.0551</v>
      </c>
      <c r="AB34" s="24">
        <f>+SUM(CM34:CP34)</f>
        <v>10259.111441704035</v>
      </c>
      <c r="AC34" s="24">
        <f>+SUM(CQ34:CT34)</f>
        <v>11161.939285426008</v>
      </c>
      <c r="AD34" s="24">
        <f>+SUM(CU34:CX34)</f>
        <v>12155.049913520181</v>
      </c>
      <c r="AE34" s="24">
        <f>+SUM(CY34:DB34)</f>
        <v>13247.471604423767</v>
      </c>
      <c r="AI34" s="23">
        <f>'QTR Raw'!C11</f>
        <v>1035.26</v>
      </c>
      <c r="AJ34" s="23">
        <f>'QTR Raw'!D11</f>
        <v>984.68</v>
      </c>
      <c r="AK34" s="23">
        <f>'QTR Raw'!E11</f>
        <v>892.56</v>
      </c>
      <c r="AL34" s="23">
        <f>'QTR Raw'!F11</f>
        <v>660.83</v>
      </c>
      <c r="AM34" s="23">
        <f>'QTR Raw'!G11</f>
        <v>759.39</v>
      </c>
      <c r="AN34" s="23">
        <f>'QTR Raw'!H11</f>
        <v>840.83</v>
      </c>
      <c r="AO34" s="23">
        <f>'QTR Raw'!I11</f>
        <v>916.31</v>
      </c>
      <c r="AP34" s="23">
        <f>'QTR Raw'!J11</f>
        <v>619.51</v>
      </c>
      <c r="AQ34" s="23">
        <f>'QTR Raw'!K11</f>
        <v>740.54</v>
      </c>
      <c r="AR34" s="23">
        <f>'QTR Raw'!L11</f>
        <v>1064.3699999999999</v>
      </c>
      <c r="AS34" s="23">
        <f>'QTR Raw'!M11</f>
        <v>1140.22</v>
      </c>
      <c r="AT34" s="23">
        <f>'QTR Raw'!N11</f>
        <v>936.28</v>
      </c>
      <c r="AU34" s="23">
        <f>'QTR Raw'!O11</f>
        <v>986.67</v>
      </c>
      <c r="AV34" s="23">
        <f>'QTR Raw'!P11</f>
        <v>782.5</v>
      </c>
      <c r="AW34" s="23">
        <f>'QTR Raw'!Q11</f>
        <v>674.19</v>
      </c>
      <c r="AX34" s="23">
        <f>'QTR Raw'!R11</f>
        <v>986.17</v>
      </c>
      <c r="AY34" s="23">
        <f>'QTR Raw'!S11</f>
        <v>848.53</v>
      </c>
      <c r="AZ34" s="23">
        <f>'QTR Raw'!T11</f>
        <v>786.32</v>
      </c>
      <c r="BA34" s="23">
        <f>'QTR Raw'!U11</f>
        <v>681.73</v>
      </c>
      <c r="BB34" s="23">
        <f>'QTR Raw'!V11</f>
        <v>794.78</v>
      </c>
      <c r="BC34" s="23">
        <f>'QTR Raw'!W11</f>
        <v>765.03</v>
      </c>
      <c r="BD34" s="23">
        <f>'QTR Raw'!X11</f>
        <v>888.31</v>
      </c>
      <c r="BE34" s="23">
        <f>'QTR Raw'!Y11</f>
        <v>1425</v>
      </c>
      <c r="BF34" s="23">
        <f>'QTR Raw'!Z11</f>
        <v>1426.98</v>
      </c>
      <c r="BG34" s="23">
        <f>'QTR Raw'!AA11</f>
        <v>1597.02</v>
      </c>
      <c r="BH34" s="23">
        <f>'QTR Raw'!AB11</f>
        <v>1915.12</v>
      </c>
      <c r="BI34" s="23">
        <f>'QTR Raw'!AC11</f>
        <v>1795.32</v>
      </c>
      <c r="BJ34" s="23">
        <f>'QTR Raw'!AD11</f>
        <v>1782.72</v>
      </c>
      <c r="BK34" s="23">
        <f>'QTR Raw'!AE11</f>
        <v>1766.46</v>
      </c>
      <c r="BL34" s="23">
        <f>'QTR Raw'!AF11</f>
        <v>1609.13</v>
      </c>
      <c r="BM34" s="23">
        <f>'QTR Raw'!AG11</f>
        <v>1576.5</v>
      </c>
      <c r="BN34" s="23">
        <f>'QTR Raw'!AH11</f>
        <v>1445.56</v>
      </c>
      <c r="BO34" s="23">
        <f>'QTR Raw'!AI11</f>
        <v>949.55</v>
      </c>
      <c r="BP34" s="23">
        <f>'QTR Raw'!AJ11</f>
        <v>1423.34</v>
      </c>
      <c r="BQ34" s="23">
        <f>'QTR Raw'!AK11</f>
        <v>1495.61</v>
      </c>
      <c r="BR34" s="23">
        <f>'QTR Raw'!AL11</f>
        <v>2077.5300000000002</v>
      </c>
      <c r="BS34" s="23">
        <f>'QTR Raw'!AM11</f>
        <v>1679.21</v>
      </c>
      <c r="BT34" s="23">
        <f>'QTR Raw'!AN11</f>
        <v>1722.14</v>
      </c>
      <c r="BU34" s="23">
        <f>'QTR Raw'!AO11</f>
        <v>2312.69</v>
      </c>
      <c r="BV34" s="23">
        <f>'QTR Raw'!AP11</f>
        <v>2452.7600000000002</v>
      </c>
      <c r="BW34" s="23">
        <f>'QTR Raw'!AQ11</f>
        <v>2221.17</v>
      </c>
      <c r="BX34" s="23">
        <f>'QTR Raw'!AR11</f>
        <v>2543.7600000000002</v>
      </c>
      <c r="BY34" s="23">
        <f>'QTR Raw'!AS11</f>
        <v>3317.26</v>
      </c>
      <c r="BZ34" s="23">
        <f>'QTR Raw'!AT11</f>
        <v>3082.21</v>
      </c>
      <c r="CA34" s="23">
        <f>'QTR Raw'!AU11</f>
        <v>2906.73</v>
      </c>
      <c r="CB34" s="23">
        <f>'QTR Raw'!AV11</f>
        <v>3300.88</v>
      </c>
      <c r="CC34" s="23">
        <f>'QTR Raw'!AW11</f>
        <v>3148.88</v>
      </c>
      <c r="CD34" s="23">
        <f>'QTR Raw'!AX11</f>
        <v>3290.52</v>
      </c>
      <c r="CE34" s="23">
        <f>'QTR Raw'!AY11</f>
        <v>2956.08</v>
      </c>
      <c r="CF34" s="23">
        <f>'QTR Raw'!AZ11</f>
        <v>2824.64</v>
      </c>
      <c r="CG34" s="23">
        <f>'QTR Raw'!BA11</f>
        <v>2968.29</v>
      </c>
      <c r="CH34" s="23">
        <f>'QTR Raw'!BB11</f>
        <v>2925.68</v>
      </c>
      <c r="CI34" s="23">
        <f>'QTR Raw'!BC11</f>
        <v>3067.37</v>
      </c>
      <c r="CJ34" s="23">
        <f>'QTR Raw'!BD11</f>
        <v>2462.79</v>
      </c>
      <c r="CK34" s="23">
        <f>'QTR Raw'!BE11</f>
        <v>2444.81</v>
      </c>
      <c r="CL34" s="23">
        <f>'QTR Raw'!BF11</f>
        <v>2661.37</v>
      </c>
      <c r="CM34" s="24">
        <f t="shared" ref="CM34:DB34" si="218">+CM29-CM35</f>
        <v>2429.7116905829594</v>
      </c>
      <c r="CN34" s="24">
        <f t="shared" si="218"/>
        <v>2214.9076614349769</v>
      </c>
      <c r="CO34" s="24">
        <f t="shared" si="218"/>
        <v>2716.1170627802685</v>
      </c>
      <c r="CP34" s="24">
        <f t="shared" si="218"/>
        <v>2898.3750269058296</v>
      </c>
      <c r="CQ34" s="24">
        <f t="shared" si="218"/>
        <v>2641.9120345291476</v>
      </c>
      <c r="CR34" s="24">
        <f t="shared" si="218"/>
        <v>2405.6276024663675</v>
      </c>
      <c r="CS34" s="24">
        <f t="shared" si="218"/>
        <v>2956.9579439461882</v>
      </c>
      <c r="CT34" s="24">
        <f t="shared" si="218"/>
        <v>3157.4417044843049</v>
      </c>
      <c r="CU34" s="24">
        <f t="shared" si="218"/>
        <v>2875.332412869956</v>
      </c>
      <c r="CV34" s="24">
        <f t="shared" si="218"/>
        <v>2615.419537600897</v>
      </c>
      <c r="CW34" s="24">
        <f t="shared" si="218"/>
        <v>3221.8829132287001</v>
      </c>
      <c r="CX34" s="24">
        <f t="shared" si="218"/>
        <v>3442.4150498206272</v>
      </c>
      <c r="CY34" s="24">
        <f t="shared" si="218"/>
        <v>3132.0948290448428</v>
      </c>
      <c r="CZ34" s="24">
        <f t="shared" si="218"/>
        <v>2846.1906662488791</v>
      </c>
      <c r="DA34" s="24">
        <f t="shared" si="218"/>
        <v>3513.3003794394626</v>
      </c>
      <c r="DB34" s="24">
        <f t="shared" si="218"/>
        <v>3755.8857296905826</v>
      </c>
      <c r="DE34" s="123"/>
      <c r="DF34" s="23">
        <v>10640.0551</v>
      </c>
    </row>
    <row r="35" spans="1:110" s="31" customFormat="1" x14ac:dyDescent="0.2">
      <c r="A35" s="31" t="s">
        <v>5</v>
      </c>
      <c r="B35" s="31">
        <f t="shared" ref="B35:T35" si="219">B29-B32-B34-B33</f>
        <v>0</v>
      </c>
      <c r="C35" s="31">
        <f t="shared" si="219"/>
        <v>0</v>
      </c>
      <c r="D35" s="31">
        <f t="shared" si="219"/>
        <v>0</v>
      </c>
      <c r="E35" s="31">
        <f t="shared" si="219"/>
        <v>0</v>
      </c>
      <c r="F35" s="31">
        <f t="shared" si="219"/>
        <v>0</v>
      </c>
      <c r="G35" s="31">
        <f t="shared" si="219"/>
        <v>0</v>
      </c>
      <c r="H35" s="31">
        <f t="shared" si="219"/>
        <v>0</v>
      </c>
      <c r="I35" s="31">
        <f t="shared" si="219"/>
        <v>0</v>
      </c>
      <c r="J35" s="31">
        <f t="shared" si="219"/>
        <v>0</v>
      </c>
      <c r="K35" s="31">
        <f t="shared" si="219"/>
        <v>2662.9165000000003</v>
      </c>
      <c r="L35" s="31">
        <f t="shared" si="219"/>
        <v>2003.015100000001</v>
      </c>
      <c r="M35" s="31">
        <f t="shared" si="219"/>
        <v>2343.1756000000005</v>
      </c>
      <c r="N35" s="31">
        <f t="shared" si="219"/>
        <v>2504.9125999999997</v>
      </c>
      <c r="O35" s="31">
        <f t="shared" si="219"/>
        <v>2936.4856000000004</v>
      </c>
      <c r="P35" s="31">
        <f t="shared" si="219"/>
        <v>3959.9163000000017</v>
      </c>
      <c r="Q35" s="31">
        <f t="shared" si="219"/>
        <v>3409.648000000001</v>
      </c>
      <c r="R35" s="31">
        <f t="shared" si="219"/>
        <v>3259.0217000000002</v>
      </c>
      <c r="S35" s="31">
        <f t="shared" si="219"/>
        <v>3606.4173000000001</v>
      </c>
      <c r="T35" s="31">
        <f t="shared" si="219"/>
        <v>4651.0366999999987</v>
      </c>
      <c r="U35" s="31">
        <f t="shared" ref="U35:Z35" si="220">U29-U32-U34-U33</f>
        <v>4692.3921</v>
      </c>
      <c r="V35" s="31">
        <f t="shared" si="220"/>
        <v>4636.1251999999995</v>
      </c>
      <c r="W35" s="31">
        <f t="shared" si="220"/>
        <v>5396.1724999999988</v>
      </c>
      <c r="X35" s="31">
        <f t="shared" si="220"/>
        <v>6675.6213999999982</v>
      </c>
      <c r="Y35" s="31">
        <f t="shared" si="220"/>
        <v>8806.4901000000009</v>
      </c>
      <c r="Z35" s="31">
        <f t="shared" si="220"/>
        <v>8983.8071999999993</v>
      </c>
      <c r="AA35" s="31">
        <f t="shared" ref="AA35" si="221">AA29-AA32-AA34-AA33</f>
        <v>7842.3271000000004</v>
      </c>
      <c r="AB35" s="32">
        <f t="shared" ref="AB35:AD35" si="222">AB29-AB32-AB34-AB33</f>
        <v>8363.60343721973</v>
      </c>
      <c r="AC35" s="32">
        <f t="shared" si="222"/>
        <v>9188.968534304935</v>
      </c>
      <c r="AD35" s="32">
        <f t="shared" si="222"/>
        <v>10006.538141098654</v>
      </c>
      <c r="AE35" s="32">
        <f t="shared" ref="AE35" si="223">AE29-AE32-AE34-AE33</f>
        <v>10905.864708571751</v>
      </c>
      <c r="AI35" s="31">
        <f t="shared" ref="AI35" si="224">AI29-AI32-AI34-AI33</f>
        <v>446.69999999999982</v>
      </c>
      <c r="AJ35" s="31">
        <f t="shared" ref="AJ35" si="225">AJ29-AJ32-AJ34-AJ33</f>
        <v>539.46000000000015</v>
      </c>
      <c r="AK35" s="31">
        <f t="shared" ref="AK35:AM35" si="226">AK29-AK32-AK34-AK33</f>
        <v>463.67000000000007</v>
      </c>
      <c r="AL35" s="31">
        <f t="shared" si="226"/>
        <v>354.80999999999995</v>
      </c>
      <c r="AM35" s="31">
        <f t="shared" si="226"/>
        <v>418.85</v>
      </c>
      <c r="AN35" s="31">
        <f t="shared" ref="AN35:AO35" si="227">AN29-AN32-AN34-AN33</f>
        <v>458.93999999999994</v>
      </c>
      <c r="AO35" s="31">
        <f t="shared" si="227"/>
        <v>602.42000000000007</v>
      </c>
      <c r="AP35" s="31">
        <f t="shared" ref="AP35:CD35" si="228">AP29-AP32-AP34-AP33</f>
        <v>646.23000000000025</v>
      </c>
      <c r="AQ35" s="31">
        <f t="shared" si="228"/>
        <v>540.22</v>
      </c>
      <c r="AR35" s="31">
        <f t="shared" si="228"/>
        <v>729.83999999999992</v>
      </c>
      <c r="AS35" s="31">
        <f t="shared" si="228"/>
        <v>814.38999999999987</v>
      </c>
      <c r="AT35" s="31">
        <f t="shared" si="228"/>
        <v>894.75</v>
      </c>
      <c r="AU35" s="31">
        <f t="shared" si="228"/>
        <v>831.07</v>
      </c>
      <c r="AV35" s="31">
        <f t="shared" si="228"/>
        <v>577.95000000000005</v>
      </c>
      <c r="AW35" s="31">
        <f t="shared" si="228"/>
        <v>581.58999999999992</v>
      </c>
      <c r="AX35" s="31">
        <f t="shared" si="228"/>
        <v>743.85</v>
      </c>
      <c r="AY35" s="31">
        <f t="shared" si="228"/>
        <v>631.91000000000008</v>
      </c>
      <c r="AZ35" s="31">
        <f t="shared" si="228"/>
        <v>624.33000000000004</v>
      </c>
      <c r="BA35" s="31">
        <f t="shared" si="228"/>
        <v>682.41000000000008</v>
      </c>
      <c r="BB35" s="31">
        <f t="shared" si="228"/>
        <v>743.81999999999994</v>
      </c>
      <c r="BC35" s="31">
        <f t="shared" si="228"/>
        <v>570.18000000000029</v>
      </c>
      <c r="BD35" s="31">
        <f t="shared" si="228"/>
        <v>668.61000000000013</v>
      </c>
      <c r="BE35" s="31">
        <f t="shared" si="228"/>
        <v>799.17999999999984</v>
      </c>
      <c r="BF35" s="31">
        <f t="shared" si="228"/>
        <v>972.11999999999989</v>
      </c>
      <c r="BG35" s="31">
        <f t="shared" si="228"/>
        <v>1075.8</v>
      </c>
      <c r="BH35" s="31">
        <f t="shared" si="228"/>
        <v>1133.32</v>
      </c>
      <c r="BI35" s="31">
        <f t="shared" si="228"/>
        <v>1193.0199999999998</v>
      </c>
      <c r="BJ35" s="31">
        <f t="shared" si="228"/>
        <v>1248.8899999999999</v>
      </c>
      <c r="BK35" s="31">
        <f t="shared" si="228"/>
        <v>1165.4099999999999</v>
      </c>
      <c r="BL35" s="31">
        <f t="shared" si="228"/>
        <v>1123.5999999999999</v>
      </c>
      <c r="BM35" s="31">
        <f t="shared" si="228"/>
        <v>1149.17</v>
      </c>
      <c r="BN35" s="31">
        <f t="shared" si="228"/>
        <v>1254.2099999999998</v>
      </c>
      <c r="BO35" s="31">
        <f t="shared" si="228"/>
        <v>740.86</v>
      </c>
      <c r="BP35" s="31">
        <f t="shared" si="228"/>
        <v>1081.8300000000002</v>
      </c>
      <c r="BQ35" s="31">
        <f t="shared" si="228"/>
        <v>1287.4099999999996</v>
      </c>
      <c r="BR35" s="31">
        <f t="shared" si="228"/>
        <v>1526.0199999999995</v>
      </c>
      <c r="BS35" s="31">
        <f t="shared" si="228"/>
        <v>1353.05</v>
      </c>
      <c r="BT35" s="31">
        <f t="shared" si="228"/>
        <v>1307.0099999999998</v>
      </c>
      <c r="BU35" s="31">
        <f t="shared" si="228"/>
        <v>1242.5500000000002</v>
      </c>
      <c r="BV35" s="31">
        <f t="shared" si="228"/>
        <v>1492.5599999999997</v>
      </c>
      <c r="BW35" s="31">
        <f t="shared" si="228"/>
        <v>1355.17</v>
      </c>
      <c r="BX35" s="31">
        <f t="shared" si="228"/>
        <v>1531.99</v>
      </c>
      <c r="BY35" s="31">
        <f t="shared" si="228"/>
        <v>1849.5199999999993</v>
      </c>
      <c r="BZ35" s="31">
        <f t="shared" si="228"/>
        <v>1938.79</v>
      </c>
      <c r="CA35" s="31">
        <f t="shared" si="228"/>
        <v>1948.0300000000002</v>
      </c>
      <c r="CB35" s="31">
        <f t="shared" si="228"/>
        <v>2212.37</v>
      </c>
      <c r="CC35" s="31">
        <f t="shared" si="228"/>
        <v>2423.2300000000005</v>
      </c>
      <c r="CD35" s="31">
        <f t="shared" si="228"/>
        <v>2222.86</v>
      </c>
      <c r="CE35" s="31">
        <f t="shared" ref="CE35:CF35" si="229">CE29-CE32-CE34-CE33</f>
        <v>2209.7699999999995</v>
      </c>
      <c r="CF35" s="31">
        <f t="shared" si="229"/>
        <v>2350.3300000000004</v>
      </c>
      <c r="CG35" s="31">
        <f t="shared" ref="CG35:CH35" si="230">CG29-CG32-CG34-CG33</f>
        <v>2326.9600000000005</v>
      </c>
      <c r="CH35" s="31">
        <f t="shared" si="230"/>
        <v>2096.7399999999998</v>
      </c>
      <c r="CI35" s="31">
        <f t="shared" ref="CI35:CJ35" si="231">CI29-CI32-CI34-CI33</f>
        <v>1943.4200000000003</v>
      </c>
      <c r="CJ35" s="31">
        <f t="shared" si="231"/>
        <v>1873.0700000000004</v>
      </c>
      <c r="CK35" s="31">
        <f t="shared" ref="CK35:CL35" si="232">CK29-CK32-CK34-CK33</f>
        <v>2031.5600000000004</v>
      </c>
      <c r="CL35" s="31">
        <f t="shared" si="232"/>
        <v>1994.2899999999995</v>
      </c>
      <c r="CM35" s="32">
        <f t="shared" ref="CM35:DB35" si="233">+(CM$8+CM$10)*CM20/10^4</f>
        <v>1918.1188206278025</v>
      </c>
      <c r="CN35" s="32">
        <f t="shared" si="233"/>
        <v>1823.4032892376681</v>
      </c>
      <c r="CO35" s="32">
        <f t="shared" si="233"/>
        <v>2236.0195291479822</v>
      </c>
      <c r="CP35" s="32">
        <f t="shared" si="233"/>
        <v>2386.0617982062781</v>
      </c>
      <c r="CQ35" s="32">
        <f t="shared" si="233"/>
        <v>2174.9308910313903</v>
      </c>
      <c r="CR35" s="32">
        <f t="shared" si="233"/>
        <v>1980.4118065022419</v>
      </c>
      <c r="CS35" s="32">
        <f t="shared" si="233"/>
        <v>2434.2896704035879</v>
      </c>
      <c r="CT35" s="32">
        <f t="shared" si="233"/>
        <v>2599.3361663677133</v>
      </c>
      <c r="CU35" s="32">
        <f t="shared" si="233"/>
        <v>2367.0921684753366</v>
      </c>
      <c r="CV35" s="32">
        <f t="shared" si="233"/>
        <v>2153.1211754932733</v>
      </c>
      <c r="CW35" s="32">
        <f t="shared" si="233"/>
        <v>2652.3868257847544</v>
      </c>
      <c r="CX35" s="32">
        <f t="shared" si="233"/>
        <v>2833.9379713452918</v>
      </c>
      <c r="CY35" s="32">
        <f t="shared" si="233"/>
        <v>2578.4695736636772</v>
      </c>
      <c r="CZ35" s="32">
        <f t="shared" si="233"/>
        <v>2343.1014813834081</v>
      </c>
      <c r="DA35" s="32">
        <f t="shared" si="233"/>
        <v>2892.2936967040368</v>
      </c>
      <c r="DB35" s="32">
        <f t="shared" si="233"/>
        <v>3091.9999568206285</v>
      </c>
      <c r="DE35" s="124"/>
      <c r="DF35" s="31">
        <v>7842.3271000000004</v>
      </c>
    </row>
    <row r="36" spans="1:110" s="41" customFormat="1" x14ac:dyDescent="0.2">
      <c r="A36" s="41" t="s">
        <v>6</v>
      </c>
      <c r="B36" s="41" t="e">
        <f>B35/B29</f>
        <v>#DIV/0!</v>
      </c>
      <c r="C36" s="41" t="e">
        <f t="shared" ref="C36:U36" si="234">C35/C29</f>
        <v>#DIV/0!</v>
      </c>
      <c r="D36" s="41" t="e">
        <f t="shared" si="234"/>
        <v>#DIV/0!</v>
      </c>
      <c r="E36" s="41" t="e">
        <f t="shared" si="234"/>
        <v>#DIV/0!</v>
      </c>
      <c r="F36" s="41" t="e">
        <f t="shared" si="234"/>
        <v>#DIV/0!</v>
      </c>
      <c r="G36" s="41" t="e">
        <f t="shared" si="234"/>
        <v>#DIV/0!</v>
      </c>
      <c r="H36" s="41" t="e">
        <f t="shared" si="234"/>
        <v>#DIV/0!</v>
      </c>
      <c r="I36" s="41" t="e">
        <f t="shared" si="234"/>
        <v>#DIV/0!</v>
      </c>
      <c r="J36" s="41" t="e">
        <f t="shared" si="234"/>
        <v>#DIV/0!</v>
      </c>
      <c r="K36" s="41">
        <f t="shared" si="234"/>
        <v>0.37451719450681514</v>
      </c>
      <c r="L36" s="41">
        <f t="shared" si="234"/>
        <v>0.43673636850974434</v>
      </c>
      <c r="M36" s="41">
        <f t="shared" si="234"/>
        <v>0.38817461883752924</v>
      </c>
      <c r="N36" s="41">
        <f t="shared" si="234"/>
        <v>0.37029022808574791</v>
      </c>
      <c r="O36" s="41">
        <f t="shared" si="234"/>
        <v>0.44118884095810251</v>
      </c>
      <c r="P36" s="41">
        <f t="shared" si="234"/>
        <v>0.48245592949103577</v>
      </c>
      <c r="Q36" s="41">
        <f t="shared" si="234"/>
        <v>0.44266318814325384</v>
      </c>
      <c r="R36" s="41">
        <f t="shared" si="234"/>
        <v>0.46095696461449731</v>
      </c>
      <c r="S36" s="41">
        <f t="shared" si="234"/>
        <v>0.42395420771063252</v>
      </c>
      <c r="T36" s="41">
        <f t="shared" si="234"/>
        <v>0.38384386282494171</v>
      </c>
      <c r="U36" s="41">
        <f t="shared" si="234"/>
        <v>0.40357592228485939</v>
      </c>
      <c r="V36" s="41">
        <f t="shared" ref="V36:AA36" si="235">V35/V29</f>
        <v>0.43476027191401262</v>
      </c>
      <c r="W36" s="41">
        <f t="shared" si="235"/>
        <v>0.40577542697907187</v>
      </c>
      <c r="X36" s="41">
        <f t="shared" si="235"/>
        <v>0.37360620430560343</v>
      </c>
      <c r="Y36" s="41">
        <f t="shared" si="235"/>
        <v>0.42020327898636123</v>
      </c>
      <c r="Z36" s="41">
        <f t="shared" si="235"/>
        <v>0.43131463701088929</v>
      </c>
      <c r="AA36" s="41">
        <f t="shared" ref="AA36" si="236">AA35/AA29</f>
        <v>0.43823720051491899</v>
      </c>
      <c r="AB36" s="42">
        <f t="shared" ref="AB36:AD36" si="237">AB35/AB29</f>
        <v>0.44910763503581469</v>
      </c>
      <c r="AC36" s="42">
        <f t="shared" si="237"/>
        <v>0.45152622259906738</v>
      </c>
      <c r="AD36" s="42">
        <f t="shared" si="237"/>
        <v>0.45152622259906727</v>
      </c>
      <c r="AE36" s="42">
        <f t="shared" ref="AE36" si="238">AE35/AE29</f>
        <v>0.45152622259906738</v>
      </c>
      <c r="AI36" s="41">
        <f t="shared" ref="AI36" si="239">AI35/AI29</f>
        <v>0.34616368187348395</v>
      </c>
      <c r="AJ36" s="41">
        <f t="shared" ref="AJ36" si="240">AJ35/AJ29</f>
        <v>0.32955593702846192</v>
      </c>
      <c r="AK36" s="41">
        <f t="shared" ref="AK36:AM36" si="241">AK35/AK29</f>
        <v>0.26914838657247514</v>
      </c>
      <c r="AL36" s="41">
        <f t="shared" si="241"/>
        <v>0.36202516146805835</v>
      </c>
      <c r="AM36" s="41">
        <f t="shared" si="241"/>
        <v>0.34701452349193462</v>
      </c>
      <c r="AN36" s="41">
        <f t="shared" ref="AN36:AO36" si="242">AN35/AN29</f>
        <v>0.37330708725465467</v>
      </c>
      <c r="AO36" s="41">
        <f t="shared" si="242"/>
        <v>0.35237276337878232</v>
      </c>
      <c r="AP36" s="41">
        <f t="shared" ref="AP36:CD36" si="243">AP35/AP29</f>
        <v>0.47392158875900214</v>
      </c>
      <c r="AQ36" s="41">
        <f t="shared" si="243"/>
        <v>0.47013671925992329</v>
      </c>
      <c r="AR36" s="41">
        <f t="shared" si="243"/>
        <v>0.4586265835511763</v>
      </c>
      <c r="AS36" s="41">
        <f t="shared" si="243"/>
        <v>0.45818400724641756</v>
      </c>
      <c r="AT36" s="41">
        <f t="shared" si="243"/>
        <v>0.42933849003368491</v>
      </c>
      <c r="AU36" s="41">
        <f t="shared" si="243"/>
        <v>0.41717449576836968</v>
      </c>
      <c r="AV36" s="41">
        <f t="shared" si="243"/>
        <v>0.4293737881027912</v>
      </c>
      <c r="AW36" s="41">
        <f t="shared" si="243"/>
        <v>0.5396184750134535</v>
      </c>
      <c r="AX36" s="41">
        <f t="shared" si="243"/>
        <v>0.40662872886498191</v>
      </c>
      <c r="AY36" s="41">
        <f t="shared" si="243"/>
        <v>0.49391506890002268</v>
      </c>
      <c r="AZ36" s="41">
        <f t="shared" si="243"/>
        <v>0.46827676729795614</v>
      </c>
      <c r="BA36" s="41">
        <f t="shared" si="243"/>
        <v>0.50195660169179857</v>
      </c>
      <c r="BB36" s="41">
        <f t="shared" si="243"/>
        <v>0.43283095723014253</v>
      </c>
      <c r="BC36" s="41">
        <f t="shared" si="243"/>
        <v>0.40812849841810678</v>
      </c>
      <c r="BD36" s="41">
        <f t="shared" si="243"/>
        <v>0.50606650065471293</v>
      </c>
      <c r="BE36" s="41">
        <f t="shared" si="243"/>
        <v>0.37791827643768111</v>
      </c>
      <c r="BF36" s="41">
        <f t="shared" si="243"/>
        <v>0.39565484597006906</v>
      </c>
      <c r="BG36" s="41">
        <f t="shared" si="243"/>
        <v>0.38961603372471193</v>
      </c>
      <c r="BH36" s="41">
        <f t="shared" si="243"/>
        <v>0.38286285691120631</v>
      </c>
      <c r="BI36" s="41">
        <f t="shared" si="243"/>
        <v>0.40330344948818836</v>
      </c>
      <c r="BJ36" s="41">
        <f t="shared" si="243"/>
        <v>0.36330499944728556</v>
      </c>
      <c r="BK36" s="41">
        <f t="shared" si="243"/>
        <v>0.38129404605327727</v>
      </c>
      <c r="BL36" s="41">
        <f t="shared" si="243"/>
        <v>0.4190051424714441</v>
      </c>
      <c r="BM36" s="41">
        <f t="shared" si="243"/>
        <v>0.38459890828890525</v>
      </c>
      <c r="BN36" s="41">
        <f t="shared" si="243"/>
        <v>0.43233414454226438</v>
      </c>
      <c r="BO36" s="41">
        <f t="shared" si="243"/>
        <v>0.45152639886883761</v>
      </c>
      <c r="BP36" s="41">
        <f t="shared" si="243"/>
        <v>0.45563782472455272</v>
      </c>
      <c r="BQ36" s="41">
        <f t="shared" si="243"/>
        <v>0.44940796179678</v>
      </c>
      <c r="BR36" s="41">
        <f t="shared" si="243"/>
        <v>0.40329822799529569</v>
      </c>
      <c r="BS36" s="41">
        <f t="shared" si="243"/>
        <v>0.46905983498578657</v>
      </c>
      <c r="BT36" s="41">
        <f t="shared" si="243"/>
        <v>0.43964438524259297</v>
      </c>
      <c r="BU36" s="41">
        <f t="shared" si="243"/>
        <v>0.35797628376509638</v>
      </c>
      <c r="BV36" s="41">
        <f t="shared" si="243"/>
        <v>0.37596916798911806</v>
      </c>
      <c r="BW36" s="41">
        <f t="shared" si="243"/>
        <v>0.38960923214922316</v>
      </c>
      <c r="BX36" s="41">
        <f t="shared" si="243"/>
        <v>0.37887346236218761</v>
      </c>
      <c r="BY36" s="41">
        <f t="shared" si="243"/>
        <v>0.35857726146484825</v>
      </c>
      <c r="BZ36" s="41">
        <f t="shared" si="243"/>
        <v>0.37370014783860728</v>
      </c>
      <c r="CA36" s="41">
        <f t="shared" si="243"/>
        <v>0.44170812340427462</v>
      </c>
      <c r="CB36" s="41">
        <f t="shared" si="243"/>
        <v>0.40473489907102161</v>
      </c>
      <c r="CC36" s="41">
        <f t="shared" si="243"/>
        <v>0.42842847267281819</v>
      </c>
      <c r="CD36" s="41">
        <f t="shared" si="243"/>
        <v>0.40973169454910091</v>
      </c>
      <c r="CE36" s="41">
        <f t="shared" ref="CE36:CF36" si="244">CE35/CE29</f>
        <v>0.44740518477125285</v>
      </c>
      <c r="CF36" s="41">
        <f t="shared" si="244"/>
        <v>0.42181689615069856</v>
      </c>
      <c r="CG36" s="41">
        <f t="shared" ref="CG36:CH36" si="245">CG35/CG29</f>
        <v>0.44143949310416791</v>
      </c>
      <c r="CH36" s="41">
        <f t="shared" si="245"/>
        <v>0.41547658914237134</v>
      </c>
      <c r="CI36" s="41">
        <f t="shared" ref="CI36:CJ36" si="246">CI35/CI29</f>
        <v>0.47578268065062634</v>
      </c>
      <c r="CJ36" s="41">
        <f t="shared" si="246"/>
        <v>0.44242961073318221</v>
      </c>
      <c r="CK36" s="41">
        <f t="shared" ref="CK36:DB36" si="247">CK35/CK29</f>
        <v>0.41096328243054903</v>
      </c>
      <c r="CL36" s="41">
        <f t="shared" si="247"/>
        <v>0.43040867771092134</v>
      </c>
      <c r="CM36" s="42">
        <f t="shared" si="247"/>
        <v>0.44116687982247371</v>
      </c>
      <c r="CN36" s="42">
        <f t="shared" si="247"/>
        <v>0.45152622259906738</v>
      </c>
      <c r="CO36" s="42">
        <f t="shared" si="247"/>
        <v>0.45152622259906738</v>
      </c>
      <c r="CP36" s="42">
        <f t="shared" si="247"/>
        <v>0.45152622259906733</v>
      </c>
      <c r="CQ36" s="42">
        <f t="shared" si="247"/>
        <v>0.45152622259906738</v>
      </c>
      <c r="CR36" s="42">
        <f t="shared" si="247"/>
        <v>0.45152622259906727</v>
      </c>
      <c r="CS36" s="42">
        <f t="shared" si="247"/>
        <v>0.45152622259906738</v>
      </c>
      <c r="CT36" s="42">
        <f t="shared" si="247"/>
        <v>0.45152622259906733</v>
      </c>
      <c r="CU36" s="42">
        <f t="shared" si="247"/>
        <v>0.45152622259906727</v>
      </c>
      <c r="CV36" s="42">
        <f t="shared" si="247"/>
        <v>0.45152622259906727</v>
      </c>
      <c r="CW36" s="42">
        <f t="shared" si="247"/>
        <v>0.45152622259906738</v>
      </c>
      <c r="CX36" s="42">
        <f t="shared" si="247"/>
        <v>0.45152622259906738</v>
      </c>
      <c r="CY36" s="42">
        <f t="shared" si="247"/>
        <v>0.45152622259906733</v>
      </c>
      <c r="CZ36" s="42">
        <f t="shared" si="247"/>
        <v>0.45152622259906727</v>
      </c>
      <c r="DA36" s="42">
        <f t="shared" si="247"/>
        <v>0.45152622259906733</v>
      </c>
      <c r="DB36" s="42">
        <f t="shared" si="247"/>
        <v>0.45152622259906738</v>
      </c>
      <c r="DE36" s="125"/>
      <c r="DF36" s="41">
        <v>0.43823720051491899</v>
      </c>
    </row>
    <row r="37" spans="1:110" s="39" customFormat="1" x14ac:dyDescent="0.2">
      <c r="A37" s="39" t="s">
        <v>447</v>
      </c>
      <c r="C37" s="39" t="e">
        <f t="shared" ref="C37:AE37" si="248">+IF(B35&lt;0,1-C35/B35,C35/B35-1)</f>
        <v>#DIV/0!</v>
      </c>
      <c r="D37" s="39" t="e">
        <f t="shared" si="248"/>
        <v>#DIV/0!</v>
      </c>
      <c r="E37" s="39" t="e">
        <f t="shared" si="248"/>
        <v>#DIV/0!</v>
      </c>
      <c r="F37" s="39" t="e">
        <f t="shared" si="248"/>
        <v>#DIV/0!</v>
      </c>
      <c r="G37" s="39" t="e">
        <f t="shared" si="248"/>
        <v>#DIV/0!</v>
      </c>
      <c r="H37" s="39" t="e">
        <f t="shared" si="248"/>
        <v>#DIV/0!</v>
      </c>
      <c r="I37" s="39" t="e">
        <f t="shared" si="248"/>
        <v>#DIV/0!</v>
      </c>
      <c r="J37" s="39" t="e">
        <f t="shared" si="248"/>
        <v>#DIV/0!</v>
      </c>
      <c r="K37" s="39" t="e">
        <f t="shared" si="248"/>
        <v>#DIV/0!</v>
      </c>
      <c r="L37" s="39">
        <f t="shared" si="248"/>
        <v>-0.24781152544587837</v>
      </c>
      <c r="M37" s="39">
        <f t="shared" si="248"/>
        <v>0.16982423147983217</v>
      </c>
      <c r="N37" s="39">
        <f t="shared" si="248"/>
        <v>6.902470305682562E-2</v>
      </c>
      <c r="O37" s="39">
        <f t="shared" si="248"/>
        <v>0.17229064199685085</v>
      </c>
      <c r="P37" s="39">
        <f t="shared" si="248"/>
        <v>0.34852229481390995</v>
      </c>
      <c r="Q37" s="39">
        <f t="shared" si="248"/>
        <v>-0.13895957851432372</v>
      </c>
      <c r="R37" s="39">
        <f t="shared" si="248"/>
        <v>-4.417649563825965E-2</v>
      </c>
      <c r="S37" s="39">
        <f t="shared" si="248"/>
        <v>0.10659505581076667</v>
      </c>
      <c r="T37" s="39">
        <f t="shared" si="248"/>
        <v>0.28965572009650642</v>
      </c>
      <c r="U37" s="39">
        <f t="shared" si="248"/>
        <v>8.891652048241383E-3</v>
      </c>
      <c r="V37" s="39">
        <f t="shared" si="248"/>
        <v>-1.1991090855344444E-2</v>
      </c>
      <c r="W37" s="39">
        <f t="shared" si="248"/>
        <v>0.1639402016149174</v>
      </c>
      <c r="X37" s="39">
        <f t="shared" si="248"/>
        <v>0.23710303923753351</v>
      </c>
      <c r="Y37" s="39">
        <f t="shared" si="248"/>
        <v>0.31920155028564134</v>
      </c>
      <c r="Z37" s="39">
        <f t="shared" si="248"/>
        <v>2.0134820795403963E-2</v>
      </c>
      <c r="AA37" s="39">
        <f t="shared" si="248"/>
        <v>-0.12705972808499266</v>
      </c>
      <c r="AB37" s="40">
        <f t="shared" si="248"/>
        <v>6.6469598956122367E-2</v>
      </c>
      <c r="AC37" s="40">
        <f t="shared" si="248"/>
        <v>9.8685345770001875E-2</v>
      </c>
      <c r="AD37" s="40">
        <f t="shared" si="248"/>
        <v>8.8972946608915748E-2</v>
      </c>
      <c r="AE37" s="40">
        <f t="shared" si="248"/>
        <v>8.9873895926044778E-2</v>
      </c>
      <c r="AM37" s="39">
        <f>+IF(AI35&lt;0,1-AM35/AI35,AM35/AI35-1)</f>
        <v>-6.2346093575105899E-2</v>
      </c>
      <c r="AN37" s="39">
        <f t="shared" ref="AN37" si="249">+IF(AJ35&lt;0,1-AN35/AJ35,AN35/AJ35-1)</f>
        <v>-0.14926037148259408</v>
      </c>
      <c r="AO37" s="39">
        <f t="shared" ref="AO37" si="250">+IF(AK35&lt;0,1-AO35/AK35,AO35/AK35-1)</f>
        <v>0.29924299609636162</v>
      </c>
      <c r="AP37" s="39">
        <f t="shared" ref="AP37" si="251">+IF(AL35&lt;0,1-AP35/AL35,AP35/AL35-1)</f>
        <v>0.82134099940813488</v>
      </c>
      <c r="AQ37" s="39">
        <f t="shared" ref="AQ37" si="252">+IF(AM35&lt;0,1-AQ35/AM35,AQ35/AM35-1)</f>
        <v>0.2897696072579683</v>
      </c>
      <c r="AR37" s="39">
        <f t="shared" ref="AR37" si="253">+IF(AN35&lt;0,1-AR35/AN35,AR35/AN35-1)</f>
        <v>0.59027323833180811</v>
      </c>
      <c r="AS37" s="39">
        <f t="shared" ref="AS37" si="254">+IF(AO35&lt;0,1-AS35/AO35,AS35/AO35-1)</f>
        <v>0.3518641479366551</v>
      </c>
      <c r="AT37" s="39">
        <f t="shared" ref="AT37" si="255">+IF(AP35&lt;0,1-AT35/AP35,AT35/AP35-1)</f>
        <v>0.38456896151524944</v>
      </c>
      <c r="AU37" s="39">
        <f t="shared" ref="AU37" si="256">+IF(AQ35&lt;0,1-AU35/AQ35,AU35/AQ35-1)</f>
        <v>0.53839176631742625</v>
      </c>
      <c r="AV37" s="39">
        <f t="shared" ref="AV37" si="257">+IF(AR35&lt;0,1-AV35/AR35,AV35/AR35-1)</f>
        <v>-0.2081141072015783</v>
      </c>
      <c r="AW37" s="39">
        <f t="shared" ref="AW37" si="258">+IF(AS35&lt;0,1-AW35/AS35,AW35/AS35-1)</f>
        <v>-0.28585812694163726</v>
      </c>
      <c r="AX37" s="39">
        <f t="shared" ref="AX37" si="259">+IF(AT35&lt;0,1-AX35/AT35,AX35/AT35-1)</f>
        <v>-0.16865046102263204</v>
      </c>
      <c r="AY37" s="39">
        <f t="shared" ref="AY37" si="260">+IF(AU35&lt;0,1-AY35/AU35,AY35/AU35-1)</f>
        <v>-0.23964287003501505</v>
      </c>
      <c r="AZ37" s="39">
        <f t="shared" ref="AZ37" si="261">+IF(AV35&lt;0,1-AZ35/AV35,AZ35/AV35-1)</f>
        <v>8.0249156501427388E-2</v>
      </c>
      <c r="BA37" s="39">
        <f t="shared" ref="BA37" si="262">+IF(AW35&lt;0,1-BA35/AW35,BA35/AW35-1)</f>
        <v>0.17335236162932688</v>
      </c>
      <c r="BB37" s="39">
        <f t="shared" ref="BB37" si="263">+IF(AX35&lt;0,1-BB35/AX35,BB35/AX35-1)</f>
        <v>-4.0330711837177624E-5</v>
      </c>
      <c r="BC37" s="39">
        <f t="shared" ref="BC37" si="264">+IF(AY35&lt;0,1-BC35/AY35,BC35/AY35-1)</f>
        <v>-9.7687961893307196E-2</v>
      </c>
      <c r="BD37" s="39">
        <f t="shared" ref="BD37" si="265">+IF(AZ35&lt;0,1-BD35/AZ35,BD35/AZ35-1)</f>
        <v>7.0924030560761242E-2</v>
      </c>
      <c r="BE37" s="39">
        <f t="shared" ref="BE37" si="266">+IF(BA35&lt;0,1-BE35/BA35,BE35/BA35-1)</f>
        <v>0.17111413959349919</v>
      </c>
      <c r="BF37" s="39">
        <f t="shared" ref="BF37" si="267">+IF(BB35&lt;0,1-BF35/BB35,BF35/BB35-1)</f>
        <v>0.30692909574897143</v>
      </c>
      <c r="BG37" s="39">
        <f t="shared" ref="BG37" si="268">+IF(BC35&lt;0,1-BG35/BC35,BG35/BC35-1)</f>
        <v>0.88677259812690634</v>
      </c>
      <c r="BH37" s="39">
        <f t="shared" ref="BH37" si="269">+IF(BD35&lt;0,1-BH35/BD35,BH35/BD35-1)</f>
        <v>0.6950389614274386</v>
      </c>
      <c r="BI37" s="39">
        <f t="shared" ref="BI37" si="270">+IF(BE35&lt;0,1-BI35/BE35,BI35/BE35-1)</f>
        <v>0.49280512525338471</v>
      </c>
      <c r="BJ37" s="39">
        <f t="shared" ref="BJ37" si="271">+IF(BF35&lt;0,1-BJ35/BF35,BJ35/BF35-1)</f>
        <v>0.28470764926140801</v>
      </c>
      <c r="BK37" s="39">
        <f t="shared" ref="BK37" si="272">+IF(BG35&lt;0,1-BK35/BG35,BK35/BG35-1)</f>
        <v>8.3296151701059529E-2</v>
      </c>
      <c r="BL37" s="39">
        <f t="shared" ref="BL37" si="273">+IF(BH35&lt;0,1-BL35/BH35,BL35/BH35-1)</f>
        <v>-8.5765714890763123E-3</v>
      </c>
      <c r="BM37" s="39">
        <f t="shared" ref="BM37" si="274">+IF(BI35&lt;0,1-BM35/BI35,BM35/BI35-1)</f>
        <v>-3.6755460931082173E-2</v>
      </c>
      <c r="BN37" s="39">
        <f t="shared" ref="BN37" si="275">+IF(BJ35&lt;0,1-BN35/BJ35,BN35/BJ35-1)</f>
        <v>4.2597826870260924E-3</v>
      </c>
      <c r="BO37" s="39">
        <f t="shared" ref="BO37" si="276">+IF(BK35&lt;0,1-BO35/BK35,BO35/BK35-1)</f>
        <v>-0.36429239495113297</v>
      </c>
      <c r="BP37" s="39">
        <f t="shared" ref="BP37" si="277">+IF(BL35&lt;0,1-BP35/BL35,BP35/BL35-1)</f>
        <v>-3.7175151299394638E-2</v>
      </c>
      <c r="BQ37" s="39">
        <f t="shared" ref="BQ37" si="278">+IF(BM35&lt;0,1-BQ35/BM35,BQ35/BM35-1)</f>
        <v>0.12029551763446622</v>
      </c>
      <c r="BR37" s="39">
        <f t="shared" ref="BR37" si="279">+IF(BN35&lt;0,1-BR35/BN35,BR35/BN35-1)</f>
        <v>0.21671809346122251</v>
      </c>
      <c r="BS37" s="39">
        <f t="shared" ref="BS37" si="280">+IF(BO35&lt;0,1-BS35/BO35,BS35/BO35-1)</f>
        <v>0.82632346192263029</v>
      </c>
      <c r="BT37" s="39">
        <f t="shared" ref="BT37" si="281">+IF(BP35&lt;0,1-BT35/BP35,BT35/BP35-1)</f>
        <v>0.20814730595380015</v>
      </c>
      <c r="BU37" s="39">
        <f t="shared" ref="BU37" si="282">+IF(BQ35&lt;0,1-BU35/BQ35,BU35/BQ35-1)</f>
        <v>-3.484515422437251E-2</v>
      </c>
      <c r="BV37" s="39">
        <f t="shared" ref="BV37" si="283">+IF(BR35&lt;0,1-BV35/BR35,BV35/BR35-1)</f>
        <v>-2.1926318134755651E-2</v>
      </c>
      <c r="BW37" s="39">
        <f t="shared" ref="BW37" si="284">+IF(BS35&lt;0,1-BW35/BS35,BW35/BS35-1)</f>
        <v>1.566830494069027E-3</v>
      </c>
      <c r="BX37" s="39">
        <f t="shared" ref="BX37" si="285">+IF(BT35&lt;0,1-BX35/BT35,BX35/BT35-1)</f>
        <v>0.17213334251459456</v>
      </c>
      <c r="BY37" s="39">
        <f t="shared" ref="BY37" si="286">+IF(BU35&lt;0,1-BY35/BU35,BY35/BU35-1)</f>
        <v>0.48848738481348764</v>
      </c>
      <c r="BZ37" s="39">
        <f t="shared" ref="BZ37" si="287">+IF(BV35&lt;0,1-BZ35/BV35,BZ35/BV35-1)</f>
        <v>0.29896955566275407</v>
      </c>
      <c r="CA37" s="39">
        <f t="shared" ref="CA37" si="288">+IF(BW35&lt;0,1-CA35/BW35,CA35/BW35-1)</f>
        <v>0.43748016853974048</v>
      </c>
      <c r="CB37" s="39">
        <f t="shared" ref="CB37" si="289">+IF(BX35&lt;0,1-CB35/BX35,CB35/BX35-1)</f>
        <v>0.44411517046455917</v>
      </c>
      <c r="CC37" s="39">
        <f t="shared" ref="CC37" si="290">+IF(BY35&lt;0,1-CC35/BY35,CC35/BY35-1)</f>
        <v>0.31019399628011657</v>
      </c>
      <c r="CD37" s="39">
        <f t="shared" ref="CD37" si="291">+IF(BZ35&lt;0,1-CD35/BZ35,CD35/BZ35-1)</f>
        <v>0.14651922075108703</v>
      </c>
      <c r="CE37" s="39">
        <f t="shared" ref="CE37" si="292">+IF(CA35&lt;0,1-CE35/CA35,CE35/CA35-1)</f>
        <v>0.13436138047155288</v>
      </c>
      <c r="CF37" s="39">
        <f t="shared" ref="CF37" si="293">+IF(CB35&lt;0,1-CF35/CB35,CF35/CB35-1)</f>
        <v>6.2358466260164613E-2</v>
      </c>
      <c r="CG37" s="39">
        <f t="shared" ref="CG37" si="294">+IF(CC35&lt;0,1-CG35/CC35,CG35/CC35-1)</f>
        <v>-3.9727966391964409E-2</v>
      </c>
      <c r="CH37" s="39">
        <f t="shared" ref="CH37:CL37" si="295">+IF(CD35&lt;0,1-CH35/CD35,CH35/CD35-1)</f>
        <v>-5.6737716275429118E-2</v>
      </c>
      <c r="CI37" s="39">
        <f t="shared" si="295"/>
        <v>-0.1205329061395527</v>
      </c>
      <c r="CJ37" s="39">
        <f t="shared" si="295"/>
        <v>-0.20306084677470815</v>
      </c>
      <c r="CK37" s="39">
        <f t="shared" si="295"/>
        <v>-0.12694674596898958</v>
      </c>
      <c r="CL37" s="39">
        <f t="shared" si="295"/>
        <v>-4.8861566050154237E-2</v>
      </c>
      <c r="CM37" s="40">
        <f t="shared" ref="CM37" si="296">+CM35/CI35-1</f>
        <v>-1.3018894203104758E-2</v>
      </c>
      <c r="CN37" s="40">
        <f t="shared" ref="CN37" si="297">+CN35/CJ35-1</f>
        <v>-2.651620642172059E-2</v>
      </c>
      <c r="CO37" s="40">
        <f t="shared" ref="CO37" si="298">+CO35/CK35-1</f>
        <v>0.10064163950263927</v>
      </c>
      <c r="CP37" s="40">
        <f t="shared" ref="CP37" si="299">+CP35/CL35-1</f>
        <v>0.19644675458748662</v>
      </c>
      <c r="CQ37" s="40">
        <f t="shared" ref="CQ37" si="300">+CQ35/CM35-1</f>
        <v>0.13388746705458687</v>
      </c>
      <c r="CR37" s="40">
        <f t="shared" ref="CR37" si="301">+CR35/CN35-1</f>
        <v>8.6107400480897489E-2</v>
      </c>
      <c r="CS37" s="40">
        <f t="shared" ref="CS37" si="302">+CS35/CO35-1</f>
        <v>8.8671023965141815E-2</v>
      </c>
      <c r="CT37" s="40">
        <f t="shared" ref="CT37" si="303">+CT35/CP35-1</f>
        <v>8.9383421804818397E-2</v>
      </c>
      <c r="CU37" s="40">
        <f t="shared" ref="CU37" si="304">+CU35/CQ35-1</f>
        <v>8.8352819961474705E-2</v>
      </c>
      <c r="CV37" s="40">
        <f t="shared" ref="CV37" si="305">+CV35/CR35-1</f>
        <v>8.7208816077534168E-2</v>
      </c>
      <c r="CW37" s="40">
        <f t="shared" ref="CW37" si="306">+CW35/CS35-1</f>
        <v>8.9593756253752543E-2</v>
      </c>
      <c r="CX37" s="40">
        <f t="shared" ref="CX37" si="307">+CX35/CT35-1</f>
        <v>9.0254507290378205E-2</v>
      </c>
      <c r="CY37" s="40">
        <f t="shared" ref="CY37" si="308">+CY35/CU35-1</f>
        <v>8.9298341654558522E-2</v>
      </c>
      <c r="CZ37" s="40">
        <f t="shared" ref="CZ37" si="309">+CZ35/CV35-1</f>
        <v>8.8234841611555259E-2</v>
      </c>
      <c r="DA37" s="40">
        <f t="shared" ref="DA37" si="310">+DA35/CW35-1</f>
        <v>9.0449427883997346E-2</v>
      </c>
      <c r="DB37" s="40">
        <f t="shared" ref="DB37" si="311">+DB35/CX35-1</f>
        <v>9.1061268131014561E-2</v>
      </c>
      <c r="DE37" s="122"/>
      <c r="DF37" s="39">
        <v>-0.12705972808499266</v>
      </c>
    </row>
    <row r="38" spans="1:110" s="39" customFormat="1" x14ac:dyDescent="0.2">
      <c r="A38" s="39" t="s">
        <v>448</v>
      </c>
      <c r="AB38" s="40"/>
      <c r="AC38" s="40"/>
      <c r="AD38" s="40"/>
      <c r="AE38" s="40"/>
      <c r="AJ38" s="39">
        <f>+IF(AI35&lt;0,1-AJ35/AI35,AJ35/AI35-1)</f>
        <v>0.20765614506380214</v>
      </c>
      <c r="AK38" s="39">
        <f t="shared" ref="AK38" si="312">+IF(AJ35&lt;0,1-AK35/AJ35,AK35/AJ35-1)</f>
        <v>-0.14049234419604806</v>
      </c>
      <c r="AL38" s="39">
        <f t="shared" ref="AL38" si="313">+IF(AK35&lt;0,1-AL35/AK35,AL35/AK35-1)</f>
        <v>-0.2347790454418015</v>
      </c>
      <c r="AM38" s="39">
        <f t="shared" ref="AM38" si="314">+IF(AL35&lt;0,1-AM35/AL35,AM35/AL35-1)</f>
        <v>0.18049096699642098</v>
      </c>
      <c r="AN38" s="39">
        <f t="shared" ref="AN38" si="315">+IF(AM35&lt;0,1-AN35/AM35,AN35/AM35-1)</f>
        <v>9.5714456249253788E-2</v>
      </c>
      <c r="AO38" s="39">
        <f t="shared" ref="AO38" si="316">+IF(AN35&lt;0,1-AO35/AN35,AO35/AN35-1)</f>
        <v>0.31263345971150946</v>
      </c>
      <c r="AP38" s="39">
        <f t="shared" ref="AP38" si="317">+IF(AO35&lt;0,1-AP35/AO35,AP35/AO35-1)</f>
        <v>7.2723349158394734E-2</v>
      </c>
      <c r="AQ38" s="39">
        <f t="shared" ref="AQ38" si="318">+IF(AP35&lt;0,1-AQ35/AP35,AQ35/AP35-1)</f>
        <v>-0.16404376150906053</v>
      </c>
      <c r="AR38" s="39">
        <f t="shared" ref="AR38" si="319">+IF(AQ35&lt;0,1-AR35/AQ35,AR35/AQ35-1)</f>
        <v>0.35100514605160837</v>
      </c>
      <c r="AS38" s="39">
        <f t="shared" ref="AS38" si="320">+IF(AR35&lt;0,1-AS35/AR35,AS35/AR35-1)</f>
        <v>0.11584730899923268</v>
      </c>
      <c r="AT38" s="39">
        <f t="shared" ref="AT38" si="321">+IF(AS35&lt;0,1-AT35/AS35,AT35/AS35-1)</f>
        <v>9.8675081963187417E-2</v>
      </c>
      <c r="AU38" s="39">
        <f t="shared" ref="AU38" si="322">+IF(AT35&lt;0,1-AU35/AT35,AU35/AT35-1)</f>
        <v>-7.1170718077675277E-2</v>
      </c>
      <c r="AV38" s="39">
        <f t="shared" ref="AV38" si="323">+IF(AU35&lt;0,1-AV35/AU35,AV35/AU35-1)</f>
        <v>-0.30457121542108367</v>
      </c>
      <c r="AW38" s="39">
        <f t="shared" ref="AW38" si="324">+IF(AV35&lt;0,1-AW35/AV35,AW35/AV35-1)</f>
        <v>6.2981226749716512E-3</v>
      </c>
      <c r="AX38" s="39">
        <f t="shared" ref="AX38" si="325">+IF(AW35&lt;0,1-AX35/AW35,AX35/AW35-1)</f>
        <v>0.27899379287814452</v>
      </c>
      <c r="AY38" s="39">
        <f t="shared" ref="AY38" si="326">+IF(AX35&lt;0,1-AY35/AX35,AY35/AX35-1)</f>
        <v>-0.15048732943469778</v>
      </c>
      <c r="AZ38" s="39">
        <f t="shared" ref="AZ38" si="327">+IF(AY35&lt;0,1-AZ35/AY35,AZ35/AY35-1)</f>
        <v>-1.1995379088794333E-2</v>
      </c>
      <c r="BA38" s="39">
        <f t="shared" ref="BA38" si="328">+IF(AZ35&lt;0,1-BA35/AZ35,BA35/AZ35-1)</f>
        <v>9.3027725721974042E-2</v>
      </c>
      <c r="BB38" s="39">
        <f t="shared" ref="BB38" si="329">+IF(BA35&lt;0,1-BB35/BA35,BB35/BA35-1)</f>
        <v>8.9989888776541793E-2</v>
      </c>
      <c r="BC38" s="39">
        <f t="shared" ref="BC38" si="330">+IF(BB35&lt;0,1-BC35/BB35,BC35/BB35-1)</f>
        <v>-0.23344357505848146</v>
      </c>
      <c r="BD38" s="39">
        <f t="shared" ref="BD38" si="331">+IF(BC35&lt;0,1-BD35/BC35,BD35/BC35-1)</f>
        <v>0.17262969588550936</v>
      </c>
      <c r="BE38" s="39">
        <f t="shared" ref="BE38" si="332">+IF(BD35&lt;0,1-BE35/BD35,BE35/BD35-1)</f>
        <v>0.1952857420618892</v>
      </c>
      <c r="BF38" s="39">
        <f t="shared" ref="BF38" si="333">+IF(BE35&lt;0,1-BF35/BE35,BF35/BE35-1)</f>
        <v>0.2163968067268951</v>
      </c>
      <c r="BG38" s="39">
        <f t="shared" ref="BG38" si="334">+IF(BF35&lt;0,1-BG35/BF35,BG35/BF35-1)</f>
        <v>0.10665349956795467</v>
      </c>
      <c r="BH38" s="39">
        <f t="shared" ref="BH38" si="335">+IF(BG35&lt;0,1-BH35/BG35,BH35/BG35-1)</f>
        <v>5.3467187209518485E-2</v>
      </c>
      <c r="BI38" s="39">
        <f t="shared" ref="BI38" si="336">+IF(BH35&lt;0,1-BI35/BH35,BI35/BH35-1)</f>
        <v>5.2677090318709485E-2</v>
      </c>
      <c r="BJ38" s="39">
        <f t="shared" ref="BJ38" si="337">+IF(BI35&lt;0,1-BJ35/BI35,BJ35/BI35-1)</f>
        <v>4.6830732091666549E-2</v>
      </c>
      <c r="BK38" s="39">
        <f t="shared" ref="BK38" si="338">+IF(BJ35&lt;0,1-BK35/BJ35,BK35/BJ35-1)</f>
        <v>-6.6843356900928019E-2</v>
      </c>
      <c r="BL38" s="39">
        <f t="shared" ref="BL38" si="339">+IF(BK35&lt;0,1-BL35/BK35,BL35/BK35-1)</f>
        <v>-3.5875786203996785E-2</v>
      </c>
      <c r="BM38" s="39">
        <f t="shared" ref="BM38" si="340">+IF(BL35&lt;0,1-BM35/BL35,BM35/BL35-1)</f>
        <v>2.2757208971164289E-2</v>
      </c>
      <c r="BN38" s="39">
        <f t="shared" ref="BN38" si="341">+IF(BM35&lt;0,1-BN35/BM35,BN35/BM35-1)</f>
        <v>9.140510107294797E-2</v>
      </c>
      <c r="BO38" s="39">
        <f t="shared" ref="BO38" si="342">+IF(BN35&lt;0,1-BO35/BN35,BO35/BN35-1)</f>
        <v>-0.40930147264014793</v>
      </c>
      <c r="BP38" s="39">
        <f t="shared" ref="BP38" si="343">+IF(BO35&lt;0,1-BP35/BO35,BP35/BO35-1)</f>
        <v>0.46023540210026215</v>
      </c>
      <c r="BQ38" s="39">
        <f t="shared" ref="BQ38" si="344">+IF(BP35&lt;0,1-BQ35/BP35,BQ35/BP35-1)</f>
        <v>0.19002985681668982</v>
      </c>
      <c r="BR38" s="39">
        <f t="shared" ref="BR38" si="345">+IF(BQ35&lt;0,1-BR35/BQ35,BR35/BQ35-1)</f>
        <v>0.18534111122330876</v>
      </c>
      <c r="BS38" s="39">
        <f t="shared" ref="BS38" si="346">+IF(BR35&lt;0,1-BS35/BR35,BS35/BR35-1)</f>
        <v>-0.11334713830749243</v>
      </c>
      <c r="BT38" s="39">
        <f t="shared" ref="BT38" si="347">+IF(BS35&lt;0,1-BT35/BS35,BT35/BS35-1)</f>
        <v>-3.4026828276856103E-2</v>
      </c>
      <c r="BU38" s="39">
        <f t="shared" ref="BU38" si="348">+IF(BT35&lt;0,1-BU35/BT35,BU35/BT35-1)</f>
        <v>-4.9318673919862555E-2</v>
      </c>
      <c r="BV38" s="39">
        <f t="shared" ref="BV38" si="349">+IF(BU35&lt;0,1-BV35/BU35,BV35/BU35-1)</f>
        <v>0.2012071948814933</v>
      </c>
      <c r="BW38" s="39">
        <f t="shared" ref="BW38" si="350">+IF(BV35&lt;0,1-BW35/BV35,BW35/BV35-1)</f>
        <v>-9.2049900841506993E-2</v>
      </c>
      <c r="BX38" s="39">
        <f t="shared" ref="BX38" si="351">+IF(BW35&lt;0,1-BX35/BW35,BX35/BW35-1)</f>
        <v>0.13047809499915131</v>
      </c>
      <c r="BY38" s="39">
        <f t="shared" ref="BY38" si="352">+IF(BX35&lt;0,1-BY35/BX35,BY35/BX35-1)</f>
        <v>0.20726636596844572</v>
      </c>
      <c r="BZ38" s="39">
        <f t="shared" ref="BZ38" si="353">+IF(BY35&lt;0,1-BZ35/BY35,BZ35/BY35-1)</f>
        <v>4.8266577274103994E-2</v>
      </c>
      <c r="CA38" s="39">
        <f t="shared" ref="CA38" si="354">+IF(BZ35&lt;0,1-CA35/BZ35,CA35/BZ35-1)</f>
        <v>4.7658591183161736E-3</v>
      </c>
      <c r="CB38" s="39">
        <f t="shared" ref="CB38" si="355">+IF(CA35&lt;0,1-CB35/CA35,CB35/CA35-1)</f>
        <v>0.13569606217563357</v>
      </c>
      <c r="CC38" s="39">
        <f t="shared" ref="CC38" si="356">+IF(CB35&lt;0,1-CC35/CB35,CC35/CB35-1)</f>
        <v>9.5309554911701344E-2</v>
      </c>
      <c r="CD38" s="39">
        <f t="shared" ref="CD38" si="357">+IF(CC35&lt;0,1-CD35/CC35,CD35/CC35-1)</f>
        <v>-8.2687157224035857E-2</v>
      </c>
      <c r="CE38" s="39">
        <f t="shared" ref="CE38" si="358">+IF(CD35&lt;0,1-CE35/CD35,CE35/CD35-1)</f>
        <v>-5.8888099115556036E-3</v>
      </c>
      <c r="CF38" s="39">
        <f t="shared" ref="CF38" si="359">+IF(CE35&lt;0,1-CF35/CE35,CF35/CE35-1)</f>
        <v>6.3608429836589764E-2</v>
      </c>
      <c r="CG38" s="39">
        <f t="shared" ref="CG38" si="360">+IF(CF35&lt;0,1-CG35/CF35,CG35/CF35-1)</f>
        <v>-9.9432845600404551E-3</v>
      </c>
      <c r="CH38" s="39">
        <f t="shared" ref="CH38:CL38" si="361">+IF(CG35&lt;0,1-CH35/CG35,CH35/CG35-1)</f>
        <v>-9.8935950768384795E-2</v>
      </c>
      <c r="CI38" s="39">
        <f t="shared" si="361"/>
        <v>-7.3123038621860315E-2</v>
      </c>
      <c r="CJ38" s="39">
        <f t="shared" si="361"/>
        <v>-3.6199071739510758E-2</v>
      </c>
      <c r="CK38" s="39">
        <f t="shared" si="361"/>
        <v>8.4615097139989492E-2</v>
      </c>
      <c r="CL38" s="39">
        <f t="shared" si="361"/>
        <v>-1.8345507885566215E-2</v>
      </c>
      <c r="CM38" s="40">
        <f t="shared" ref="CM38" si="362">+CM35/CL35-1</f>
        <v>-3.8194635370080054E-2</v>
      </c>
      <c r="CN38" s="40">
        <f t="shared" ref="CN38" si="363">+CN35/CM35-1</f>
        <v>-4.937938691365007E-2</v>
      </c>
      <c r="CO38" s="40">
        <f t="shared" ref="CO38" si="364">+CO35/CN35-1</f>
        <v>0.22628907293614753</v>
      </c>
      <c r="CP38" s="40">
        <f t="shared" ref="CP38" si="365">+CP35/CO35-1</f>
        <v>6.7102396514161278E-2</v>
      </c>
      <c r="CQ38" s="40">
        <f t="shared" ref="CQ38" si="366">+CQ35/CP35-1</f>
        <v>-8.8485095957533622E-2</v>
      </c>
      <c r="CR38" s="40">
        <f t="shared" ref="CR38" si="367">+CR35/CQ35-1</f>
        <v>-8.9436903641983756E-2</v>
      </c>
      <c r="CS38" s="40">
        <f t="shared" ref="CS38" si="368">+CS35/CR35-1</f>
        <v>0.2291835780877185</v>
      </c>
      <c r="CT38" s="40">
        <f t="shared" ref="CT38" si="369">+CT35/CS35-1</f>
        <v>6.780068040824494E-2</v>
      </c>
      <c r="CU38" s="40">
        <f t="shared" ref="CU38" si="370">+CU35/CT35-1</f>
        <v>-8.9347426815097997E-2</v>
      </c>
      <c r="CV38" s="40">
        <f t="shared" ref="CV38" si="371">+CV35/CU35-1</f>
        <v>-9.0394026828234497E-2</v>
      </c>
      <c r="CW38" s="40">
        <f t="shared" ref="CW38" si="372">+CW35/CV35-1</f>
        <v>0.2318799591839511</v>
      </c>
      <c r="CX38" s="40">
        <f t="shared" ref="CX38" si="373">+CX35/CW35-1</f>
        <v>6.8448215695997572E-2</v>
      </c>
      <c r="CY38" s="40">
        <f t="shared" ref="CY38" si="374">+CY35/CX35-1</f>
        <v>-9.0146079506582044E-2</v>
      </c>
      <c r="CZ38" s="40">
        <f t="shared" ref="CZ38" si="375">+CZ35/CY35-1</f>
        <v>-9.128209023069489E-2</v>
      </c>
      <c r="DA38" s="40">
        <f t="shared" ref="DA38" si="376">+DA35/CZ35-1</f>
        <v>0.23438686701541234</v>
      </c>
      <c r="DB38" s="40">
        <f t="shared" ref="DB38" si="377">+DB35/DA35-1</f>
        <v>6.9047711283321656E-2</v>
      </c>
      <c r="DE38" s="122"/>
    </row>
    <row r="39" spans="1:110" s="23" customFormat="1" outlineLevel="1" x14ac:dyDescent="0.2">
      <c r="A39" s="23" t="s">
        <v>8</v>
      </c>
      <c r="B39" s="23">
        <f>'Annual Raw'!C14</f>
        <v>0</v>
      </c>
      <c r="C39" s="23">
        <f>'Annual Raw'!D14</f>
        <v>0</v>
      </c>
      <c r="D39" s="23">
        <f>'Annual Raw'!E14</f>
        <v>0</v>
      </c>
      <c r="E39" s="23">
        <f>'Annual Raw'!F14</f>
        <v>0</v>
      </c>
      <c r="F39" s="23">
        <f>'Annual Raw'!G14</f>
        <v>0</v>
      </c>
      <c r="G39" s="23">
        <f>'Annual Raw'!H14</f>
        <v>0</v>
      </c>
      <c r="H39" s="23">
        <f>'Annual Raw'!I14</f>
        <v>0</v>
      </c>
      <c r="I39" s="23">
        <f>'Annual Raw'!J14</f>
        <v>0</v>
      </c>
      <c r="J39" s="23">
        <f>'Annual Raw'!K14</f>
        <v>0</v>
      </c>
      <c r="K39" s="23">
        <f>'Annual Raw'!L14</f>
        <v>276.43549999999999</v>
      </c>
      <c r="L39" s="23">
        <f>'Annual Raw'!M14</f>
        <v>281.03199999999998</v>
      </c>
      <c r="M39" s="23">
        <f>'Annual Raw'!N14</f>
        <v>345.71559999999999</v>
      </c>
      <c r="N39" s="23">
        <f>'Annual Raw'!O14</f>
        <v>423.99329999999998</v>
      </c>
      <c r="O39" s="23">
        <f>'Annual Raw'!P14</f>
        <v>510.29539999999997</v>
      </c>
      <c r="P39" s="23">
        <f>'Annual Raw'!Q14</f>
        <v>664.94899999999996</v>
      </c>
      <c r="Q39" s="23">
        <f>'Annual Raw'!R14</f>
        <v>789.3424</v>
      </c>
      <c r="R39" s="23">
        <f>'Annual Raw'!S14</f>
        <v>784.29100000000005</v>
      </c>
      <c r="S39" s="23">
        <f>'Annual Raw'!T14</f>
        <v>757.27139999999997</v>
      </c>
      <c r="T39" s="23">
        <f>'Annual Raw'!U14</f>
        <v>914.17049999999995</v>
      </c>
      <c r="U39" s="23">
        <f>'Annual Raw'!V14</f>
        <v>965.86189999999999</v>
      </c>
      <c r="V39" s="23">
        <f>'Annual Raw'!W14</f>
        <v>896.61429999999996</v>
      </c>
      <c r="W39" s="23">
        <f>'Annual Raw'!X14</f>
        <v>1014.8671000000001</v>
      </c>
      <c r="X39" s="23">
        <f>'Annual Raw'!Y14</f>
        <v>1179.3043</v>
      </c>
      <c r="Y39" s="23">
        <f>'Annual Raw'!Z14</f>
        <v>1492.4398000000001</v>
      </c>
      <c r="Z39" s="23">
        <f>'Annual Raw'!AA14</f>
        <v>1527.0392999999999</v>
      </c>
      <c r="AA39" s="23">
        <f>'Annual Raw'!AB14</f>
        <v>1629.7263</v>
      </c>
      <c r="AB39" s="76">
        <f t="shared" ref="AB39:AB44" si="378">+SUM(CM39:CP39)</f>
        <v>1743.8111000000001</v>
      </c>
      <c r="AC39" s="76">
        <f t="shared" ref="AC39:AC44" si="379">+SUM(CQ39:CT39)</f>
        <v>1865.8778770000001</v>
      </c>
      <c r="AD39" s="76">
        <f t="shared" ref="AD39:AD44" si="380">+SUM(CU39:CX39)</f>
        <v>1996.4893283900001</v>
      </c>
      <c r="AE39" s="76">
        <f t="shared" ref="AE39:AE44" si="381">+SUM(CY39:DB39)</f>
        <v>2136.2435813773009</v>
      </c>
      <c r="AI39" s="23">
        <f>'QTR Raw'!C16</f>
        <v>61.88</v>
      </c>
      <c r="AJ39" s="23">
        <f>'QTR Raw'!D16</f>
        <v>62.85</v>
      </c>
      <c r="AK39" s="23">
        <f>'QTR Raw'!E16</f>
        <v>64.17</v>
      </c>
      <c r="AL39" s="23">
        <f>'QTR Raw'!F16</f>
        <v>63.36</v>
      </c>
      <c r="AM39" s="23">
        <f>'QTR Raw'!G16</f>
        <v>68.02</v>
      </c>
      <c r="AN39" s="23">
        <f>'QTR Raw'!H16</f>
        <v>76.7</v>
      </c>
      <c r="AO39" s="23">
        <f>'QTR Raw'!I16</f>
        <v>78.73</v>
      </c>
      <c r="AP39" s="23">
        <f>'QTR Raw'!J16</f>
        <v>76.75</v>
      </c>
      <c r="AQ39" s="23">
        <f>'QTR Raw'!K16</f>
        <v>85.95</v>
      </c>
      <c r="AR39" s="23">
        <f>'QTR Raw'!L16</f>
        <v>91.24</v>
      </c>
      <c r="AS39" s="23">
        <f>'QTR Raw'!M16</f>
        <v>90.11</v>
      </c>
      <c r="AT39" s="23">
        <f>'QTR Raw'!N16</f>
        <v>100.78</v>
      </c>
      <c r="AU39" s="23">
        <f>'QTR Raw'!O16</f>
        <v>105.97</v>
      </c>
      <c r="AV39" s="23">
        <f>'QTR Raw'!P16</f>
        <v>108.98</v>
      </c>
      <c r="AW39" s="23">
        <f>'QTR Raw'!Q16</f>
        <v>106.25</v>
      </c>
      <c r="AX39" s="23">
        <f>'QTR Raw'!R16</f>
        <v>105.69</v>
      </c>
      <c r="AY39" s="23">
        <f>'QTR Raw'!S16</f>
        <v>116.57</v>
      </c>
      <c r="AZ39" s="23">
        <f>'QTR Raw'!T16</f>
        <v>116.72</v>
      </c>
      <c r="BA39" s="23">
        <f>'QTR Raw'!U16</f>
        <v>111.72</v>
      </c>
      <c r="BB39" s="23">
        <f>'QTR Raw'!V16</f>
        <v>120.41</v>
      </c>
      <c r="BC39" s="23">
        <f>'QTR Raw'!W16</f>
        <v>122.92</v>
      </c>
      <c r="BD39" s="23">
        <f>'QTR Raw'!X16</f>
        <v>125.98</v>
      </c>
      <c r="BE39" s="23">
        <f>'QTR Raw'!Y16</f>
        <v>129.35</v>
      </c>
      <c r="BF39" s="23">
        <f>'QTR Raw'!Z16</f>
        <v>135.11000000000001</v>
      </c>
      <c r="BG39" s="23">
        <f>'QTR Raw'!AA16</f>
        <v>225.29</v>
      </c>
      <c r="BH39" s="23">
        <f>'QTR Raw'!AB16</f>
        <v>234.5</v>
      </c>
      <c r="BI39" s="23">
        <f>'QTR Raw'!AC16</f>
        <v>227.23</v>
      </c>
      <c r="BJ39" s="23">
        <f>'QTR Raw'!AD16</f>
        <v>227.15</v>
      </c>
      <c r="BK39" s="23">
        <f>'QTR Raw'!AE16</f>
        <v>238.87</v>
      </c>
      <c r="BL39" s="23">
        <f>'QTR Raw'!AF16</f>
        <v>241.99</v>
      </c>
      <c r="BM39" s="23">
        <f>'QTR Raw'!AG16</f>
        <v>229.56</v>
      </c>
      <c r="BN39" s="23">
        <f>'QTR Raw'!AH16</f>
        <v>236.1</v>
      </c>
      <c r="BO39" s="23">
        <f>'QTR Raw'!AI16</f>
        <v>213.63</v>
      </c>
      <c r="BP39" s="23">
        <f>'QTR Raw'!AJ16</f>
        <v>223.12</v>
      </c>
      <c r="BQ39" s="23">
        <f>'QTR Raw'!AK16</f>
        <v>233.2</v>
      </c>
      <c r="BR39" s="23">
        <f>'QTR Raw'!AL16</f>
        <v>226.66</v>
      </c>
      <c r="BS39" s="23">
        <f>'QTR Raw'!AM16</f>
        <v>247.77</v>
      </c>
      <c r="BT39" s="23">
        <f>'QTR Raw'!AN16</f>
        <v>256.82</v>
      </c>
      <c r="BU39" s="23">
        <f>'QTR Raw'!AO16</f>
        <v>267.93</v>
      </c>
      <c r="BV39" s="23">
        <f>'QTR Raw'!AP16</f>
        <v>242.35</v>
      </c>
      <c r="BW39" s="23">
        <f>'QTR Raw'!AQ16</f>
        <v>262.01</v>
      </c>
      <c r="BX39" s="23">
        <f>'QTR Raw'!AR16</f>
        <v>279.23</v>
      </c>
      <c r="BY39" s="23">
        <f>'QTR Raw'!AS16</f>
        <v>296.52</v>
      </c>
      <c r="BZ39" s="23">
        <f>'QTR Raw'!AT16</f>
        <v>341.34</v>
      </c>
      <c r="CA39" s="23">
        <f>'QTR Raw'!AU16</f>
        <v>359.58</v>
      </c>
      <c r="CB39" s="23">
        <f>'QTR Raw'!AV16</f>
        <v>377.7</v>
      </c>
      <c r="CC39" s="23">
        <f>'QTR Raw'!AW16</f>
        <v>386.76</v>
      </c>
      <c r="CD39" s="23">
        <f>'QTR Raw'!AX16</f>
        <v>368.4</v>
      </c>
      <c r="CE39" s="23">
        <f>'QTR Raw'!AY16</f>
        <v>376.42</v>
      </c>
      <c r="CF39" s="23">
        <f>'QTR Raw'!AZ16</f>
        <v>389.24</v>
      </c>
      <c r="CG39" s="23">
        <f>'QTR Raw'!BA16</f>
        <v>383.49</v>
      </c>
      <c r="CH39" s="23">
        <f>'QTR Raw'!BB16</f>
        <v>377.89</v>
      </c>
      <c r="CI39" s="23">
        <f>'QTR Raw'!BC16</f>
        <v>407.53</v>
      </c>
      <c r="CJ39" s="23">
        <f>'QTR Raw'!BD16</f>
        <v>416.38</v>
      </c>
      <c r="CK39" s="23">
        <f>'QTR Raw'!BE16</f>
        <v>407.03</v>
      </c>
      <c r="CL39" s="23">
        <f>'QTR Raw'!BF16</f>
        <v>398.79</v>
      </c>
      <c r="CM39" s="24">
        <f t="shared" ref="CM39:DB39" si="382">CI39*107%</f>
        <v>436.05709999999999</v>
      </c>
      <c r="CN39" s="24">
        <f t="shared" si="382"/>
        <v>445.52660000000003</v>
      </c>
      <c r="CO39" s="24">
        <f t="shared" si="382"/>
        <v>435.52210000000002</v>
      </c>
      <c r="CP39" s="24">
        <f t="shared" si="382"/>
        <v>426.70530000000002</v>
      </c>
      <c r="CQ39" s="24">
        <f t="shared" si="382"/>
        <v>466.581097</v>
      </c>
      <c r="CR39" s="24">
        <f t="shared" si="382"/>
        <v>476.71346200000005</v>
      </c>
      <c r="CS39" s="24">
        <f t="shared" si="382"/>
        <v>466.00864700000005</v>
      </c>
      <c r="CT39" s="24">
        <f t="shared" si="382"/>
        <v>456.57467100000002</v>
      </c>
      <c r="CU39" s="24">
        <f t="shared" si="382"/>
        <v>499.24177379000002</v>
      </c>
      <c r="CV39" s="24">
        <f t="shared" si="382"/>
        <v>510.08340434000007</v>
      </c>
      <c r="CW39" s="24">
        <f t="shared" si="382"/>
        <v>498.62925229000007</v>
      </c>
      <c r="CX39" s="24">
        <f t="shared" si="382"/>
        <v>488.53489797000003</v>
      </c>
      <c r="CY39" s="24">
        <f t="shared" si="382"/>
        <v>534.18869795530009</v>
      </c>
      <c r="CZ39" s="24">
        <f t="shared" si="382"/>
        <v>545.78924264380009</v>
      </c>
      <c r="DA39" s="24">
        <f t="shared" si="382"/>
        <v>533.53329995030015</v>
      </c>
      <c r="DB39" s="24">
        <f t="shared" si="382"/>
        <v>522.73234082790009</v>
      </c>
      <c r="DE39" s="123"/>
      <c r="DF39" s="23">
        <v>1629.7263</v>
      </c>
    </row>
    <row r="40" spans="1:110" s="23" customFormat="1" outlineLevel="1" x14ac:dyDescent="0.2">
      <c r="A40" s="23" t="s">
        <v>10</v>
      </c>
      <c r="B40" s="23">
        <f>'Annual Raw'!C17</f>
        <v>0</v>
      </c>
      <c r="C40" s="23">
        <f>'Annual Raw'!D17</f>
        <v>0</v>
      </c>
      <c r="D40" s="23">
        <f>'Annual Raw'!E17</f>
        <v>0</v>
      </c>
      <c r="E40" s="23">
        <f>'Annual Raw'!F17</f>
        <v>0</v>
      </c>
      <c r="F40" s="23">
        <f>'Annual Raw'!G17</f>
        <v>0</v>
      </c>
      <c r="G40" s="23">
        <f>'Annual Raw'!H17</f>
        <v>0</v>
      </c>
      <c r="H40" s="23">
        <f>'Annual Raw'!I17</f>
        <v>0</v>
      </c>
      <c r="I40" s="23">
        <f>'Annual Raw'!J17</f>
        <v>0</v>
      </c>
      <c r="J40" s="23">
        <f>'Annual Raw'!K17</f>
        <v>0</v>
      </c>
      <c r="K40" s="23">
        <f>'Annual Raw'!L17</f>
        <v>57.820900000000002</v>
      </c>
      <c r="L40" s="23">
        <f>'Annual Raw'!M17</f>
        <v>63.620100000000001</v>
      </c>
      <c r="M40" s="23">
        <f>'Annual Raw'!N17</f>
        <v>93.392399999999995</v>
      </c>
      <c r="N40" s="23">
        <f>'Annual Raw'!O17</f>
        <v>100.2264</v>
      </c>
      <c r="O40" s="23">
        <f>'Annual Raw'!P17</f>
        <v>131.8673</v>
      </c>
      <c r="P40" s="23">
        <f>'Annual Raw'!Q17</f>
        <v>206.809</v>
      </c>
      <c r="Q40" s="23">
        <f>'Annual Raw'!R17</f>
        <v>262.8218</v>
      </c>
      <c r="R40" s="23">
        <f>'Annual Raw'!S17</f>
        <v>206.23050000000001</v>
      </c>
      <c r="S40" s="23">
        <f>'Annual Raw'!T17</f>
        <v>179.673</v>
      </c>
      <c r="T40" s="23">
        <f>'Annual Raw'!U17</f>
        <v>178.21780000000001</v>
      </c>
      <c r="U40" s="23">
        <f>'Annual Raw'!V17</f>
        <v>188.71090000000001</v>
      </c>
      <c r="V40" s="23">
        <f>'Annual Raw'!W17</f>
        <v>167.50980000000001</v>
      </c>
      <c r="W40" s="23">
        <f>'Annual Raw'!X17</f>
        <v>162.99799999999999</v>
      </c>
      <c r="X40" s="23">
        <f>'Annual Raw'!Y17</f>
        <v>206.16749999999999</v>
      </c>
      <c r="Y40" s="23">
        <f>'Annual Raw'!Z17</f>
        <v>216.88310000000001</v>
      </c>
      <c r="Z40" s="23">
        <f>'Annual Raw'!AA17</f>
        <v>246.37790000000001</v>
      </c>
      <c r="AA40" s="23">
        <f>'Annual Raw'!AB17</f>
        <v>246.23150000000001</v>
      </c>
      <c r="AB40" s="76">
        <f t="shared" si="378"/>
        <v>0</v>
      </c>
      <c r="AC40" s="76">
        <f t="shared" si="379"/>
        <v>0</v>
      </c>
      <c r="AD40" s="76">
        <f t="shared" si="380"/>
        <v>0</v>
      </c>
      <c r="AE40" s="76">
        <f t="shared" si="381"/>
        <v>0</v>
      </c>
      <c r="AI40" s="23">
        <f>'QTR Raw'!C17</f>
        <v>0</v>
      </c>
      <c r="AJ40" s="23">
        <f>'QTR Raw'!D17</f>
        <v>0</v>
      </c>
      <c r="AK40" s="23">
        <f>'QTR Raw'!E17</f>
        <v>0</v>
      </c>
      <c r="AL40" s="23">
        <f>'QTR Raw'!F17</f>
        <v>0</v>
      </c>
      <c r="AM40" s="23">
        <f>'QTR Raw'!G17</f>
        <v>0</v>
      </c>
      <c r="AN40" s="23">
        <f>'QTR Raw'!H17</f>
        <v>0</v>
      </c>
      <c r="AO40" s="23">
        <f>'QTR Raw'!I17</f>
        <v>0</v>
      </c>
      <c r="AP40" s="23">
        <f>'QTR Raw'!J17</f>
        <v>0</v>
      </c>
      <c r="AQ40" s="23">
        <f>'QTR Raw'!K17</f>
        <v>0</v>
      </c>
      <c r="AR40" s="23">
        <f>'QTR Raw'!L17</f>
        <v>0</v>
      </c>
      <c r="AS40" s="23">
        <f>'QTR Raw'!M17</f>
        <v>0</v>
      </c>
      <c r="AT40" s="23">
        <f>'QTR Raw'!N17</f>
        <v>0</v>
      </c>
      <c r="AU40" s="23">
        <f>'QTR Raw'!O17</f>
        <v>0</v>
      </c>
      <c r="AV40" s="23">
        <f>'QTR Raw'!P17</f>
        <v>0</v>
      </c>
      <c r="AW40" s="23">
        <f>'QTR Raw'!Q17</f>
        <v>0</v>
      </c>
      <c r="AX40" s="23">
        <f>'QTR Raw'!R17</f>
        <v>0</v>
      </c>
      <c r="AY40" s="23">
        <f>'QTR Raw'!S17</f>
        <v>0</v>
      </c>
      <c r="AZ40" s="23">
        <f>'QTR Raw'!T17</f>
        <v>0</v>
      </c>
      <c r="BA40" s="23">
        <f>'QTR Raw'!U17</f>
        <v>0</v>
      </c>
      <c r="BB40" s="23">
        <f>'QTR Raw'!V17</f>
        <v>0</v>
      </c>
      <c r="BC40" s="23">
        <f>'QTR Raw'!W17</f>
        <v>0</v>
      </c>
      <c r="BD40" s="23">
        <f>'QTR Raw'!X17</f>
        <v>0</v>
      </c>
      <c r="BE40" s="23">
        <f>'QTR Raw'!Y17</f>
        <v>0</v>
      </c>
      <c r="BF40" s="23">
        <f>'QTR Raw'!Z17</f>
        <v>0</v>
      </c>
      <c r="BG40" s="23">
        <f>'QTR Raw'!AA17</f>
        <v>0</v>
      </c>
      <c r="BH40" s="23">
        <f>'QTR Raw'!AB17</f>
        <v>0</v>
      </c>
      <c r="BI40" s="23">
        <f>'QTR Raw'!AC17</f>
        <v>0</v>
      </c>
      <c r="BJ40" s="23">
        <f>'QTR Raw'!AD17</f>
        <v>0</v>
      </c>
      <c r="BK40" s="23">
        <f>'QTR Raw'!AE17</f>
        <v>0</v>
      </c>
      <c r="BL40" s="23">
        <f>'QTR Raw'!AF17</f>
        <v>0</v>
      </c>
      <c r="BM40" s="23">
        <f>'QTR Raw'!AG17</f>
        <v>0</v>
      </c>
      <c r="BN40" s="23">
        <f>'QTR Raw'!AH17</f>
        <v>0</v>
      </c>
      <c r="BO40" s="23">
        <f>'QTR Raw'!AI17</f>
        <v>0</v>
      </c>
      <c r="BP40" s="23">
        <f>'QTR Raw'!AJ17</f>
        <v>0</v>
      </c>
      <c r="BQ40" s="23">
        <f>'QTR Raw'!AK17</f>
        <v>0</v>
      </c>
      <c r="BR40" s="23">
        <f>'QTR Raw'!AL17</f>
        <v>0</v>
      </c>
      <c r="BS40" s="23">
        <f>'QTR Raw'!AM17</f>
        <v>0</v>
      </c>
      <c r="BT40" s="23">
        <f>'QTR Raw'!AN17</f>
        <v>0</v>
      </c>
      <c r="BU40" s="23">
        <f>'QTR Raw'!AO17</f>
        <v>0</v>
      </c>
      <c r="BV40" s="23">
        <f>'QTR Raw'!AP17</f>
        <v>0</v>
      </c>
      <c r="BW40" s="23">
        <f>'QTR Raw'!AQ17</f>
        <v>0</v>
      </c>
      <c r="BX40" s="23">
        <f>'QTR Raw'!AR17</f>
        <v>0</v>
      </c>
      <c r="BY40" s="23">
        <f>'QTR Raw'!AS17</f>
        <v>0</v>
      </c>
      <c r="BZ40" s="23">
        <f>'QTR Raw'!AT17</f>
        <v>0</v>
      </c>
      <c r="CA40" s="23">
        <f>'QTR Raw'!AU17</f>
        <v>0</v>
      </c>
      <c r="CB40" s="23">
        <f>'QTR Raw'!AV17</f>
        <v>0</v>
      </c>
      <c r="CC40" s="23">
        <f>'QTR Raw'!AW17</f>
        <v>0</v>
      </c>
      <c r="CD40" s="23">
        <f>'QTR Raw'!AX17</f>
        <v>0</v>
      </c>
      <c r="CE40" s="23">
        <f>'QTR Raw'!AY17</f>
        <v>0</v>
      </c>
      <c r="CF40" s="23">
        <f>'QTR Raw'!AZ17</f>
        <v>0</v>
      </c>
      <c r="CG40" s="23">
        <f>'QTR Raw'!BA17</f>
        <v>0</v>
      </c>
      <c r="CH40" s="23">
        <f>'QTR Raw'!BB17</f>
        <v>0</v>
      </c>
      <c r="CI40" s="23">
        <f>'QTR Raw'!BC17</f>
        <v>0</v>
      </c>
      <c r="CJ40" s="23">
        <f>'QTR Raw'!BD17</f>
        <v>0</v>
      </c>
      <c r="CK40" s="23">
        <f>'QTR Raw'!BE17</f>
        <v>0</v>
      </c>
      <c r="CL40" s="23">
        <f>'QTR Raw'!BF17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246.23150000000001</v>
      </c>
    </row>
    <row r="41" spans="1:110" s="23" customFormat="1" outlineLevel="1" x14ac:dyDescent="0.2">
      <c r="A41" s="23" t="s">
        <v>12</v>
      </c>
      <c r="B41" s="23">
        <f>'Annual Raw'!C19-'Annual Raw'!C20</f>
        <v>0</v>
      </c>
      <c r="C41" s="23">
        <f>'Annual Raw'!D19-'Annual Raw'!D20</f>
        <v>0</v>
      </c>
      <c r="D41" s="23">
        <f>'Annual Raw'!E19-'Annual Raw'!E20</f>
        <v>0</v>
      </c>
      <c r="E41" s="23">
        <f>'Annual Raw'!F19-'Annual Raw'!F20</f>
        <v>0</v>
      </c>
      <c r="F41" s="23">
        <f>'Annual Raw'!G19-'Annual Raw'!G20</f>
        <v>0</v>
      </c>
      <c r="G41" s="23">
        <f>'Annual Raw'!H19-'Annual Raw'!H20</f>
        <v>0</v>
      </c>
      <c r="H41" s="23">
        <f>'Annual Raw'!I19-'Annual Raw'!I20</f>
        <v>0</v>
      </c>
      <c r="I41" s="23">
        <f>'Annual Raw'!J19-'Annual Raw'!J20</f>
        <v>0</v>
      </c>
      <c r="J41" s="23">
        <f>'Annual Raw'!K19-'Annual Raw'!K20</f>
        <v>0</v>
      </c>
      <c r="K41" s="23">
        <f>'Annual Raw'!L19-'Annual Raw'!L20</f>
        <v>84.579499999999996</v>
      </c>
      <c r="L41" s="23">
        <f>'Annual Raw'!M19-'Annual Raw'!M20</f>
        <v>30.482199999999999</v>
      </c>
      <c r="M41" s="23">
        <f>'Annual Raw'!N19-'Annual Raw'!N20</f>
        <v>63.080300000000001</v>
      </c>
      <c r="N41" s="23">
        <f>'Annual Raw'!O19-'Annual Raw'!O20</f>
        <v>55.707999999999998</v>
      </c>
      <c r="O41" s="23">
        <f>'Annual Raw'!P19-'Annual Raw'!P20</f>
        <v>99.583100000000002</v>
      </c>
      <c r="P41" s="23">
        <f>'Annual Raw'!Q19-'Annual Raw'!Q20</f>
        <v>207.86250000000001</v>
      </c>
      <c r="Q41" s="23">
        <f>'Annual Raw'!R19-'Annual Raw'!R20</f>
        <v>72.933599999999998</v>
      </c>
      <c r="R41" s="23">
        <f>'Annual Raw'!S19-'Annual Raw'!S20</f>
        <v>71.132000000000005</v>
      </c>
      <c r="S41" s="23">
        <f>'Annual Raw'!T19-'Annual Raw'!T20</f>
        <v>178.47790000000001</v>
      </c>
      <c r="T41" s="23">
        <f>'Annual Raw'!U19-'Annual Raw'!U20</f>
        <v>179.8357</v>
      </c>
      <c r="U41" s="23">
        <f>'Annual Raw'!V19-'Annual Raw'!V20</f>
        <v>143.11089999999999</v>
      </c>
      <c r="V41" s="23">
        <f>'Annual Raw'!W19-'Annual Raw'!W20</f>
        <v>118.2633</v>
      </c>
      <c r="W41" s="23">
        <f>'Annual Raw'!X19-'Annual Raw'!X20</f>
        <v>146.94540000000001</v>
      </c>
      <c r="X41" s="23">
        <f>'Annual Raw'!Y19-'Annual Raw'!Y20</f>
        <v>192.18729999999999</v>
      </c>
      <c r="Y41" s="23">
        <f>'Annual Raw'!Z19-'Annual Raw'!Z20</f>
        <v>249.99199999999999</v>
      </c>
      <c r="Z41" s="23">
        <f>'Annual Raw'!AA19-'Annual Raw'!AA20</f>
        <v>360.25830000000002</v>
      </c>
      <c r="AA41" s="23">
        <f>'Annual Raw'!AB19-'Annual Raw'!AB20</f>
        <v>275.18060000000003</v>
      </c>
      <c r="AB41" s="76">
        <f t="shared" si="378"/>
        <v>0</v>
      </c>
      <c r="AC41" s="76">
        <f t="shared" si="379"/>
        <v>0</v>
      </c>
      <c r="AD41" s="76">
        <f t="shared" si="380"/>
        <v>0</v>
      </c>
      <c r="AE41" s="76">
        <f t="shared" si="381"/>
        <v>0</v>
      </c>
      <c r="AI41" s="23">
        <f>+'QTR Raw'!C21</f>
        <v>0</v>
      </c>
      <c r="AJ41" s="23">
        <f>+'QTR Raw'!D21</f>
        <v>0</v>
      </c>
      <c r="AK41" s="23">
        <f>+'QTR Raw'!E21</f>
        <v>0</v>
      </c>
      <c r="AL41" s="23">
        <f>+'QTR Raw'!F21</f>
        <v>0</v>
      </c>
      <c r="AM41" s="23">
        <f>+'QTR Raw'!G21</f>
        <v>0</v>
      </c>
      <c r="AN41" s="23">
        <f>+'QTR Raw'!H21</f>
        <v>0</v>
      </c>
      <c r="AO41" s="23">
        <f>+'QTR Raw'!I21</f>
        <v>0</v>
      </c>
      <c r="AP41" s="23">
        <f>+'QTR Raw'!J21</f>
        <v>0</v>
      </c>
      <c r="AQ41" s="23">
        <f>+'QTR Raw'!K21</f>
        <v>0</v>
      </c>
      <c r="AR41" s="23">
        <f>+'QTR Raw'!L21</f>
        <v>0</v>
      </c>
      <c r="AS41" s="23">
        <f>+'QTR Raw'!M21</f>
        <v>0</v>
      </c>
      <c r="AT41" s="23">
        <f>+'QTR Raw'!N21</f>
        <v>0</v>
      </c>
      <c r="AU41" s="23">
        <f>+'QTR Raw'!O21</f>
        <v>0</v>
      </c>
      <c r="AV41" s="23">
        <f>+'QTR Raw'!P21</f>
        <v>0</v>
      </c>
      <c r="AW41" s="23">
        <f>+'QTR Raw'!Q21</f>
        <v>0</v>
      </c>
      <c r="AX41" s="23">
        <f>+'QTR Raw'!R21</f>
        <v>0</v>
      </c>
      <c r="AY41" s="23">
        <f>+'QTR Raw'!S21</f>
        <v>0</v>
      </c>
      <c r="AZ41" s="23">
        <f>+'QTR Raw'!T21</f>
        <v>0</v>
      </c>
      <c r="BA41" s="23">
        <f>+'QTR Raw'!U21</f>
        <v>0</v>
      </c>
      <c r="BB41" s="23">
        <f>+'QTR Raw'!V21</f>
        <v>0</v>
      </c>
      <c r="BC41" s="23">
        <f>+'QTR Raw'!W21</f>
        <v>0</v>
      </c>
      <c r="BD41" s="23">
        <f>+'QTR Raw'!X21</f>
        <v>0</v>
      </c>
      <c r="BE41" s="23">
        <f>+'QTR Raw'!Y21</f>
        <v>0</v>
      </c>
      <c r="BF41" s="23">
        <f>+'QTR Raw'!Z21</f>
        <v>0</v>
      </c>
      <c r="BG41" s="23">
        <f>+'QTR Raw'!AA21</f>
        <v>0</v>
      </c>
      <c r="BH41" s="23">
        <f>+'QTR Raw'!AB21</f>
        <v>0</v>
      </c>
      <c r="BI41" s="23">
        <f>+'QTR Raw'!AC21</f>
        <v>0</v>
      </c>
      <c r="BJ41" s="23">
        <f>+'QTR Raw'!AD21</f>
        <v>0</v>
      </c>
      <c r="BK41" s="23">
        <f>+'QTR Raw'!AE21</f>
        <v>0</v>
      </c>
      <c r="BL41" s="23">
        <f>+'QTR Raw'!AF21</f>
        <v>0</v>
      </c>
      <c r="BM41" s="23">
        <f>+'QTR Raw'!AG21</f>
        <v>0</v>
      </c>
      <c r="BN41" s="23">
        <f>+'QTR Raw'!AH21</f>
        <v>0</v>
      </c>
      <c r="BO41" s="23">
        <f>+'QTR Raw'!AI21</f>
        <v>0</v>
      </c>
      <c r="BP41" s="23">
        <f>+'QTR Raw'!AJ21</f>
        <v>0</v>
      </c>
      <c r="BQ41" s="23">
        <f>+'QTR Raw'!AK21</f>
        <v>0</v>
      </c>
      <c r="BR41" s="23">
        <f>+'QTR Raw'!AL21</f>
        <v>0</v>
      </c>
      <c r="BS41" s="23">
        <f>+'QTR Raw'!AM21</f>
        <v>0</v>
      </c>
      <c r="BT41" s="23">
        <f>+'QTR Raw'!AN21</f>
        <v>0</v>
      </c>
      <c r="BU41" s="23">
        <f>+'QTR Raw'!AO21</f>
        <v>0</v>
      </c>
      <c r="BV41" s="23">
        <f>+'QTR Raw'!AP21</f>
        <v>0</v>
      </c>
      <c r="BW41" s="23">
        <f>+'QTR Raw'!AQ21</f>
        <v>0</v>
      </c>
      <c r="BX41" s="23">
        <f>+'QTR Raw'!AR21</f>
        <v>0</v>
      </c>
      <c r="BY41" s="23">
        <f>+'QTR Raw'!AS21</f>
        <v>0</v>
      </c>
      <c r="BZ41" s="23">
        <f>+'QTR Raw'!AT21</f>
        <v>0</v>
      </c>
      <c r="CA41" s="23">
        <f>+'QTR Raw'!AU21</f>
        <v>0</v>
      </c>
      <c r="CB41" s="23">
        <f>+'QTR Raw'!AV21</f>
        <v>0</v>
      </c>
      <c r="CC41" s="23">
        <f>+'QTR Raw'!AW21</f>
        <v>0</v>
      </c>
      <c r="CD41" s="23">
        <f>+'QTR Raw'!AX21</f>
        <v>0</v>
      </c>
      <c r="CE41" s="23">
        <f>+'QTR Raw'!AY21</f>
        <v>0</v>
      </c>
      <c r="CF41" s="23">
        <f>+'QTR Raw'!AZ21</f>
        <v>0</v>
      </c>
      <c r="CG41" s="23">
        <f>+'QTR Raw'!BA21</f>
        <v>0</v>
      </c>
      <c r="CH41" s="23">
        <f>+'QTR Raw'!BB21</f>
        <v>0</v>
      </c>
      <c r="CI41" s="23">
        <f>+'QTR Raw'!BC21</f>
        <v>0</v>
      </c>
      <c r="CJ41" s="23">
        <f>+'QTR Raw'!BD21</f>
        <v>0</v>
      </c>
      <c r="CK41" s="23">
        <f>+'QTR Raw'!BE21</f>
        <v>0</v>
      </c>
      <c r="CL41" s="23">
        <f>+'QTR Raw'!BF21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275.18060000000003</v>
      </c>
    </row>
    <row r="42" spans="1:110" s="23" customFormat="1" outlineLevel="1" x14ac:dyDescent="0.2">
      <c r="A42" s="23" t="s">
        <v>9</v>
      </c>
      <c r="B42" s="23">
        <f>'Annual Raw'!C15+'Annual Raw'!C16</f>
        <v>0</v>
      </c>
      <c r="C42" s="23">
        <f>'Annual Raw'!D15+'Annual Raw'!D16</f>
        <v>0</v>
      </c>
      <c r="D42" s="23">
        <f>'Annual Raw'!E15+'Annual Raw'!E16</f>
        <v>0</v>
      </c>
      <c r="E42" s="23">
        <f>'Annual Raw'!F15+'Annual Raw'!F16</f>
        <v>0</v>
      </c>
      <c r="F42" s="23">
        <f>'Annual Raw'!G15+'Annual Raw'!G16</f>
        <v>0</v>
      </c>
      <c r="G42" s="23">
        <f>'Annual Raw'!H15+'Annual Raw'!H16</f>
        <v>0</v>
      </c>
      <c r="H42" s="23">
        <f>'Annual Raw'!I15+'Annual Raw'!I16</f>
        <v>0</v>
      </c>
      <c r="I42" s="23">
        <f>'Annual Raw'!J15+'Annual Raw'!J16</f>
        <v>0</v>
      </c>
      <c r="J42" s="23">
        <f>'Annual Raw'!K15+'Annual Raw'!K16</f>
        <v>0</v>
      </c>
      <c r="K42" s="23">
        <f>'Annual Raw'!L15+'Annual Raw'!L16</f>
        <v>424.22140000000002</v>
      </c>
      <c r="L42" s="23">
        <f>'Annual Raw'!M15+'Annual Raw'!M16</f>
        <v>375.24610000000001</v>
      </c>
      <c r="M42" s="23">
        <f>'Annual Raw'!N15+'Annual Raw'!N16</f>
        <v>595.17319999999995</v>
      </c>
      <c r="N42" s="23">
        <f>'Annual Raw'!O15+'Annual Raw'!O16</f>
        <v>654.0865</v>
      </c>
      <c r="O42" s="23">
        <f>'Annual Raw'!P15+'Annual Raw'!P16</f>
        <v>816.2921</v>
      </c>
      <c r="P42" s="23">
        <f>'Annual Raw'!Q15+'Annual Raw'!Q16</f>
        <v>1242.5797</v>
      </c>
      <c r="Q42" s="23">
        <f>'Annual Raw'!R15+'Annual Raw'!R16</f>
        <v>776.72770000000003</v>
      </c>
      <c r="R42" s="23">
        <f>'Annual Raw'!S15+'Annual Raw'!S16</f>
        <v>626.82989999999995</v>
      </c>
      <c r="S42" s="23">
        <f>'Annual Raw'!T15+'Annual Raw'!T16</f>
        <v>511.87549999999999</v>
      </c>
      <c r="T42" s="23">
        <f>'Annual Raw'!U15+'Annual Raw'!U16</f>
        <v>591.02149999999995</v>
      </c>
      <c r="U42" s="23">
        <f>'Annual Raw'!V15+'Annual Raw'!V16</f>
        <v>546.98</v>
      </c>
      <c r="V42" s="23">
        <f>'Annual Raw'!W15+'Annual Raw'!W16</f>
        <v>777.28620000000001</v>
      </c>
      <c r="W42" s="23">
        <f>'Annual Raw'!X15+'Annual Raw'!X16</f>
        <v>993.15419999999995</v>
      </c>
      <c r="X42" s="23">
        <f>'Annual Raw'!Y15+'Annual Raw'!Y16</f>
        <v>1421.4521</v>
      </c>
      <c r="Y42" s="23">
        <f>'Annual Raw'!Z15+'Annual Raw'!Z16</f>
        <v>1440.0088000000001</v>
      </c>
      <c r="Z42" s="23">
        <f>'Annual Raw'!AA15+'Annual Raw'!AA16</f>
        <v>1345.8026</v>
      </c>
      <c r="AA42" s="23">
        <f>'Annual Raw'!AB15+'Annual Raw'!AB16</f>
        <v>1395.5754999999999</v>
      </c>
      <c r="AB42" s="76">
        <f t="shared" si="378"/>
        <v>4139.1461130044845</v>
      </c>
      <c r="AC42" s="76">
        <f t="shared" si="379"/>
        <v>4534.7945012511227</v>
      </c>
      <c r="AD42" s="76">
        <f t="shared" si="380"/>
        <v>4973.6697316324235</v>
      </c>
      <c r="AE42" s="76">
        <f t="shared" si="381"/>
        <v>5460.3508285935541</v>
      </c>
      <c r="AI42" s="23">
        <f>'QTR Raw'!C14</f>
        <v>224.58</v>
      </c>
      <c r="AJ42" s="23">
        <f>'QTR Raw'!D14</f>
        <v>278.76</v>
      </c>
      <c r="AK42" s="23">
        <f>'QTR Raw'!E14</f>
        <v>240.94</v>
      </c>
      <c r="AL42" s="23">
        <f>'QTR Raw'!F14</f>
        <v>188.49</v>
      </c>
      <c r="AM42" s="23">
        <f>'QTR Raw'!G14</f>
        <v>208.47</v>
      </c>
      <c r="AN42" s="23">
        <f>'QTR Raw'!H14</f>
        <v>234.04</v>
      </c>
      <c r="AO42" s="23">
        <f>'QTR Raw'!I14</f>
        <v>357.96</v>
      </c>
      <c r="AP42" s="23">
        <f>'QTR Raw'!J14</f>
        <v>406.77</v>
      </c>
      <c r="AQ42" s="23">
        <f>'QTR Raw'!K14</f>
        <v>292.43</v>
      </c>
      <c r="AR42" s="23">
        <f>'QTR Raw'!L14</f>
        <v>429.19</v>
      </c>
      <c r="AS42" s="23">
        <f>'QTR Raw'!M14</f>
        <v>485.78</v>
      </c>
      <c r="AT42" s="23">
        <f>'QTR Raw'!N14</f>
        <v>566.07000000000005</v>
      </c>
      <c r="AU42" s="23">
        <f>'QTR Raw'!O14</f>
        <v>440.85</v>
      </c>
      <c r="AV42" s="23">
        <f>'QTR Raw'!P14</f>
        <v>300.73</v>
      </c>
      <c r="AW42" s="23">
        <f>'QTR Raw'!Q14</f>
        <v>292.42</v>
      </c>
      <c r="AX42" s="23">
        <f>'QTR Raw'!R14</f>
        <v>323.12</v>
      </c>
      <c r="AY42" s="23">
        <f>'QTR Raw'!S14</f>
        <v>269.82</v>
      </c>
      <c r="AZ42" s="23">
        <f>'QTR Raw'!T14</f>
        <v>301.04000000000002</v>
      </c>
      <c r="BA42" s="23">
        <f>'QTR Raw'!U14</f>
        <v>335.52</v>
      </c>
      <c r="BB42" s="23">
        <f>'QTR Raw'!V14</f>
        <v>354.76</v>
      </c>
      <c r="BC42" s="23">
        <f>'QTR Raw'!W14</f>
        <v>277.36</v>
      </c>
      <c r="BD42" s="23">
        <f>'QTR Raw'!X14</f>
        <v>322.17</v>
      </c>
      <c r="BE42" s="23">
        <f>'QTR Raw'!Y14</f>
        <v>417.34</v>
      </c>
      <c r="BF42" s="23">
        <f>'QTR Raw'!Z14</f>
        <v>432.75</v>
      </c>
      <c r="BG42" s="23">
        <f>'QTR Raw'!AA14</f>
        <v>495.29</v>
      </c>
      <c r="BH42" s="23">
        <f>'QTR Raw'!AB14</f>
        <v>553.64</v>
      </c>
      <c r="BI42" s="23">
        <f>'QTR Raw'!AC14</f>
        <v>599.29</v>
      </c>
      <c r="BJ42" s="23">
        <f>'QTR Raw'!AD14</f>
        <v>613.59</v>
      </c>
      <c r="BK42" s="23">
        <f>'QTR Raw'!AE14</f>
        <v>530.15</v>
      </c>
      <c r="BL42" s="23">
        <f>'QTR Raw'!AF14</f>
        <v>539.96</v>
      </c>
      <c r="BM42" s="23">
        <f>'QTR Raw'!AG14</f>
        <v>539.97</v>
      </c>
      <c r="BN42" s="23">
        <f>'QTR Raw'!AH14</f>
        <v>623.41</v>
      </c>
      <c r="BO42" s="23">
        <f>'QTR Raw'!AI14</f>
        <v>343.79</v>
      </c>
      <c r="BP42" s="23">
        <f>'QTR Raw'!AJ14</f>
        <v>582.39</v>
      </c>
      <c r="BQ42" s="23">
        <f>'QTR Raw'!AK14</f>
        <v>745.88</v>
      </c>
      <c r="BR42" s="23">
        <f>'QTR Raw'!AL14</f>
        <v>824.38</v>
      </c>
      <c r="BS42" s="23">
        <f>'QTR Raw'!AM14</f>
        <v>686.61</v>
      </c>
      <c r="BT42" s="23">
        <f>'QTR Raw'!AN14</f>
        <v>672.05</v>
      </c>
      <c r="BU42" s="23">
        <f>'QTR Raw'!AO14</f>
        <v>770.01</v>
      </c>
      <c r="BV42" s="23">
        <f>'QTR Raw'!AP14</f>
        <v>849.6</v>
      </c>
      <c r="BW42" s="23">
        <f>'QTR Raw'!AQ14</f>
        <v>854.7</v>
      </c>
      <c r="BX42" s="23">
        <f>'QTR Raw'!AR14</f>
        <v>921.41</v>
      </c>
      <c r="BY42" s="23">
        <f>'QTR Raw'!AS14</f>
        <v>1057.82</v>
      </c>
      <c r="BZ42" s="23">
        <f>'QTR Raw'!AT14</f>
        <v>997.53</v>
      </c>
      <c r="CA42" s="23">
        <f>'QTR Raw'!AU14</f>
        <v>980.79</v>
      </c>
      <c r="CB42" s="23">
        <f>'QTR Raw'!AV14</f>
        <v>1030.6400000000001</v>
      </c>
      <c r="CC42" s="23">
        <f>'QTR Raw'!AW14</f>
        <v>1047.52</v>
      </c>
      <c r="CD42" s="23">
        <f>'QTR Raw'!AX14</f>
        <v>934.15</v>
      </c>
      <c r="CE42" s="23">
        <f>'QTR Raw'!AY14</f>
        <v>993.79</v>
      </c>
      <c r="CF42" s="23">
        <f>'QTR Raw'!AZ14</f>
        <v>1046.98</v>
      </c>
      <c r="CG42" s="23">
        <f>'QTR Raw'!BA14</f>
        <v>1004.05</v>
      </c>
      <c r="CH42" s="23">
        <f>'QTR Raw'!BB14</f>
        <v>982.69</v>
      </c>
      <c r="CI42" s="23">
        <f>'QTR Raw'!BC14</f>
        <v>865.78</v>
      </c>
      <c r="CJ42" s="23">
        <f>'QTR Raw'!BD14</f>
        <v>1005.57</v>
      </c>
      <c r="CK42" s="23">
        <f>'QTR Raw'!BE14</f>
        <v>1011.9</v>
      </c>
      <c r="CL42" s="23">
        <f>'QTR Raw'!BF14</f>
        <v>1114.6199999999999</v>
      </c>
      <c r="CM42" s="24">
        <f t="shared" ref="CM42:DB42" si="383">CM45-CM39-CM40-CM41-CM43-CM44</f>
        <v>957.23022286995524</v>
      </c>
      <c r="CN42" s="24">
        <f t="shared" si="383"/>
        <v>824.58407937219738</v>
      </c>
      <c r="CO42" s="24">
        <f t="shared" si="383"/>
        <v>1122.0007475336324</v>
      </c>
      <c r="CP42" s="24">
        <f t="shared" si="383"/>
        <v>1235.3310632286998</v>
      </c>
      <c r="CQ42" s="24">
        <f t="shared" si="383"/>
        <v>1048.389819143498</v>
      </c>
      <c r="CR42" s="24">
        <f t="shared" si="383"/>
        <v>902.76314629596402</v>
      </c>
      <c r="CS42" s="24">
        <f t="shared" si="383"/>
        <v>1229.6213462735432</v>
      </c>
      <c r="CT42" s="24">
        <f t="shared" si="383"/>
        <v>1354.0201895381172</v>
      </c>
      <c r="CU42" s="24">
        <f t="shared" si="383"/>
        <v>1149.581094954395</v>
      </c>
      <c r="CV42" s="24">
        <f t="shared" si="383"/>
        <v>989.69572577210761</v>
      </c>
      <c r="CW42" s="24">
        <f t="shared" si="383"/>
        <v>1348.9186012974449</v>
      </c>
      <c r="CX42" s="24">
        <f t="shared" si="383"/>
        <v>1485.474309608476</v>
      </c>
      <c r="CY42" s="24">
        <f t="shared" si="383"/>
        <v>1261.8713186500813</v>
      </c>
      <c r="CZ42" s="24">
        <f t="shared" si="383"/>
        <v>1086.3226614660657</v>
      </c>
      <c r="DA42" s="24">
        <f t="shared" si="383"/>
        <v>1481.124199982436</v>
      </c>
      <c r="DB42" s="24">
        <f t="shared" si="383"/>
        <v>1631.0326484949708</v>
      </c>
      <c r="DE42" s="123"/>
      <c r="DF42" s="23">
        <v>1395.5754999999999</v>
      </c>
    </row>
    <row r="43" spans="1:110" s="23" customFormat="1" outlineLevel="1" x14ac:dyDescent="0.2">
      <c r="A43" s="23" t="s">
        <v>7</v>
      </c>
      <c r="B43" s="23">
        <f>'Annual Raw'!C13</f>
        <v>0</v>
      </c>
      <c r="C43" s="23">
        <f>'Annual Raw'!D13</f>
        <v>0</v>
      </c>
      <c r="D43" s="23">
        <f>'Annual Raw'!E13</f>
        <v>0</v>
      </c>
      <c r="E43" s="23">
        <f>'Annual Raw'!F13</f>
        <v>0</v>
      </c>
      <c r="F43" s="23">
        <f>'Annual Raw'!G13</f>
        <v>0</v>
      </c>
      <c r="G43" s="23">
        <f>'Annual Raw'!H13</f>
        <v>0</v>
      </c>
      <c r="H43" s="23">
        <f>'Annual Raw'!I13</f>
        <v>0</v>
      </c>
      <c r="I43" s="23">
        <f>'Annual Raw'!J13</f>
        <v>0</v>
      </c>
      <c r="J43" s="23">
        <f>'Annual Raw'!K13</f>
        <v>0</v>
      </c>
      <c r="K43" s="23">
        <f>'Annual Raw'!L13</f>
        <v>222.15950000000001</v>
      </c>
      <c r="L43" s="23">
        <f>'Annual Raw'!M13</f>
        <v>204.62360000000001</v>
      </c>
      <c r="M43" s="23">
        <f>'Annual Raw'!N13</f>
        <v>307.49509999999998</v>
      </c>
      <c r="N43" s="23">
        <f>'Annual Raw'!O13</f>
        <v>303.06830000000002</v>
      </c>
      <c r="O43" s="23">
        <f>'Annual Raw'!P13</f>
        <v>365.82679999999999</v>
      </c>
      <c r="P43" s="23">
        <f>'Annual Raw'!Q13</f>
        <v>400.85849999999999</v>
      </c>
      <c r="Q43" s="23">
        <f>'Annual Raw'!R13</f>
        <v>365.73820000000001</v>
      </c>
      <c r="R43" s="23">
        <f>'Annual Raw'!S13</f>
        <v>386.09339999999997</v>
      </c>
      <c r="S43" s="23">
        <f>'Annual Raw'!T13</f>
        <v>436.44080000000002</v>
      </c>
      <c r="T43" s="23">
        <f>'Annual Raw'!U13</f>
        <v>513.84990000000005</v>
      </c>
      <c r="U43" s="23">
        <f>'Annual Raw'!V13</f>
        <v>499.23829999999998</v>
      </c>
      <c r="V43" s="23">
        <f>'Annual Raw'!W13</f>
        <v>487.15620000000001</v>
      </c>
      <c r="W43" s="23">
        <f>'Annual Raw'!X13</f>
        <v>604.0009</v>
      </c>
      <c r="X43" s="23">
        <f>'Annual Raw'!Y13</f>
        <v>758.42200000000003</v>
      </c>
      <c r="Y43" s="23">
        <f>'Annual Raw'!Z13</f>
        <v>791.81820000000005</v>
      </c>
      <c r="Z43" s="23">
        <f>'Annual Raw'!AA13</f>
        <v>776.96939999999995</v>
      </c>
      <c r="AA43" s="23">
        <f>'Annual Raw'!AB13</f>
        <v>724.04160000000002</v>
      </c>
      <c r="AB43" s="76">
        <f t="shared" si="378"/>
        <v>0</v>
      </c>
      <c r="AC43" s="76">
        <f t="shared" si="379"/>
        <v>0</v>
      </c>
      <c r="AD43" s="76">
        <f t="shared" si="380"/>
        <v>0</v>
      </c>
      <c r="AE43" s="76">
        <f t="shared" si="381"/>
        <v>0</v>
      </c>
      <c r="AI43" s="23">
        <f>'QTR Raw'!C15</f>
        <v>0</v>
      </c>
      <c r="AJ43" s="23">
        <f>'QTR Raw'!D15</f>
        <v>0</v>
      </c>
      <c r="AK43" s="23">
        <f>'QTR Raw'!E15</f>
        <v>0</v>
      </c>
      <c r="AL43" s="23">
        <f>'QTR Raw'!F15</f>
        <v>0</v>
      </c>
      <c r="AM43" s="23">
        <f>'QTR Raw'!G15</f>
        <v>0</v>
      </c>
      <c r="AN43" s="23">
        <f>'QTR Raw'!H15</f>
        <v>0</v>
      </c>
      <c r="AO43" s="23">
        <f>'QTR Raw'!I15</f>
        <v>0</v>
      </c>
      <c r="AP43" s="23">
        <f>'QTR Raw'!J15</f>
        <v>0</v>
      </c>
      <c r="AQ43" s="23">
        <f>'QTR Raw'!K15</f>
        <v>0</v>
      </c>
      <c r="AR43" s="23">
        <f>'QTR Raw'!L15</f>
        <v>0</v>
      </c>
      <c r="AS43" s="23">
        <f>'QTR Raw'!M15</f>
        <v>0</v>
      </c>
      <c r="AT43" s="23">
        <f>'QTR Raw'!N15</f>
        <v>0</v>
      </c>
      <c r="AU43" s="23">
        <f>'QTR Raw'!O15</f>
        <v>0</v>
      </c>
      <c r="AV43" s="23">
        <f>'QTR Raw'!P15</f>
        <v>0</v>
      </c>
      <c r="AW43" s="23">
        <f>'QTR Raw'!Q15</f>
        <v>0</v>
      </c>
      <c r="AX43" s="23">
        <f>'QTR Raw'!R15</f>
        <v>0</v>
      </c>
      <c r="AY43" s="23">
        <f>'QTR Raw'!S15</f>
        <v>0</v>
      </c>
      <c r="AZ43" s="23">
        <f>'QTR Raw'!T15</f>
        <v>0</v>
      </c>
      <c r="BA43" s="23">
        <f>'QTR Raw'!U15</f>
        <v>0</v>
      </c>
      <c r="BB43" s="23">
        <f>'QTR Raw'!V15</f>
        <v>0</v>
      </c>
      <c r="BC43" s="23">
        <f>'QTR Raw'!W15</f>
        <v>0</v>
      </c>
      <c r="BD43" s="23">
        <f>'QTR Raw'!X15</f>
        <v>0</v>
      </c>
      <c r="BE43" s="23">
        <f>'QTR Raw'!Y15</f>
        <v>0</v>
      </c>
      <c r="BF43" s="23">
        <f>'QTR Raw'!Z15</f>
        <v>0</v>
      </c>
      <c r="BG43" s="23">
        <f>'QTR Raw'!AA15</f>
        <v>0</v>
      </c>
      <c r="BH43" s="23">
        <f>'QTR Raw'!AB15</f>
        <v>0</v>
      </c>
      <c r="BI43" s="23">
        <f>'QTR Raw'!AC15</f>
        <v>0</v>
      </c>
      <c r="BJ43" s="23">
        <f>'QTR Raw'!AD15</f>
        <v>0</v>
      </c>
      <c r="BK43" s="23">
        <f>'QTR Raw'!AE15</f>
        <v>0</v>
      </c>
      <c r="BL43" s="23">
        <f>'QTR Raw'!AF15</f>
        <v>0</v>
      </c>
      <c r="BM43" s="23">
        <f>'QTR Raw'!AG15</f>
        <v>0</v>
      </c>
      <c r="BN43" s="23">
        <f>'QTR Raw'!AH15</f>
        <v>0</v>
      </c>
      <c r="BO43" s="23">
        <f>'QTR Raw'!AI15</f>
        <v>0</v>
      </c>
      <c r="BP43" s="23">
        <f>'QTR Raw'!AJ15</f>
        <v>0</v>
      </c>
      <c r="BQ43" s="23">
        <f>'QTR Raw'!AK15</f>
        <v>0</v>
      </c>
      <c r="BR43" s="23">
        <f>'QTR Raw'!AL15</f>
        <v>0</v>
      </c>
      <c r="BS43" s="23">
        <f>'QTR Raw'!AM15</f>
        <v>0</v>
      </c>
      <c r="BT43" s="23">
        <f>'QTR Raw'!AN15</f>
        <v>0</v>
      </c>
      <c r="BU43" s="23">
        <f>'QTR Raw'!AO15</f>
        <v>0</v>
      </c>
      <c r="BV43" s="23">
        <f>'QTR Raw'!AP15</f>
        <v>0</v>
      </c>
      <c r="BW43" s="23">
        <f>'QTR Raw'!AQ15</f>
        <v>0</v>
      </c>
      <c r="BX43" s="23">
        <f>'QTR Raw'!AR15</f>
        <v>0</v>
      </c>
      <c r="BY43" s="23">
        <f>'QTR Raw'!AS15</f>
        <v>0</v>
      </c>
      <c r="BZ43" s="23">
        <f>'QTR Raw'!AT15</f>
        <v>0</v>
      </c>
      <c r="CA43" s="23">
        <f>'QTR Raw'!AU15</f>
        <v>0</v>
      </c>
      <c r="CB43" s="23">
        <f>'QTR Raw'!AV15</f>
        <v>0</v>
      </c>
      <c r="CC43" s="23">
        <f>'QTR Raw'!AW15</f>
        <v>0</v>
      </c>
      <c r="CD43" s="23">
        <f>'QTR Raw'!AX15</f>
        <v>0</v>
      </c>
      <c r="CE43" s="23">
        <f>'QTR Raw'!AY15</f>
        <v>0</v>
      </c>
      <c r="CF43" s="23">
        <f>'QTR Raw'!AZ15</f>
        <v>0</v>
      </c>
      <c r="CG43" s="23">
        <f>'QTR Raw'!BA15</f>
        <v>0</v>
      </c>
      <c r="CH43" s="23">
        <f>'QTR Raw'!BB15</f>
        <v>0</v>
      </c>
      <c r="CI43" s="23">
        <f>'QTR Raw'!BC15</f>
        <v>0</v>
      </c>
      <c r="CJ43" s="23">
        <f>'QTR Raw'!BD15</f>
        <v>0</v>
      </c>
      <c r="CK43" s="23">
        <f>'QTR Raw'!BE15</f>
        <v>0</v>
      </c>
      <c r="CL43" s="23">
        <f>'QTR Raw'!BF15</f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724.04160000000002</v>
      </c>
    </row>
    <row r="44" spans="1:110" s="23" customFormat="1" outlineLevel="1" x14ac:dyDescent="0.2">
      <c r="A44" s="23" t="s">
        <v>11</v>
      </c>
      <c r="B44" s="23">
        <f>'Annual Raw'!C18</f>
        <v>0</v>
      </c>
      <c r="C44" s="23">
        <f>'Annual Raw'!D18</f>
        <v>0</v>
      </c>
      <c r="D44" s="23">
        <f>'Annual Raw'!E18</f>
        <v>0</v>
      </c>
      <c r="E44" s="23">
        <f>'Annual Raw'!F18</f>
        <v>0</v>
      </c>
      <c r="F44" s="23">
        <f>'Annual Raw'!G18</f>
        <v>0</v>
      </c>
      <c r="G44" s="23">
        <f>'Annual Raw'!H18</f>
        <v>0</v>
      </c>
      <c r="H44" s="23">
        <f>'Annual Raw'!I18</f>
        <v>0</v>
      </c>
      <c r="I44" s="23">
        <f>'Annual Raw'!J18</f>
        <v>0</v>
      </c>
      <c r="J44" s="23">
        <f>'Annual Raw'!K18</f>
        <v>0</v>
      </c>
      <c r="K44" s="23">
        <f>'Annual Raw'!L18</f>
        <v>352.70690000000002</v>
      </c>
      <c r="L44" s="23">
        <f>'Annual Raw'!M18</f>
        <v>186.56630000000001</v>
      </c>
      <c r="M44" s="23">
        <f>'Annual Raw'!N18</f>
        <v>269.93239999999997</v>
      </c>
      <c r="N44" s="23">
        <f>'Annual Raw'!O18</f>
        <v>364.15159999999997</v>
      </c>
      <c r="O44" s="23">
        <f>'Annual Raw'!P18</f>
        <v>372.60939999999999</v>
      </c>
      <c r="P44" s="23">
        <f>'Annual Raw'!Q18</f>
        <v>428.53429999999997</v>
      </c>
      <c r="Q44" s="23">
        <f>'Annual Raw'!R18</f>
        <v>471.64519999999999</v>
      </c>
      <c r="R44" s="23">
        <f>'Annual Raw'!S18</f>
        <v>461.77280000000002</v>
      </c>
      <c r="S44" s="23">
        <f>'Annual Raw'!T18</f>
        <v>546.72069999999997</v>
      </c>
      <c r="T44" s="23">
        <f>'Annual Raw'!U18</f>
        <v>841.98670000000004</v>
      </c>
      <c r="U44" s="23">
        <f>'Annual Raw'!V18</f>
        <v>884.51779999999997</v>
      </c>
      <c r="V44" s="23">
        <f>'Annual Raw'!W18</f>
        <v>1004.365</v>
      </c>
      <c r="W44" s="23">
        <f>'Annual Raw'!X18</f>
        <v>1118.8141000000001</v>
      </c>
      <c r="X44" s="23">
        <f>'Annual Raw'!Y18</f>
        <v>1313.8779</v>
      </c>
      <c r="Y44" s="23">
        <f>'Annual Raw'!Z18</f>
        <v>1438.6660999999999</v>
      </c>
      <c r="Z44" s="23">
        <f>'Annual Raw'!AA18</f>
        <v>1389.25</v>
      </c>
      <c r="AA44" s="23">
        <f>'Annual Raw'!AB18</f>
        <v>1409.8388</v>
      </c>
      <c r="AB44" s="76">
        <f t="shared" si="378"/>
        <v>0</v>
      </c>
      <c r="AC44" s="76">
        <f t="shared" si="379"/>
        <v>0</v>
      </c>
      <c r="AD44" s="76">
        <f t="shared" si="380"/>
        <v>0</v>
      </c>
      <c r="AE44" s="76">
        <f t="shared" si="381"/>
        <v>0</v>
      </c>
      <c r="AI44" s="23">
        <f>'QTR Raw'!C18</f>
        <v>0</v>
      </c>
      <c r="AJ44" s="23">
        <f>'QTR Raw'!D18</f>
        <v>0</v>
      </c>
      <c r="AK44" s="23">
        <f>'QTR Raw'!E18</f>
        <v>0</v>
      </c>
      <c r="AL44" s="23">
        <f>'QTR Raw'!F18</f>
        <v>0</v>
      </c>
      <c r="AM44" s="23">
        <f>'QTR Raw'!G18</f>
        <v>0</v>
      </c>
      <c r="AN44" s="23">
        <f>'QTR Raw'!H18</f>
        <v>0</v>
      </c>
      <c r="AO44" s="23">
        <f>'QTR Raw'!I18</f>
        <v>0</v>
      </c>
      <c r="AP44" s="23">
        <f>'QTR Raw'!J18</f>
        <v>0</v>
      </c>
      <c r="AQ44" s="23">
        <f>'QTR Raw'!K18</f>
        <v>0</v>
      </c>
      <c r="AR44" s="23">
        <f>'QTR Raw'!L18</f>
        <v>0</v>
      </c>
      <c r="AS44" s="23">
        <f>'QTR Raw'!M18</f>
        <v>0</v>
      </c>
      <c r="AT44" s="23">
        <f>'QTR Raw'!N18</f>
        <v>0</v>
      </c>
      <c r="AU44" s="23">
        <f>'QTR Raw'!O18</f>
        <v>0</v>
      </c>
      <c r="AV44" s="23">
        <f>'QTR Raw'!P18</f>
        <v>0</v>
      </c>
      <c r="AW44" s="23">
        <f>'QTR Raw'!Q18</f>
        <v>0</v>
      </c>
      <c r="AX44" s="23">
        <f>'QTR Raw'!R18</f>
        <v>0</v>
      </c>
      <c r="AY44" s="23">
        <f>'QTR Raw'!S18</f>
        <v>0</v>
      </c>
      <c r="AZ44" s="23">
        <f>'QTR Raw'!T18</f>
        <v>0</v>
      </c>
      <c r="BA44" s="23">
        <f>'QTR Raw'!U18</f>
        <v>0</v>
      </c>
      <c r="BB44" s="23">
        <f>'QTR Raw'!V18</f>
        <v>0</v>
      </c>
      <c r="BC44" s="23">
        <f>'QTR Raw'!W18</f>
        <v>0</v>
      </c>
      <c r="BD44" s="23">
        <f>'QTR Raw'!X18</f>
        <v>0</v>
      </c>
      <c r="BE44" s="23">
        <f>'QTR Raw'!Y18</f>
        <v>0</v>
      </c>
      <c r="BF44" s="23">
        <f>'QTR Raw'!Z18</f>
        <v>0</v>
      </c>
      <c r="BG44" s="23">
        <f>'QTR Raw'!AA18</f>
        <v>0</v>
      </c>
      <c r="BH44" s="23">
        <f>'QTR Raw'!AB18</f>
        <v>0</v>
      </c>
      <c r="BI44" s="23">
        <f>'QTR Raw'!AC18</f>
        <v>0</v>
      </c>
      <c r="BJ44" s="23">
        <f>'QTR Raw'!AD18</f>
        <v>0</v>
      </c>
      <c r="BK44" s="23">
        <f>'QTR Raw'!AE18</f>
        <v>0</v>
      </c>
      <c r="BL44" s="23">
        <f>'QTR Raw'!AF18</f>
        <v>0</v>
      </c>
      <c r="BM44" s="23">
        <f>'QTR Raw'!AG18</f>
        <v>0</v>
      </c>
      <c r="BN44" s="23">
        <f>'QTR Raw'!AH18</f>
        <v>0</v>
      </c>
      <c r="BO44" s="23">
        <f>'QTR Raw'!AI18</f>
        <v>0</v>
      </c>
      <c r="BP44" s="23">
        <f>'QTR Raw'!AJ18</f>
        <v>0</v>
      </c>
      <c r="BQ44" s="23">
        <f>'QTR Raw'!AK18</f>
        <v>0</v>
      </c>
      <c r="BR44" s="23">
        <f>'QTR Raw'!AL18</f>
        <v>0</v>
      </c>
      <c r="BS44" s="23">
        <f>'QTR Raw'!AM18</f>
        <v>0</v>
      </c>
      <c r="BT44" s="23">
        <f>'QTR Raw'!AN18</f>
        <v>0</v>
      </c>
      <c r="BU44" s="23">
        <f>'QTR Raw'!AO18</f>
        <v>0</v>
      </c>
      <c r="BV44" s="23">
        <f>'QTR Raw'!AP18</f>
        <v>0</v>
      </c>
      <c r="BW44" s="23">
        <f>'QTR Raw'!AQ18</f>
        <v>0</v>
      </c>
      <c r="BX44" s="23">
        <f>'QTR Raw'!AR18</f>
        <v>0</v>
      </c>
      <c r="BY44" s="23">
        <f>'QTR Raw'!AS18</f>
        <v>0</v>
      </c>
      <c r="BZ44" s="23">
        <f>'QTR Raw'!AT18</f>
        <v>0</v>
      </c>
      <c r="CA44" s="23">
        <f>'QTR Raw'!AU18</f>
        <v>0</v>
      </c>
      <c r="CB44" s="23">
        <f>'QTR Raw'!AV18</f>
        <v>0</v>
      </c>
      <c r="CC44" s="23">
        <f>'QTR Raw'!AW18</f>
        <v>0</v>
      </c>
      <c r="CD44" s="23">
        <f>'QTR Raw'!AX18</f>
        <v>0</v>
      </c>
      <c r="CE44" s="23">
        <f>'QTR Raw'!AY18</f>
        <v>0</v>
      </c>
      <c r="CF44" s="23">
        <f>'QTR Raw'!AZ18</f>
        <v>0</v>
      </c>
      <c r="CG44" s="23">
        <f>'QTR Raw'!BA18</f>
        <v>0</v>
      </c>
      <c r="CH44" s="23">
        <f>'QTR Raw'!BB18</f>
        <v>0</v>
      </c>
      <c r="CI44" s="23">
        <f>'QTR Raw'!BC18</f>
        <v>0</v>
      </c>
      <c r="CJ44" s="23">
        <f>'QTR Raw'!BD18</f>
        <v>0</v>
      </c>
      <c r="CK44" s="23">
        <f>'QTR Raw'!BE18</f>
        <v>0</v>
      </c>
      <c r="CL44" s="23">
        <f>'QTR Raw'!BF18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1409.8388</v>
      </c>
    </row>
    <row r="45" spans="1:110" s="22" customFormat="1" x14ac:dyDescent="0.2">
      <c r="A45" s="33" t="s">
        <v>348</v>
      </c>
      <c r="B45" s="22">
        <f t="shared" ref="B45:E45" si="384">+SUM(B39:B44)</f>
        <v>0</v>
      </c>
      <c r="C45" s="22">
        <f t="shared" si="384"/>
        <v>0</v>
      </c>
      <c r="D45" s="22">
        <f t="shared" si="384"/>
        <v>0</v>
      </c>
      <c r="E45" s="22">
        <f t="shared" si="384"/>
        <v>0</v>
      </c>
      <c r="F45" s="22">
        <f t="shared" ref="F45:AE45" si="385">+SUM(F39:F44)</f>
        <v>0</v>
      </c>
      <c r="G45" s="22">
        <f t="shared" si="385"/>
        <v>0</v>
      </c>
      <c r="H45" s="22">
        <f t="shared" si="385"/>
        <v>0</v>
      </c>
      <c r="I45" s="22">
        <f t="shared" si="385"/>
        <v>0</v>
      </c>
      <c r="J45" s="22">
        <f t="shared" si="385"/>
        <v>0</v>
      </c>
      <c r="K45" s="22">
        <f t="shared" si="385"/>
        <v>1417.9236999999998</v>
      </c>
      <c r="L45" s="22">
        <f t="shared" si="385"/>
        <v>1141.5703000000001</v>
      </c>
      <c r="M45" s="22">
        <f t="shared" si="385"/>
        <v>1674.789</v>
      </c>
      <c r="N45" s="22">
        <f t="shared" si="385"/>
        <v>1901.2340999999999</v>
      </c>
      <c r="O45" s="22">
        <f t="shared" si="385"/>
        <v>2296.4740999999999</v>
      </c>
      <c r="P45" s="22">
        <f t="shared" si="385"/>
        <v>3151.5929999999998</v>
      </c>
      <c r="Q45" s="22">
        <f t="shared" si="385"/>
        <v>2739.2088999999996</v>
      </c>
      <c r="R45" s="22">
        <f t="shared" si="385"/>
        <v>2536.3496</v>
      </c>
      <c r="S45" s="22">
        <f t="shared" si="385"/>
        <v>2610.4592999999995</v>
      </c>
      <c r="T45" s="22">
        <f t="shared" si="385"/>
        <v>3219.0821000000001</v>
      </c>
      <c r="U45" s="22">
        <f t="shared" si="385"/>
        <v>3228.4198000000001</v>
      </c>
      <c r="V45" s="22">
        <f t="shared" si="385"/>
        <v>3451.1948000000002</v>
      </c>
      <c r="W45" s="22">
        <f t="shared" si="385"/>
        <v>4040.7797</v>
      </c>
      <c r="X45" s="22">
        <f t="shared" si="385"/>
        <v>5071.4111000000003</v>
      </c>
      <c r="Y45" s="22">
        <f t="shared" si="385"/>
        <v>5629.8079999999991</v>
      </c>
      <c r="Z45" s="22">
        <f t="shared" ref="Z45:AA45" si="386">+SUM(Z39:Z44)</f>
        <v>5645.6975000000002</v>
      </c>
      <c r="AA45" s="22">
        <f t="shared" si="386"/>
        <v>5680.5943000000007</v>
      </c>
      <c r="AB45" s="21">
        <f t="shared" si="385"/>
        <v>5882.9572130044844</v>
      </c>
      <c r="AC45" s="21">
        <f t="shared" si="385"/>
        <v>6400.6723782511226</v>
      </c>
      <c r="AD45" s="21">
        <f t="shared" si="385"/>
        <v>6970.1590600224235</v>
      </c>
      <c r="AE45" s="21">
        <f t="shared" si="385"/>
        <v>7596.5944099708549</v>
      </c>
      <c r="AI45" s="22">
        <f t="shared" ref="AI45:BN45" si="387">+SUM(AI39:AI44)</f>
        <v>286.46000000000004</v>
      </c>
      <c r="AJ45" s="22">
        <f t="shared" si="387"/>
        <v>341.61</v>
      </c>
      <c r="AK45" s="22">
        <f t="shared" si="387"/>
        <v>305.11</v>
      </c>
      <c r="AL45" s="22">
        <f t="shared" si="387"/>
        <v>251.85000000000002</v>
      </c>
      <c r="AM45" s="22">
        <f t="shared" si="387"/>
        <v>276.49</v>
      </c>
      <c r="AN45" s="22">
        <f t="shared" si="387"/>
        <v>310.74</v>
      </c>
      <c r="AO45" s="22">
        <f t="shared" si="387"/>
        <v>436.69</v>
      </c>
      <c r="AP45" s="22">
        <f t="shared" si="387"/>
        <v>483.52</v>
      </c>
      <c r="AQ45" s="22">
        <f t="shared" si="387"/>
        <v>378.38</v>
      </c>
      <c r="AR45" s="22">
        <f t="shared" si="387"/>
        <v>520.42999999999995</v>
      </c>
      <c r="AS45" s="22">
        <f t="shared" si="387"/>
        <v>575.89</v>
      </c>
      <c r="AT45" s="22">
        <f t="shared" si="387"/>
        <v>666.85</v>
      </c>
      <c r="AU45" s="22">
        <f t="shared" si="387"/>
        <v>546.82000000000005</v>
      </c>
      <c r="AV45" s="22">
        <f t="shared" si="387"/>
        <v>409.71000000000004</v>
      </c>
      <c r="AW45" s="22">
        <f t="shared" si="387"/>
        <v>398.67</v>
      </c>
      <c r="AX45" s="22">
        <f t="shared" si="387"/>
        <v>428.81</v>
      </c>
      <c r="AY45" s="22">
        <f t="shared" si="387"/>
        <v>386.39</v>
      </c>
      <c r="AZ45" s="22">
        <f t="shared" si="387"/>
        <v>417.76</v>
      </c>
      <c r="BA45" s="22">
        <f t="shared" si="387"/>
        <v>447.24</v>
      </c>
      <c r="BB45" s="22">
        <f t="shared" si="387"/>
        <v>475.16999999999996</v>
      </c>
      <c r="BC45" s="22">
        <f t="shared" si="387"/>
        <v>400.28000000000003</v>
      </c>
      <c r="BD45" s="22">
        <f t="shared" si="387"/>
        <v>448.15000000000003</v>
      </c>
      <c r="BE45" s="22">
        <f t="shared" si="387"/>
        <v>546.68999999999994</v>
      </c>
      <c r="BF45" s="22">
        <f t="shared" si="387"/>
        <v>567.86</v>
      </c>
      <c r="BG45" s="22">
        <f t="shared" si="387"/>
        <v>720.58</v>
      </c>
      <c r="BH45" s="22">
        <f t="shared" si="387"/>
        <v>788.14</v>
      </c>
      <c r="BI45" s="22">
        <f t="shared" si="387"/>
        <v>826.52</v>
      </c>
      <c r="BJ45" s="22">
        <f t="shared" si="387"/>
        <v>840.74</v>
      </c>
      <c r="BK45" s="22">
        <f t="shared" si="387"/>
        <v>769.02</v>
      </c>
      <c r="BL45" s="22">
        <f t="shared" si="387"/>
        <v>781.95</v>
      </c>
      <c r="BM45" s="22">
        <f t="shared" si="387"/>
        <v>769.53</v>
      </c>
      <c r="BN45" s="22">
        <f t="shared" si="387"/>
        <v>859.51</v>
      </c>
      <c r="BO45" s="22">
        <f t="shared" ref="BO45:CH45" si="388">+SUM(BO39:BO44)</f>
        <v>557.42000000000007</v>
      </c>
      <c r="BP45" s="22">
        <f t="shared" si="388"/>
        <v>805.51</v>
      </c>
      <c r="BQ45" s="22">
        <f t="shared" si="388"/>
        <v>979.07999999999993</v>
      </c>
      <c r="BR45" s="22">
        <f t="shared" si="388"/>
        <v>1051.04</v>
      </c>
      <c r="BS45" s="22">
        <f t="shared" si="388"/>
        <v>934.38</v>
      </c>
      <c r="BT45" s="22">
        <f t="shared" si="388"/>
        <v>928.86999999999989</v>
      </c>
      <c r="BU45" s="22">
        <f t="shared" si="388"/>
        <v>1037.94</v>
      </c>
      <c r="BV45" s="22">
        <f t="shared" si="388"/>
        <v>1091.95</v>
      </c>
      <c r="BW45" s="22">
        <f t="shared" si="388"/>
        <v>1116.71</v>
      </c>
      <c r="BX45" s="22">
        <f t="shared" si="388"/>
        <v>1200.6399999999999</v>
      </c>
      <c r="BY45" s="22">
        <f t="shared" si="388"/>
        <v>1354.34</v>
      </c>
      <c r="BZ45" s="22">
        <f t="shared" si="388"/>
        <v>1338.87</v>
      </c>
      <c r="CA45" s="22">
        <f t="shared" si="388"/>
        <v>1340.37</v>
      </c>
      <c r="CB45" s="22">
        <f t="shared" si="388"/>
        <v>1408.3400000000001</v>
      </c>
      <c r="CC45" s="22">
        <f t="shared" si="388"/>
        <v>1434.28</v>
      </c>
      <c r="CD45" s="22">
        <f t="shared" si="388"/>
        <v>1302.55</v>
      </c>
      <c r="CE45" s="22">
        <f t="shared" si="388"/>
        <v>1370.21</v>
      </c>
      <c r="CF45" s="22">
        <f t="shared" si="388"/>
        <v>1436.22</v>
      </c>
      <c r="CG45" s="22">
        <f t="shared" si="388"/>
        <v>1387.54</v>
      </c>
      <c r="CH45" s="22">
        <f t="shared" si="388"/>
        <v>1360.58</v>
      </c>
      <c r="CI45" s="22">
        <f t="shared" ref="CI45:CJ45" si="389">+SUM(CI39:CI44)</f>
        <v>1273.31</v>
      </c>
      <c r="CJ45" s="22">
        <f t="shared" si="389"/>
        <v>1421.95</v>
      </c>
      <c r="CK45" s="22">
        <f t="shared" ref="CK45:CL45" si="390">+SUM(CK39:CK44)</f>
        <v>1418.9299999999998</v>
      </c>
      <c r="CL45" s="22">
        <f t="shared" si="390"/>
        <v>1513.4099999999999</v>
      </c>
      <c r="CM45" s="21">
        <f t="shared" ref="CM45:DB45" si="391">+CM35-CM47</f>
        <v>1393.2873228699552</v>
      </c>
      <c r="CN45" s="21">
        <f t="shared" si="391"/>
        <v>1270.1106793721974</v>
      </c>
      <c r="CO45" s="21">
        <f t="shared" si="391"/>
        <v>1557.5228475336326</v>
      </c>
      <c r="CP45" s="21">
        <f t="shared" si="391"/>
        <v>1662.0363632286999</v>
      </c>
      <c r="CQ45" s="21">
        <f t="shared" si="391"/>
        <v>1514.970916143498</v>
      </c>
      <c r="CR45" s="21">
        <f t="shared" si="391"/>
        <v>1379.4766082959641</v>
      </c>
      <c r="CS45" s="21">
        <f t="shared" si="391"/>
        <v>1695.6299932735433</v>
      </c>
      <c r="CT45" s="21">
        <f t="shared" si="391"/>
        <v>1810.5948605381172</v>
      </c>
      <c r="CU45" s="21">
        <f t="shared" si="391"/>
        <v>1648.822868744395</v>
      </c>
      <c r="CV45" s="21">
        <f t="shared" si="391"/>
        <v>1499.7791301121076</v>
      </c>
      <c r="CW45" s="21">
        <f t="shared" si="391"/>
        <v>1847.5478535874449</v>
      </c>
      <c r="CX45" s="21">
        <f t="shared" si="391"/>
        <v>1974.009207578476</v>
      </c>
      <c r="CY45" s="21">
        <f t="shared" si="391"/>
        <v>1796.0600166053814</v>
      </c>
      <c r="CZ45" s="21">
        <f t="shared" si="391"/>
        <v>1632.1119041098657</v>
      </c>
      <c r="DA45" s="21">
        <f t="shared" si="391"/>
        <v>2014.6574999327363</v>
      </c>
      <c r="DB45" s="21">
        <f t="shared" si="391"/>
        <v>2153.7649893228709</v>
      </c>
      <c r="DE45" s="126"/>
      <c r="DF45" s="22">
        <v>5680.5943000000007</v>
      </c>
    </row>
    <row r="46" spans="1:110" s="44" customFormat="1" x14ac:dyDescent="0.2">
      <c r="A46" s="43" t="s">
        <v>349</v>
      </c>
      <c r="B46" s="44" t="e">
        <f t="shared" ref="B46:E46" si="392">B45/B29</f>
        <v>#DIV/0!</v>
      </c>
      <c r="C46" s="44" t="e">
        <f t="shared" si="392"/>
        <v>#DIV/0!</v>
      </c>
      <c r="D46" s="44" t="e">
        <f t="shared" si="392"/>
        <v>#DIV/0!</v>
      </c>
      <c r="E46" s="44" t="e">
        <f t="shared" si="392"/>
        <v>#DIV/0!</v>
      </c>
      <c r="F46" s="44" t="e">
        <f t="shared" ref="F46:AE46" si="393">F45/F29</f>
        <v>#DIV/0!</v>
      </c>
      <c r="G46" s="44" t="e">
        <f t="shared" si="393"/>
        <v>#DIV/0!</v>
      </c>
      <c r="H46" s="44" t="e">
        <f t="shared" si="393"/>
        <v>#DIV/0!</v>
      </c>
      <c r="I46" s="44" t="e">
        <f t="shared" si="393"/>
        <v>#DIV/0!</v>
      </c>
      <c r="J46" s="44" t="e">
        <f t="shared" si="393"/>
        <v>#DIV/0!</v>
      </c>
      <c r="K46" s="44">
        <f t="shared" si="393"/>
        <v>0.19941924808709657</v>
      </c>
      <c r="L46" s="44">
        <f t="shared" si="393"/>
        <v>0.24890739326956607</v>
      </c>
      <c r="M46" s="44">
        <f t="shared" si="393"/>
        <v>0.27744851120346531</v>
      </c>
      <c r="N46" s="44">
        <f t="shared" si="393"/>
        <v>0.28105108678578317</v>
      </c>
      <c r="O46" s="44">
        <f t="shared" si="393"/>
        <v>0.34503106246095722</v>
      </c>
      <c r="P46" s="44">
        <f t="shared" si="393"/>
        <v>0.38397395677086438</v>
      </c>
      <c r="Q46" s="44">
        <f t="shared" si="393"/>
        <v>0.35562232367223096</v>
      </c>
      <c r="R46" s="44">
        <f t="shared" si="393"/>
        <v>0.35874201537755773</v>
      </c>
      <c r="S46" s="44">
        <f t="shared" si="393"/>
        <v>0.30687386184964016</v>
      </c>
      <c r="T46" s="44">
        <f t="shared" si="393"/>
        <v>0.2656665573106799</v>
      </c>
      <c r="U46" s="44">
        <f t="shared" si="393"/>
        <v>0.27766488190697047</v>
      </c>
      <c r="V46" s="44">
        <f t="shared" si="393"/>
        <v>0.3236414732018511</v>
      </c>
      <c r="W46" s="44">
        <f t="shared" si="393"/>
        <v>0.30385409437816646</v>
      </c>
      <c r="X46" s="44">
        <f t="shared" si="393"/>
        <v>0.28382536066894171</v>
      </c>
      <c r="Y46" s="44">
        <f t="shared" si="393"/>
        <v>0.26862731403781942</v>
      </c>
      <c r="Z46" s="44">
        <f t="shared" ref="Z46:AA46" si="394">Z45/Z29</f>
        <v>0.27105122735556764</v>
      </c>
      <c r="AA46" s="44">
        <f t="shared" si="394"/>
        <v>0.3174373768843442</v>
      </c>
      <c r="AB46" s="52">
        <f t="shared" si="393"/>
        <v>0.31590223290496244</v>
      </c>
      <c r="AC46" s="52">
        <f t="shared" si="393"/>
        <v>0.31451532457168513</v>
      </c>
      <c r="AD46" s="52">
        <f t="shared" si="393"/>
        <v>0.31451532457168518</v>
      </c>
      <c r="AE46" s="52">
        <f t="shared" si="393"/>
        <v>0.31451532457168518</v>
      </c>
      <c r="AI46" s="44">
        <f t="shared" ref="AI46:BN46" si="395">AI45/AI29</f>
        <v>0.2219880194973769</v>
      </c>
      <c r="AJ46" s="44">
        <f t="shared" si="395"/>
        <v>0.20868943693377237</v>
      </c>
      <c r="AK46" s="44">
        <f t="shared" si="395"/>
        <v>0.17710842674127694</v>
      </c>
      <c r="AL46" s="44">
        <f t="shared" si="395"/>
        <v>0.25697144081545198</v>
      </c>
      <c r="AM46" s="44">
        <f t="shared" si="395"/>
        <v>0.22907018168863558</v>
      </c>
      <c r="AN46" s="44">
        <f t="shared" si="395"/>
        <v>0.25275949861313335</v>
      </c>
      <c r="AO46" s="44">
        <f t="shared" si="395"/>
        <v>0.2554325255467621</v>
      </c>
      <c r="AP46" s="44">
        <f t="shared" si="395"/>
        <v>0.35459598996758529</v>
      </c>
      <c r="AQ46" s="44">
        <f t="shared" si="395"/>
        <v>0.32929238427597973</v>
      </c>
      <c r="AR46" s="44">
        <f t="shared" si="395"/>
        <v>0.32703473758294793</v>
      </c>
      <c r="AS46" s="44">
        <f t="shared" si="395"/>
        <v>0.3240015077949624</v>
      </c>
      <c r="AT46" s="44">
        <f t="shared" si="395"/>
        <v>0.31998253375687374</v>
      </c>
      <c r="AU46" s="44">
        <f t="shared" si="395"/>
        <v>0.27448874075115204</v>
      </c>
      <c r="AV46" s="44">
        <f t="shared" si="395"/>
        <v>0.30438400332830623</v>
      </c>
      <c r="AW46" s="44">
        <f t="shared" si="395"/>
        <v>0.3698992373211602</v>
      </c>
      <c r="AX46" s="44">
        <f t="shared" si="395"/>
        <v>0.23441078876734944</v>
      </c>
      <c r="AY46" s="44">
        <f t="shared" si="395"/>
        <v>0.30201111467183578</v>
      </c>
      <c r="AZ46" s="44">
        <f t="shared" si="395"/>
        <v>0.31333958372398274</v>
      </c>
      <c r="BA46" s="44">
        <f t="shared" si="395"/>
        <v>0.32897388745862449</v>
      </c>
      <c r="BB46" s="44">
        <f t="shared" si="395"/>
        <v>0.27650276403840557</v>
      </c>
      <c r="BC46" s="44">
        <f t="shared" si="395"/>
        <v>0.28651596924971007</v>
      </c>
      <c r="BD46" s="44">
        <f t="shared" si="395"/>
        <v>0.33920178021329256</v>
      </c>
      <c r="BE46" s="44">
        <f t="shared" si="395"/>
        <v>0.25852016134752609</v>
      </c>
      <c r="BF46" s="44">
        <f t="shared" si="395"/>
        <v>0.23112019177937235</v>
      </c>
      <c r="BG46" s="44">
        <f t="shared" si="395"/>
        <v>0.26096813681107356</v>
      </c>
      <c r="BH46" s="44">
        <f t="shared" si="395"/>
        <v>0.26625271948434526</v>
      </c>
      <c r="BI46" s="44">
        <f t="shared" si="395"/>
        <v>0.27940719105377743</v>
      </c>
      <c r="BJ46" s="44">
        <f t="shared" si="395"/>
        <v>0.24457321720512687</v>
      </c>
      <c r="BK46" s="44">
        <f t="shared" si="395"/>
        <v>0.25160479770715138</v>
      </c>
      <c r="BL46" s="44">
        <f t="shared" si="395"/>
        <v>0.29159938693088799</v>
      </c>
      <c r="BM46" s="44">
        <f t="shared" si="395"/>
        <v>0.25754274641311659</v>
      </c>
      <c r="BN46" s="44">
        <f t="shared" si="395"/>
        <v>0.29627855030299688</v>
      </c>
      <c r="BO46" s="44">
        <f t="shared" ref="BO46:CH46" si="396">BO45/BO29</f>
        <v>0.33972659511576747</v>
      </c>
      <c r="BP46" s="44">
        <f t="shared" si="396"/>
        <v>0.33925924054044942</v>
      </c>
      <c r="BQ46" s="44">
        <f t="shared" si="396"/>
        <v>0.3417763938729631</v>
      </c>
      <c r="BR46" s="44">
        <f t="shared" si="396"/>
        <v>0.27776999616792419</v>
      </c>
      <c r="BS46" s="44">
        <f t="shared" si="396"/>
        <v>0.32392012757401373</v>
      </c>
      <c r="BT46" s="44">
        <f t="shared" si="396"/>
        <v>0.31244786200586633</v>
      </c>
      <c r="BU46" s="44">
        <f t="shared" si="396"/>
        <v>0.2990285332349959</v>
      </c>
      <c r="BV46" s="44">
        <f t="shared" si="396"/>
        <v>0.27505730622937608</v>
      </c>
      <c r="BW46" s="44">
        <f t="shared" si="396"/>
        <v>0.32105235921202435</v>
      </c>
      <c r="BX46" s="44">
        <f t="shared" si="396"/>
        <v>0.29692793937985029</v>
      </c>
      <c r="BY46" s="44">
        <f t="shared" si="396"/>
        <v>0.26257381822975839</v>
      </c>
      <c r="BZ46" s="44">
        <f t="shared" si="396"/>
        <v>0.25806607055775821</v>
      </c>
      <c r="CA46" s="44">
        <f t="shared" si="396"/>
        <v>0.30392361378797428</v>
      </c>
      <c r="CB46" s="44">
        <f t="shared" si="396"/>
        <v>0.2576442221498586</v>
      </c>
      <c r="CC46" s="44">
        <f t="shared" si="396"/>
        <v>0.25358153777609621</v>
      </c>
      <c r="CD46" s="44">
        <f t="shared" si="396"/>
        <v>0.24009430136622698</v>
      </c>
      <c r="CE46" s="44">
        <f t="shared" si="396"/>
        <v>0.27742211100042924</v>
      </c>
      <c r="CF46" s="44">
        <f t="shared" si="396"/>
        <v>0.25776034113914054</v>
      </c>
      <c r="CG46" s="44">
        <f t="shared" si="396"/>
        <v>0.26322539032117315</v>
      </c>
      <c r="CH46" s="44">
        <f t="shared" si="396"/>
        <v>0.26960383149810069</v>
      </c>
      <c r="CI46" s="44">
        <f t="shared" ref="CI46:CJ46" si="397">CI45/CI29</f>
        <v>0.31172821371563991</v>
      </c>
      <c r="CJ46" s="44">
        <f t="shared" si="397"/>
        <v>0.33587254346182915</v>
      </c>
      <c r="CK46" s="44">
        <f t="shared" ref="CK46:DB46" si="398">CK45/CK29</f>
        <v>0.28703465826221169</v>
      </c>
      <c r="CL46" s="44">
        <f t="shared" si="398"/>
        <v>0.32662491259269488</v>
      </c>
      <c r="CM46" s="52">
        <f t="shared" si="398"/>
        <v>0.32045575817120792</v>
      </c>
      <c r="CN46" s="52">
        <f t="shared" si="398"/>
        <v>0.31451532457168518</v>
      </c>
      <c r="CO46" s="52">
        <f t="shared" si="398"/>
        <v>0.31451532457168518</v>
      </c>
      <c r="CP46" s="52">
        <f t="shared" si="398"/>
        <v>0.31451532457168513</v>
      </c>
      <c r="CQ46" s="52">
        <f t="shared" si="398"/>
        <v>0.31451532457168513</v>
      </c>
      <c r="CR46" s="52">
        <f t="shared" si="398"/>
        <v>0.31451532457168507</v>
      </c>
      <c r="CS46" s="52">
        <f t="shared" si="398"/>
        <v>0.31451532457168518</v>
      </c>
      <c r="CT46" s="52">
        <f t="shared" si="398"/>
        <v>0.31451532457168518</v>
      </c>
      <c r="CU46" s="52">
        <f t="shared" si="398"/>
        <v>0.31451532457168507</v>
      </c>
      <c r="CV46" s="52">
        <f t="shared" si="398"/>
        <v>0.31451532457168507</v>
      </c>
      <c r="CW46" s="52">
        <f t="shared" si="398"/>
        <v>0.31451532457168518</v>
      </c>
      <c r="CX46" s="52">
        <f t="shared" si="398"/>
        <v>0.31451532457168518</v>
      </c>
      <c r="CY46" s="52">
        <f t="shared" si="398"/>
        <v>0.31451532457168513</v>
      </c>
      <c r="CZ46" s="52">
        <f t="shared" si="398"/>
        <v>0.31451532457168513</v>
      </c>
      <c r="DA46" s="52">
        <f t="shared" si="398"/>
        <v>0.31451532457168513</v>
      </c>
      <c r="DB46" s="52">
        <f t="shared" si="398"/>
        <v>0.31451532457168518</v>
      </c>
      <c r="DE46" s="128"/>
      <c r="DF46" s="44">
        <v>0.3174373768843442</v>
      </c>
    </row>
    <row r="47" spans="1:110" s="26" customFormat="1" x14ac:dyDescent="0.2">
      <c r="A47" s="34" t="s">
        <v>13</v>
      </c>
      <c r="B47" s="26">
        <f t="shared" ref="B47:E47" si="399">B35-B45</f>
        <v>0</v>
      </c>
      <c r="C47" s="26">
        <f t="shared" si="399"/>
        <v>0</v>
      </c>
      <c r="D47" s="26">
        <f t="shared" si="399"/>
        <v>0</v>
      </c>
      <c r="E47" s="26">
        <f t="shared" si="399"/>
        <v>0</v>
      </c>
      <c r="F47" s="26">
        <f t="shared" ref="F47:AE47" si="400">F35-F45</f>
        <v>0</v>
      </c>
      <c r="G47" s="26">
        <f t="shared" si="400"/>
        <v>0</v>
      </c>
      <c r="H47" s="26">
        <f t="shared" si="400"/>
        <v>0</v>
      </c>
      <c r="I47" s="26">
        <f t="shared" si="400"/>
        <v>0</v>
      </c>
      <c r="J47" s="26">
        <f t="shared" si="400"/>
        <v>0</v>
      </c>
      <c r="K47" s="26">
        <f t="shared" si="400"/>
        <v>1244.9928000000004</v>
      </c>
      <c r="L47" s="26">
        <f t="shared" si="400"/>
        <v>861.4448000000009</v>
      </c>
      <c r="M47" s="26">
        <f t="shared" si="400"/>
        <v>668.3866000000005</v>
      </c>
      <c r="N47" s="26">
        <f t="shared" si="400"/>
        <v>603.67849999999976</v>
      </c>
      <c r="O47" s="26">
        <f t="shared" si="400"/>
        <v>640.01150000000052</v>
      </c>
      <c r="P47" s="26">
        <f t="shared" si="400"/>
        <v>808.32330000000184</v>
      </c>
      <c r="Q47" s="26">
        <f t="shared" si="400"/>
        <v>670.43910000000142</v>
      </c>
      <c r="R47" s="26">
        <f t="shared" si="400"/>
        <v>722.67210000000023</v>
      </c>
      <c r="S47" s="26">
        <f t="shared" si="400"/>
        <v>995.95800000000054</v>
      </c>
      <c r="T47" s="26">
        <f t="shared" si="400"/>
        <v>1431.9545999999987</v>
      </c>
      <c r="U47" s="26">
        <f t="shared" si="400"/>
        <v>1463.9722999999999</v>
      </c>
      <c r="V47" s="26">
        <f t="shared" si="400"/>
        <v>1184.9303999999993</v>
      </c>
      <c r="W47" s="26">
        <f t="shared" si="400"/>
        <v>1355.3927999999987</v>
      </c>
      <c r="X47" s="26">
        <f t="shared" si="400"/>
        <v>1604.2102999999979</v>
      </c>
      <c r="Y47" s="26">
        <f t="shared" si="400"/>
        <v>3176.6821000000018</v>
      </c>
      <c r="Z47" s="26">
        <f t="shared" ref="Z47:AA47" si="401">Z35-Z45</f>
        <v>3338.1096999999991</v>
      </c>
      <c r="AA47" s="26">
        <f t="shared" si="401"/>
        <v>2161.7327999999998</v>
      </c>
      <c r="AB47" s="27">
        <f t="shared" si="400"/>
        <v>2480.6462242152456</v>
      </c>
      <c r="AC47" s="27">
        <f t="shared" si="400"/>
        <v>2788.2961560538124</v>
      </c>
      <c r="AD47" s="27">
        <f t="shared" si="400"/>
        <v>3036.3790810762302</v>
      </c>
      <c r="AE47" s="27">
        <f t="shared" si="400"/>
        <v>3309.2702986008962</v>
      </c>
      <c r="AI47" s="26">
        <f t="shared" ref="AI47:BN47" si="402">AI35-AI45</f>
        <v>160.23999999999978</v>
      </c>
      <c r="AJ47" s="26">
        <f t="shared" si="402"/>
        <v>197.85000000000014</v>
      </c>
      <c r="AK47" s="26">
        <f t="shared" si="402"/>
        <v>158.56000000000006</v>
      </c>
      <c r="AL47" s="26">
        <f t="shared" si="402"/>
        <v>102.95999999999992</v>
      </c>
      <c r="AM47" s="26">
        <f t="shared" si="402"/>
        <v>142.36000000000001</v>
      </c>
      <c r="AN47" s="26">
        <f t="shared" si="402"/>
        <v>148.19999999999993</v>
      </c>
      <c r="AO47" s="26">
        <f t="shared" si="402"/>
        <v>165.73000000000008</v>
      </c>
      <c r="AP47" s="26">
        <f t="shared" si="402"/>
        <v>162.71000000000026</v>
      </c>
      <c r="AQ47" s="26">
        <f t="shared" si="402"/>
        <v>161.84000000000003</v>
      </c>
      <c r="AR47" s="26">
        <f t="shared" si="402"/>
        <v>209.40999999999997</v>
      </c>
      <c r="AS47" s="26">
        <f t="shared" si="402"/>
        <v>238.49999999999989</v>
      </c>
      <c r="AT47" s="26">
        <f t="shared" si="402"/>
        <v>227.89999999999998</v>
      </c>
      <c r="AU47" s="26">
        <f t="shared" si="402"/>
        <v>284.25</v>
      </c>
      <c r="AV47" s="26">
        <f t="shared" si="402"/>
        <v>168.24</v>
      </c>
      <c r="AW47" s="26">
        <f t="shared" si="402"/>
        <v>182.9199999999999</v>
      </c>
      <c r="AX47" s="26">
        <f t="shared" si="402"/>
        <v>315.04000000000002</v>
      </c>
      <c r="AY47" s="26">
        <f t="shared" si="402"/>
        <v>245.5200000000001</v>
      </c>
      <c r="AZ47" s="26">
        <f t="shared" si="402"/>
        <v>206.57000000000005</v>
      </c>
      <c r="BA47" s="26">
        <f t="shared" si="402"/>
        <v>235.17000000000007</v>
      </c>
      <c r="BB47" s="26">
        <f t="shared" si="402"/>
        <v>268.64999999999998</v>
      </c>
      <c r="BC47" s="26">
        <f t="shared" si="402"/>
        <v>169.90000000000026</v>
      </c>
      <c r="BD47" s="26">
        <f t="shared" si="402"/>
        <v>220.46000000000009</v>
      </c>
      <c r="BE47" s="26">
        <f t="shared" si="402"/>
        <v>252.4899999999999</v>
      </c>
      <c r="BF47" s="26">
        <f t="shared" si="402"/>
        <v>404.25999999999988</v>
      </c>
      <c r="BG47" s="26">
        <f t="shared" si="402"/>
        <v>355.21999999999991</v>
      </c>
      <c r="BH47" s="26">
        <f t="shared" si="402"/>
        <v>345.17999999999995</v>
      </c>
      <c r="BI47" s="26">
        <f t="shared" si="402"/>
        <v>366.49999999999977</v>
      </c>
      <c r="BJ47" s="26">
        <f t="shared" si="402"/>
        <v>408.14999999999986</v>
      </c>
      <c r="BK47" s="26">
        <f t="shared" si="402"/>
        <v>396.38999999999987</v>
      </c>
      <c r="BL47" s="26">
        <f t="shared" si="402"/>
        <v>341.64999999999986</v>
      </c>
      <c r="BM47" s="26">
        <f t="shared" si="402"/>
        <v>379.6400000000001</v>
      </c>
      <c r="BN47" s="26">
        <f t="shared" si="402"/>
        <v>394.69999999999982</v>
      </c>
      <c r="BO47" s="26">
        <f t="shared" ref="BO47:CH47" si="403">BO35-BO45</f>
        <v>183.43999999999994</v>
      </c>
      <c r="BP47" s="26">
        <f t="shared" si="403"/>
        <v>276.32000000000016</v>
      </c>
      <c r="BQ47" s="26">
        <f t="shared" si="403"/>
        <v>308.3299999999997</v>
      </c>
      <c r="BR47" s="26">
        <f t="shared" si="403"/>
        <v>474.97999999999956</v>
      </c>
      <c r="BS47" s="26">
        <f t="shared" si="403"/>
        <v>418.66999999999996</v>
      </c>
      <c r="BT47" s="26">
        <f t="shared" si="403"/>
        <v>378.13999999999987</v>
      </c>
      <c r="BU47" s="26">
        <f t="shared" si="403"/>
        <v>204.61000000000013</v>
      </c>
      <c r="BV47" s="26">
        <f t="shared" si="403"/>
        <v>400.60999999999967</v>
      </c>
      <c r="BW47" s="26">
        <f t="shared" si="403"/>
        <v>238.46000000000004</v>
      </c>
      <c r="BX47" s="26">
        <f t="shared" si="403"/>
        <v>331.35000000000014</v>
      </c>
      <c r="BY47" s="26">
        <f t="shared" si="403"/>
        <v>495.17999999999938</v>
      </c>
      <c r="BZ47" s="26">
        <f t="shared" si="403"/>
        <v>599.92000000000007</v>
      </c>
      <c r="CA47" s="26">
        <f t="shared" si="403"/>
        <v>607.66000000000031</v>
      </c>
      <c r="CB47" s="26">
        <f t="shared" si="403"/>
        <v>804.02999999999975</v>
      </c>
      <c r="CC47" s="26">
        <f t="shared" si="403"/>
        <v>988.9500000000005</v>
      </c>
      <c r="CD47" s="26">
        <f t="shared" si="403"/>
        <v>920.31000000000017</v>
      </c>
      <c r="CE47" s="26">
        <f t="shared" si="403"/>
        <v>839.55999999999949</v>
      </c>
      <c r="CF47" s="26">
        <f t="shared" si="403"/>
        <v>914.11000000000035</v>
      </c>
      <c r="CG47" s="26">
        <f t="shared" si="403"/>
        <v>939.42000000000053</v>
      </c>
      <c r="CH47" s="26">
        <f t="shared" si="403"/>
        <v>736.15999999999985</v>
      </c>
      <c r="CI47" s="26">
        <f t="shared" ref="CI47:CJ47" si="404">CI35-CI45</f>
        <v>670.11000000000035</v>
      </c>
      <c r="CJ47" s="26">
        <f t="shared" si="404"/>
        <v>451.12000000000035</v>
      </c>
      <c r="CK47" s="26">
        <f t="shared" ref="CK47:CL47" si="405">CK35-CK45</f>
        <v>612.63000000000056</v>
      </c>
      <c r="CL47" s="26">
        <f t="shared" si="405"/>
        <v>480.87999999999965</v>
      </c>
      <c r="CM47" s="27">
        <f t="shared" ref="CM47:DB47" si="406">+(CM$8+CM$10)*CM22/10^4</f>
        <v>524.83149775784727</v>
      </c>
      <c r="CN47" s="27">
        <f t="shared" si="406"/>
        <v>553.29260986547058</v>
      </c>
      <c r="CO47" s="27">
        <f t="shared" si="406"/>
        <v>678.49668161434954</v>
      </c>
      <c r="CP47" s="27">
        <f t="shared" si="406"/>
        <v>724.02543497757813</v>
      </c>
      <c r="CQ47" s="27">
        <f t="shared" si="406"/>
        <v>659.95997488789214</v>
      </c>
      <c r="CR47" s="27">
        <f t="shared" si="406"/>
        <v>600.93519820627773</v>
      </c>
      <c r="CS47" s="27">
        <f t="shared" si="406"/>
        <v>738.65967713004466</v>
      </c>
      <c r="CT47" s="27">
        <f t="shared" si="406"/>
        <v>788.74130582959617</v>
      </c>
      <c r="CU47" s="27">
        <f t="shared" si="406"/>
        <v>718.26929973094161</v>
      </c>
      <c r="CV47" s="27">
        <f t="shared" si="406"/>
        <v>653.34204538116569</v>
      </c>
      <c r="CW47" s="27">
        <f t="shared" si="406"/>
        <v>804.83897219730932</v>
      </c>
      <c r="CX47" s="27">
        <f t="shared" si="406"/>
        <v>859.92876376681591</v>
      </c>
      <c r="CY47" s="27">
        <f t="shared" si="406"/>
        <v>782.40955705829572</v>
      </c>
      <c r="CZ47" s="27">
        <f t="shared" si="406"/>
        <v>710.98957727354241</v>
      </c>
      <c r="DA47" s="27">
        <f t="shared" si="406"/>
        <v>877.63619677130043</v>
      </c>
      <c r="DB47" s="27">
        <f t="shared" si="406"/>
        <v>938.23496749775768</v>
      </c>
      <c r="DE47" s="121"/>
      <c r="DF47" s="26">
        <v>2161.7327999999998</v>
      </c>
    </row>
    <row r="48" spans="1:110" s="167" customFormat="1" x14ac:dyDescent="0.2">
      <c r="A48" s="164" t="s">
        <v>14</v>
      </c>
      <c r="B48" s="165" t="e">
        <f t="shared" ref="B48:E48" si="407">B47/B29</f>
        <v>#DIV/0!</v>
      </c>
      <c r="C48" s="165" t="e">
        <f t="shared" si="407"/>
        <v>#DIV/0!</v>
      </c>
      <c r="D48" s="165" t="e">
        <f t="shared" si="407"/>
        <v>#DIV/0!</v>
      </c>
      <c r="E48" s="165" t="e">
        <f t="shared" si="407"/>
        <v>#DIV/0!</v>
      </c>
      <c r="F48" s="165" t="e">
        <f t="shared" ref="F48:AE48" si="408">F47/F29</f>
        <v>#DIV/0!</v>
      </c>
      <c r="G48" s="165" t="e">
        <f t="shared" si="408"/>
        <v>#DIV/0!</v>
      </c>
      <c r="H48" s="165" t="e">
        <f t="shared" si="408"/>
        <v>#DIV/0!</v>
      </c>
      <c r="I48" s="165" t="e">
        <f t="shared" si="408"/>
        <v>#DIV/0!</v>
      </c>
      <c r="J48" s="165" t="e">
        <f t="shared" si="408"/>
        <v>#DIV/0!</v>
      </c>
      <c r="K48" s="165">
        <f t="shared" si="408"/>
        <v>0.1750979464197186</v>
      </c>
      <c r="L48" s="165">
        <f t="shared" si="408"/>
        <v>0.18782897524017828</v>
      </c>
      <c r="M48" s="165">
        <f t="shared" si="408"/>
        <v>0.1107261076340639</v>
      </c>
      <c r="N48" s="165">
        <f t="shared" si="408"/>
        <v>8.9239141299964769E-2</v>
      </c>
      <c r="O48" s="165">
        <f t="shared" si="408"/>
        <v>9.6157778497145296E-2</v>
      </c>
      <c r="P48" s="165">
        <f t="shared" si="408"/>
        <v>9.848197272017141E-2</v>
      </c>
      <c r="Q48" s="165">
        <f t="shared" si="408"/>
        <v>8.7040864471022911E-2</v>
      </c>
      <c r="R48" s="165">
        <f t="shared" si="408"/>
        <v>0.10221494923693958</v>
      </c>
      <c r="S48" s="165">
        <f t="shared" si="408"/>
        <v>0.1170803458609924</v>
      </c>
      <c r="T48" s="165">
        <f t="shared" si="408"/>
        <v>0.11817730551426177</v>
      </c>
      <c r="U48" s="165">
        <f t="shared" si="408"/>
        <v>0.12591104037788889</v>
      </c>
      <c r="V48" s="165">
        <f t="shared" si="408"/>
        <v>0.1111187987121615</v>
      </c>
      <c r="W48" s="165">
        <f t="shared" si="408"/>
        <v>0.10192133260090544</v>
      </c>
      <c r="X48" s="165">
        <f t="shared" si="408"/>
        <v>8.9780843636661709E-2</v>
      </c>
      <c r="Y48" s="165">
        <f t="shared" si="408"/>
        <v>0.15157596494854181</v>
      </c>
      <c r="Z48" s="165">
        <f t="shared" ref="Z48:AA48" si="409">Z47/Z29</f>
        <v>0.16026340965532168</v>
      </c>
      <c r="AA48" s="165">
        <f t="shared" si="409"/>
        <v>0.1207998236305748</v>
      </c>
      <c r="AB48" s="166">
        <f t="shared" si="408"/>
        <v>0.13320540213085225</v>
      </c>
      <c r="AC48" s="166">
        <f t="shared" si="408"/>
        <v>0.13701089802738226</v>
      </c>
      <c r="AD48" s="166">
        <f t="shared" si="408"/>
        <v>0.13701089802738209</v>
      </c>
      <c r="AE48" s="166">
        <f t="shared" si="408"/>
        <v>0.1370108980273822</v>
      </c>
      <c r="AI48" s="165">
        <f t="shared" ref="AI48:BN48" si="410">AI47/AI29</f>
        <v>0.12417566237610704</v>
      </c>
      <c r="AJ48" s="165">
        <f t="shared" si="410"/>
        <v>0.12086650009468952</v>
      </c>
      <c r="AK48" s="165">
        <f t="shared" si="410"/>
        <v>9.2039959831198184E-2</v>
      </c>
      <c r="AL48" s="165">
        <f t="shared" si="410"/>
        <v>0.10505372065260637</v>
      </c>
      <c r="AM48" s="165">
        <f t="shared" si="410"/>
        <v>0.11794434180329907</v>
      </c>
      <c r="AN48" s="165">
        <f t="shared" si="410"/>
        <v>0.12054758864152133</v>
      </c>
      <c r="AO48" s="165">
        <f t="shared" si="410"/>
        <v>9.6940237832020201E-2</v>
      </c>
      <c r="AP48" s="165">
        <f t="shared" si="410"/>
        <v>0.1193255987914169</v>
      </c>
      <c r="AQ48" s="165">
        <f t="shared" si="410"/>
        <v>0.14084433498394358</v>
      </c>
      <c r="AR48" s="165">
        <f t="shared" si="410"/>
        <v>0.13159184596822843</v>
      </c>
      <c r="AS48" s="165">
        <f t="shared" si="410"/>
        <v>0.13418249945145513</v>
      </c>
      <c r="AT48" s="165">
        <f t="shared" si="410"/>
        <v>0.10935595627681115</v>
      </c>
      <c r="AU48" s="165">
        <f t="shared" si="410"/>
        <v>0.14268575501721767</v>
      </c>
      <c r="AV48" s="165">
        <f t="shared" si="410"/>
        <v>0.12498978477448498</v>
      </c>
      <c r="AW48" s="165">
        <f t="shared" si="410"/>
        <v>0.16971923769229333</v>
      </c>
      <c r="AX48" s="165">
        <f t="shared" si="410"/>
        <v>0.17221794009763244</v>
      </c>
      <c r="AY48" s="165">
        <f t="shared" si="410"/>
        <v>0.19190395422818693</v>
      </c>
      <c r="AZ48" s="165">
        <f t="shared" si="410"/>
        <v>0.1549371835739734</v>
      </c>
      <c r="BA48" s="165">
        <f t="shared" si="410"/>
        <v>0.17298271423317402</v>
      </c>
      <c r="BB48" s="165">
        <f t="shared" si="410"/>
        <v>0.15632819319173696</v>
      </c>
      <c r="BC48" s="165">
        <f t="shared" si="410"/>
        <v>0.12161252916839667</v>
      </c>
      <c r="BD48" s="165">
        <f t="shared" si="410"/>
        <v>0.16686472044142031</v>
      </c>
      <c r="BE48" s="165">
        <f t="shared" si="410"/>
        <v>0.11939811509015501</v>
      </c>
      <c r="BF48" s="165">
        <f t="shared" si="410"/>
        <v>0.16453465419069671</v>
      </c>
      <c r="BG48" s="165">
        <f t="shared" si="410"/>
        <v>0.12864789691363834</v>
      </c>
      <c r="BH48" s="165">
        <f t="shared" si="410"/>
        <v>0.11661013742686106</v>
      </c>
      <c r="BI48" s="165">
        <f t="shared" si="410"/>
        <v>0.12389625843441097</v>
      </c>
      <c r="BJ48" s="165">
        <f t="shared" si="410"/>
        <v>0.11873178224215869</v>
      </c>
      <c r="BK48" s="165">
        <f t="shared" si="410"/>
        <v>0.12968924834612586</v>
      </c>
      <c r="BL48" s="165">
        <f t="shared" si="410"/>
        <v>0.12740575554055611</v>
      </c>
      <c r="BM48" s="165">
        <f t="shared" si="410"/>
        <v>0.12705616187578861</v>
      </c>
      <c r="BN48" s="165">
        <f t="shared" si="410"/>
        <v>0.1360555942392675</v>
      </c>
      <c r="BO48" s="165">
        <f t="shared" ref="BO48:CT48" si="411">BO47/BO29</f>
        <v>0.11179980375307014</v>
      </c>
      <c r="BP48" s="165">
        <f t="shared" si="411"/>
        <v>0.1163785841841033</v>
      </c>
      <c r="BQ48" s="165">
        <f t="shared" si="411"/>
        <v>0.10763156792381687</v>
      </c>
      <c r="BR48" s="165">
        <f t="shared" si="411"/>
        <v>0.12552823182737147</v>
      </c>
      <c r="BS48" s="165">
        <f t="shared" si="411"/>
        <v>0.14513970741177284</v>
      </c>
      <c r="BT48" s="165">
        <f t="shared" si="411"/>
        <v>0.12719652323672662</v>
      </c>
      <c r="BU48" s="165">
        <f t="shared" si="411"/>
        <v>5.8947750530100526E-2</v>
      </c>
      <c r="BV48" s="165">
        <f t="shared" si="411"/>
        <v>0.10091186175974197</v>
      </c>
      <c r="BW48" s="165">
        <f t="shared" si="411"/>
        <v>6.8556872937198851E-2</v>
      </c>
      <c r="BX48" s="165">
        <f t="shared" si="411"/>
        <v>8.1945522982337288E-2</v>
      </c>
      <c r="BY48" s="165">
        <f t="shared" si="411"/>
        <v>9.6003443235089872E-2</v>
      </c>
      <c r="BZ48" s="165">
        <f t="shared" si="411"/>
        <v>0.11563407728084903</v>
      </c>
      <c r="CA48" s="165">
        <f t="shared" si="411"/>
        <v>0.13778450961630037</v>
      </c>
      <c r="CB48" s="165">
        <f t="shared" si="411"/>
        <v>0.14709067692116301</v>
      </c>
      <c r="CC48" s="165">
        <f t="shared" si="411"/>
        <v>0.17484693489672201</v>
      </c>
      <c r="CD48" s="165">
        <f t="shared" si="411"/>
        <v>0.16963739318287391</v>
      </c>
      <c r="CE48" s="165">
        <f t="shared" si="411"/>
        <v>0.16998307377082361</v>
      </c>
      <c r="CF48" s="165">
        <f t="shared" si="411"/>
        <v>0.16405655501155803</v>
      </c>
      <c r="CG48" s="165">
        <f t="shared" si="411"/>
        <v>0.17821410278299479</v>
      </c>
      <c r="CH48" s="165">
        <f t="shared" si="411"/>
        <v>0.14587275764427066</v>
      </c>
      <c r="CI48" s="165">
        <f t="shared" ref="CI48:CJ48" si="412">CI47/CI29</f>
        <v>0.16405446693498643</v>
      </c>
      <c r="CJ48" s="165">
        <f t="shared" si="412"/>
        <v>0.10655706727135306</v>
      </c>
      <c r="CK48" s="165">
        <f t="shared" ref="CK48:CL48" si="413">CK47/CK29</f>
        <v>0.12392862416833736</v>
      </c>
      <c r="CL48" s="165">
        <f t="shared" si="413"/>
        <v>0.10378376511822641</v>
      </c>
      <c r="CM48" s="166">
        <f t="shared" si="411"/>
        <v>0.12071112165126575</v>
      </c>
      <c r="CN48" s="166">
        <f t="shared" si="411"/>
        <v>0.13701089802738217</v>
      </c>
      <c r="CO48" s="166">
        <f t="shared" si="411"/>
        <v>0.1370108980273822</v>
      </c>
      <c r="CP48" s="166">
        <f t="shared" si="411"/>
        <v>0.13701089802738217</v>
      </c>
      <c r="CQ48" s="166">
        <f t="shared" si="411"/>
        <v>0.1370108980273822</v>
      </c>
      <c r="CR48" s="166">
        <f t="shared" si="411"/>
        <v>0.13701089802738217</v>
      </c>
      <c r="CS48" s="166">
        <f t="shared" si="411"/>
        <v>0.1370108980273822</v>
      </c>
      <c r="CT48" s="166">
        <f t="shared" si="411"/>
        <v>0.13701089802738217</v>
      </c>
      <c r="CU48" s="166">
        <f t="shared" ref="CU48:DB48" si="414">CU47/CU29</f>
        <v>0.13701089802738217</v>
      </c>
      <c r="CV48" s="166">
        <f t="shared" si="414"/>
        <v>0.13701089802738217</v>
      </c>
      <c r="CW48" s="166">
        <f t="shared" si="414"/>
        <v>0.13701089802738217</v>
      </c>
      <c r="CX48" s="166">
        <f t="shared" si="414"/>
        <v>0.1370108980273822</v>
      </c>
      <c r="CY48" s="166">
        <f t="shared" si="414"/>
        <v>0.1370108980273822</v>
      </c>
      <c r="CZ48" s="166">
        <f t="shared" si="414"/>
        <v>0.1370108980273822</v>
      </c>
      <c r="DA48" s="166">
        <f t="shared" si="414"/>
        <v>0.1370108980273822</v>
      </c>
      <c r="DB48" s="166">
        <f t="shared" si="414"/>
        <v>0.1370108980273822</v>
      </c>
      <c r="DE48" s="168"/>
      <c r="DF48" s="167">
        <v>0.1207998236305748</v>
      </c>
    </row>
    <row r="49" spans="1:110" s="38" customFormat="1" x14ac:dyDescent="0.2">
      <c r="A49" s="39" t="s">
        <v>449</v>
      </c>
      <c r="B49" s="39"/>
      <c r="C49" s="39" t="e">
        <f t="shared" ref="C49:E49" si="415">+IF(B47&lt;0,1-C47/B47,C47/B47-1)</f>
        <v>#DIV/0!</v>
      </c>
      <c r="D49" s="39" t="e">
        <f t="shared" si="415"/>
        <v>#DIV/0!</v>
      </c>
      <c r="E49" s="39" t="e">
        <f t="shared" si="415"/>
        <v>#DIV/0!</v>
      </c>
      <c r="F49" s="39" t="e">
        <f t="shared" ref="F49:Y49" si="416">+IF(E47&lt;0,1-F47/E47,F47/E47-1)</f>
        <v>#DIV/0!</v>
      </c>
      <c r="G49" s="39" t="e">
        <f t="shared" si="416"/>
        <v>#DIV/0!</v>
      </c>
      <c r="H49" s="39" t="e">
        <f t="shared" si="416"/>
        <v>#DIV/0!</v>
      </c>
      <c r="I49" s="39" t="e">
        <f t="shared" si="416"/>
        <v>#DIV/0!</v>
      </c>
      <c r="J49" s="39" t="e">
        <f t="shared" si="416"/>
        <v>#DIV/0!</v>
      </c>
      <c r="K49" s="39" t="e">
        <f t="shared" si="416"/>
        <v>#DIV/0!</v>
      </c>
      <c r="L49" s="39">
        <f t="shared" si="416"/>
        <v>-0.3080724643548135</v>
      </c>
      <c r="M49" s="39">
        <f t="shared" si="416"/>
        <v>-0.22410977464835846</v>
      </c>
      <c r="N49" s="39">
        <f t="shared" si="416"/>
        <v>-9.6812383731212925E-2</v>
      </c>
      <c r="O49" s="39">
        <f t="shared" si="416"/>
        <v>6.018600960610776E-2</v>
      </c>
      <c r="P49" s="39">
        <f t="shared" si="416"/>
        <v>0.2629824620338872</v>
      </c>
      <c r="Q49" s="39">
        <f t="shared" si="416"/>
        <v>-0.17058050906116418</v>
      </c>
      <c r="R49" s="39">
        <f t="shared" si="416"/>
        <v>7.7908642261465211E-2</v>
      </c>
      <c r="S49" s="39">
        <f t="shared" si="416"/>
        <v>0.37816030257706124</v>
      </c>
      <c r="T49" s="39">
        <f t="shared" si="416"/>
        <v>0.43776605037561622</v>
      </c>
      <c r="U49" s="39">
        <f t="shared" si="416"/>
        <v>2.2359437931901871E-2</v>
      </c>
      <c r="V49" s="39">
        <f t="shared" si="416"/>
        <v>-0.19060599712166726</v>
      </c>
      <c r="W49" s="39">
        <f t="shared" si="416"/>
        <v>0.14385857599737473</v>
      </c>
      <c r="X49" s="39">
        <f t="shared" si="416"/>
        <v>0.18357593459253985</v>
      </c>
      <c r="Y49" s="39">
        <f t="shared" si="416"/>
        <v>0.98021549917738704</v>
      </c>
      <c r="Z49" s="39">
        <f t="shared" ref="Z49:AE49" si="417">+IF(Y47&lt;0,1-Z47/Y47,Z47/Y47-1)</f>
        <v>5.0816416285405897E-2</v>
      </c>
      <c r="AA49" s="39">
        <f t="shared" si="417"/>
        <v>-0.35240810090812758</v>
      </c>
      <c r="AB49" s="40">
        <f t="shared" si="417"/>
        <v>0.14752675456247233</v>
      </c>
      <c r="AC49" s="40">
        <f t="shared" si="417"/>
        <v>0.12402007542848725</v>
      </c>
      <c r="AD49" s="40">
        <f t="shared" si="417"/>
        <v>8.8972946608914638E-2</v>
      </c>
      <c r="AE49" s="40">
        <f t="shared" si="417"/>
        <v>8.9873895926045222E-2</v>
      </c>
      <c r="AI49" s="39"/>
      <c r="AJ49" s="39"/>
      <c r="AK49" s="39"/>
      <c r="AL49" s="39"/>
      <c r="AM49" s="39">
        <f>+IF(AI47&lt;0,1-AM47/AI47,AM47/AI47-1)</f>
        <v>-0.1115826260609073</v>
      </c>
      <c r="AN49" s="39">
        <f t="shared" ref="AN49" si="418">+IF(AJ47&lt;0,1-AN47/AJ47,AN47/AJ47-1)</f>
        <v>-0.25094768764215403</v>
      </c>
      <c r="AO49" s="39">
        <f t="shared" ref="AO49" si="419">+IF(AK47&lt;0,1-AO47/AK47,AO47/AK47-1)</f>
        <v>4.5219475277497478E-2</v>
      </c>
      <c r="AP49" s="39">
        <f t="shared" ref="AP49" si="420">+IF(AL47&lt;0,1-AP47/AL47,AP47/AL47-1)</f>
        <v>0.58032245532245907</v>
      </c>
      <c r="AQ49" s="39">
        <f t="shared" ref="AQ49" si="421">+IF(AM47&lt;0,1-AQ47/AM47,AQ47/AM47-1)</f>
        <v>0.13683618994099467</v>
      </c>
      <c r="AR49" s="39">
        <f t="shared" ref="AR49" si="422">+IF(AN47&lt;0,1-AR47/AN47,AR47/AN47-1)</f>
        <v>0.41302294197031086</v>
      </c>
      <c r="AS49" s="39">
        <f t="shared" ref="AS49" si="423">+IF(AO47&lt;0,1-AS47/AO47,AS47/AO47-1)</f>
        <v>0.43908767272068894</v>
      </c>
      <c r="AT49" s="39">
        <f t="shared" ref="AT49" si="424">+IF(AP47&lt;0,1-AT47/AP47,AT47/AP47-1)</f>
        <v>0.40065146579804312</v>
      </c>
      <c r="AU49" s="39">
        <f t="shared" ref="AU49" si="425">+IF(AQ47&lt;0,1-AU47/AQ47,AU47/AQ47-1)</f>
        <v>0.75636431043005392</v>
      </c>
      <c r="AV49" s="39">
        <f t="shared" ref="AV49" si="426">+IF(AR47&lt;0,1-AV47/AR47,AV47/AR47-1)</f>
        <v>-0.19659997134807294</v>
      </c>
      <c r="AW49" s="39">
        <f t="shared" ref="AW49" si="427">+IF(AS47&lt;0,1-AW47/AS47,AW47/AS47-1)</f>
        <v>-0.23303983228511538</v>
      </c>
      <c r="AX49" s="39">
        <f t="shared" ref="AX49" si="428">+IF(AT47&lt;0,1-AX47/AT47,AX47/AT47-1)</f>
        <v>0.38236068451075056</v>
      </c>
      <c r="AY49" s="39">
        <f t="shared" ref="AY49" si="429">+IF(AU47&lt;0,1-AY47/AU47,AY47/AU47-1)</f>
        <v>-0.136253298153034</v>
      </c>
      <c r="AZ49" s="39">
        <f t="shared" ref="AZ49" si="430">+IF(AV47&lt;0,1-AZ47/AV47,AZ47/AV47-1)</f>
        <v>0.22782929148835018</v>
      </c>
      <c r="BA49" s="39">
        <f t="shared" ref="BA49" si="431">+IF(AW47&lt;0,1-BA47/AW47,BA47/AW47-1)</f>
        <v>0.28564399737590307</v>
      </c>
      <c r="BB49" s="39">
        <f t="shared" ref="BB49" si="432">+IF(AX47&lt;0,1-BB47/AX47,BB47/AX47-1)</f>
        <v>-0.14725114271203665</v>
      </c>
      <c r="BC49" s="39">
        <f t="shared" ref="BC49" si="433">+IF(AY47&lt;0,1-BC47/AY47,BC47/AY47-1)</f>
        <v>-0.30799934832192821</v>
      </c>
      <c r="BD49" s="39">
        <f t="shared" ref="BD49" si="434">+IF(AZ47&lt;0,1-BD47/AZ47,BD47/AZ47-1)</f>
        <v>6.7241128915138004E-2</v>
      </c>
      <c r="BE49" s="39">
        <f t="shared" ref="BE49" si="435">+IF(BA47&lt;0,1-BE47/BA47,BE47/BA47-1)</f>
        <v>7.3648849768251923E-2</v>
      </c>
      <c r="BF49" s="39">
        <f t="shared" ref="BF49" si="436">+IF(BB47&lt;0,1-BF47/BB47,BF47/BB47-1)</f>
        <v>0.50478317513493365</v>
      </c>
      <c r="BG49" s="39">
        <f t="shared" ref="BG49" si="437">+IF(BC47&lt;0,1-BG47/BC47,BG47/BC47-1)</f>
        <v>1.0907592701589133</v>
      </c>
      <c r="BH49" s="39">
        <f t="shared" ref="BH49" si="438">+IF(BD47&lt;0,1-BH47/BD47,BH47/BD47-1)</f>
        <v>0.56572620883606906</v>
      </c>
      <c r="BI49" s="39">
        <f t="shared" ref="BI49" si="439">+IF(BE47&lt;0,1-BI47/BE47,BI47/BE47-1)</f>
        <v>0.45154263535189476</v>
      </c>
      <c r="BJ49" s="39">
        <f t="shared" ref="BJ49" si="440">+IF(BF47&lt;0,1-BJ47/BF47,BJ47/BF47-1)</f>
        <v>9.6225201602928578E-3</v>
      </c>
      <c r="BK49" s="39">
        <f t="shared" ref="BK49" si="441">+IF(BG47&lt;0,1-BK47/BG47,BK47/BG47-1)</f>
        <v>0.11590000563031344</v>
      </c>
      <c r="BL49" s="39">
        <f t="shared" ref="BL49" si="442">+IF(BH47&lt;0,1-BL47/BH47,BL47/BH47-1)</f>
        <v>-1.0226548467466512E-2</v>
      </c>
      <c r="BM49" s="39">
        <f t="shared" ref="BM49" si="443">+IF(BI47&lt;0,1-BM47/BI47,BM47/BI47-1)</f>
        <v>3.5852660300137451E-2</v>
      </c>
      <c r="BN49" s="39">
        <f t="shared" ref="BN49" si="444">+IF(BJ47&lt;0,1-BN47/BJ47,BN47/BJ47-1)</f>
        <v>-3.2953570991057335E-2</v>
      </c>
      <c r="BO49" s="39">
        <f t="shared" ref="BO49" si="445">+IF(BK47&lt;0,1-BO47/BK47,BO47/BK47-1)</f>
        <v>-0.53722344156007973</v>
      </c>
      <c r="BP49" s="39">
        <f t="shared" ref="BP49" si="446">+IF(BL47&lt;0,1-BP47/BL47,BP47/BL47-1)</f>
        <v>-0.19121908385774833</v>
      </c>
      <c r="BQ49" s="39">
        <f t="shared" ref="BQ49" si="447">+IF(BM47&lt;0,1-BQ47/BM47,BQ47/BM47-1)</f>
        <v>-0.18783584448424928</v>
      </c>
      <c r="BR49" s="39">
        <f t="shared" ref="BR49" si="448">+IF(BN47&lt;0,1-BR47/BN47,BR47/BN47-1)</f>
        <v>0.20339498353179586</v>
      </c>
      <c r="BS49" s="39">
        <f t="shared" ref="BS49" si="449">+IF(BO47&lt;0,1-BS47/BO47,BS47/BO47-1)</f>
        <v>1.2823266463148717</v>
      </c>
      <c r="BT49" s="39">
        <f t="shared" ref="BT49" si="450">+IF(BP47&lt;0,1-BT47/BP47,BT47/BP47-1)</f>
        <v>0.3684858135495066</v>
      </c>
      <c r="BU49" s="39">
        <f t="shared" ref="BU49" si="451">+IF(BQ47&lt;0,1-BU47/BQ47,BU47/BQ47-1)</f>
        <v>-0.3363928258683867</v>
      </c>
      <c r="BV49" s="39">
        <f t="shared" ref="BV49" si="452">+IF(BR47&lt;0,1-BV47/BR47,BV47/BR47-1)</f>
        <v>-0.15657501368478666</v>
      </c>
      <c r="BW49" s="39">
        <f t="shared" ref="BW49" si="453">+IF(BS47&lt;0,1-BW47/BS47,BW47/BS47-1)</f>
        <v>-0.43043447106312838</v>
      </c>
      <c r="BX49" s="39">
        <f t="shared" ref="BX49" si="454">+IF(BT47&lt;0,1-BX47/BT47,BX47/BT47-1)</f>
        <v>-0.12373724017559573</v>
      </c>
      <c r="BY49" s="39">
        <f t="shared" ref="BY49" si="455">+IF(BU47&lt;0,1-BY47/BU47,BY47/BU47-1)</f>
        <v>1.4201163188504915</v>
      </c>
      <c r="BZ49" s="39">
        <f t="shared" ref="BZ49" si="456">+IF(BV47&lt;0,1-BZ47/BV47,BZ47/BV47-1)</f>
        <v>0.49751628766131795</v>
      </c>
      <c r="CA49" s="39">
        <f t="shared" ref="CA49" si="457">+IF(BW47&lt;0,1-CA47/BW47,CA47/BW47-1)</f>
        <v>1.5482680533422806</v>
      </c>
      <c r="CB49" s="39">
        <f t="shared" ref="CB49" si="458">+IF(BX47&lt;0,1-CB47/BX47,CB47/BX47-1)</f>
        <v>1.4265278406518771</v>
      </c>
      <c r="CC49" s="39">
        <f t="shared" ref="CC49" si="459">+IF(BY47&lt;0,1-CC47/BY47,CC47/BY47-1)</f>
        <v>0.99715255058766861</v>
      </c>
      <c r="CD49" s="39">
        <f t="shared" ref="CD49" si="460">+IF(BZ47&lt;0,1-CD47/BZ47,CD47/BZ47-1)</f>
        <v>0.53405454060541424</v>
      </c>
      <c r="CE49" s="39">
        <f t="shared" ref="CE49" si="461">+IF(CA47&lt;0,1-CE47/CA47,CE47/CA47-1)</f>
        <v>0.38162788401408521</v>
      </c>
      <c r="CF49" s="39">
        <f t="shared" ref="CF49" si="462">+IF(CB47&lt;0,1-CF47/CB47,CF47/CB47-1)</f>
        <v>0.13691031429175604</v>
      </c>
      <c r="CG49" s="39">
        <f t="shared" ref="CG49" si="463">+IF(CC47&lt;0,1-CG47/CC47,CG47/CC47-1)</f>
        <v>-5.0083421811011664E-2</v>
      </c>
      <c r="CH49" s="39">
        <f t="shared" ref="CH49:CL49" si="464">+IF(CD47&lt;0,1-CH47/CD47,CH47/CD47-1)</f>
        <v>-0.20009561995414615</v>
      </c>
      <c r="CI49" s="39">
        <f t="shared" si="464"/>
        <v>-0.20183191195387973</v>
      </c>
      <c r="CJ49" s="39">
        <f t="shared" si="464"/>
        <v>-0.50649265405695143</v>
      </c>
      <c r="CK49" s="39">
        <f t="shared" si="464"/>
        <v>-0.3478635753975855</v>
      </c>
      <c r="CL49" s="39">
        <f t="shared" si="464"/>
        <v>-0.34677244077374514</v>
      </c>
      <c r="CM49" s="40">
        <f t="shared" ref="CM49" si="465">+CM47/CI47-1</f>
        <v>-0.21679799173591352</v>
      </c>
      <c r="CN49" s="40">
        <f t="shared" ref="CN49" si="466">+CN47/CJ47-1</f>
        <v>0.22648654430189352</v>
      </c>
      <c r="CO49" s="40">
        <f t="shared" ref="CO49" si="467">+CO47/CK47-1</f>
        <v>0.10751461994082701</v>
      </c>
      <c r="CP49" s="40">
        <f t="shared" ref="CP49" si="468">+CP47/CL47-1</f>
        <v>0.50562600852100026</v>
      </c>
      <c r="CQ49" s="40">
        <f t="shared" ref="CQ49" si="469">+CQ47/CM47-1</f>
        <v>0.25747021226304523</v>
      </c>
      <c r="CR49" s="40">
        <f t="shared" ref="CR49" si="470">+CR47/CN47-1</f>
        <v>8.6107400480897711E-2</v>
      </c>
      <c r="CS49" s="40">
        <f t="shared" ref="CS49" si="471">+CS47/CO47-1</f>
        <v>8.8671023965141815E-2</v>
      </c>
      <c r="CT49" s="40">
        <f t="shared" ref="CT49" si="472">+CT47/CP47-1</f>
        <v>8.9383421804818397E-2</v>
      </c>
      <c r="CU49" s="40">
        <f t="shared" ref="CU49" si="473">+CU47/CQ47-1</f>
        <v>8.8352819961474927E-2</v>
      </c>
      <c r="CV49" s="40">
        <f t="shared" ref="CV49" si="474">+CV47/CR47-1</f>
        <v>8.720881607753439E-2</v>
      </c>
      <c r="CW49" s="40">
        <f t="shared" ref="CW49" si="475">+CW47/CS47-1</f>
        <v>8.9593756253752321E-2</v>
      </c>
      <c r="CX49" s="40">
        <f t="shared" ref="CX49" si="476">+CX47/CT47-1</f>
        <v>9.0254507290378205E-2</v>
      </c>
      <c r="CY49" s="40">
        <f t="shared" ref="CY49" si="477">+CY47/CU47-1</f>
        <v>8.9298341654558522E-2</v>
      </c>
      <c r="CZ49" s="40">
        <f t="shared" ref="CZ49" si="478">+CZ47/CV47-1</f>
        <v>8.8234841611555259E-2</v>
      </c>
      <c r="DA49" s="40">
        <f t="shared" ref="DA49" si="479">+DA47/CW47-1</f>
        <v>9.0449427883997346E-2</v>
      </c>
      <c r="DB49" s="40">
        <f t="shared" ref="DB49" si="480">+DB47/CX47-1</f>
        <v>9.1061268131014339E-2</v>
      </c>
      <c r="DE49" s="122"/>
      <c r="DF49" s="38">
        <v>-0.35240810090812758</v>
      </c>
    </row>
    <row r="50" spans="1:110" s="38" customFormat="1" x14ac:dyDescent="0.2">
      <c r="A50" s="39" t="s">
        <v>450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0"/>
      <c r="AD50" s="40"/>
      <c r="AE50" s="40"/>
      <c r="AI50" s="39"/>
      <c r="AJ50" s="39">
        <f>+IF(AI47&lt;0,1-AJ47/AI47,AJ47/AI47-1)</f>
        <v>0.23471043434847982</v>
      </c>
      <c r="AK50" s="39">
        <f t="shared" ref="AK50:AM50" si="481">+IF(AJ47&lt;0,1-AK47/AJ47,AK47/AJ47-1)</f>
        <v>-0.19858478645438493</v>
      </c>
      <c r="AL50" s="39">
        <f t="shared" si="481"/>
        <v>-0.35065590312815409</v>
      </c>
      <c r="AM50" s="39">
        <f t="shared" si="481"/>
        <v>0.3826728826728838</v>
      </c>
      <c r="AN50" s="39">
        <f t="shared" ref="AN50" si="482">+IF(AM47&lt;0,1-AN47/AM47,AN47/AM47-1)</f>
        <v>4.1022759202022474E-2</v>
      </c>
      <c r="AO50" s="39">
        <f t="shared" ref="AO50" si="483">+IF(AN47&lt;0,1-AO47/AN47,AO47/AN47-1)</f>
        <v>0.11828609986504834</v>
      </c>
      <c r="AP50" s="39">
        <f t="shared" ref="AP50" si="484">+IF(AO47&lt;0,1-AP47/AO47,AP47/AO47-1)</f>
        <v>-1.8222409943883466E-2</v>
      </c>
      <c r="AQ50" s="39">
        <f t="shared" ref="AQ50" si="485">+IF(AP47&lt;0,1-AQ47/AP47,AQ47/AP47-1)</f>
        <v>-5.3469362669794629E-3</v>
      </c>
      <c r="AR50" s="39">
        <f t="shared" ref="AR50" si="486">+IF(AQ47&lt;0,1-AR47/AQ47,AR47/AQ47-1)</f>
        <v>0.29393227879387007</v>
      </c>
      <c r="AS50" s="39">
        <f t="shared" ref="AS50" si="487">+IF(AR47&lt;0,1-AS47/AR47,AS47/AR47-1)</f>
        <v>0.13891409197268478</v>
      </c>
      <c r="AT50" s="39">
        <f t="shared" ref="AT50" si="488">+IF(AS47&lt;0,1-AT47/AS47,AT47/AS47-1)</f>
        <v>-4.4444444444444065E-2</v>
      </c>
      <c r="AU50" s="39">
        <f t="shared" ref="AU50" si="489">+IF(AT47&lt;0,1-AU47/AT47,AU47/AT47-1)</f>
        <v>0.24725756910925867</v>
      </c>
      <c r="AV50" s="39">
        <f t="shared" ref="AV50" si="490">+IF(AU47&lt;0,1-AV47/AU47,AV47/AU47-1)</f>
        <v>-0.40812664907651708</v>
      </c>
      <c r="AW50" s="39">
        <f t="shared" ref="AW50" si="491">+IF(AV47&lt;0,1-AW47/AV47,AW47/AV47-1)</f>
        <v>8.7256300523061547E-2</v>
      </c>
      <c r="AX50" s="39">
        <f t="shared" ref="AX50" si="492">+IF(AW47&lt;0,1-AX47/AW47,AX47/AW47-1)</f>
        <v>0.72228296523070301</v>
      </c>
      <c r="AY50" s="39">
        <f t="shared" ref="AY50" si="493">+IF(AX47&lt;0,1-AY47/AX47,AY47/AX47-1)</f>
        <v>-0.22067039106145225</v>
      </c>
      <c r="AZ50" s="39">
        <f t="shared" ref="AZ50" si="494">+IF(AY47&lt;0,1-AZ47/AY47,AZ47/AY47-1)</f>
        <v>-0.15864288041707408</v>
      </c>
      <c r="BA50" s="39">
        <f t="shared" ref="BA50" si="495">+IF(AZ47&lt;0,1-BA47/AZ47,BA47/AZ47-1)</f>
        <v>0.13845185651353065</v>
      </c>
      <c r="BB50" s="39">
        <f t="shared" ref="BB50" si="496">+IF(BA47&lt;0,1-BB47/BA47,BB47/BA47-1)</f>
        <v>0.14236509758897764</v>
      </c>
      <c r="BC50" s="39">
        <f t="shared" ref="BC50" si="497">+IF(BB47&lt;0,1-BC47/BB47,BC47/BB47-1)</f>
        <v>-0.36757863391029122</v>
      </c>
      <c r="BD50" s="39">
        <f t="shared" ref="BD50" si="498">+IF(BC47&lt;0,1-BD47/BC47,BD47/BC47-1)</f>
        <v>0.29758681577398316</v>
      </c>
      <c r="BE50" s="39">
        <f t="shared" ref="BE50" si="499">+IF(BD47&lt;0,1-BE47/BD47,BE47/BD47-1)</f>
        <v>0.14528712691644641</v>
      </c>
      <c r="BF50" s="39">
        <f t="shared" ref="BF50" si="500">+IF(BE47&lt;0,1-BF47/BE47,BF47/BE47-1)</f>
        <v>0.60109311259851883</v>
      </c>
      <c r="BG50" s="39">
        <f t="shared" ref="BG50" si="501">+IF(BF47&lt;0,1-BG47/BF47,BG47/BF47-1)</f>
        <v>-0.12130806906446345</v>
      </c>
      <c r="BH50" s="39">
        <f t="shared" ref="BH50" si="502">+IF(BG47&lt;0,1-BH47/BG47,BH47/BG47-1)</f>
        <v>-2.8264174314509227E-2</v>
      </c>
      <c r="BI50" s="39">
        <f t="shared" ref="BI50" si="503">+IF(BH47&lt;0,1-BI47/BH47,BI47/BH47-1)</f>
        <v>6.1764876296424465E-2</v>
      </c>
      <c r="BJ50" s="39">
        <f t="shared" ref="BJ50" si="504">+IF(BI47&lt;0,1-BJ47/BI47,BJ47/BI47-1)</f>
        <v>0.11364256480218304</v>
      </c>
      <c r="BK50" s="39">
        <f t="shared" ref="BK50" si="505">+IF(BJ47&lt;0,1-BK47/BJ47,BK47/BJ47-1)</f>
        <v>-2.8812936420433699E-2</v>
      </c>
      <c r="BL50" s="39">
        <f t="shared" ref="BL50" si="506">+IF(BK47&lt;0,1-BL47/BK47,BL47/BK47-1)</f>
        <v>-0.13809631928151578</v>
      </c>
      <c r="BM50" s="39">
        <f t="shared" ref="BM50" si="507">+IF(BL47&lt;0,1-BM47/BL47,BM47/BL47-1)</f>
        <v>0.1111956680813706</v>
      </c>
      <c r="BN50" s="39">
        <f t="shared" ref="BN50" si="508">+IF(BM47&lt;0,1-BN47/BM47,BN47/BM47-1)</f>
        <v>3.966916025708489E-2</v>
      </c>
      <c r="BO50" s="39">
        <f t="shared" ref="BO50" si="509">+IF(BN47&lt;0,1-BO47/BN47,BO47/BN47-1)</f>
        <v>-0.53524195591588541</v>
      </c>
      <c r="BP50" s="39">
        <f t="shared" ref="BP50" si="510">+IF(BO47&lt;0,1-BP47/BO47,BP47/BO47-1)</f>
        <v>0.50632359354557477</v>
      </c>
      <c r="BQ50" s="39">
        <f t="shared" ref="BQ50" si="511">+IF(BP47&lt;0,1-BQ47/BP47,BQ47/BP47-1)</f>
        <v>0.11584394904458417</v>
      </c>
      <c r="BR50" s="39">
        <f t="shared" ref="BR50" si="512">+IF(BQ47&lt;0,1-BR47/BQ47,BR47/BQ47-1)</f>
        <v>0.54049232964680716</v>
      </c>
      <c r="BS50" s="39">
        <f t="shared" ref="BS50" si="513">+IF(BR47&lt;0,1-BS47/BR47,BS47/BR47-1)</f>
        <v>-0.11855236009937187</v>
      </c>
      <c r="BT50" s="39">
        <f t="shared" ref="BT50" si="514">+IF(BS47&lt;0,1-BT47/BS47,BT47/BS47-1)</f>
        <v>-9.6806554087945362E-2</v>
      </c>
      <c r="BU50" s="39">
        <f t="shared" ref="BU50" si="515">+IF(BT47&lt;0,1-BU47/BT47,BU47/BT47-1)</f>
        <v>-0.4589041095890406</v>
      </c>
      <c r="BV50" s="39">
        <f t="shared" ref="BV50" si="516">+IF(BU47&lt;0,1-BV47/BU47,BV47/BU47-1)</f>
        <v>0.95791994526171464</v>
      </c>
      <c r="BW50" s="39">
        <f t="shared" ref="BW50" si="517">+IF(BV47&lt;0,1-BW47/BV47,BW47/BV47-1)</f>
        <v>-0.40475774443972878</v>
      </c>
      <c r="BX50" s="39">
        <f t="shared" ref="BX50" si="518">+IF(BW47&lt;0,1-BX47/BW47,BX47/BW47-1)</f>
        <v>0.38954122284659931</v>
      </c>
      <c r="BY50" s="39">
        <f t="shared" ref="BY50" si="519">+IF(BX47&lt;0,1-BY47/BX47,BY47/BX47-1)</f>
        <v>0.494431869624262</v>
      </c>
      <c r="BZ50" s="39">
        <f t="shared" ref="BZ50" si="520">+IF(BY47&lt;0,1-BZ47/BY47,BZ47/BY47-1)</f>
        <v>0.21151904358011397</v>
      </c>
      <c r="CA50" s="39">
        <f t="shared" ref="CA50" si="521">+IF(BZ47&lt;0,1-CA47/BZ47,CA47/BZ47-1)</f>
        <v>1.29017202293642E-2</v>
      </c>
      <c r="CB50" s="39">
        <f t="shared" ref="CB50" si="522">+IF(CA47&lt;0,1-CB47/CA47,CB47/CA47-1)</f>
        <v>0.32315768686436375</v>
      </c>
      <c r="CC50" s="39">
        <f t="shared" ref="CC50" si="523">+IF(CB47&lt;0,1-CC47/CB47,CC47/CB47-1)</f>
        <v>0.22999141823066416</v>
      </c>
      <c r="CD50" s="39">
        <f t="shared" ref="CD50" si="524">+IF(CC47&lt;0,1-CD47/CC47,CD47/CC47-1)</f>
        <v>-6.9406946761717214E-2</v>
      </c>
      <c r="CE50" s="39">
        <f t="shared" ref="CE50" si="525">+IF(CD47&lt;0,1-CE47/CD47,CE47/CD47-1)</f>
        <v>-8.7742173832730974E-2</v>
      </c>
      <c r="CF50" s="39">
        <f t="shared" ref="CF50" si="526">+IF(CE47&lt;0,1-CF47/CE47,CF47/CE47-1)</f>
        <v>8.8796512458908072E-2</v>
      </c>
      <c r="CG50" s="39">
        <f t="shared" ref="CG50" si="527">+IF(CF47&lt;0,1-CG47/CF47,CG47/CF47-1)</f>
        <v>2.768813381321733E-2</v>
      </c>
      <c r="CH50" s="39">
        <f t="shared" ref="CH50:CI50" si="528">+IF(CG47&lt;0,1-CH47/CG47,CH47/CG47-1)</f>
        <v>-0.21636754593259733</v>
      </c>
      <c r="CI50" s="39">
        <f t="shared" si="528"/>
        <v>-8.9722342968919122E-2</v>
      </c>
      <c r="CJ50" s="39">
        <f>+IF(CI47&gt;1,CJ47/CI47-1,1-CJ47/CI47)</f>
        <v>-0.32679709301457949</v>
      </c>
      <c r="CK50" s="39">
        <f>+IF(CJ47&gt;1,CK47/CJ47-1,1-CK47/CJ47)</f>
        <v>0.35802003901400981</v>
      </c>
      <c r="CL50" s="39">
        <f>+IF(CK47&gt;1,CL47/CK47-1,1-CL47/CK47)</f>
        <v>-0.21505639619346228</v>
      </c>
      <c r="CM50" s="40">
        <f t="shared" ref="CM50" si="529">+CM47/CL47-1</f>
        <v>9.1398057223938789E-2</v>
      </c>
      <c r="CN50" s="40">
        <f t="shared" ref="CN50" si="530">+CN47/CM47-1</f>
        <v>5.4229047283200549E-2</v>
      </c>
      <c r="CO50" s="40">
        <f t="shared" ref="CO50" si="531">+CO47/CN47-1</f>
        <v>0.22628907293614775</v>
      </c>
      <c r="CP50" s="40">
        <f t="shared" ref="CP50" si="532">+CP47/CO47-1</f>
        <v>6.7102396514161056E-2</v>
      </c>
      <c r="CQ50" s="40">
        <f t="shared" ref="CQ50" si="533">+CQ47/CP47-1</f>
        <v>-8.8485095957533622E-2</v>
      </c>
      <c r="CR50" s="40">
        <f t="shared" ref="CR50" si="534">+CR47/CQ47-1</f>
        <v>-8.9436903641983756E-2</v>
      </c>
      <c r="CS50" s="40">
        <f t="shared" ref="CS50" si="535">+CS47/CR47-1</f>
        <v>0.22918357808771828</v>
      </c>
      <c r="CT50" s="40">
        <f t="shared" ref="CT50" si="536">+CT47/CS47-1</f>
        <v>6.780068040824494E-2</v>
      </c>
      <c r="CU50" s="40">
        <f t="shared" ref="CU50" si="537">+CU47/CT47-1</f>
        <v>-8.9347426815097886E-2</v>
      </c>
      <c r="CV50" s="40">
        <f t="shared" ref="CV50" si="538">+CV47/CU47-1</f>
        <v>-9.0394026828234497E-2</v>
      </c>
      <c r="CW50" s="40">
        <f t="shared" ref="CW50" si="539">+CW47/CV47-1</f>
        <v>0.23187995918395088</v>
      </c>
      <c r="CX50" s="40">
        <f t="shared" ref="CX50" si="540">+CX47/CW47-1</f>
        <v>6.8448215695997794E-2</v>
      </c>
      <c r="CY50" s="40">
        <f t="shared" ref="CY50" si="541">+CY47/CX47-1</f>
        <v>-9.0146079506582044E-2</v>
      </c>
      <c r="CZ50" s="40">
        <f t="shared" ref="CZ50" si="542">+CZ47/CY47-1</f>
        <v>-9.1282090230694779E-2</v>
      </c>
      <c r="DA50" s="40">
        <f t="shared" ref="DA50" si="543">+DA47/CZ47-1</f>
        <v>0.23438686701541234</v>
      </c>
      <c r="DB50" s="40">
        <f t="shared" ref="DB50" si="544">+DB47/DA47-1</f>
        <v>6.9047711283321656E-2</v>
      </c>
      <c r="DE50" s="122"/>
    </row>
    <row r="51" spans="1:110" s="23" customFormat="1" x14ac:dyDescent="0.2">
      <c r="A51" s="23" t="s">
        <v>15</v>
      </c>
      <c r="B51" s="23">
        <f>'Annual Raw'!C27</f>
        <v>0</v>
      </c>
      <c r="C51" s="23">
        <f>'Annual Raw'!D27</f>
        <v>0</v>
      </c>
      <c r="D51" s="23">
        <f>'Annual Raw'!E27</f>
        <v>0</v>
      </c>
      <c r="E51" s="23">
        <f>'Annual Raw'!F27</f>
        <v>0</v>
      </c>
      <c r="F51" s="23">
        <f>'Annual Raw'!G27</f>
        <v>0</v>
      </c>
      <c r="G51" s="23">
        <f>'Annual Raw'!H27</f>
        <v>0</v>
      </c>
      <c r="H51" s="23">
        <f>'Annual Raw'!I27</f>
        <v>0</v>
      </c>
      <c r="I51" s="23">
        <f>'Annual Raw'!J27</f>
        <v>0</v>
      </c>
      <c r="J51" s="23">
        <f>'Annual Raw'!K27</f>
        <v>0</v>
      </c>
      <c r="K51" s="23">
        <f>'Annual Raw'!L27</f>
        <v>158.5461</v>
      </c>
      <c r="L51" s="23">
        <f>'Annual Raw'!M27</f>
        <v>163.7826</v>
      </c>
      <c r="M51" s="23">
        <f>'Annual Raw'!N27</f>
        <v>181.7663</v>
      </c>
      <c r="N51" s="23">
        <f>'Annual Raw'!O27</f>
        <v>218.99180000000001</v>
      </c>
      <c r="O51" s="23">
        <f>'Annual Raw'!P27</f>
        <v>321.2833</v>
      </c>
      <c r="P51" s="23">
        <f>'Annual Raw'!Q27</f>
        <v>335.48349999999999</v>
      </c>
      <c r="Q51" s="23">
        <f>'Annual Raw'!R27</f>
        <v>327.93540000000002</v>
      </c>
      <c r="R51" s="23">
        <f>'Annual Raw'!S27</f>
        <v>337.40530000000001</v>
      </c>
      <c r="S51" s="23">
        <f>'Annual Raw'!T27</f>
        <v>363.4821</v>
      </c>
      <c r="T51" s="23">
        <f>'Annual Raw'!U27</f>
        <v>396.2817</v>
      </c>
      <c r="U51" s="23">
        <f>'Annual Raw'!V27</f>
        <v>421.6721</v>
      </c>
      <c r="V51" s="23">
        <f>'Annual Raw'!W27</f>
        <v>458.8723</v>
      </c>
      <c r="W51" s="23">
        <f>'Annual Raw'!X27</f>
        <v>472.98779999999999</v>
      </c>
      <c r="X51" s="23">
        <f>'Annual Raw'!Y27</f>
        <v>470.3338</v>
      </c>
      <c r="Y51" s="23">
        <f>'Annual Raw'!Z27</f>
        <v>567.98689999999999</v>
      </c>
      <c r="Z51" s="23">
        <f>'Annual Raw'!AA27</f>
        <v>602.05970000000002</v>
      </c>
      <c r="AA51" s="23">
        <f>'Annual Raw'!AB27</f>
        <v>630.49109999999996</v>
      </c>
      <c r="AB51" s="76">
        <f>+SUM(CM51:CP51)</f>
        <v>723.69310641975164</v>
      </c>
      <c r="AC51" s="76">
        <f>+SUM(CQ51:CT51)</f>
        <v>757.58318429574092</v>
      </c>
      <c r="AD51" s="76">
        <f>+SUM(CU51:CX51)</f>
        <v>789.0619231927634</v>
      </c>
      <c r="AE51" s="76">
        <f>+SUM(CY51:DB51)</f>
        <v>818.30089414387373</v>
      </c>
      <c r="AI51" s="23">
        <f>'QTR Raw'!C28</f>
        <v>38.71</v>
      </c>
      <c r="AJ51" s="23">
        <f>'QTR Raw'!D28</f>
        <v>41.56</v>
      </c>
      <c r="AK51" s="23">
        <f>'QTR Raw'!E28</f>
        <v>38.630000000000003</v>
      </c>
      <c r="AL51" s="23">
        <f>'QTR Raw'!F28</f>
        <v>36.049999999999997</v>
      </c>
      <c r="AM51" s="23">
        <f>'QTR Raw'!G28</f>
        <v>45.39</v>
      </c>
      <c r="AN51" s="23">
        <f>'QTR Raw'!H28</f>
        <v>51.26</v>
      </c>
      <c r="AO51" s="23">
        <f>'QTR Raw'!I28</f>
        <v>53.86</v>
      </c>
      <c r="AP51" s="23">
        <f>'QTR Raw'!J28</f>
        <v>62.24</v>
      </c>
      <c r="AQ51" s="23">
        <f>'QTR Raw'!K28</f>
        <v>62.07</v>
      </c>
      <c r="AR51" s="23">
        <f>'QTR Raw'!L28</f>
        <v>63.05</v>
      </c>
      <c r="AS51" s="23">
        <f>'QTR Raw'!M28</f>
        <v>62.05</v>
      </c>
      <c r="AT51" s="23">
        <f>'QTR Raw'!N28</f>
        <v>53.37</v>
      </c>
      <c r="AU51" s="23">
        <f>'QTR Raw'!O28</f>
        <v>54.17</v>
      </c>
      <c r="AV51" s="23">
        <f>'QTR Raw'!P28</f>
        <v>56.26</v>
      </c>
      <c r="AW51" s="23">
        <f>'QTR Raw'!Q28</f>
        <v>56.92</v>
      </c>
      <c r="AX51" s="23">
        <f>'QTR Raw'!R28</f>
        <v>59.86</v>
      </c>
      <c r="AY51" s="23">
        <f>'QTR Raw'!S28</f>
        <v>57.85</v>
      </c>
      <c r="AZ51" s="23">
        <f>'QTR Raw'!T28</f>
        <v>58.41</v>
      </c>
      <c r="BA51" s="23">
        <f>'QTR Raw'!U28</f>
        <v>57.12</v>
      </c>
      <c r="BB51" s="23">
        <f>'QTR Raw'!V28</f>
        <v>64.930000000000007</v>
      </c>
      <c r="BC51" s="23">
        <f>'QTR Raw'!W28</f>
        <v>60.81</v>
      </c>
      <c r="BD51" s="23">
        <f>'QTR Raw'!X28</f>
        <v>67.86</v>
      </c>
      <c r="BE51" s="23">
        <f>'QTR Raw'!Y28</f>
        <v>61.64</v>
      </c>
      <c r="BF51" s="23">
        <f>'QTR Raw'!Z28</f>
        <v>65.86</v>
      </c>
      <c r="BG51" s="23">
        <f>'QTR Raw'!AA28</f>
        <v>93.17</v>
      </c>
      <c r="BH51" s="23">
        <f>'QTR Raw'!AB28</f>
        <v>100.49</v>
      </c>
      <c r="BI51" s="23">
        <f>'QTR Raw'!AC28</f>
        <v>102.93</v>
      </c>
      <c r="BJ51" s="23">
        <f>'QTR Raw'!AD28</f>
        <v>99.69</v>
      </c>
      <c r="BK51" s="23">
        <f>'QTR Raw'!AE28</f>
        <v>100.21</v>
      </c>
      <c r="BL51" s="23">
        <f>'QTR Raw'!AF28</f>
        <v>100.73</v>
      </c>
      <c r="BM51" s="23">
        <f>'QTR Raw'!AG28</f>
        <v>102.18</v>
      </c>
      <c r="BN51" s="23">
        <f>'QTR Raw'!AH28</f>
        <v>118.55</v>
      </c>
      <c r="BO51" s="23">
        <f>'QTR Raw'!AI28</f>
        <v>107.51</v>
      </c>
      <c r="BP51" s="23">
        <f>'QTR Raw'!AJ28</f>
        <v>113.47</v>
      </c>
      <c r="BQ51" s="23">
        <f>'QTR Raw'!AK28</f>
        <v>113.37</v>
      </c>
      <c r="BR51" s="23">
        <f>'QTR Raw'!AL28</f>
        <v>124.52</v>
      </c>
      <c r="BS51" s="23">
        <f>'QTR Raw'!AM28</f>
        <v>112.24</v>
      </c>
      <c r="BT51" s="23">
        <f>'QTR Raw'!AN28</f>
        <v>120.1</v>
      </c>
      <c r="BU51" s="23">
        <f>'QTR Raw'!AO28</f>
        <v>122.2</v>
      </c>
      <c r="BV51" s="23">
        <f>'QTR Raw'!AP28</f>
        <v>118.45</v>
      </c>
      <c r="BW51" s="23">
        <f>'QTR Raw'!AQ28</f>
        <v>109.77</v>
      </c>
      <c r="BX51" s="23">
        <f>'QTR Raw'!AR28</f>
        <v>117.27</v>
      </c>
      <c r="BY51" s="23">
        <f>'QTR Raw'!AS28</f>
        <v>118.1</v>
      </c>
      <c r="BZ51" s="23">
        <f>'QTR Raw'!AT28</f>
        <v>125.54</v>
      </c>
      <c r="CA51" s="23">
        <f>'QTR Raw'!AU28</f>
        <v>131.57</v>
      </c>
      <c r="CB51" s="23">
        <f>'QTR Raw'!AV28</f>
        <v>141.01</v>
      </c>
      <c r="CC51" s="23">
        <f>'QTR Raw'!AW28</f>
        <v>146.80000000000001</v>
      </c>
      <c r="CD51" s="23">
        <f>'QTR Raw'!AX28</f>
        <v>148.61000000000001</v>
      </c>
      <c r="CE51" s="23">
        <f>'QTR Raw'!AY28</f>
        <v>148.1</v>
      </c>
      <c r="CF51" s="23">
        <f>'QTR Raw'!AZ28</f>
        <v>150.69</v>
      </c>
      <c r="CG51" s="23">
        <f>'QTR Raw'!BA28</f>
        <v>150.65</v>
      </c>
      <c r="CH51" s="23">
        <f>'QTR Raw'!BB28</f>
        <v>152.62</v>
      </c>
      <c r="CI51" s="23">
        <f>'QTR Raw'!BC28</f>
        <v>153.33000000000001</v>
      </c>
      <c r="CJ51" s="23">
        <f>'QTR Raw'!BD28</f>
        <v>155.51</v>
      </c>
      <c r="CK51" s="23">
        <f>'QTR Raw'!BE28</f>
        <v>154.91</v>
      </c>
      <c r="CL51" s="23">
        <f>'QTR Raw'!BF28</f>
        <v>166.74</v>
      </c>
      <c r="CM51" s="24">
        <f t="shared" ref="CM51:DB51" si="545">CM52*CL153</f>
        <v>177.60739620671927</v>
      </c>
      <c r="CN51" s="24">
        <f t="shared" si="545"/>
        <v>179.84513391797549</v>
      </c>
      <c r="CO51" s="24">
        <f t="shared" si="545"/>
        <v>182.04195845385033</v>
      </c>
      <c r="CP51" s="24">
        <f t="shared" si="545"/>
        <v>184.19861784120653</v>
      </c>
      <c r="CQ51" s="24">
        <f t="shared" si="545"/>
        <v>186.31584643052554</v>
      </c>
      <c r="CR51" s="24">
        <f t="shared" si="545"/>
        <v>188.39436514595647</v>
      </c>
      <c r="CS51" s="24">
        <f t="shared" si="545"/>
        <v>190.43488173079353</v>
      </c>
      <c r="CT51" s="24">
        <f t="shared" si="545"/>
        <v>192.43809098846532</v>
      </c>
      <c r="CU51" s="24">
        <f t="shared" si="545"/>
        <v>194.40467501911763</v>
      </c>
      <c r="CV51" s="24">
        <f t="shared" si="545"/>
        <v>196.33530345187143</v>
      </c>
      <c r="CW51" s="24">
        <f t="shared" si="545"/>
        <v>198.23063367283382</v>
      </c>
      <c r="CX51" s="24">
        <f t="shared" si="545"/>
        <v>200.09131104894053</v>
      </c>
      <c r="CY51" s="24">
        <f t="shared" si="545"/>
        <v>201.91796914770569</v>
      </c>
      <c r="CZ51" s="24">
        <f t="shared" si="545"/>
        <v>203.711229952954</v>
      </c>
      <c r="DA51" s="24">
        <f t="shared" si="545"/>
        <v>205.47170407660838</v>
      </c>
      <c r="DB51" s="24">
        <f t="shared" si="545"/>
        <v>207.19999096660567</v>
      </c>
      <c r="DE51" s="123"/>
      <c r="DF51" s="23">
        <v>630.49109999999996</v>
      </c>
    </row>
    <row r="52" spans="1:110" s="46" customFormat="1" x14ac:dyDescent="0.2">
      <c r="A52" s="46" t="s">
        <v>483</v>
      </c>
      <c r="B52" s="46" t="e">
        <f t="shared" ref="B52:D52" si="546">+B51/B153</f>
        <v>#DIV/0!</v>
      </c>
      <c r="C52" s="46" t="e">
        <f t="shared" si="546"/>
        <v>#DIV/0!</v>
      </c>
      <c r="D52" s="46" t="e">
        <f t="shared" si="546"/>
        <v>#DIV/0!</v>
      </c>
      <c r="E52" s="46" t="e">
        <f t="shared" ref="E52:AE52" si="547">+E51/E153</f>
        <v>#DIV/0!</v>
      </c>
      <c r="F52" s="46" t="e">
        <f t="shared" si="547"/>
        <v>#DIV/0!</v>
      </c>
      <c r="G52" s="46" t="e">
        <f t="shared" si="547"/>
        <v>#DIV/0!</v>
      </c>
      <c r="H52" s="46" t="e">
        <f t="shared" si="547"/>
        <v>#DIV/0!</v>
      </c>
      <c r="I52" s="46" t="e">
        <f t="shared" si="547"/>
        <v>#DIV/0!</v>
      </c>
      <c r="J52" s="46" t="e">
        <f t="shared" si="547"/>
        <v>#DIV/0!</v>
      </c>
      <c r="K52" s="46">
        <f t="shared" si="547"/>
        <v>6.6715128022137096E-2</v>
      </c>
      <c r="L52" s="46">
        <f t="shared" si="547"/>
        <v>6.684055764169948E-2</v>
      </c>
      <c r="M52" s="46">
        <f t="shared" si="547"/>
        <v>6.8672113019741299E-2</v>
      </c>
      <c r="N52" s="46">
        <f t="shared" si="547"/>
        <v>5.3498968432863218E-2</v>
      </c>
      <c r="O52" s="46">
        <f t="shared" si="547"/>
        <v>5.6470004326955578E-2</v>
      </c>
      <c r="P52" s="46">
        <f t="shared" si="547"/>
        <v>4.0787529582443534E-2</v>
      </c>
      <c r="Q52" s="46">
        <f t="shared" si="547"/>
        <v>4.1145729279009786E-2</v>
      </c>
      <c r="R52" s="46">
        <f t="shared" si="547"/>
        <v>4.5260983825797477E-2</v>
      </c>
      <c r="S52" s="46">
        <f t="shared" si="547"/>
        <v>5.104948657908915E-2</v>
      </c>
      <c r="T52" s="46">
        <f t="shared" si="547"/>
        <v>5.5325149105230405E-2</v>
      </c>
      <c r="U52" s="46">
        <f t="shared" si="547"/>
        <v>5.6288803816614726E-2</v>
      </c>
      <c r="V52" s="46">
        <f t="shared" si="547"/>
        <v>6.2725382116186057E-2</v>
      </c>
      <c r="W52" s="46">
        <f t="shared" si="547"/>
        <v>6.4292954857270448E-2</v>
      </c>
      <c r="X52" s="46">
        <f t="shared" si="547"/>
        <v>6.3361000373914858E-2</v>
      </c>
      <c r="Y52" s="46">
        <f t="shared" si="547"/>
        <v>6.4603802244383307E-2</v>
      </c>
      <c r="Z52" s="46">
        <f t="shared" si="547"/>
        <v>6.4877386409209883E-2</v>
      </c>
      <c r="AA52" s="46">
        <f t="shared" ref="AA52" si="548">+AA51/AA153</f>
        <v>6.0931857139924744E-2</v>
      </c>
      <c r="AB52" s="110">
        <f t="shared" si="547"/>
        <v>7.1016399279967057E-2</v>
      </c>
      <c r="AC52" s="110">
        <f t="shared" si="547"/>
        <v>7.1248812180814469E-2</v>
      </c>
      <c r="AD52" s="110">
        <f t="shared" si="547"/>
        <v>7.1448007814302841E-2</v>
      </c>
      <c r="AE52" s="110">
        <f t="shared" si="547"/>
        <v>7.1620194569228454E-2</v>
      </c>
      <c r="AI52" s="46" t="e">
        <f t="shared" ref="AI52:BN52" si="549">+AI51/AH153</f>
        <v>#DIV/0!</v>
      </c>
      <c r="AJ52" s="46" t="e">
        <f t="shared" si="549"/>
        <v>#DIV/0!</v>
      </c>
      <c r="AK52" s="46">
        <f t="shared" si="549"/>
        <v>1.2109034599928532E-2</v>
      </c>
      <c r="AL52" s="46">
        <f t="shared" si="549"/>
        <v>1.1300302804230482E-2</v>
      </c>
      <c r="AM52" s="46">
        <f t="shared" si="549"/>
        <v>8.2480783558358008E-3</v>
      </c>
      <c r="AN52" s="46">
        <f t="shared" si="549"/>
        <v>9.3147498682560736E-3</v>
      </c>
      <c r="AO52" s="46">
        <f t="shared" si="549"/>
        <v>1.4400337950745818E-2</v>
      </c>
      <c r="AP52" s="46">
        <f t="shared" si="549"/>
        <v>1.6640865838366499E-2</v>
      </c>
      <c r="AQ52" s="46">
        <f t="shared" si="549"/>
        <v>1.0289863481511568E-2</v>
      </c>
      <c r="AR52" s="46">
        <f t="shared" si="549"/>
        <v>1.0452326284989598E-2</v>
      </c>
      <c r="AS52" s="46">
        <f t="shared" si="549"/>
        <v>1.6526174210645464E-2</v>
      </c>
      <c r="AT52" s="46">
        <f t="shared" si="549"/>
        <v>1.4214374176021732E-2</v>
      </c>
      <c r="AU52" s="46">
        <f t="shared" si="549"/>
        <v>6.5638249275095399E-3</v>
      </c>
      <c r="AV52" s="46">
        <f t="shared" si="549"/>
        <v>6.8170720033540093E-3</v>
      </c>
      <c r="AW52" s="46">
        <f t="shared" si="549"/>
        <v>1.4530416358205907E-2</v>
      </c>
      <c r="AX52" s="46">
        <f t="shared" si="549"/>
        <v>1.5280933295892578E-2</v>
      </c>
      <c r="AY52" s="46">
        <f t="shared" si="549"/>
        <v>7.2583781884794415E-3</v>
      </c>
      <c r="AZ52" s="46">
        <f t="shared" si="549"/>
        <v>7.3286407949712043E-3</v>
      </c>
      <c r="BA52" s="46">
        <f t="shared" si="549"/>
        <v>1.0079300377973763E-2</v>
      </c>
      <c r="BB52" s="46">
        <f t="shared" si="549"/>
        <v>1.1457440012987334E-2</v>
      </c>
      <c r="BC52" s="46">
        <f t="shared" si="549"/>
        <v>8.157313680301986E-3</v>
      </c>
      <c r="BD52" s="46">
        <f t="shared" si="549"/>
        <v>9.1030308558673369E-3</v>
      </c>
      <c r="BE52" s="46">
        <f t="shared" si="549"/>
        <v>1.0868702755790971E-2</v>
      </c>
      <c r="BF52" s="46">
        <f t="shared" si="549"/>
        <v>1.1612796292933051E-2</v>
      </c>
      <c r="BG52" s="46">
        <f t="shared" si="549"/>
        <v>1.3085324970260626E-2</v>
      </c>
      <c r="BH52" s="46">
        <f t="shared" si="549"/>
        <v>1.4113387423650212E-2</v>
      </c>
      <c r="BI52" s="46">
        <f t="shared" si="549"/>
        <v>1.8511924031509659E-2</v>
      </c>
      <c r="BJ52" s="46">
        <f t="shared" si="549"/>
        <v>1.7929211179453976E-2</v>
      </c>
      <c r="BK52" s="46">
        <f t="shared" si="549"/>
        <v>1.3990378037577588E-2</v>
      </c>
      <c r="BL52" s="46">
        <f t="shared" si="549"/>
        <v>1.4062975548599846E-2</v>
      </c>
      <c r="BM52" s="46">
        <f t="shared" si="549"/>
        <v>1.4535532962429248E-2</v>
      </c>
      <c r="BN52" s="46">
        <f t="shared" si="549"/>
        <v>1.6864234025210287E-2</v>
      </c>
      <c r="BO52" s="46">
        <f t="shared" ref="BO52:CL52" si="550">+BO51/BN153</f>
        <v>1.4898608807238251E-2</v>
      </c>
      <c r="BP52" s="46">
        <f t="shared" si="550"/>
        <v>1.5724538567178162E-2</v>
      </c>
      <c r="BQ52" s="46">
        <f t="shared" si="550"/>
        <v>1.5970867289798622E-2</v>
      </c>
      <c r="BR52" s="46">
        <f t="shared" si="550"/>
        <v>1.754161061061766E-2</v>
      </c>
      <c r="BS52" s="46">
        <f t="shared" si="550"/>
        <v>1.5875440591566668E-2</v>
      </c>
      <c r="BT52" s="46">
        <f t="shared" si="550"/>
        <v>1.6987174047105816E-2</v>
      </c>
      <c r="BU52" s="46">
        <f t="shared" si="550"/>
        <v>1.7385440333937036E-2</v>
      </c>
      <c r="BV52" s="46">
        <f t="shared" si="550"/>
        <v>1.685192641206908E-2</v>
      </c>
      <c r="BW52" s="46">
        <f t="shared" si="550"/>
        <v>1.5411593584329229E-2</v>
      </c>
      <c r="BX52" s="46">
        <f t="shared" si="550"/>
        <v>1.6464585766915264E-2</v>
      </c>
      <c r="BY52" s="46">
        <f t="shared" si="550"/>
        <v>1.6621465475625836E-2</v>
      </c>
      <c r="BZ52" s="46">
        <f t="shared" si="550"/>
        <v>1.7668575578408702E-2</v>
      </c>
      <c r="CA52" s="46">
        <f t="shared" si="550"/>
        <v>1.8172852738704295E-2</v>
      </c>
      <c r="CB52" s="46">
        <f t="shared" si="550"/>
        <v>1.9476734549553031E-2</v>
      </c>
      <c r="CC52" s="46">
        <f t="shared" si="550"/>
        <v>1.7205692411914594E-2</v>
      </c>
      <c r="CD52" s="46">
        <f t="shared" si="550"/>
        <v>1.7417833442333976E-2</v>
      </c>
      <c r="CE52" s="46">
        <f t="shared" si="550"/>
        <v>1.7185520067953011E-2</v>
      </c>
      <c r="CF52" s="46">
        <f t="shared" si="550"/>
        <v>1.748606359918865E-2</v>
      </c>
      <c r="CG52" s="46">
        <f t="shared" si="550"/>
        <v>1.7598044999129734E-2</v>
      </c>
      <c r="CH52" s="46">
        <f t="shared" si="550"/>
        <v>1.7828168787037371E-2</v>
      </c>
      <c r="CI52" s="46">
        <f t="shared" si="550"/>
        <v>1.6522696433799094E-2</v>
      </c>
      <c r="CJ52" s="46">
        <f t="shared" si="550"/>
        <v>1.7039143781436231E-2</v>
      </c>
      <c r="CK52" s="46">
        <f t="shared" si="550"/>
        <v>1.6702391015577831E-2</v>
      </c>
      <c r="CL52" s="46">
        <f t="shared" si="550"/>
        <v>1.828327563841791E-2</v>
      </c>
      <c r="CM52" s="47">
        <f t="shared" ref="CM52" si="551">CL52</f>
        <v>1.828327563841791E-2</v>
      </c>
      <c r="CN52" s="47">
        <f t="shared" ref="CN52" si="552">CM52</f>
        <v>1.828327563841791E-2</v>
      </c>
      <c r="CO52" s="47">
        <f t="shared" ref="CO52" si="553">CN52</f>
        <v>1.828327563841791E-2</v>
      </c>
      <c r="CP52" s="47">
        <f t="shared" ref="CP52" si="554">CO52</f>
        <v>1.828327563841791E-2</v>
      </c>
      <c r="CQ52" s="47">
        <f t="shared" ref="CQ52" si="555">CP52</f>
        <v>1.828327563841791E-2</v>
      </c>
      <c r="CR52" s="47">
        <f t="shared" ref="CR52" si="556">CQ52</f>
        <v>1.828327563841791E-2</v>
      </c>
      <c r="CS52" s="47">
        <f t="shared" ref="CS52" si="557">CR52</f>
        <v>1.828327563841791E-2</v>
      </c>
      <c r="CT52" s="47">
        <f t="shared" ref="CT52" si="558">CS52</f>
        <v>1.828327563841791E-2</v>
      </c>
      <c r="CU52" s="47">
        <f t="shared" ref="CU52" si="559">CT52</f>
        <v>1.828327563841791E-2</v>
      </c>
      <c r="CV52" s="47">
        <f t="shared" ref="CV52" si="560">CU52</f>
        <v>1.828327563841791E-2</v>
      </c>
      <c r="CW52" s="47">
        <f t="shared" ref="CW52" si="561">CV52</f>
        <v>1.828327563841791E-2</v>
      </c>
      <c r="CX52" s="47">
        <f t="shared" ref="CX52" si="562">CW52</f>
        <v>1.828327563841791E-2</v>
      </c>
      <c r="CY52" s="47">
        <f t="shared" ref="CY52" si="563">CX52</f>
        <v>1.828327563841791E-2</v>
      </c>
      <c r="CZ52" s="47">
        <f t="shared" ref="CZ52" si="564">CY52</f>
        <v>1.828327563841791E-2</v>
      </c>
      <c r="DA52" s="47">
        <f t="shared" ref="DA52" si="565">CZ52</f>
        <v>1.828327563841791E-2</v>
      </c>
      <c r="DB52" s="47">
        <f t="shared" ref="DB52" si="566">DA52</f>
        <v>1.828327563841791E-2</v>
      </c>
      <c r="DE52" s="130"/>
      <c r="DF52" s="46">
        <v>6.0931857139924744E-2</v>
      </c>
    </row>
    <row r="53" spans="1:110" s="26" customFormat="1" x14ac:dyDescent="0.2">
      <c r="A53" s="34" t="s">
        <v>16</v>
      </c>
      <c r="B53" s="26">
        <f>B47-B51</f>
        <v>0</v>
      </c>
      <c r="C53" s="26">
        <f t="shared" ref="C53:T53" si="567">C47-C51</f>
        <v>0</v>
      </c>
      <c r="D53" s="26">
        <f>D47-D51</f>
        <v>0</v>
      </c>
      <c r="E53" s="26">
        <f t="shared" si="567"/>
        <v>0</v>
      </c>
      <c r="F53" s="26">
        <f t="shared" si="567"/>
        <v>0</v>
      </c>
      <c r="G53" s="26">
        <f t="shared" si="567"/>
        <v>0</v>
      </c>
      <c r="H53" s="26">
        <f t="shared" si="567"/>
        <v>0</v>
      </c>
      <c r="I53" s="26">
        <f t="shared" si="567"/>
        <v>0</v>
      </c>
      <c r="J53" s="26">
        <f t="shared" si="567"/>
        <v>0</v>
      </c>
      <c r="K53" s="26">
        <f t="shared" si="567"/>
        <v>1086.4467000000004</v>
      </c>
      <c r="L53" s="26">
        <f t="shared" si="567"/>
        <v>697.66220000000089</v>
      </c>
      <c r="M53" s="26">
        <f t="shared" si="567"/>
        <v>486.6203000000005</v>
      </c>
      <c r="N53" s="26">
        <f t="shared" si="567"/>
        <v>384.68669999999975</v>
      </c>
      <c r="O53" s="26">
        <f t="shared" si="567"/>
        <v>318.72820000000053</v>
      </c>
      <c r="P53" s="26">
        <f t="shared" si="567"/>
        <v>472.83980000000184</v>
      </c>
      <c r="Q53" s="26">
        <f t="shared" si="567"/>
        <v>342.5037000000014</v>
      </c>
      <c r="R53" s="26">
        <f t="shared" si="567"/>
        <v>385.26680000000022</v>
      </c>
      <c r="S53" s="26">
        <f t="shared" si="567"/>
        <v>632.47590000000059</v>
      </c>
      <c r="T53" s="26">
        <f t="shared" si="567"/>
        <v>1035.6728999999987</v>
      </c>
      <c r="U53" s="26">
        <f t="shared" ref="U53:Z53" si="568">U47-U51</f>
        <v>1042.3001999999999</v>
      </c>
      <c r="V53" s="26">
        <f t="shared" si="568"/>
        <v>726.05809999999929</v>
      </c>
      <c r="W53" s="26">
        <f t="shared" si="568"/>
        <v>882.40499999999872</v>
      </c>
      <c r="X53" s="26">
        <f t="shared" si="568"/>
        <v>1133.876499999998</v>
      </c>
      <c r="Y53" s="26">
        <f t="shared" si="568"/>
        <v>2608.6952000000019</v>
      </c>
      <c r="Z53" s="26">
        <f t="shared" si="568"/>
        <v>2736.0499999999993</v>
      </c>
      <c r="AA53" s="26">
        <f t="shared" ref="AA53" si="569">AA47-AA51</f>
        <v>1531.2416999999998</v>
      </c>
      <c r="AB53" s="27">
        <f t="shared" ref="AB53:AD53" si="570">AB47-AB51</f>
        <v>1756.9531177954941</v>
      </c>
      <c r="AC53" s="27">
        <f t="shared" si="570"/>
        <v>2030.7129717580715</v>
      </c>
      <c r="AD53" s="27">
        <f t="shared" si="570"/>
        <v>2247.3171578834667</v>
      </c>
      <c r="AE53" s="27">
        <f t="shared" ref="AE53" si="571">AE47-AE51</f>
        <v>2490.9694044570224</v>
      </c>
      <c r="AI53" s="26">
        <f t="shared" ref="AI53" si="572">AI47-AI51</f>
        <v>121.52999999999977</v>
      </c>
      <c r="AJ53" s="26">
        <f t="shared" ref="AJ53" si="573">AJ47-AJ51</f>
        <v>156.29000000000013</v>
      </c>
      <c r="AK53" s="26">
        <f t="shared" ref="AK53:AM53" si="574">AK47-AK51</f>
        <v>119.93000000000006</v>
      </c>
      <c r="AL53" s="26">
        <f t="shared" si="574"/>
        <v>66.909999999999926</v>
      </c>
      <c r="AM53" s="26">
        <f t="shared" si="574"/>
        <v>96.970000000000013</v>
      </c>
      <c r="AN53" s="26">
        <f t="shared" ref="AN53:AO53" si="575">AN47-AN51</f>
        <v>96.939999999999941</v>
      </c>
      <c r="AO53" s="26">
        <f t="shared" si="575"/>
        <v>111.87000000000008</v>
      </c>
      <c r="AP53" s="26">
        <f t="shared" ref="AP53:CD53" si="576">AP47-AP51</f>
        <v>100.47000000000025</v>
      </c>
      <c r="AQ53" s="26">
        <f t="shared" si="576"/>
        <v>99.770000000000039</v>
      </c>
      <c r="AR53" s="26">
        <f t="shared" si="576"/>
        <v>146.35999999999996</v>
      </c>
      <c r="AS53" s="26">
        <f t="shared" si="576"/>
        <v>176.44999999999987</v>
      </c>
      <c r="AT53" s="26">
        <f t="shared" si="576"/>
        <v>174.52999999999997</v>
      </c>
      <c r="AU53" s="26">
        <f t="shared" si="576"/>
        <v>230.07999999999998</v>
      </c>
      <c r="AV53" s="26">
        <f t="shared" si="576"/>
        <v>111.98000000000002</v>
      </c>
      <c r="AW53" s="26">
        <f t="shared" si="576"/>
        <v>125.9999999999999</v>
      </c>
      <c r="AX53" s="26">
        <f t="shared" si="576"/>
        <v>255.18</v>
      </c>
      <c r="AY53" s="26">
        <f t="shared" si="576"/>
        <v>187.6700000000001</v>
      </c>
      <c r="AZ53" s="26">
        <f t="shared" si="576"/>
        <v>148.16000000000005</v>
      </c>
      <c r="BA53" s="26">
        <f t="shared" si="576"/>
        <v>178.05000000000007</v>
      </c>
      <c r="BB53" s="26">
        <f t="shared" si="576"/>
        <v>203.71999999999997</v>
      </c>
      <c r="BC53" s="26">
        <f t="shared" si="576"/>
        <v>109.09000000000026</v>
      </c>
      <c r="BD53" s="26">
        <f t="shared" si="576"/>
        <v>152.60000000000008</v>
      </c>
      <c r="BE53" s="26">
        <f t="shared" si="576"/>
        <v>190.84999999999991</v>
      </c>
      <c r="BF53" s="26">
        <f t="shared" si="576"/>
        <v>338.39999999999986</v>
      </c>
      <c r="BG53" s="26">
        <f t="shared" si="576"/>
        <v>262.0499999999999</v>
      </c>
      <c r="BH53" s="26">
        <f t="shared" si="576"/>
        <v>244.68999999999994</v>
      </c>
      <c r="BI53" s="26">
        <f t="shared" si="576"/>
        <v>263.56999999999977</v>
      </c>
      <c r="BJ53" s="26">
        <f t="shared" si="576"/>
        <v>308.45999999999987</v>
      </c>
      <c r="BK53" s="26">
        <f t="shared" si="576"/>
        <v>296.17999999999989</v>
      </c>
      <c r="BL53" s="26">
        <f t="shared" si="576"/>
        <v>240.91999999999985</v>
      </c>
      <c r="BM53" s="26">
        <f t="shared" si="576"/>
        <v>277.46000000000009</v>
      </c>
      <c r="BN53" s="26">
        <f t="shared" si="576"/>
        <v>276.14999999999981</v>
      </c>
      <c r="BO53" s="26">
        <f t="shared" si="576"/>
        <v>75.929999999999936</v>
      </c>
      <c r="BP53" s="26">
        <f t="shared" si="576"/>
        <v>162.85000000000016</v>
      </c>
      <c r="BQ53" s="26">
        <f t="shared" si="576"/>
        <v>194.9599999999997</v>
      </c>
      <c r="BR53" s="26">
        <f t="shared" si="576"/>
        <v>350.45999999999958</v>
      </c>
      <c r="BS53" s="26">
        <f t="shared" si="576"/>
        <v>306.42999999999995</v>
      </c>
      <c r="BT53" s="26">
        <f t="shared" si="576"/>
        <v>258.03999999999985</v>
      </c>
      <c r="BU53" s="26">
        <f t="shared" si="576"/>
        <v>82.410000000000124</v>
      </c>
      <c r="BV53" s="26">
        <f t="shared" si="576"/>
        <v>282.15999999999968</v>
      </c>
      <c r="BW53" s="26">
        <f t="shared" si="576"/>
        <v>128.69000000000005</v>
      </c>
      <c r="BX53" s="26">
        <f t="shared" si="576"/>
        <v>214.08000000000015</v>
      </c>
      <c r="BY53" s="26">
        <f t="shared" si="576"/>
        <v>377.07999999999936</v>
      </c>
      <c r="BZ53" s="26">
        <f t="shared" si="576"/>
        <v>474.38000000000005</v>
      </c>
      <c r="CA53" s="26">
        <f t="shared" si="576"/>
        <v>476.09000000000032</v>
      </c>
      <c r="CB53" s="26">
        <f t="shared" si="576"/>
        <v>663.01999999999975</v>
      </c>
      <c r="CC53" s="26">
        <f t="shared" si="576"/>
        <v>842.15000000000055</v>
      </c>
      <c r="CD53" s="26">
        <f t="shared" si="576"/>
        <v>771.70000000000016</v>
      </c>
      <c r="CE53" s="26">
        <f t="shared" ref="CE53:CF53" si="577">CE47-CE51</f>
        <v>691.45999999999947</v>
      </c>
      <c r="CF53" s="26">
        <f t="shared" si="577"/>
        <v>763.4200000000003</v>
      </c>
      <c r="CG53" s="26">
        <f t="shared" ref="CG53:CH53" si="578">CG47-CG51</f>
        <v>788.77000000000055</v>
      </c>
      <c r="CH53" s="26">
        <f t="shared" si="578"/>
        <v>583.53999999999985</v>
      </c>
      <c r="CI53" s="26">
        <f t="shared" ref="CI53:CJ53" si="579">CI47-CI51</f>
        <v>516.78000000000031</v>
      </c>
      <c r="CJ53" s="26">
        <f t="shared" si="579"/>
        <v>295.61000000000035</v>
      </c>
      <c r="CK53" s="26">
        <f t="shared" ref="CK53:CL53" si="580">CK47-CK51</f>
        <v>457.7200000000006</v>
      </c>
      <c r="CL53" s="26">
        <f t="shared" si="580"/>
        <v>314.13999999999965</v>
      </c>
      <c r="CM53" s="27">
        <f t="shared" ref="CM53:DB53" si="581">CM47-CM51</f>
        <v>347.224101551128</v>
      </c>
      <c r="CN53" s="27">
        <f t="shared" si="581"/>
        <v>373.44747594749509</v>
      </c>
      <c r="CO53" s="27">
        <f t="shared" si="581"/>
        <v>496.45472316049921</v>
      </c>
      <c r="CP53" s="27">
        <f t="shared" si="581"/>
        <v>539.82681713637157</v>
      </c>
      <c r="CQ53" s="27">
        <f t="shared" si="581"/>
        <v>473.64412845736661</v>
      </c>
      <c r="CR53" s="27">
        <f t="shared" si="581"/>
        <v>412.54083306032123</v>
      </c>
      <c r="CS53" s="27">
        <f t="shared" si="581"/>
        <v>548.22479539925109</v>
      </c>
      <c r="CT53" s="27">
        <f t="shared" si="581"/>
        <v>596.30321484113085</v>
      </c>
      <c r="CU53" s="27">
        <f t="shared" si="581"/>
        <v>523.86462471182404</v>
      </c>
      <c r="CV53" s="27">
        <f t="shared" si="581"/>
        <v>457.00674192929426</v>
      </c>
      <c r="CW53" s="27">
        <f t="shared" si="581"/>
        <v>606.60833852447547</v>
      </c>
      <c r="CX53" s="27">
        <f t="shared" si="581"/>
        <v>659.83745271787541</v>
      </c>
      <c r="CY53" s="27">
        <f t="shared" si="581"/>
        <v>580.49158791059006</v>
      </c>
      <c r="CZ53" s="27">
        <f t="shared" si="581"/>
        <v>507.27834732058841</v>
      </c>
      <c r="DA53" s="27">
        <f t="shared" si="581"/>
        <v>672.16449269469206</v>
      </c>
      <c r="DB53" s="27">
        <f t="shared" si="581"/>
        <v>731.03497653115198</v>
      </c>
      <c r="DE53" s="121"/>
      <c r="DF53" s="26">
        <v>1531.2416999999998</v>
      </c>
    </row>
    <row r="54" spans="1:110" s="23" customFormat="1" x14ac:dyDescent="0.2">
      <c r="A54" s="23" t="s">
        <v>17</v>
      </c>
      <c r="B54" s="23">
        <f>'Annual Raw'!C23</f>
        <v>0</v>
      </c>
      <c r="C54" s="23">
        <f>'Annual Raw'!D23</f>
        <v>0</v>
      </c>
      <c r="D54" s="23">
        <f>'Annual Raw'!E23</f>
        <v>0</v>
      </c>
      <c r="E54" s="23">
        <f>'Annual Raw'!F23</f>
        <v>0</v>
      </c>
      <c r="F54" s="23">
        <f>'Annual Raw'!G23</f>
        <v>0</v>
      </c>
      <c r="G54" s="23">
        <f>'Annual Raw'!H23</f>
        <v>0</v>
      </c>
      <c r="H54" s="23">
        <f>'Annual Raw'!I23</f>
        <v>0</v>
      </c>
      <c r="I54" s="23">
        <f>'Annual Raw'!J23</f>
        <v>0</v>
      </c>
      <c r="J54" s="23">
        <f>'Annual Raw'!K23</f>
        <v>0</v>
      </c>
      <c r="K54" s="23">
        <f>'Annual Raw'!L23</f>
        <v>65.811099999999996</v>
      </c>
      <c r="L54" s="23">
        <f>'Annual Raw'!M23</f>
        <v>61.236400000000003</v>
      </c>
      <c r="M54" s="23">
        <f>'Annual Raw'!N23</f>
        <v>101.42919999999999</v>
      </c>
      <c r="N54" s="23">
        <f>'Annual Raw'!O23</f>
        <v>82.797600000000003</v>
      </c>
      <c r="O54" s="23">
        <f>'Annual Raw'!P23</f>
        <v>95.406999999999996</v>
      </c>
      <c r="P54" s="23">
        <f>'Annual Raw'!Q23</f>
        <v>205.9639</v>
      </c>
      <c r="Q54" s="23">
        <f>'Annual Raw'!R23</f>
        <v>273.07659999999998</v>
      </c>
      <c r="R54" s="23">
        <f>'Annual Raw'!S23</f>
        <v>289.1241</v>
      </c>
      <c r="S54" s="23">
        <f>'Annual Raw'!T23</f>
        <v>178.8313</v>
      </c>
      <c r="T54" s="23">
        <f>'Annual Raw'!U23</f>
        <v>189.26830000000001</v>
      </c>
      <c r="U54" s="23">
        <f>'Annual Raw'!V23</f>
        <v>156.20570000000001</v>
      </c>
      <c r="V54" s="23">
        <f>'Annual Raw'!W23</f>
        <v>266.01150000000001</v>
      </c>
      <c r="W54" s="23">
        <f>'Annual Raw'!X23</f>
        <v>199.184</v>
      </c>
      <c r="X54" s="23">
        <f>'Annual Raw'!Y23</f>
        <v>253.07929999999999</v>
      </c>
      <c r="Y54" s="23">
        <f>'Annual Raw'!Z23</f>
        <v>312.48070000000001</v>
      </c>
      <c r="Z54" s="23">
        <f>'Annual Raw'!AA23</f>
        <v>210.09350000000001</v>
      </c>
      <c r="AA54" s="23">
        <f>'Annual Raw'!AB23</f>
        <v>144.68969999999999</v>
      </c>
      <c r="AB54" s="76">
        <f t="shared" ref="AB54:AB55" si="582">+SUM(CM54:CP54)</f>
        <v>0</v>
      </c>
      <c r="AC54" s="76">
        <f t="shared" ref="AC54:AC55" si="583">+SUM(CQ54:CT54)</f>
        <v>0</v>
      </c>
      <c r="AD54" s="76">
        <f t="shared" ref="AD54:AD55" si="584">+SUM(CU54:CX54)</f>
        <v>0</v>
      </c>
      <c r="AE54" s="76">
        <f t="shared" ref="AE54:AE55" si="585">+SUM(CY54:DB54)</f>
        <v>0</v>
      </c>
      <c r="AI54" s="23">
        <f>'QTR Raw'!C23</f>
        <v>18.37</v>
      </c>
      <c r="AJ54" s="23">
        <f>'QTR Raw'!D23</f>
        <v>22.54</v>
      </c>
      <c r="AK54" s="23">
        <f>'QTR Raw'!E23</f>
        <v>22.54</v>
      </c>
      <c r="AL54" s="23">
        <f>'QTR Raw'!F23</f>
        <v>18.96</v>
      </c>
      <c r="AM54" s="23">
        <f>'QTR Raw'!G23</f>
        <v>18.760000000000002</v>
      </c>
      <c r="AN54" s="23">
        <f>'QTR Raw'!H23</f>
        <v>20.75</v>
      </c>
      <c r="AO54" s="23">
        <f>'QTR Raw'!I23</f>
        <v>14.52</v>
      </c>
      <c r="AP54" s="23">
        <f>'QTR Raw'!J23</f>
        <v>30.62</v>
      </c>
      <c r="AQ54" s="23">
        <f>'QTR Raw'!K23</f>
        <v>27.36</v>
      </c>
      <c r="AR54" s="23">
        <f>'QTR Raw'!L23</f>
        <v>27.6</v>
      </c>
      <c r="AS54" s="23">
        <f>'QTR Raw'!M23</f>
        <v>34.69</v>
      </c>
      <c r="AT54" s="23">
        <f>'QTR Raw'!N23</f>
        <v>30.98</v>
      </c>
      <c r="AU54" s="23">
        <f>'QTR Raw'!O23</f>
        <v>35.57</v>
      </c>
      <c r="AV54" s="23">
        <f>'QTR Raw'!P23</f>
        <v>39.25</v>
      </c>
      <c r="AW54" s="23">
        <f>'QTR Raw'!Q23</f>
        <v>43.87</v>
      </c>
      <c r="AX54" s="23">
        <f>'QTR Raw'!R23</f>
        <v>43.3</v>
      </c>
      <c r="AY54" s="23">
        <f>'QTR Raw'!S23</f>
        <v>38.71</v>
      </c>
      <c r="AZ54" s="23">
        <f>'QTR Raw'!T23</f>
        <v>40.450000000000003</v>
      </c>
      <c r="BA54" s="23">
        <f>'QTR Raw'!U23</f>
        <v>39.869999999999997</v>
      </c>
      <c r="BB54" s="23">
        <f>'QTR Raw'!V23</f>
        <v>116.35</v>
      </c>
      <c r="BC54" s="23">
        <f>'QTR Raw'!W23</f>
        <v>62.18</v>
      </c>
      <c r="BD54" s="23">
        <f>'QTR Raw'!X23</f>
        <v>52.25</v>
      </c>
      <c r="BE54" s="23">
        <f>'QTR Raw'!Y23</f>
        <v>66.39</v>
      </c>
      <c r="BF54" s="23">
        <f>'QTR Raw'!Z23</f>
        <v>31.73</v>
      </c>
      <c r="BG54" s="23">
        <f>'QTR Raw'!AA23</f>
        <v>35.340000000000003</v>
      </c>
      <c r="BH54" s="23">
        <f>'QTR Raw'!AB23</f>
        <v>36.43</v>
      </c>
      <c r="BI54" s="23">
        <f>'QTR Raw'!AC23</f>
        <v>33.590000000000003</v>
      </c>
      <c r="BJ54" s="23">
        <f>'QTR Raw'!AD23</f>
        <v>40.81</v>
      </c>
      <c r="BK54" s="23">
        <f>'QTR Raw'!AE23</f>
        <v>25.18</v>
      </c>
      <c r="BL54" s="23">
        <f>'QTR Raw'!AF23</f>
        <v>29.38</v>
      </c>
      <c r="BM54" s="23">
        <f>'QTR Raw'!AG23</f>
        <v>21.92</v>
      </c>
      <c r="BN54" s="23">
        <f>'QTR Raw'!AH23</f>
        <v>32.659999999999997</v>
      </c>
      <c r="BO54" s="23">
        <f>'QTR Raw'!AI23</f>
        <v>41.24</v>
      </c>
      <c r="BP54" s="23">
        <f>'QTR Raw'!AJ23</f>
        <v>72.459999999999994</v>
      </c>
      <c r="BQ54" s="23">
        <f>'QTR Raw'!AK23</f>
        <v>46.92</v>
      </c>
      <c r="BR54" s="23">
        <f>'QTR Raw'!AL23</f>
        <v>47.25</v>
      </c>
      <c r="BS54" s="23">
        <f>'QTR Raw'!AM23</f>
        <v>40.94</v>
      </c>
      <c r="BT54" s="23">
        <f>'QTR Raw'!AN23</f>
        <v>32.090000000000003</v>
      </c>
      <c r="BU54" s="23">
        <f>'QTR Raw'!AO23</f>
        <v>37.76</v>
      </c>
      <c r="BV54" s="23">
        <f>'QTR Raw'!AP23</f>
        <v>41.76</v>
      </c>
      <c r="BW54" s="23">
        <f>'QTR Raw'!AQ23</f>
        <v>32.18</v>
      </c>
      <c r="BX54" s="23">
        <f>'QTR Raw'!AR23</f>
        <v>23.34</v>
      </c>
      <c r="BY54" s="23">
        <f>'QTR Raw'!AS23</f>
        <v>44.24</v>
      </c>
      <c r="BZ54" s="23">
        <f>'QTR Raw'!AT23</f>
        <v>78.97</v>
      </c>
      <c r="CA54" s="23">
        <f>'QTR Raw'!AU23</f>
        <v>37.14</v>
      </c>
      <c r="CB54" s="23">
        <f>'QTR Raw'!AV23</f>
        <v>22.25</v>
      </c>
      <c r="CC54" s="23">
        <f>'QTR Raw'!AW23</f>
        <v>40.299999999999997</v>
      </c>
      <c r="CD54" s="23">
        <f>'QTR Raw'!AX23</f>
        <v>68.52</v>
      </c>
      <c r="CE54" s="23">
        <f>'QTR Raw'!AY23</f>
        <v>45.73</v>
      </c>
      <c r="CF54" s="23">
        <f>'QTR Raw'!AZ23</f>
        <v>30.38</v>
      </c>
      <c r="CG54" s="23">
        <f>'QTR Raw'!BA23</f>
        <v>21.95</v>
      </c>
      <c r="CH54" s="23">
        <f>'QTR Raw'!BB23</f>
        <v>20.89</v>
      </c>
      <c r="CI54" s="23">
        <f>'QTR Raw'!BC23</f>
        <v>18.27</v>
      </c>
      <c r="CJ54" s="23">
        <f>'QTR Raw'!BD23</f>
        <v>30.44</v>
      </c>
      <c r="CK54" s="23">
        <f>'QTR Raw'!BE23</f>
        <v>19.61</v>
      </c>
      <c r="CL54" s="23">
        <f>'QTR Raw'!BF23</f>
        <v>23.37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144.68969999999999</v>
      </c>
    </row>
    <row r="55" spans="1:110" s="23" customFormat="1" x14ac:dyDescent="0.2">
      <c r="A55" s="23" t="s">
        <v>18</v>
      </c>
      <c r="B55" s="23">
        <f>'Annual Raw'!C25</f>
        <v>0</v>
      </c>
      <c r="C55" s="23">
        <f>'Annual Raw'!D25</f>
        <v>0</v>
      </c>
      <c r="D55" s="23">
        <f>'Annual Raw'!E25</f>
        <v>0</v>
      </c>
      <c r="E55" s="23">
        <f>'Annual Raw'!F25</f>
        <v>0</v>
      </c>
      <c r="F55" s="23">
        <f>'Annual Raw'!G25</f>
        <v>0</v>
      </c>
      <c r="G55" s="23">
        <f>'Annual Raw'!H25</f>
        <v>0</v>
      </c>
      <c r="H55" s="23">
        <f>'Annual Raw'!I25</f>
        <v>0</v>
      </c>
      <c r="I55" s="23">
        <f>'Annual Raw'!J25</f>
        <v>0</v>
      </c>
      <c r="J55" s="23">
        <f>'Annual Raw'!K25</f>
        <v>0</v>
      </c>
      <c r="K55" s="23">
        <f>'Annual Raw'!L25</f>
        <v>257.9228</v>
      </c>
      <c r="L55" s="23">
        <f>'Annual Raw'!M25</f>
        <v>181.96270000000001</v>
      </c>
      <c r="M55" s="23">
        <f>'Annual Raw'!N25</f>
        <v>165.46709999999999</v>
      </c>
      <c r="N55" s="23">
        <f>'Annual Raw'!O25</f>
        <v>235.6362</v>
      </c>
      <c r="O55" s="23">
        <f>'Annual Raw'!P25</f>
        <v>391.9658</v>
      </c>
      <c r="P55" s="23">
        <f>'Annual Raw'!Q25</f>
        <v>605.64359999999999</v>
      </c>
      <c r="Q55" s="23">
        <f>'Annual Raw'!R25</f>
        <v>678.85320000000002</v>
      </c>
      <c r="R55" s="23">
        <f>'Annual Raw'!S25</f>
        <v>568.63459999999998</v>
      </c>
      <c r="S55" s="23">
        <f>'Annual Raw'!T25</f>
        <v>581.36699999999996</v>
      </c>
      <c r="T55" s="23">
        <f>'Annual Raw'!U25</f>
        <v>615.22839999999997</v>
      </c>
      <c r="U55" s="23">
        <f>'Annual Raw'!V25</f>
        <v>619.85059999999999</v>
      </c>
      <c r="V55" s="23">
        <f>'Annual Raw'!W25</f>
        <v>492.79070000000002</v>
      </c>
      <c r="W55" s="23">
        <f>'Annual Raw'!X25</f>
        <v>460.11680000000001</v>
      </c>
      <c r="X55" s="23">
        <f>'Annual Raw'!Y25</f>
        <v>641.96870000000001</v>
      </c>
      <c r="Y55" s="23">
        <f>'Annual Raw'!Z25</f>
        <v>704.69309999999996</v>
      </c>
      <c r="Z55" s="23">
        <f>'Annual Raw'!AA25</f>
        <v>623.45339999999999</v>
      </c>
      <c r="AA55" s="23">
        <f>'Annual Raw'!AB25</f>
        <v>619.55930000000001</v>
      </c>
      <c r="AB55" s="76">
        <f t="shared" si="582"/>
        <v>347.5038010136995</v>
      </c>
      <c r="AC55" s="76">
        <f t="shared" si="583"/>
        <v>286.41596831133279</v>
      </c>
      <c r="AD55" s="76">
        <f t="shared" si="584"/>
        <v>217.63389516774851</v>
      </c>
      <c r="AE55" s="76">
        <f t="shared" si="585"/>
        <v>119.63710363284527</v>
      </c>
      <c r="AI55" s="23">
        <f>'QTR Raw'!C25</f>
        <v>32.33</v>
      </c>
      <c r="AJ55" s="23">
        <f>'QTR Raw'!D25</f>
        <v>37.67</v>
      </c>
      <c r="AK55" s="23">
        <f>'QTR Raw'!E25</f>
        <v>41.79</v>
      </c>
      <c r="AL55" s="23">
        <f>'QTR Raw'!F25</f>
        <v>38.29</v>
      </c>
      <c r="AM55" s="23">
        <f>'QTR Raw'!G25</f>
        <v>42.98</v>
      </c>
      <c r="AN55" s="23">
        <f>'QTR Raw'!H25</f>
        <v>54.7</v>
      </c>
      <c r="AO55" s="23">
        <f>'QTR Raw'!I25</f>
        <v>69.16</v>
      </c>
      <c r="AP55" s="23">
        <f>'QTR Raw'!J25</f>
        <v>59.35</v>
      </c>
      <c r="AQ55" s="23">
        <f>'QTR Raw'!K25</f>
        <v>62.65</v>
      </c>
      <c r="AR55" s="23">
        <f>'QTR Raw'!L25</f>
        <v>64.92</v>
      </c>
      <c r="AS55" s="23">
        <f>'QTR Raw'!M25</f>
        <v>69.91</v>
      </c>
      <c r="AT55" s="23">
        <f>'QTR Raw'!N25</f>
        <v>58.11</v>
      </c>
      <c r="AU55" s="23">
        <f>'QTR Raw'!O25</f>
        <v>117.17</v>
      </c>
      <c r="AV55" s="23">
        <f>'QTR Raw'!P25</f>
        <v>120.74</v>
      </c>
      <c r="AW55" s="23">
        <f>'QTR Raw'!Q25</f>
        <v>135.69</v>
      </c>
      <c r="AX55" s="23">
        <f>'QTR Raw'!R25</f>
        <v>120.88</v>
      </c>
      <c r="AY55" s="23">
        <f>'QTR Raw'!S25</f>
        <v>125.98</v>
      </c>
      <c r="AZ55" s="23">
        <f>'QTR Raw'!T25</f>
        <v>83.16</v>
      </c>
      <c r="BA55" s="23">
        <f>'QTR Raw'!U25</f>
        <v>95.65</v>
      </c>
      <c r="BB55" s="23">
        <f>'QTR Raw'!V25</f>
        <v>75.11</v>
      </c>
      <c r="BC55" s="23">
        <f>'QTR Raw'!W25</f>
        <v>87.34</v>
      </c>
      <c r="BD55" s="23">
        <f>'QTR Raw'!X25</f>
        <v>116.1</v>
      </c>
      <c r="BE55" s="23">
        <f>'QTR Raw'!Y25</f>
        <v>86.33</v>
      </c>
      <c r="BF55" s="23">
        <f>'QTR Raw'!Z25</f>
        <v>125.34</v>
      </c>
      <c r="BG55" s="23">
        <f>'QTR Raw'!AA25</f>
        <v>183.09</v>
      </c>
      <c r="BH55" s="23">
        <f>'QTR Raw'!AB25</f>
        <v>170.44</v>
      </c>
      <c r="BI55" s="23">
        <f>'QTR Raw'!AC25</f>
        <v>115.69</v>
      </c>
      <c r="BJ55" s="23">
        <f>'QTR Raw'!AD25</f>
        <v>146.01</v>
      </c>
      <c r="BK55" s="23">
        <f>'QTR Raw'!AE25</f>
        <v>146.07</v>
      </c>
      <c r="BL55" s="23">
        <f>'QTR Raw'!AF25</f>
        <v>155.30000000000001</v>
      </c>
      <c r="BM55" s="23">
        <f>'QTR Raw'!AG25</f>
        <v>152.46</v>
      </c>
      <c r="BN55" s="23">
        <f>'QTR Raw'!AH25</f>
        <v>165.53</v>
      </c>
      <c r="BO55" s="23">
        <f>'QTR Raw'!AI25</f>
        <v>135.06</v>
      </c>
      <c r="BP55" s="23">
        <f>'QTR Raw'!AJ25</f>
        <v>121.08</v>
      </c>
      <c r="BQ55" s="23">
        <f>'QTR Raw'!AK25</f>
        <v>125.45</v>
      </c>
      <c r="BR55" s="23">
        <f>'QTR Raw'!AL25</f>
        <v>111.2</v>
      </c>
      <c r="BS55" s="23">
        <f>'QTR Raw'!AM25</f>
        <v>121.29</v>
      </c>
      <c r="BT55" s="23">
        <f>'QTR Raw'!AN25</f>
        <v>111.53</v>
      </c>
      <c r="BU55" s="23">
        <f>'QTR Raw'!AO25</f>
        <v>107.92</v>
      </c>
      <c r="BV55" s="23">
        <f>'QTR Raw'!AP25</f>
        <v>119.38</v>
      </c>
      <c r="BW55" s="23">
        <f>'QTR Raw'!AQ25</f>
        <v>159.97</v>
      </c>
      <c r="BX55" s="23">
        <f>'QTR Raw'!AR25</f>
        <v>147.94</v>
      </c>
      <c r="BY55" s="23">
        <f>'QTR Raw'!AS25</f>
        <v>168.84</v>
      </c>
      <c r="BZ55" s="23">
        <f>'QTR Raw'!AT25</f>
        <v>161.53</v>
      </c>
      <c r="CA55" s="23">
        <f>'QTR Raw'!AU25</f>
        <v>159.69999999999999</v>
      </c>
      <c r="CB55" s="23">
        <f>'QTR Raw'!AV25</f>
        <v>188.96</v>
      </c>
      <c r="CC55" s="23">
        <f>'QTR Raw'!AW25</f>
        <v>181.61</v>
      </c>
      <c r="CD55" s="23">
        <f>'QTR Raw'!AX25</f>
        <v>174.42</v>
      </c>
      <c r="CE55" s="23">
        <f>'QTR Raw'!AY25</f>
        <v>154.19</v>
      </c>
      <c r="CF55" s="23">
        <f>'QTR Raw'!AZ25</f>
        <v>157.63</v>
      </c>
      <c r="CG55" s="23">
        <f>'QTR Raw'!BA25</f>
        <v>172.86</v>
      </c>
      <c r="CH55" s="23">
        <f>'QTR Raw'!BB25</f>
        <v>138.77000000000001</v>
      </c>
      <c r="CI55" s="23">
        <f>'QTR Raw'!BC25</f>
        <v>171.14</v>
      </c>
      <c r="CJ55" s="23">
        <f>'QTR Raw'!BD25</f>
        <v>152.91</v>
      </c>
      <c r="CK55" s="23">
        <f>'QTR Raw'!BE25</f>
        <v>132.81</v>
      </c>
      <c r="CL55" s="23">
        <f>'QTR Raw'!BF25</f>
        <v>162.69999999999999</v>
      </c>
      <c r="CM55" s="24">
        <f t="shared" ref="CM55:DB55" si="586">CM56*CL187</f>
        <v>121.96555000000002</v>
      </c>
      <c r="CN55" s="24">
        <f t="shared" si="586"/>
        <v>76.477582777147845</v>
      </c>
      <c r="CO55" s="24">
        <f t="shared" si="586"/>
        <v>59.911988841993718</v>
      </c>
      <c r="CP55" s="24">
        <f t="shared" si="586"/>
        <v>89.148679394557917</v>
      </c>
      <c r="CQ55" s="24">
        <f t="shared" si="586"/>
        <v>94.388251517778471</v>
      </c>
      <c r="CR55" s="24">
        <f t="shared" si="586"/>
        <v>69.034490493853653</v>
      </c>
      <c r="CS55" s="24">
        <f t="shared" si="586"/>
        <v>46.036341309200779</v>
      </c>
      <c r="CT55" s="24">
        <f t="shared" si="586"/>
        <v>76.956884990499873</v>
      </c>
      <c r="CU55" s="24">
        <f t="shared" si="586"/>
        <v>81.451282997048366</v>
      </c>
      <c r="CV55" s="24">
        <f t="shared" si="586"/>
        <v>52.262870559254985</v>
      </c>
      <c r="CW55" s="24">
        <f t="shared" si="586"/>
        <v>25.634637911583877</v>
      </c>
      <c r="CX55" s="24">
        <f t="shared" si="586"/>
        <v>58.285103699861281</v>
      </c>
      <c r="CY55" s="24">
        <f t="shared" si="586"/>
        <v>61.834053236121598</v>
      </c>
      <c r="CZ55" s="24">
        <f t="shared" si="586"/>
        <v>28.298240579424437</v>
      </c>
      <c r="DA55" s="24">
        <f t="shared" si="586"/>
        <v>-2.4559827146157933</v>
      </c>
      <c r="DB55" s="24">
        <f t="shared" si="586"/>
        <v>31.960792531915036</v>
      </c>
      <c r="DE55" s="123"/>
      <c r="DF55" s="23">
        <v>619.55930000000001</v>
      </c>
    </row>
    <row r="56" spans="1:110" s="46" customFormat="1" x14ac:dyDescent="0.2">
      <c r="A56" s="46" t="s">
        <v>482</v>
      </c>
      <c r="B56" s="46" t="e">
        <f t="shared" ref="B56:D56" si="587">+B55/B147</f>
        <v>#DIV/0!</v>
      </c>
      <c r="C56" s="46" t="e">
        <f t="shared" si="587"/>
        <v>#DIV/0!</v>
      </c>
      <c r="D56" s="46" t="e">
        <f t="shared" si="587"/>
        <v>#DIV/0!</v>
      </c>
      <c r="E56" s="46" t="e">
        <f t="shared" ref="E56:AE56" si="588">+E55/E147</f>
        <v>#DIV/0!</v>
      </c>
      <c r="F56" s="46" t="e">
        <f t="shared" si="588"/>
        <v>#DIV/0!</v>
      </c>
      <c r="G56" s="46" t="e">
        <f t="shared" si="588"/>
        <v>#DIV/0!</v>
      </c>
      <c r="H56" s="46" t="e">
        <f t="shared" si="588"/>
        <v>#DIV/0!</v>
      </c>
      <c r="I56" s="46" t="e">
        <f t="shared" si="588"/>
        <v>#DIV/0!</v>
      </c>
      <c r="J56" s="46" t="e">
        <f t="shared" si="588"/>
        <v>#DIV/0!</v>
      </c>
      <c r="K56" s="46">
        <f t="shared" si="588"/>
        <v>0.23867161882690732</v>
      </c>
      <c r="L56" s="46">
        <f t="shared" si="588"/>
        <v>7.9499874740185286E-2</v>
      </c>
      <c r="M56" s="46">
        <f t="shared" si="588"/>
        <v>4.6135867282513815E-2</v>
      </c>
      <c r="N56" s="46">
        <f t="shared" si="588"/>
        <v>4.5671733906186486E-2</v>
      </c>
      <c r="O56" s="46">
        <f t="shared" si="588"/>
        <v>6.5447859961284549E-2</v>
      </c>
      <c r="P56" s="46">
        <f t="shared" si="588"/>
        <v>7.4750466076827241E-2</v>
      </c>
      <c r="Q56" s="46">
        <f t="shared" si="588"/>
        <v>8.9948522286637134E-2</v>
      </c>
      <c r="R56" s="46">
        <f t="shared" si="588"/>
        <v>9.1392418767433967E-2</v>
      </c>
      <c r="S56" s="46">
        <f t="shared" si="588"/>
        <v>9.1586885796816703E-2</v>
      </c>
      <c r="T56" s="46">
        <f t="shared" si="588"/>
        <v>0.10764518481503099</v>
      </c>
      <c r="U56" s="46">
        <f t="shared" si="588"/>
        <v>0.11488571583731004</v>
      </c>
      <c r="V56" s="46">
        <f t="shared" si="588"/>
        <v>9.6942044383022188E-2</v>
      </c>
      <c r="W56" s="46">
        <f t="shared" si="588"/>
        <v>7.9505797153713448E-2</v>
      </c>
      <c r="X56" s="46">
        <f t="shared" si="588"/>
        <v>0.13424104359475061</v>
      </c>
      <c r="Y56" s="46">
        <f t="shared" si="588"/>
        <v>0.12614118209460745</v>
      </c>
      <c r="Z56" s="46">
        <f t="shared" si="588"/>
        <v>0.13419829938350483</v>
      </c>
      <c r="AA56" s="46">
        <f t="shared" ref="AA56" si="589">+AA55/AA147</f>
        <v>0.15335438720130501</v>
      </c>
      <c r="AB56" s="110">
        <f t="shared" si="588"/>
        <v>9.5466765844892096E-2</v>
      </c>
      <c r="AC56" s="110">
        <f t="shared" si="588"/>
        <v>8.8398626043219325E-2</v>
      </c>
      <c r="AD56" s="110">
        <f t="shared" si="588"/>
        <v>7.6630304103008223E-2</v>
      </c>
      <c r="AE56" s="110">
        <f t="shared" si="588"/>
        <v>4.9030595124216821E-2</v>
      </c>
      <c r="AI56" s="46" t="e">
        <f t="shared" ref="AI56:BN56" si="590">(AI55-AI54)/AH187</f>
        <v>#DIV/0!</v>
      </c>
      <c r="AJ56" s="46" t="e">
        <f t="shared" si="590"/>
        <v>#DIV/0!</v>
      </c>
      <c r="AK56" s="46">
        <f t="shared" si="590"/>
        <v>6.4222326015880423E-3</v>
      </c>
      <c r="AL56" s="46">
        <f t="shared" si="590"/>
        <v>6.21550225697836E-3</v>
      </c>
      <c r="AM56" s="46">
        <f t="shared" si="590"/>
        <v>5.3663616422573272E-3</v>
      </c>
      <c r="AN56" s="46">
        <f t="shared" si="590"/>
        <v>6.6351563454087837E-3</v>
      </c>
      <c r="AO56" s="46">
        <f t="shared" si="590"/>
        <v>1.5172341022244807E-2</v>
      </c>
      <c r="AP56" s="46">
        <f t="shared" si="590"/>
        <v>6.2661959349270173E-3</v>
      </c>
      <c r="AQ56" s="46">
        <f t="shared" si="590"/>
        <v>6.3372630709417907E-3</v>
      </c>
      <c r="AR56" s="46">
        <f t="shared" si="590"/>
        <v>7.398419235489475E-3</v>
      </c>
      <c r="AS56" s="46">
        <f t="shared" si="590"/>
        <v>1.0256559596959723E-2</v>
      </c>
      <c r="AT56" s="46">
        <f t="shared" si="590"/>
        <v>7.3555525433744605E-3</v>
      </c>
      <c r="AU56" s="46">
        <f t="shared" si="590"/>
        <v>1.1687128690182239E-2</v>
      </c>
      <c r="AV56" s="46">
        <f t="shared" si="590"/>
        <v>1.2356971449816189E-2</v>
      </c>
      <c r="AW56" s="46">
        <f t="shared" si="590"/>
        <v>2.0449205483113034E-2</v>
      </c>
      <c r="AX56" s="46">
        <f t="shared" si="590"/>
        <v>2.066833199085566E-2</v>
      </c>
      <c r="AY56" s="46">
        <f t="shared" si="590"/>
        <v>1.31355747246677E-2</v>
      </c>
      <c r="AZ56" s="46">
        <f t="shared" si="590"/>
        <v>7.878718535421575E-3</v>
      </c>
      <c r="BA56" s="46">
        <f t="shared" si="590"/>
        <v>1.4428387036696941E-2</v>
      </c>
      <c r="BB56" s="46">
        <f t="shared" si="590"/>
        <v>-1.1148640303088641E-2</v>
      </c>
      <c r="BC56" s="46">
        <f t="shared" si="590"/>
        <v>4.6887724771291902E-3</v>
      </c>
      <c r="BD56" s="46">
        <f t="shared" si="590"/>
        <v>1.3850144998577747E-2</v>
      </c>
      <c r="BE56" s="46">
        <f t="shared" si="590"/>
        <v>4.8483610643052181E-3</v>
      </c>
      <c r="BF56" s="46">
        <f t="shared" si="590"/>
        <v>1.6266279974492984E-2</v>
      </c>
      <c r="BG56" s="46">
        <f t="shared" si="590"/>
        <v>2.5076544986727674E-2</v>
      </c>
      <c r="BH56" s="46">
        <f t="shared" si="590"/>
        <v>2.1363091991047172E-2</v>
      </c>
      <c r="BI56" s="46">
        <f t="shared" si="590"/>
        <v>2.298162030220411E-2</v>
      </c>
      <c r="BJ56" s="46">
        <f t="shared" si="590"/>
        <v>3.0655693130051814E-2</v>
      </c>
      <c r="BK56" s="46">
        <f t="shared" si="590"/>
        <v>2.3779924071050611E-2</v>
      </c>
      <c r="BL56" s="46">
        <f t="shared" si="590"/>
        <v>2.7652794564291771E-2</v>
      </c>
      <c r="BM56" s="46">
        <f t="shared" si="590"/>
        <v>2.5741137311043018E-2</v>
      </c>
      <c r="BN56" s="46">
        <f t="shared" si="590"/>
        <v>2.4632417780177499E-2</v>
      </c>
      <c r="BO56" s="46">
        <f t="shared" ref="BO56:CL56" si="591">(BO55-BO54)/BN187</f>
        <v>2.0548605270535463E-2</v>
      </c>
      <c r="BP56" s="46">
        <f t="shared" si="591"/>
        <v>1.5161851299093127E-2</v>
      </c>
      <c r="BQ56" s="46">
        <f t="shared" si="591"/>
        <v>1.7031973175672451E-2</v>
      </c>
      <c r="BR56" s="46">
        <f t="shared" si="591"/>
        <v>1.2227601495525191E-2</v>
      </c>
      <c r="BS56" s="46">
        <f t="shared" si="591"/>
        <v>1.8709803611096882E-2</v>
      </c>
      <c r="BT56" s="46">
        <f t="shared" si="591"/>
        <v>2.3337060948000386E-2</v>
      </c>
      <c r="BU56" s="46">
        <f t="shared" si="591"/>
        <v>1.4673986928104574E-2</v>
      </c>
      <c r="BV56" s="46">
        <f t="shared" si="591"/>
        <v>1.4541296278370195E-2</v>
      </c>
      <c r="BW56" s="46">
        <f t="shared" si="591"/>
        <v>2.5035607023840542E-2</v>
      </c>
      <c r="BX56" s="46">
        <f t="shared" si="591"/>
        <v>2.7078055365000266E-2</v>
      </c>
      <c r="BY56" s="46">
        <f t="shared" si="591"/>
        <v>2.2381451058089388E-2</v>
      </c>
      <c r="BZ56" s="46">
        <f t="shared" si="591"/>
        <v>1.2425146745889418E-2</v>
      </c>
      <c r="CA56" s="46">
        <f t="shared" si="591"/>
        <v>2.6853342973893798E-2</v>
      </c>
      <c r="CB56" s="46">
        <f t="shared" si="591"/>
        <v>4.6305480754414131E-2</v>
      </c>
      <c r="CC56" s="46">
        <f t="shared" si="591"/>
        <v>2.4948491102687646E-2</v>
      </c>
      <c r="CD56" s="46">
        <f t="shared" si="591"/>
        <v>1.9928964709967145E-2</v>
      </c>
      <c r="CE56" s="46">
        <f t="shared" si="591"/>
        <v>2.3134727901386255E-2</v>
      </c>
      <c r="CF56" s="46">
        <f t="shared" si="591"/>
        <v>3.3822759388157535E-2</v>
      </c>
      <c r="CG56" s="46">
        <f t="shared" si="591"/>
        <v>3.2923040674386755E-2</v>
      </c>
      <c r="CH56" s="46">
        <f t="shared" si="591"/>
        <v>3.1488420536147498E-2</v>
      </c>
      <c r="CI56" s="46">
        <f t="shared" si="591"/>
        <v>3.9463791190670873E-2</v>
      </c>
      <c r="CJ56" s="46">
        <f t="shared" si="591"/>
        <v>5.4349157509371478E-2</v>
      </c>
      <c r="CK56" s="46">
        <f t="shared" si="591"/>
        <v>2.3746441704793134E-2</v>
      </c>
      <c r="CL56" s="46">
        <f t="shared" si="591"/>
        <v>2.5057090814439149E-2</v>
      </c>
      <c r="CM56" s="47">
        <v>3.5000000000000003E-2</v>
      </c>
      <c r="CN56" s="47">
        <f t="shared" ref="CN56" si="592">+CM56</f>
        <v>3.5000000000000003E-2</v>
      </c>
      <c r="CO56" s="47">
        <f t="shared" ref="CO56" si="593">+CN56</f>
        <v>3.5000000000000003E-2</v>
      </c>
      <c r="CP56" s="47">
        <f t="shared" ref="CP56" si="594">+CO56</f>
        <v>3.5000000000000003E-2</v>
      </c>
      <c r="CQ56" s="47">
        <f t="shared" ref="CQ56" si="595">+CP56</f>
        <v>3.5000000000000003E-2</v>
      </c>
      <c r="CR56" s="47">
        <f t="shared" ref="CR56" si="596">+CQ56</f>
        <v>3.5000000000000003E-2</v>
      </c>
      <c r="CS56" s="47">
        <f t="shared" ref="CS56" si="597">+CR56</f>
        <v>3.5000000000000003E-2</v>
      </c>
      <c r="CT56" s="47">
        <f t="shared" ref="CT56" si="598">+CS56</f>
        <v>3.5000000000000003E-2</v>
      </c>
      <c r="CU56" s="47">
        <f t="shared" ref="CU56" si="599">+CT56</f>
        <v>3.5000000000000003E-2</v>
      </c>
      <c r="CV56" s="47">
        <f t="shared" ref="CV56" si="600">+CU56</f>
        <v>3.5000000000000003E-2</v>
      </c>
      <c r="CW56" s="47">
        <f t="shared" ref="CW56" si="601">+CV56</f>
        <v>3.5000000000000003E-2</v>
      </c>
      <c r="CX56" s="47">
        <f t="shared" ref="CX56" si="602">+CW56</f>
        <v>3.5000000000000003E-2</v>
      </c>
      <c r="CY56" s="47">
        <f t="shared" ref="CY56" si="603">+CX56</f>
        <v>3.5000000000000003E-2</v>
      </c>
      <c r="CZ56" s="47">
        <f t="shared" ref="CZ56" si="604">+CY56</f>
        <v>3.5000000000000003E-2</v>
      </c>
      <c r="DA56" s="47">
        <f t="shared" ref="DA56" si="605">+CZ56</f>
        <v>3.5000000000000003E-2</v>
      </c>
      <c r="DB56" s="47">
        <f t="shared" ref="DB56" si="606">+DA56</f>
        <v>3.5000000000000003E-2</v>
      </c>
      <c r="DE56" s="130"/>
      <c r="DF56" s="46">
        <v>0.15335438720130501</v>
      </c>
    </row>
    <row r="57" spans="1:110" s="26" customFormat="1" x14ac:dyDescent="0.2">
      <c r="A57" s="26" t="s">
        <v>20</v>
      </c>
      <c r="B57" s="26">
        <f>B53+B54-B55</f>
        <v>0</v>
      </c>
      <c r="C57" s="26">
        <f t="shared" ref="C57:T57" si="607">C53+C54-C55</f>
        <v>0</v>
      </c>
      <c r="D57" s="26">
        <f>D53+D54-D55</f>
        <v>0</v>
      </c>
      <c r="E57" s="26">
        <f t="shared" si="607"/>
        <v>0</v>
      </c>
      <c r="F57" s="26">
        <f t="shared" si="607"/>
        <v>0</v>
      </c>
      <c r="G57" s="26">
        <f t="shared" si="607"/>
        <v>0</v>
      </c>
      <c r="H57" s="26">
        <f t="shared" si="607"/>
        <v>0</v>
      </c>
      <c r="I57" s="26">
        <f t="shared" si="607"/>
        <v>0</v>
      </c>
      <c r="J57" s="26">
        <f t="shared" si="607"/>
        <v>0</v>
      </c>
      <c r="K57" s="26">
        <f t="shared" si="607"/>
        <v>894.33500000000026</v>
      </c>
      <c r="L57" s="26">
        <f t="shared" si="607"/>
        <v>576.93590000000086</v>
      </c>
      <c r="M57" s="26">
        <f t="shared" si="607"/>
        <v>422.58240000000058</v>
      </c>
      <c r="N57" s="26">
        <f t="shared" si="607"/>
        <v>231.84809999999973</v>
      </c>
      <c r="O57" s="26">
        <f t="shared" si="607"/>
        <v>22.169400000000508</v>
      </c>
      <c r="P57" s="26">
        <f t="shared" si="607"/>
        <v>73.160100000001876</v>
      </c>
      <c r="Q57" s="26">
        <f t="shared" si="607"/>
        <v>-63.272899999998572</v>
      </c>
      <c r="R57" s="26">
        <f t="shared" si="607"/>
        <v>105.75630000000024</v>
      </c>
      <c r="S57" s="26">
        <f t="shared" si="607"/>
        <v>229.94020000000069</v>
      </c>
      <c r="T57" s="26">
        <f t="shared" si="607"/>
        <v>609.71279999999865</v>
      </c>
      <c r="U57" s="26">
        <f t="shared" ref="U57:Z57" si="608">U53+U54-U55</f>
        <v>578.6552999999999</v>
      </c>
      <c r="V57" s="26">
        <f t="shared" si="608"/>
        <v>499.27889999999934</v>
      </c>
      <c r="W57" s="26">
        <f t="shared" si="608"/>
        <v>621.47219999999879</v>
      </c>
      <c r="X57" s="26">
        <f t="shared" si="608"/>
        <v>744.98709999999789</v>
      </c>
      <c r="Y57" s="26">
        <f t="shared" si="608"/>
        <v>2216.482800000002</v>
      </c>
      <c r="Z57" s="26">
        <f t="shared" si="608"/>
        <v>2322.6900999999993</v>
      </c>
      <c r="AA57" s="26">
        <f t="shared" ref="AA57" si="609">AA53+AA54-AA55</f>
        <v>1056.3720999999996</v>
      </c>
      <c r="AB57" s="27">
        <f t="shared" ref="AB57:AD57" si="610">AB53+AB54-AB55</f>
        <v>1409.4493167817946</v>
      </c>
      <c r="AC57" s="27">
        <f t="shared" si="610"/>
        <v>1744.2970034467387</v>
      </c>
      <c r="AD57" s="27">
        <f t="shared" si="610"/>
        <v>2029.6832627157182</v>
      </c>
      <c r="AE57" s="27">
        <f t="shared" ref="AE57" si="611">AE53+AE54-AE55</f>
        <v>2371.3323008241773</v>
      </c>
      <c r="AI57" s="26">
        <f>AI53+AI54-AI55</f>
        <v>107.56999999999978</v>
      </c>
      <c r="AJ57" s="26">
        <f t="shared" ref="AJ57" si="612">AJ53+AJ54-AJ55</f>
        <v>141.16000000000014</v>
      </c>
      <c r="AK57" s="26">
        <f t="shared" ref="AK57:AM57" si="613">AK53+AK54-AK55</f>
        <v>100.68000000000006</v>
      </c>
      <c r="AL57" s="26">
        <f t="shared" si="613"/>
        <v>47.57999999999992</v>
      </c>
      <c r="AM57" s="26">
        <f t="shared" si="613"/>
        <v>72.750000000000028</v>
      </c>
      <c r="AN57" s="26">
        <f t="shared" ref="AN57:AO57" si="614">AN53+AN54-AN55</f>
        <v>62.989999999999938</v>
      </c>
      <c r="AO57" s="26">
        <f t="shared" si="614"/>
        <v>57.230000000000075</v>
      </c>
      <c r="AP57" s="26">
        <f t="shared" ref="AP57:CD57" si="615">AP53+AP54-AP55</f>
        <v>71.740000000000265</v>
      </c>
      <c r="AQ57" s="26">
        <f t="shared" si="615"/>
        <v>64.480000000000047</v>
      </c>
      <c r="AR57" s="26">
        <f t="shared" si="615"/>
        <v>109.03999999999995</v>
      </c>
      <c r="AS57" s="26">
        <f t="shared" si="615"/>
        <v>141.22999999999988</v>
      </c>
      <c r="AT57" s="26">
        <f t="shared" si="615"/>
        <v>147.39999999999998</v>
      </c>
      <c r="AU57" s="26">
        <f t="shared" si="615"/>
        <v>148.47999999999996</v>
      </c>
      <c r="AV57" s="26">
        <f t="shared" si="615"/>
        <v>30.490000000000023</v>
      </c>
      <c r="AW57" s="26">
        <f t="shared" si="615"/>
        <v>34.179999999999893</v>
      </c>
      <c r="AX57" s="26">
        <f t="shared" si="615"/>
        <v>177.60000000000002</v>
      </c>
      <c r="AY57" s="26">
        <f t="shared" si="615"/>
        <v>100.40000000000011</v>
      </c>
      <c r="AZ57" s="26">
        <f t="shared" si="615"/>
        <v>105.45000000000007</v>
      </c>
      <c r="BA57" s="26">
        <f t="shared" si="615"/>
        <v>122.27000000000007</v>
      </c>
      <c r="BB57" s="26">
        <f t="shared" si="615"/>
        <v>244.95999999999992</v>
      </c>
      <c r="BC57" s="26">
        <f t="shared" si="615"/>
        <v>83.930000000000263</v>
      </c>
      <c r="BD57" s="26">
        <f t="shared" si="615"/>
        <v>88.750000000000085</v>
      </c>
      <c r="BE57" s="26">
        <f t="shared" si="615"/>
        <v>170.90999999999991</v>
      </c>
      <c r="BF57" s="26">
        <f t="shared" si="615"/>
        <v>244.78999999999988</v>
      </c>
      <c r="BG57" s="26">
        <f t="shared" si="615"/>
        <v>114.29999999999987</v>
      </c>
      <c r="BH57" s="26">
        <f t="shared" si="615"/>
        <v>110.67999999999995</v>
      </c>
      <c r="BI57" s="26">
        <f t="shared" si="615"/>
        <v>181.46999999999974</v>
      </c>
      <c r="BJ57" s="26">
        <f t="shared" si="615"/>
        <v>203.25999999999988</v>
      </c>
      <c r="BK57" s="26">
        <f t="shared" si="615"/>
        <v>175.28999999999991</v>
      </c>
      <c r="BL57" s="26">
        <f t="shared" si="615"/>
        <v>114.99999999999983</v>
      </c>
      <c r="BM57" s="26">
        <f t="shared" si="615"/>
        <v>146.9200000000001</v>
      </c>
      <c r="BN57" s="26">
        <f t="shared" si="615"/>
        <v>143.27999999999983</v>
      </c>
      <c r="BO57" s="26">
        <f t="shared" si="615"/>
        <v>-17.890000000000072</v>
      </c>
      <c r="BP57" s="26">
        <f t="shared" si="615"/>
        <v>114.23000000000017</v>
      </c>
      <c r="BQ57" s="26">
        <f t="shared" si="615"/>
        <v>116.42999999999971</v>
      </c>
      <c r="BR57" s="26">
        <f t="shared" si="615"/>
        <v>286.50999999999959</v>
      </c>
      <c r="BS57" s="26">
        <f t="shared" si="615"/>
        <v>226.07999999999993</v>
      </c>
      <c r="BT57" s="26">
        <f t="shared" si="615"/>
        <v>178.59999999999988</v>
      </c>
      <c r="BU57" s="26">
        <f t="shared" si="615"/>
        <v>12.250000000000128</v>
      </c>
      <c r="BV57" s="26">
        <f t="shared" si="615"/>
        <v>204.53999999999968</v>
      </c>
      <c r="BW57" s="26">
        <f t="shared" si="615"/>
        <v>0.90000000000006253</v>
      </c>
      <c r="BX57" s="26">
        <f t="shared" si="615"/>
        <v>89.48000000000016</v>
      </c>
      <c r="BY57" s="26">
        <f t="shared" si="615"/>
        <v>252.47999999999936</v>
      </c>
      <c r="BZ57" s="26">
        <f t="shared" si="615"/>
        <v>391.82000000000005</v>
      </c>
      <c r="CA57" s="26">
        <f t="shared" si="615"/>
        <v>353.53000000000037</v>
      </c>
      <c r="CB57" s="26">
        <f t="shared" si="615"/>
        <v>496.30999999999972</v>
      </c>
      <c r="CC57" s="26">
        <f t="shared" si="615"/>
        <v>700.84000000000049</v>
      </c>
      <c r="CD57" s="26">
        <f t="shared" si="615"/>
        <v>665.80000000000018</v>
      </c>
      <c r="CE57" s="26">
        <f t="shared" ref="CE57:CF57" si="616">CE53+CE54-CE55</f>
        <v>582.99999999999955</v>
      </c>
      <c r="CF57" s="26">
        <f t="shared" si="616"/>
        <v>636.1700000000003</v>
      </c>
      <c r="CG57" s="26">
        <f t="shared" ref="CG57:CH57" si="617">CG53+CG54-CG55</f>
        <v>637.86000000000058</v>
      </c>
      <c r="CH57" s="26">
        <f t="shared" si="617"/>
        <v>465.65999999999985</v>
      </c>
      <c r="CI57" s="26">
        <f t="shared" ref="CI57:CJ57" si="618">CI53+CI54-CI55</f>
        <v>363.91000000000031</v>
      </c>
      <c r="CJ57" s="26">
        <f t="shared" si="618"/>
        <v>173.14000000000036</v>
      </c>
      <c r="CK57" s="26">
        <f t="shared" ref="CK57:CL57" si="619">CK53+CK54-CK55</f>
        <v>344.52000000000061</v>
      </c>
      <c r="CL57" s="26">
        <f t="shared" si="619"/>
        <v>174.80999999999966</v>
      </c>
      <c r="CM57" s="27">
        <f t="shared" ref="CM57:DB57" si="620">CM53+CM54-CM55</f>
        <v>225.25855155112799</v>
      </c>
      <c r="CN57" s="27">
        <f t="shared" si="620"/>
        <v>296.96989317034723</v>
      </c>
      <c r="CO57" s="27">
        <f t="shared" si="620"/>
        <v>436.5427343185055</v>
      </c>
      <c r="CP57" s="27">
        <f t="shared" si="620"/>
        <v>450.67813774181366</v>
      </c>
      <c r="CQ57" s="27">
        <f t="shared" si="620"/>
        <v>379.25587693958812</v>
      </c>
      <c r="CR57" s="27">
        <f t="shared" si="620"/>
        <v>343.50634256646759</v>
      </c>
      <c r="CS57" s="27">
        <f t="shared" si="620"/>
        <v>502.1884540900503</v>
      </c>
      <c r="CT57" s="27">
        <f t="shared" si="620"/>
        <v>519.34632985063104</v>
      </c>
      <c r="CU57" s="27">
        <f t="shared" si="620"/>
        <v>442.4133417147757</v>
      </c>
      <c r="CV57" s="27">
        <f t="shared" si="620"/>
        <v>404.7438713700393</v>
      </c>
      <c r="CW57" s="27">
        <f t="shared" si="620"/>
        <v>580.97370061289155</v>
      </c>
      <c r="CX57" s="27">
        <f t="shared" si="620"/>
        <v>601.55234901801418</v>
      </c>
      <c r="CY57" s="27">
        <f t="shared" si="620"/>
        <v>518.65753467446848</v>
      </c>
      <c r="CZ57" s="27">
        <f t="shared" si="620"/>
        <v>478.98010674116398</v>
      </c>
      <c r="DA57" s="27">
        <f t="shared" si="620"/>
        <v>674.6204754093078</v>
      </c>
      <c r="DB57" s="27">
        <f t="shared" si="620"/>
        <v>699.07418399923699</v>
      </c>
      <c r="DE57" s="121"/>
      <c r="DF57" s="26">
        <v>1056.3720999999996</v>
      </c>
    </row>
    <row r="58" spans="1:110" s="23" customFormat="1" x14ac:dyDescent="0.2">
      <c r="A58" s="23" t="s">
        <v>21</v>
      </c>
      <c r="B58" s="23">
        <f>'Annual Raw'!C30</f>
        <v>0</v>
      </c>
      <c r="C58" s="23">
        <f>'Annual Raw'!D30</f>
        <v>0</v>
      </c>
      <c r="D58" s="23">
        <f>'Annual Raw'!E30</f>
        <v>0</v>
      </c>
      <c r="E58" s="23">
        <f>'Annual Raw'!F30</f>
        <v>0</v>
      </c>
      <c r="F58" s="23">
        <f>'Annual Raw'!G30</f>
        <v>0</v>
      </c>
      <c r="G58" s="23">
        <f>'Annual Raw'!H30</f>
        <v>0</v>
      </c>
      <c r="H58" s="23">
        <f>'Annual Raw'!I30</f>
        <v>0</v>
      </c>
      <c r="I58" s="23">
        <f>'Annual Raw'!J30</f>
        <v>0</v>
      </c>
      <c r="J58" s="23">
        <f>'Annual Raw'!K30</f>
        <v>0</v>
      </c>
      <c r="K58" s="23">
        <f>'Annual Raw'!L30</f>
        <v>215.34639999999999</v>
      </c>
      <c r="L58" s="23">
        <f>'Annual Raw'!M30</f>
        <v>132.43780000000001</v>
      </c>
      <c r="M58" s="23">
        <f>'Annual Raw'!N30</f>
        <v>93.33</v>
      </c>
      <c r="N58" s="23">
        <f>'Annual Raw'!O30</f>
        <v>51.324399999999997</v>
      </c>
      <c r="O58" s="23">
        <f>'Annual Raw'!P30</f>
        <v>54.6569</v>
      </c>
      <c r="P58" s="23">
        <f>'Annual Raw'!Q30</f>
        <v>116.1139</v>
      </c>
      <c r="Q58" s="23">
        <f>'Annual Raw'!R30</f>
        <v>-67.718900000000005</v>
      </c>
      <c r="R58" s="23">
        <f>'Annual Raw'!S30</f>
        <v>62.739899999999999</v>
      </c>
      <c r="S58" s="23">
        <f>'Annual Raw'!T30</f>
        <v>133.1155</v>
      </c>
      <c r="T58" s="23">
        <f>'Annual Raw'!U30</f>
        <v>211.61959999999999</v>
      </c>
      <c r="U58" s="23">
        <f>'Annual Raw'!V30</f>
        <v>5.3421000000000003</v>
      </c>
      <c r="V58" s="23">
        <f>'Annual Raw'!W30</f>
        <v>171.54759999999999</v>
      </c>
      <c r="W58" s="23">
        <f>'Annual Raw'!X30</f>
        <v>245.58240000000001</v>
      </c>
      <c r="X58" s="23">
        <f>'Annual Raw'!Y30</f>
        <v>267.7004</v>
      </c>
      <c r="Y58" s="23">
        <f>'Annual Raw'!Z30</f>
        <v>622.7971</v>
      </c>
      <c r="Z58" s="23">
        <f>'Annual Raw'!AA30</f>
        <v>890.91729999999995</v>
      </c>
      <c r="AA58" s="23">
        <f>'Annual Raw'!AB30</f>
        <v>150.37950000000001</v>
      </c>
      <c r="AB58" s="24">
        <f>+SUM(CM58:CP58)</f>
        <v>352.36232919544858</v>
      </c>
      <c r="AC58" s="24">
        <f>+SUM(CQ58:CT58)</f>
        <v>436.07425086168428</v>
      </c>
      <c r="AD58" s="24">
        <f>+SUM(CU58:CX58)</f>
        <v>507.42081567893018</v>
      </c>
      <c r="AE58" s="24">
        <f>+SUM(CY58:DB58)</f>
        <v>592.83307520604433</v>
      </c>
      <c r="AI58" s="23">
        <f>'QTR Raw'!C29</f>
        <v>15.74</v>
      </c>
      <c r="AJ58" s="23">
        <f>'QTR Raw'!D29</f>
        <v>22.31</v>
      </c>
      <c r="AK58" s="23">
        <f>'QTR Raw'!E29</f>
        <v>24.77</v>
      </c>
      <c r="AL58" s="23">
        <f>'QTR Raw'!F29</f>
        <v>9.69</v>
      </c>
      <c r="AM58" s="23">
        <f>'QTR Raw'!G29</f>
        <v>5.44</v>
      </c>
      <c r="AN58" s="23">
        <f>'QTR Raw'!H29</f>
        <v>7.95</v>
      </c>
      <c r="AO58" s="23">
        <f>'QTR Raw'!I29</f>
        <v>9.99</v>
      </c>
      <c r="AP58" s="23">
        <f>'QTR Raw'!J29</f>
        <v>23.14</v>
      </c>
      <c r="AQ58" s="23">
        <f>'QTR Raw'!K29</f>
        <v>20.12</v>
      </c>
      <c r="AR58" s="23">
        <f>'QTR Raw'!L29</f>
        <v>29.46</v>
      </c>
      <c r="AS58" s="23">
        <f>'QTR Raw'!M29</f>
        <v>39.33</v>
      </c>
      <c r="AT58" s="23">
        <f>'QTR Raw'!N29</f>
        <v>51.02</v>
      </c>
      <c r="AU58" s="23">
        <f>'QTR Raw'!O29</f>
        <v>51.28</v>
      </c>
      <c r="AV58" s="23">
        <f>'QTR Raw'!P29</f>
        <v>-42.22</v>
      </c>
      <c r="AW58" s="23">
        <f>'QTR Raw'!Q29</f>
        <v>-8.32</v>
      </c>
      <c r="AX58" s="23">
        <f>'QTR Raw'!R29</f>
        <v>35.47</v>
      </c>
      <c r="AY58" s="23">
        <f>'QTR Raw'!S29</f>
        <v>34.619999999999997</v>
      </c>
      <c r="AZ58" s="23">
        <f>'QTR Raw'!T29</f>
        <v>23.48</v>
      </c>
      <c r="BA58" s="23">
        <f>'QTR Raw'!U29</f>
        <v>41.6</v>
      </c>
      <c r="BB58" s="23">
        <f>'QTR Raw'!V29</f>
        <v>87.93</v>
      </c>
      <c r="BC58" s="23">
        <f>'QTR Raw'!W29</f>
        <v>20.34</v>
      </c>
      <c r="BD58" s="23">
        <f>'QTR Raw'!X29</f>
        <v>26.45</v>
      </c>
      <c r="BE58" s="23">
        <f>'QTR Raw'!Y29</f>
        <v>60.86</v>
      </c>
      <c r="BF58" s="23">
        <f>'QTR Raw'!Z29</f>
        <v>86.44</v>
      </c>
      <c r="BG58" s="23">
        <f>'QTR Raw'!AA29</f>
        <v>36.04</v>
      </c>
      <c r="BH58" s="23">
        <f>'QTR Raw'!AB29</f>
        <v>36.979999999999997</v>
      </c>
      <c r="BI58" s="23">
        <f>'QTR Raw'!AC29</f>
        <v>59.72</v>
      </c>
      <c r="BJ58" s="23">
        <f>'QTR Raw'!AD29</f>
        <v>78.88</v>
      </c>
      <c r="BK58" s="23">
        <f>'QTR Raw'!AE29</f>
        <v>64.33</v>
      </c>
      <c r="BL58" s="23">
        <f>'QTR Raw'!AF29</f>
        <v>-167.49</v>
      </c>
      <c r="BM58" s="23">
        <f>'QTR Raw'!AG29</f>
        <v>43.51</v>
      </c>
      <c r="BN58" s="23">
        <f>'QTR Raw'!AH29</f>
        <v>64.989999999999995</v>
      </c>
      <c r="BO58" s="23">
        <f>'QTR Raw'!AI29</f>
        <v>8.68</v>
      </c>
      <c r="BP58" s="23">
        <f>'QTR Raw'!AJ29</f>
        <v>34.68</v>
      </c>
      <c r="BQ58" s="23">
        <f>'QTR Raw'!AK29</f>
        <v>28.34</v>
      </c>
      <c r="BR58" s="23">
        <f>'QTR Raw'!AL29</f>
        <v>99.85</v>
      </c>
      <c r="BS58" s="23">
        <f>'QTR Raw'!AM29</f>
        <v>80.34</v>
      </c>
      <c r="BT58" s="23">
        <f>'QTR Raw'!AN29</f>
        <v>70.98</v>
      </c>
      <c r="BU58" s="23">
        <f>'QTR Raw'!AO29</f>
        <v>11.57</v>
      </c>
      <c r="BV58" s="23">
        <f>'QTR Raw'!AP29</f>
        <v>82.7</v>
      </c>
      <c r="BW58" s="23">
        <f>'QTR Raw'!AQ29</f>
        <v>16.38</v>
      </c>
      <c r="BX58" s="23">
        <f>'QTR Raw'!AR29</f>
        <v>43.41</v>
      </c>
      <c r="BY58" s="23">
        <f>'QTR Raw'!AS29</f>
        <v>109.18</v>
      </c>
      <c r="BZ58" s="23">
        <f>'QTR Raw'!AT29</f>
        <v>94.14</v>
      </c>
      <c r="CA58" s="23">
        <f>'QTR Raw'!AU29</f>
        <v>109.32</v>
      </c>
      <c r="CB58" s="23">
        <f>'QTR Raw'!AV29</f>
        <v>140.01</v>
      </c>
      <c r="CC58" s="23">
        <f>'QTR Raw'!AW29</f>
        <v>187.34</v>
      </c>
      <c r="CD58" s="23">
        <f>'QTR Raw'!AX29</f>
        <v>186.14</v>
      </c>
      <c r="CE58" s="23">
        <f>'QTR Raw'!AY29</f>
        <v>171.8</v>
      </c>
      <c r="CF58" s="23">
        <f>'QTR Raw'!AZ29</f>
        <v>167.65</v>
      </c>
      <c r="CG58" s="23">
        <f>'QTR Raw'!BA29</f>
        <v>165.88</v>
      </c>
      <c r="CH58" s="23">
        <f>CH57*0.25</f>
        <v>116.41499999999996</v>
      </c>
      <c r="CI58" s="23">
        <f>CI57*0.25</f>
        <v>90.977500000000077</v>
      </c>
      <c r="CJ58" s="23">
        <f>'QTR Raw'!BD29</f>
        <v>44.01</v>
      </c>
      <c r="CK58" s="23">
        <f>'QTR Raw'!BE29</f>
        <v>99.57</v>
      </c>
      <c r="CL58" s="23">
        <f>'QTR Raw'!BF29</f>
        <v>47.97</v>
      </c>
      <c r="CM58" s="24">
        <f t="shared" ref="CM58:DB58" si="621">+CM57*CM59</f>
        <v>56.314637887781998</v>
      </c>
      <c r="CN58" s="24">
        <f t="shared" si="621"/>
        <v>74.242473292586808</v>
      </c>
      <c r="CO58" s="24">
        <f t="shared" si="621"/>
        <v>109.13568357962637</v>
      </c>
      <c r="CP58" s="24">
        <f t="shared" si="621"/>
        <v>112.66953443545341</v>
      </c>
      <c r="CQ58" s="24">
        <f t="shared" si="621"/>
        <v>94.81396923489703</v>
      </c>
      <c r="CR58" s="24">
        <f t="shared" si="621"/>
        <v>85.876585641616899</v>
      </c>
      <c r="CS58" s="24">
        <f t="shared" si="621"/>
        <v>125.54711352251257</v>
      </c>
      <c r="CT58" s="24">
        <f t="shared" si="621"/>
        <v>129.83658246265776</v>
      </c>
      <c r="CU58" s="24">
        <f t="shared" si="621"/>
        <v>110.60333542869392</v>
      </c>
      <c r="CV58" s="24">
        <f t="shared" si="621"/>
        <v>101.18596784250983</v>
      </c>
      <c r="CW58" s="24">
        <f t="shared" si="621"/>
        <v>145.24342515322289</v>
      </c>
      <c r="CX58" s="24">
        <f t="shared" si="621"/>
        <v>150.38808725450355</v>
      </c>
      <c r="CY58" s="24">
        <f t="shared" si="621"/>
        <v>129.66438366861712</v>
      </c>
      <c r="CZ58" s="24">
        <f t="shared" si="621"/>
        <v>119.74502668529099</v>
      </c>
      <c r="DA58" s="24">
        <f t="shared" si="621"/>
        <v>168.65511885232695</v>
      </c>
      <c r="DB58" s="24">
        <f t="shared" si="621"/>
        <v>174.76854599980925</v>
      </c>
      <c r="DE58" s="123"/>
      <c r="DF58" s="23">
        <v>150.37950000000001</v>
      </c>
    </row>
    <row r="59" spans="1:110" s="90" customFormat="1" x14ac:dyDescent="0.2">
      <c r="A59" s="90" t="s">
        <v>106</v>
      </c>
      <c r="B59" s="90" t="e">
        <f t="shared" ref="B59:E59" si="622">B58/B57</f>
        <v>#DIV/0!</v>
      </c>
      <c r="C59" s="90" t="e">
        <f t="shared" si="622"/>
        <v>#DIV/0!</v>
      </c>
      <c r="D59" s="90" t="e">
        <f t="shared" si="622"/>
        <v>#DIV/0!</v>
      </c>
      <c r="E59" s="90" t="e">
        <f t="shared" si="622"/>
        <v>#DIV/0!</v>
      </c>
      <c r="F59" s="90" t="e">
        <f t="shared" ref="F59:T59" si="623">F58/F57</f>
        <v>#DIV/0!</v>
      </c>
      <c r="G59" s="90" t="e">
        <f t="shared" si="623"/>
        <v>#DIV/0!</v>
      </c>
      <c r="H59" s="90" t="e">
        <f t="shared" si="623"/>
        <v>#DIV/0!</v>
      </c>
      <c r="I59" s="90" t="e">
        <f t="shared" si="623"/>
        <v>#DIV/0!</v>
      </c>
      <c r="J59" s="90" t="e">
        <f t="shared" si="623"/>
        <v>#DIV/0!</v>
      </c>
      <c r="K59" s="90">
        <f t="shared" si="623"/>
        <v>0.24078941336300147</v>
      </c>
      <c r="L59" s="90">
        <f t="shared" si="623"/>
        <v>0.2295537511186248</v>
      </c>
      <c r="M59" s="90">
        <f t="shared" si="623"/>
        <v>0.2208563347645332</v>
      </c>
      <c r="N59" s="90">
        <f t="shared" si="623"/>
        <v>0.22137080269366044</v>
      </c>
      <c r="O59" s="90">
        <f t="shared" si="623"/>
        <v>2.4654208052540327</v>
      </c>
      <c r="P59" s="90">
        <f t="shared" si="623"/>
        <v>1.587120575286215</v>
      </c>
      <c r="Q59" s="90">
        <f t="shared" si="623"/>
        <v>1.0702670495583659</v>
      </c>
      <c r="R59" s="90">
        <f t="shared" si="623"/>
        <v>0.59324976384385475</v>
      </c>
      <c r="S59" s="90">
        <f t="shared" si="623"/>
        <v>0.57891356100412017</v>
      </c>
      <c r="T59" s="90">
        <f t="shared" si="623"/>
        <v>0.34708078951270249</v>
      </c>
      <c r="U59" s="90">
        <f t="shared" ref="U59:Z59" si="624">U58/U57</f>
        <v>9.2319209726412273E-3</v>
      </c>
      <c r="V59" s="90">
        <f t="shared" si="624"/>
        <v>0.34359072654582484</v>
      </c>
      <c r="W59" s="90">
        <f t="shared" si="624"/>
        <v>0.39516232584498628</v>
      </c>
      <c r="X59" s="90">
        <f t="shared" si="624"/>
        <v>0.35933561802613867</v>
      </c>
      <c r="Y59" s="90">
        <f t="shared" si="624"/>
        <v>0.28098440466129465</v>
      </c>
      <c r="Z59" s="90">
        <f t="shared" si="624"/>
        <v>0.38357131672451705</v>
      </c>
      <c r="AA59" s="90">
        <f t="shared" ref="AA59" si="625">AA58/AA57</f>
        <v>0.14235466839762245</v>
      </c>
      <c r="AB59" s="91">
        <f t="shared" ref="AB59:AD59" si="626">AB58/AB57</f>
        <v>0.24999999999999997</v>
      </c>
      <c r="AC59" s="91">
        <f t="shared" si="626"/>
        <v>0.24999999999999978</v>
      </c>
      <c r="AD59" s="91">
        <f t="shared" si="626"/>
        <v>0.25000000000000033</v>
      </c>
      <c r="AE59" s="91">
        <f t="shared" ref="AE59" si="627">AE58/AE57</f>
        <v>0.25</v>
      </c>
      <c r="AI59" s="90">
        <f t="shared" ref="AI59" si="628">AI58/AI57</f>
        <v>0.14632332434693718</v>
      </c>
      <c r="AJ59" s="90">
        <f t="shared" ref="AJ59" si="629">AJ58/AJ57</f>
        <v>0.15804760555398115</v>
      </c>
      <c r="AK59" s="90">
        <f t="shared" ref="AK59:AM59" si="630">AK58/AK57</f>
        <v>0.24602701628923304</v>
      </c>
      <c r="AL59" s="90">
        <f t="shared" si="630"/>
        <v>0.20365699873896628</v>
      </c>
      <c r="AM59" s="90">
        <f t="shared" si="630"/>
        <v>7.4776632302405471E-2</v>
      </c>
      <c r="AN59" s="90">
        <f t="shared" ref="AN59:AO59" si="631">AN58/AN57</f>
        <v>0.12621050960469929</v>
      </c>
      <c r="AO59" s="90">
        <f t="shared" si="631"/>
        <v>0.174558797833304</v>
      </c>
      <c r="AP59" s="90">
        <f t="shared" ref="AP59:CD59" si="632">AP58/AP57</f>
        <v>0.32255366601616831</v>
      </c>
      <c r="AQ59" s="90">
        <f t="shared" si="632"/>
        <v>0.3120347394540941</v>
      </c>
      <c r="AR59" s="90">
        <f t="shared" si="632"/>
        <v>0.27017608217168027</v>
      </c>
      <c r="AS59" s="90">
        <f t="shared" si="632"/>
        <v>0.2784819089428594</v>
      </c>
      <c r="AT59" s="90">
        <f t="shared" si="632"/>
        <v>0.34613297150610589</v>
      </c>
      <c r="AU59" s="90">
        <f t="shared" si="632"/>
        <v>0.34536637931034492</v>
      </c>
      <c r="AV59" s="90">
        <f t="shared" si="632"/>
        <v>-1.3847163004263683</v>
      </c>
      <c r="AW59" s="90">
        <f t="shared" si="632"/>
        <v>-0.2434172030427158</v>
      </c>
      <c r="AX59" s="90">
        <f t="shared" si="632"/>
        <v>0.19971846846846844</v>
      </c>
      <c r="AY59" s="90">
        <f t="shared" si="632"/>
        <v>0.34482071713147372</v>
      </c>
      <c r="AZ59" s="90">
        <f t="shared" si="632"/>
        <v>0.22266477003319093</v>
      </c>
      <c r="BA59" s="90">
        <f t="shared" si="632"/>
        <v>0.34023063711458229</v>
      </c>
      <c r="BB59" s="90">
        <f t="shared" si="632"/>
        <v>0.35895656433703477</v>
      </c>
      <c r="BC59" s="90">
        <f t="shared" si="632"/>
        <v>0.24234481115214984</v>
      </c>
      <c r="BD59" s="90">
        <f t="shared" si="632"/>
        <v>0.29802816901408419</v>
      </c>
      <c r="BE59" s="90">
        <f t="shared" si="632"/>
        <v>0.35609385056462484</v>
      </c>
      <c r="BF59" s="90">
        <f t="shared" si="632"/>
        <v>0.3531189999591488</v>
      </c>
      <c r="BG59" s="90">
        <f t="shared" si="632"/>
        <v>0.31531058617672825</v>
      </c>
      <c r="BH59" s="90">
        <f t="shared" si="632"/>
        <v>0.33411637152150353</v>
      </c>
      <c r="BI59" s="90">
        <f t="shared" si="632"/>
        <v>0.32909020774783759</v>
      </c>
      <c r="BJ59" s="90">
        <f t="shared" si="632"/>
        <v>0.38807438748401085</v>
      </c>
      <c r="BK59" s="90">
        <f t="shared" si="632"/>
        <v>0.36699184209025065</v>
      </c>
      <c r="BL59" s="90">
        <f t="shared" si="632"/>
        <v>-1.4564347826086979</v>
      </c>
      <c r="BM59" s="90">
        <f t="shared" si="632"/>
        <v>0.29614756329975472</v>
      </c>
      <c r="BN59" s="90">
        <f t="shared" si="632"/>
        <v>0.45358738135120097</v>
      </c>
      <c r="BO59" s="90">
        <f t="shared" si="632"/>
        <v>-0.4851872554499701</v>
      </c>
      <c r="BP59" s="90">
        <f t="shared" si="632"/>
        <v>0.30359800402696269</v>
      </c>
      <c r="BQ59" s="90">
        <f t="shared" si="632"/>
        <v>0.24340805634286758</v>
      </c>
      <c r="BR59" s="90">
        <f t="shared" si="632"/>
        <v>0.34850441520365827</v>
      </c>
      <c r="BS59" s="90">
        <f t="shared" si="632"/>
        <v>0.35536093418259035</v>
      </c>
      <c r="BT59" s="90">
        <f t="shared" si="632"/>
        <v>0.39742441209406526</v>
      </c>
      <c r="BU59" s="90">
        <f t="shared" si="632"/>
        <v>0.94448979591835747</v>
      </c>
      <c r="BV59" s="90">
        <f t="shared" si="632"/>
        <v>0.40432189302825916</v>
      </c>
      <c r="BW59" s="90">
        <f t="shared" si="632"/>
        <v>18.199999999998735</v>
      </c>
      <c r="BX59" s="90">
        <f t="shared" si="632"/>
        <v>0.48513634331694144</v>
      </c>
      <c r="BY59" s="90">
        <f t="shared" si="632"/>
        <v>0.43243029150823942</v>
      </c>
      <c r="BZ59" s="90">
        <f t="shared" si="632"/>
        <v>0.24026338624878768</v>
      </c>
      <c r="CA59" s="90">
        <f t="shared" si="632"/>
        <v>0.30922411110796788</v>
      </c>
      <c r="CB59" s="90">
        <f t="shared" si="632"/>
        <v>0.28210191211138214</v>
      </c>
      <c r="CC59" s="90">
        <f t="shared" si="632"/>
        <v>0.26730780206609195</v>
      </c>
      <c r="CD59" s="90">
        <f t="shared" si="632"/>
        <v>0.27957344547912277</v>
      </c>
      <c r="CE59" s="90">
        <f t="shared" ref="CE59:CF59" si="633">CE58/CE57</f>
        <v>0.29468267581475155</v>
      </c>
      <c r="CF59" s="90">
        <f t="shared" si="633"/>
        <v>0.26353018847163484</v>
      </c>
      <c r="CG59" s="90">
        <f t="shared" ref="CG59:CH59" si="634">CG58/CG57</f>
        <v>0.26005706581381471</v>
      </c>
      <c r="CH59" s="90">
        <f t="shared" si="634"/>
        <v>0.25</v>
      </c>
      <c r="CI59" s="90">
        <f t="shared" ref="CI59:CJ59" si="635">CI58/CI57</f>
        <v>0.25</v>
      </c>
      <c r="CJ59" s="90">
        <f t="shared" si="635"/>
        <v>0.25418736282776888</v>
      </c>
      <c r="CK59" s="90">
        <f t="shared" ref="CK59:CL59" si="636">CK58/CK57</f>
        <v>0.28901079763148674</v>
      </c>
      <c r="CL59" s="90">
        <f t="shared" si="636"/>
        <v>0.27441221898060802</v>
      </c>
      <c r="CM59" s="91">
        <v>0.25</v>
      </c>
      <c r="CN59" s="91">
        <v>0.25</v>
      </c>
      <c r="CO59" s="91">
        <v>0.25</v>
      </c>
      <c r="CP59" s="91">
        <v>0.25</v>
      </c>
      <c r="CQ59" s="91">
        <v>0.25</v>
      </c>
      <c r="CR59" s="91">
        <v>0.25</v>
      </c>
      <c r="CS59" s="91">
        <v>0.25</v>
      </c>
      <c r="CT59" s="91">
        <v>0.25</v>
      </c>
      <c r="CU59" s="91">
        <v>0.25</v>
      </c>
      <c r="CV59" s="91">
        <v>0.25</v>
      </c>
      <c r="CW59" s="91">
        <v>0.25</v>
      </c>
      <c r="CX59" s="91">
        <v>0.25</v>
      </c>
      <c r="CY59" s="91">
        <v>0.25</v>
      </c>
      <c r="CZ59" s="91">
        <v>0.25</v>
      </c>
      <c r="DA59" s="91">
        <v>0.25</v>
      </c>
      <c r="DB59" s="91">
        <v>0.25</v>
      </c>
      <c r="DE59" s="127"/>
      <c r="DF59" s="90">
        <v>0.14235466839762245</v>
      </c>
    </row>
    <row r="60" spans="1:110" s="26" customFormat="1" x14ac:dyDescent="0.2">
      <c r="A60" s="26" t="s">
        <v>22</v>
      </c>
      <c r="B60" s="26">
        <f t="shared" ref="B60:E60" si="637">B57-B58</f>
        <v>0</v>
      </c>
      <c r="C60" s="26">
        <f t="shared" si="637"/>
        <v>0</v>
      </c>
      <c r="D60" s="26">
        <f t="shared" si="637"/>
        <v>0</v>
      </c>
      <c r="E60" s="26">
        <f t="shared" si="637"/>
        <v>0</v>
      </c>
      <c r="F60" s="26">
        <f t="shared" ref="F60:T60" si="638">F57-F58</f>
        <v>0</v>
      </c>
      <c r="G60" s="26">
        <f t="shared" si="638"/>
        <v>0</v>
      </c>
      <c r="H60" s="26">
        <f t="shared" si="638"/>
        <v>0</v>
      </c>
      <c r="I60" s="26">
        <f t="shared" si="638"/>
        <v>0</v>
      </c>
      <c r="J60" s="26">
        <f t="shared" si="638"/>
        <v>0</v>
      </c>
      <c r="K60" s="26">
        <f t="shared" si="638"/>
        <v>678.98860000000025</v>
      </c>
      <c r="L60" s="26">
        <f t="shared" si="638"/>
        <v>444.49810000000082</v>
      </c>
      <c r="M60" s="26">
        <f t="shared" si="638"/>
        <v>329.25240000000059</v>
      </c>
      <c r="N60" s="26">
        <f t="shared" si="638"/>
        <v>180.52369999999974</v>
      </c>
      <c r="O60" s="26">
        <f t="shared" si="638"/>
        <v>-32.487499999999493</v>
      </c>
      <c r="P60" s="26">
        <f t="shared" si="638"/>
        <v>-42.953799999998125</v>
      </c>
      <c r="Q60" s="26">
        <f t="shared" si="638"/>
        <v>4.4460000000014332</v>
      </c>
      <c r="R60" s="26">
        <f t="shared" si="638"/>
        <v>43.016400000000239</v>
      </c>
      <c r="S60" s="26">
        <f t="shared" si="638"/>
        <v>96.824700000000689</v>
      </c>
      <c r="T60" s="26">
        <f t="shared" si="638"/>
        <v>398.09319999999866</v>
      </c>
      <c r="U60" s="26">
        <f t="shared" ref="U60:Z60" si="639">U57-U58</f>
        <v>573.31319999999994</v>
      </c>
      <c r="V60" s="26">
        <f t="shared" si="639"/>
        <v>327.73129999999935</v>
      </c>
      <c r="W60" s="26">
        <f t="shared" si="639"/>
        <v>375.88979999999879</v>
      </c>
      <c r="X60" s="26">
        <f t="shared" si="639"/>
        <v>477.28669999999789</v>
      </c>
      <c r="Y60" s="26">
        <f t="shared" si="639"/>
        <v>1593.685700000002</v>
      </c>
      <c r="Z60" s="26">
        <f t="shared" si="639"/>
        <v>1431.7727999999993</v>
      </c>
      <c r="AA60" s="26">
        <f t="shared" ref="AA60" si="640">AA57-AA58</f>
        <v>905.99259999999958</v>
      </c>
      <c r="AB60" s="27">
        <f t="shared" ref="AB60:AD60" si="641">AB57-AB58</f>
        <v>1057.0869875863459</v>
      </c>
      <c r="AC60" s="27">
        <f t="shared" si="641"/>
        <v>1308.2227525850544</v>
      </c>
      <c r="AD60" s="27">
        <f t="shared" si="641"/>
        <v>1522.262447036788</v>
      </c>
      <c r="AE60" s="27">
        <f t="shared" ref="AE60" si="642">AE57-AE58</f>
        <v>1778.4992256181331</v>
      </c>
      <c r="AI60" s="26">
        <f>AI57-AI58</f>
        <v>91.829999999999785</v>
      </c>
      <c r="AJ60" s="26">
        <f t="shared" ref="AJ60" si="643">AJ57-AJ58</f>
        <v>118.85000000000014</v>
      </c>
      <c r="AK60" s="26">
        <f t="shared" ref="AK60:AM60" si="644">AK57-AK58</f>
        <v>75.910000000000068</v>
      </c>
      <c r="AL60" s="26">
        <f t="shared" si="644"/>
        <v>37.889999999999922</v>
      </c>
      <c r="AM60" s="26">
        <f t="shared" si="644"/>
        <v>67.310000000000031</v>
      </c>
      <c r="AN60" s="26">
        <f t="shared" ref="AN60:AO60" si="645">AN57-AN58</f>
        <v>55.039999999999935</v>
      </c>
      <c r="AO60" s="26">
        <f t="shared" si="645"/>
        <v>47.240000000000073</v>
      </c>
      <c r="AP60" s="26">
        <f t="shared" ref="AP60:CD60" si="646">AP57-AP58</f>
        <v>48.600000000000264</v>
      </c>
      <c r="AQ60" s="26">
        <f t="shared" si="646"/>
        <v>44.360000000000042</v>
      </c>
      <c r="AR60" s="26">
        <f t="shared" si="646"/>
        <v>79.579999999999956</v>
      </c>
      <c r="AS60" s="26">
        <f t="shared" si="646"/>
        <v>101.89999999999988</v>
      </c>
      <c r="AT60" s="26">
        <f t="shared" si="646"/>
        <v>96.379999999999967</v>
      </c>
      <c r="AU60" s="26">
        <f t="shared" si="646"/>
        <v>97.19999999999996</v>
      </c>
      <c r="AV60" s="26">
        <f t="shared" si="646"/>
        <v>72.710000000000022</v>
      </c>
      <c r="AW60" s="26">
        <f t="shared" si="646"/>
        <v>42.499999999999893</v>
      </c>
      <c r="AX60" s="26">
        <f t="shared" si="646"/>
        <v>142.13000000000002</v>
      </c>
      <c r="AY60" s="26">
        <f t="shared" si="646"/>
        <v>65.780000000000115</v>
      </c>
      <c r="AZ60" s="26">
        <f t="shared" si="646"/>
        <v>81.97000000000007</v>
      </c>
      <c r="BA60" s="26">
        <f t="shared" si="646"/>
        <v>80.670000000000073</v>
      </c>
      <c r="BB60" s="26">
        <f t="shared" si="646"/>
        <v>157.02999999999992</v>
      </c>
      <c r="BC60" s="26">
        <f t="shared" si="646"/>
        <v>63.590000000000259</v>
      </c>
      <c r="BD60" s="26">
        <f t="shared" si="646"/>
        <v>62.300000000000082</v>
      </c>
      <c r="BE60" s="26">
        <f t="shared" si="646"/>
        <v>110.04999999999991</v>
      </c>
      <c r="BF60" s="26">
        <f t="shared" si="646"/>
        <v>158.34999999999988</v>
      </c>
      <c r="BG60" s="26">
        <f t="shared" si="646"/>
        <v>78.259999999999877</v>
      </c>
      <c r="BH60" s="26">
        <f t="shared" si="646"/>
        <v>73.69999999999996</v>
      </c>
      <c r="BI60" s="26">
        <f t="shared" si="646"/>
        <v>121.74999999999974</v>
      </c>
      <c r="BJ60" s="26">
        <f t="shared" si="646"/>
        <v>124.37999999999988</v>
      </c>
      <c r="BK60" s="26">
        <f t="shared" si="646"/>
        <v>110.95999999999991</v>
      </c>
      <c r="BL60" s="26">
        <f t="shared" si="646"/>
        <v>282.48999999999984</v>
      </c>
      <c r="BM60" s="26">
        <f t="shared" si="646"/>
        <v>103.41000000000011</v>
      </c>
      <c r="BN60" s="26">
        <f t="shared" si="646"/>
        <v>78.289999999999836</v>
      </c>
      <c r="BO60" s="26">
        <f t="shared" si="646"/>
        <v>-26.570000000000071</v>
      </c>
      <c r="BP60" s="26">
        <f t="shared" si="646"/>
        <v>79.550000000000182</v>
      </c>
      <c r="BQ60" s="26">
        <f t="shared" si="646"/>
        <v>88.089999999999705</v>
      </c>
      <c r="BR60" s="26">
        <f t="shared" si="646"/>
        <v>186.6599999999996</v>
      </c>
      <c r="BS60" s="26">
        <f t="shared" si="646"/>
        <v>145.73999999999992</v>
      </c>
      <c r="BT60" s="26">
        <f t="shared" si="646"/>
        <v>107.61999999999988</v>
      </c>
      <c r="BU60" s="26">
        <f t="shared" si="646"/>
        <v>0.68000000000012761</v>
      </c>
      <c r="BV60" s="26">
        <f t="shared" si="646"/>
        <v>121.83999999999968</v>
      </c>
      <c r="BW60" s="26">
        <f t="shared" si="646"/>
        <v>-15.479999999999936</v>
      </c>
      <c r="BX60" s="26">
        <f t="shared" si="646"/>
        <v>46.070000000000164</v>
      </c>
      <c r="BY60" s="26">
        <f t="shared" si="646"/>
        <v>143.29999999999936</v>
      </c>
      <c r="BZ60" s="26">
        <f t="shared" si="646"/>
        <v>297.68000000000006</v>
      </c>
      <c r="CA60" s="26">
        <f t="shared" si="646"/>
        <v>244.21000000000038</v>
      </c>
      <c r="CB60" s="26">
        <f t="shared" si="646"/>
        <v>356.29999999999973</v>
      </c>
      <c r="CC60" s="26">
        <f t="shared" si="646"/>
        <v>513.50000000000045</v>
      </c>
      <c r="CD60" s="26">
        <f t="shared" si="646"/>
        <v>479.6600000000002</v>
      </c>
      <c r="CE60" s="26">
        <f t="shared" ref="CE60:CF60" si="647">CE57-CE58</f>
        <v>411.19999999999953</v>
      </c>
      <c r="CF60" s="26">
        <f t="shared" si="647"/>
        <v>468.52000000000032</v>
      </c>
      <c r="CG60" s="26">
        <f t="shared" ref="CG60:CH60" si="648">CG57-CG58</f>
        <v>471.98000000000059</v>
      </c>
      <c r="CH60" s="26">
        <f t="shared" si="648"/>
        <v>349.24499999999989</v>
      </c>
      <c r="CI60" s="26">
        <f t="shared" ref="CI60:CJ60" si="649">CI57-CI58</f>
        <v>272.93250000000023</v>
      </c>
      <c r="CJ60" s="26">
        <f t="shared" si="649"/>
        <v>129.13000000000036</v>
      </c>
      <c r="CK60" s="26">
        <f t="shared" ref="CK60:CL60" si="650">CK57-CK58</f>
        <v>244.95000000000061</v>
      </c>
      <c r="CL60" s="26">
        <f t="shared" si="650"/>
        <v>126.83999999999966</v>
      </c>
      <c r="CM60" s="27">
        <f t="shared" ref="CM60:DB60" si="651">CM57-CM58</f>
        <v>168.943913663346</v>
      </c>
      <c r="CN60" s="27">
        <f t="shared" si="651"/>
        <v>222.72741987776044</v>
      </c>
      <c r="CO60" s="27">
        <f t="shared" si="651"/>
        <v>327.40705073887909</v>
      </c>
      <c r="CP60" s="27">
        <f t="shared" si="651"/>
        <v>338.00860330636021</v>
      </c>
      <c r="CQ60" s="27">
        <f t="shared" si="651"/>
        <v>284.44190770469106</v>
      </c>
      <c r="CR60" s="27">
        <f t="shared" si="651"/>
        <v>257.62975692485071</v>
      </c>
      <c r="CS60" s="27">
        <f t="shared" si="651"/>
        <v>376.64134056753772</v>
      </c>
      <c r="CT60" s="27">
        <f t="shared" si="651"/>
        <v>389.50974738797328</v>
      </c>
      <c r="CU60" s="27">
        <f t="shared" si="651"/>
        <v>331.81000628608177</v>
      </c>
      <c r="CV60" s="27">
        <f t="shared" si="651"/>
        <v>303.55790352752945</v>
      </c>
      <c r="CW60" s="27">
        <f t="shared" si="651"/>
        <v>435.73027545966863</v>
      </c>
      <c r="CX60" s="27">
        <f t="shared" si="651"/>
        <v>451.16426176351064</v>
      </c>
      <c r="CY60" s="27">
        <f t="shared" si="651"/>
        <v>388.99315100585136</v>
      </c>
      <c r="CZ60" s="27">
        <f t="shared" si="651"/>
        <v>359.23508005587297</v>
      </c>
      <c r="DA60" s="27">
        <f t="shared" si="651"/>
        <v>505.96535655698085</v>
      </c>
      <c r="DB60" s="27">
        <f t="shared" si="651"/>
        <v>524.30563799942774</v>
      </c>
      <c r="DE60" s="121"/>
      <c r="DF60" s="26">
        <v>905.99259999999958</v>
      </c>
    </row>
    <row r="61" spans="1:110" s="45" customFormat="1" x14ac:dyDescent="0.2">
      <c r="A61" s="45" t="s">
        <v>107</v>
      </c>
      <c r="B61" s="45" t="e">
        <f t="shared" ref="B61:E61" si="652">+B60/B29</f>
        <v>#DIV/0!</v>
      </c>
      <c r="C61" s="45" t="e">
        <f t="shared" si="652"/>
        <v>#DIV/0!</v>
      </c>
      <c r="D61" s="45" t="e">
        <f t="shared" si="652"/>
        <v>#DIV/0!</v>
      </c>
      <c r="E61" s="45" t="e">
        <f t="shared" si="652"/>
        <v>#DIV/0!</v>
      </c>
      <c r="F61" s="45" t="e">
        <f t="shared" ref="F61:AE61" si="653">+F60/F29</f>
        <v>#DIV/0!</v>
      </c>
      <c r="G61" s="45" t="e">
        <f t="shared" si="653"/>
        <v>#DIV/0!</v>
      </c>
      <c r="H61" s="45" t="e">
        <f t="shared" si="653"/>
        <v>#DIV/0!</v>
      </c>
      <c r="I61" s="45" t="e">
        <f t="shared" si="653"/>
        <v>#DIV/0!</v>
      </c>
      <c r="J61" s="45" t="e">
        <f t="shared" si="653"/>
        <v>#DIV/0!</v>
      </c>
      <c r="K61" s="45">
        <f t="shared" si="653"/>
        <v>9.5494134184872181E-2</v>
      </c>
      <c r="L61" s="45">
        <f t="shared" si="653"/>
        <v>9.6918134068725417E-2</v>
      </c>
      <c r="M61" s="45">
        <f t="shared" si="653"/>
        <v>5.4544535574432368E-2</v>
      </c>
      <c r="N61" s="45">
        <f t="shared" si="653"/>
        <v>2.6686025711189703E-2</v>
      </c>
      <c r="O61" s="45">
        <f t="shared" si="653"/>
        <v>-4.8810464013942824E-3</v>
      </c>
      <c r="P61" s="45">
        <f t="shared" si="653"/>
        <v>-5.2332710931721309E-3</v>
      </c>
      <c r="Q61" s="45">
        <f t="shared" si="653"/>
        <v>5.772092997533881E-4</v>
      </c>
      <c r="R61" s="45">
        <f t="shared" si="653"/>
        <v>6.0842519620667671E-3</v>
      </c>
      <c r="S61" s="45">
        <f t="shared" si="653"/>
        <v>1.1382276525603394E-2</v>
      </c>
      <c r="T61" s="45">
        <f t="shared" si="653"/>
        <v>3.2854101463517069E-2</v>
      </c>
      <c r="U61" s="45">
        <f t="shared" si="653"/>
        <v>4.930862522083012E-2</v>
      </c>
      <c r="V61" s="45">
        <f t="shared" si="653"/>
        <v>3.0733542118908389E-2</v>
      </c>
      <c r="W61" s="45">
        <f t="shared" si="653"/>
        <v>2.8265746525352457E-2</v>
      </c>
      <c r="X61" s="45">
        <f t="shared" si="653"/>
        <v>2.6711711414992245E-2</v>
      </c>
      <c r="Y61" s="45">
        <f t="shared" si="653"/>
        <v>7.6043003422404942E-2</v>
      </c>
      <c r="Z61" s="45">
        <f t="shared" ref="Z61:AA61" si="654">+Z60/Z29</f>
        <v>6.8739739373977704E-2</v>
      </c>
      <c r="AA61" s="45">
        <f t="shared" si="654"/>
        <v>5.0627786325213676E-2</v>
      </c>
      <c r="AB61" s="48">
        <f t="shared" si="653"/>
        <v>5.6763312678040453E-2</v>
      </c>
      <c r="AC61" s="48">
        <f t="shared" si="653"/>
        <v>6.4283262652130191E-2</v>
      </c>
      <c r="AD61" s="48">
        <f t="shared" si="653"/>
        <v>6.8689231262897874E-2</v>
      </c>
      <c r="AE61" s="48">
        <f t="shared" si="653"/>
        <v>7.363368780905126E-2</v>
      </c>
      <c r="AI61" s="45">
        <f t="shared" ref="AI61:BN61" si="655">+AI60/AI29</f>
        <v>7.1162325736382287E-2</v>
      </c>
      <c r="AJ61" s="45">
        <f t="shared" si="655"/>
        <v>7.2605426010886306E-2</v>
      </c>
      <c r="AK61" s="45">
        <f t="shared" si="655"/>
        <v>4.406378248477711E-2</v>
      </c>
      <c r="AL61" s="45">
        <f t="shared" si="655"/>
        <v>3.8660503841562263E-2</v>
      </c>
      <c r="AM61" s="45">
        <f t="shared" si="655"/>
        <v>5.576590086246181E-2</v>
      </c>
      <c r="AN61" s="45">
        <f t="shared" si="655"/>
        <v>4.4770170572397634E-2</v>
      </c>
      <c r="AO61" s="45">
        <f t="shared" si="655"/>
        <v>2.7632033036774511E-2</v>
      </c>
      <c r="AP61" s="45">
        <f t="shared" si="655"/>
        <v>3.564147318089167E-2</v>
      </c>
      <c r="AQ61" s="45">
        <f t="shared" si="655"/>
        <v>3.860513284656291E-2</v>
      </c>
      <c r="AR61" s="45">
        <f t="shared" si="655"/>
        <v>5.0007540719887368E-2</v>
      </c>
      <c r="AS61" s="45">
        <f t="shared" si="655"/>
        <v>5.7329965174437184E-2</v>
      </c>
      <c r="AT61" s="45">
        <f t="shared" si="655"/>
        <v>4.6247156937073527E-2</v>
      </c>
      <c r="AU61" s="45">
        <f t="shared" si="655"/>
        <v>4.8791751583724015E-2</v>
      </c>
      <c r="AV61" s="45">
        <f t="shared" si="655"/>
        <v>5.4018112523495039E-2</v>
      </c>
      <c r="AW61" s="45">
        <f t="shared" si="655"/>
        <v>3.9432908385755805E-2</v>
      </c>
      <c r="AX61" s="45">
        <f t="shared" si="655"/>
        <v>7.7695961865402813E-2</v>
      </c>
      <c r="AY61" s="45">
        <f t="shared" si="655"/>
        <v>5.1415127521709653E-2</v>
      </c>
      <c r="AZ61" s="45">
        <f t="shared" si="655"/>
        <v>6.1481342583911545E-2</v>
      </c>
      <c r="BA61" s="45">
        <f t="shared" si="655"/>
        <v>5.933799190879005E-2</v>
      </c>
      <c r="BB61" s="45">
        <f t="shared" si="655"/>
        <v>9.1376200174570793E-2</v>
      </c>
      <c r="BC61" s="45">
        <f t="shared" si="655"/>
        <v>4.5517014301461822E-2</v>
      </c>
      <c r="BD61" s="45">
        <f t="shared" si="655"/>
        <v>4.7154459237505643E-2</v>
      </c>
      <c r="BE61" s="45">
        <f t="shared" si="655"/>
        <v>5.2040724645219825E-2</v>
      </c>
      <c r="BF61" s="45">
        <f t="shared" si="655"/>
        <v>6.4448776755298101E-2</v>
      </c>
      <c r="BG61" s="45">
        <f t="shared" si="655"/>
        <v>2.8342954823662305E-2</v>
      </c>
      <c r="BH61" s="45">
        <f t="shared" si="655"/>
        <v>2.4897639284893844E-2</v>
      </c>
      <c r="BI61" s="45">
        <f t="shared" si="655"/>
        <v>4.1157897583600313E-2</v>
      </c>
      <c r="BJ61" s="45">
        <f t="shared" si="655"/>
        <v>3.6182430663431797E-2</v>
      </c>
      <c r="BK61" s="45">
        <f t="shared" si="655"/>
        <v>3.6303436001125455E-2</v>
      </c>
      <c r="BL61" s="45">
        <f t="shared" si="655"/>
        <v>0.1053442174232451</v>
      </c>
      <c r="BM61" s="45">
        <f t="shared" si="655"/>
        <v>3.4608781212662816E-2</v>
      </c>
      <c r="BN61" s="45">
        <f t="shared" si="655"/>
        <v>2.6987059723821219E-2</v>
      </c>
      <c r="BO61" s="45">
        <f t="shared" ref="BO61:CT61" si="656">+BO60/BO29</f>
        <v>-1.6193419023762989E-2</v>
      </c>
      <c r="BP61" s="45">
        <f t="shared" si="656"/>
        <v>3.3504329660702929E-2</v>
      </c>
      <c r="BQ61" s="45">
        <f t="shared" si="656"/>
        <v>3.0750380496250788E-2</v>
      </c>
      <c r="BR61" s="45">
        <f t="shared" si="656"/>
        <v>4.9330708141178854E-2</v>
      </c>
      <c r="BS61" s="45">
        <f t="shared" si="656"/>
        <v>5.0523469458503757E-2</v>
      </c>
      <c r="BT61" s="45">
        <f t="shared" si="656"/>
        <v>3.6200586636527497E-2</v>
      </c>
      <c r="BU61" s="45">
        <f t="shared" si="656"/>
        <v>1.9590670231404064E-4</v>
      </c>
      <c r="BV61" s="45">
        <f t="shared" si="656"/>
        <v>3.0690949394191206E-2</v>
      </c>
      <c r="BW61" s="45">
        <f t="shared" si="656"/>
        <v>-4.4504755223846084E-3</v>
      </c>
      <c r="BX61" s="45">
        <f t="shared" si="656"/>
        <v>1.1393481948985335E-2</v>
      </c>
      <c r="BY61" s="45">
        <f t="shared" si="656"/>
        <v>2.7782409256408444E-2</v>
      </c>
      <c r="BZ61" s="45">
        <f t="shared" si="656"/>
        <v>5.7377570551012037E-2</v>
      </c>
      <c r="CA61" s="45">
        <f t="shared" si="656"/>
        <v>5.5373654829010882E-2</v>
      </c>
      <c r="CB61" s="45">
        <f t="shared" si="656"/>
        <v>6.5182155127309127E-2</v>
      </c>
      <c r="CC61" s="45">
        <f t="shared" si="656"/>
        <v>9.0787098507979974E-2</v>
      </c>
      <c r="CD61" s="45">
        <f t="shared" si="656"/>
        <v>8.8413982260431068E-2</v>
      </c>
      <c r="CE61" s="45">
        <f t="shared" si="656"/>
        <v>8.3254371259424739E-2</v>
      </c>
      <c r="CF61" s="45">
        <f t="shared" si="656"/>
        <v>8.4085916524286125E-2</v>
      </c>
      <c r="CG61" s="45">
        <f t="shared" si="656"/>
        <v>8.9537685200994171E-2</v>
      </c>
      <c r="CH61" s="45">
        <f t="shared" si="656"/>
        <v>6.9204155677397988E-2</v>
      </c>
      <c r="CI61" s="45">
        <f t="shared" ref="CI61:CJ61" si="657">+CI60/CI29</f>
        <v>6.6818575751344103E-2</v>
      </c>
      <c r="CJ61" s="45">
        <f t="shared" si="657"/>
        <v>3.0501228269085495E-2</v>
      </c>
      <c r="CK61" s="45">
        <f t="shared" ref="CK61:CL61" si="658">+CK60/CK29</f>
        <v>4.9550816137039135E-2</v>
      </c>
      <c r="CL61" s="45">
        <f t="shared" si="658"/>
        <v>2.7374673031932733E-2</v>
      </c>
      <c r="CM61" s="48">
        <f t="shared" si="656"/>
        <v>3.8857060602461101E-2</v>
      </c>
      <c r="CN61" s="48">
        <f t="shared" si="656"/>
        <v>5.5153608178850524E-2</v>
      </c>
      <c r="CO61" s="48">
        <f t="shared" si="656"/>
        <v>6.6114301304317238E-2</v>
      </c>
      <c r="CP61" s="48">
        <f t="shared" si="656"/>
        <v>6.3963032295156541E-2</v>
      </c>
      <c r="CQ61" s="48">
        <f t="shared" si="656"/>
        <v>5.9051522356127158E-2</v>
      </c>
      <c r="CR61" s="48">
        <f t="shared" si="656"/>
        <v>5.8738586889585907E-2</v>
      </c>
      <c r="CS61" s="48">
        <f t="shared" si="656"/>
        <v>6.9861628978984194E-2</v>
      </c>
      <c r="CT61" s="48">
        <f t="shared" si="656"/>
        <v>6.7661069460428006E-2</v>
      </c>
      <c r="CU61" s="48">
        <f t="shared" ref="CU61:DB61" si="659">+CU60/CU29</f>
        <v>6.3293234101411494E-2</v>
      </c>
      <c r="CV61" s="48">
        <f t="shared" si="659"/>
        <v>6.3658448525766992E-2</v>
      </c>
      <c r="CW61" s="48">
        <f t="shared" si="659"/>
        <v>7.4176075464462199E-2</v>
      </c>
      <c r="CX61" s="48">
        <f t="shared" si="659"/>
        <v>7.1883187615807601E-2</v>
      </c>
      <c r="CY61" s="48">
        <f t="shared" si="659"/>
        <v>6.8118161984365669E-2</v>
      </c>
      <c r="CZ61" s="48">
        <f t="shared" si="659"/>
        <v>6.9226220038465319E-2</v>
      </c>
      <c r="DA61" s="48">
        <f t="shared" si="659"/>
        <v>7.8988045533724849E-2</v>
      </c>
      <c r="DB61" s="48">
        <f t="shared" si="659"/>
        <v>7.6564601396923351E-2</v>
      </c>
      <c r="DE61" s="129"/>
      <c r="DF61" s="45">
        <v>5.0627786325213676E-2</v>
      </c>
    </row>
    <row r="62" spans="1:110" s="39" customFormat="1" x14ac:dyDescent="0.2">
      <c r="A62" s="39" t="s">
        <v>451</v>
      </c>
      <c r="C62" s="39" t="e">
        <f t="shared" ref="C62:E62" si="660">+IF(B60&lt;0,1-C60/B60,C60/B60-1)</f>
        <v>#DIV/0!</v>
      </c>
      <c r="D62" s="39" t="e">
        <f t="shared" si="660"/>
        <v>#DIV/0!</v>
      </c>
      <c r="E62" s="39" t="e">
        <f t="shared" si="660"/>
        <v>#DIV/0!</v>
      </c>
      <c r="F62" s="39" t="e">
        <f t="shared" ref="F62:AE62" si="661">+IF(E60&lt;0,1-F60/E60,F60/E60-1)</f>
        <v>#DIV/0!</v>
      </c>
      <c r="G62" s="39" t="e">
        <f t="shared" si="661"/>
        <v>#DIV/0!</v>
      </c>
      <c r="H62" s="39" t="e">
        <f t="shared" si="661"/>
        <v>#DIV/0!</v>
      </c>
      <c r="I62" s="39" t="e">
        <f t="shared" si="661"/>
        <v>#DIV/0!</v>
      </c>
      <c r="J62" s="39" t="e">
        <f t="shared" si="661"/>
        <v>#DIV/0!</v>
      </c>
      <c r="K62" s="39" t="e">
        <f t="shared" si="661"/>
        <v>#DIV/0!</v>
      </c>
      <c r="L62" s="39">
        <f t="shared" si="661"/>
        <v>-0.345352631840946</v>
      </c>
      <c r="M62" s="39">
        <f t="shared" si="661"/>
        <v>-0.2592715244452114</v>
      </c>
      <c r="N62" s="39">
        <f t="shared" si="661"/>
        <v>-0.45171637321398594</v>
      </c>
      <c r="O62" s="39">
        <f t="shared" si="661"/>
        <v>-1.1799625201566306</v>
      </c>
      <c r="P62" s="39">
        <f t="shared" si="661"/>
        <v>-0.32216390919580751</v>
      </c>
      <c r="Q62" s="39">
        <f t="shared" si="661"/>
        <v>1.1035065582090904</v>
      </c>
      <c r="R62" s="39">
        <f t="shared" si="661"/>
        <v>8.6753036437216302</v>
      </c>
      <c r="S62" s="39">
        <f t="shared" si="661"/>
        <v>1.2508787346221477</v>
      </c>
      <c r="T62" s="39">
        <f t="shared" si="661"/>
        <v>3.1114839498598581</v>
      </c>
      <c r="U62" s="39">
        <f t="shared" si="661"/>
        <v>0.4401481864045953</v>
      </c>
      <c r="V62" s="39">
        <f t="shared" si="661"/>
        <v>-0.42835556550939458</v>
      </c>
      <c r="W62" s="39">
        <f t="shared" si="661"/>
        <v>0.14694507360145193</v>
      </c>
      <c r="X62" s="39">
        <f t="shared" si="661"/>
        <v>0.26975166657887351</v>
      </c>
      <c r="Y62" s="39">
        <f t="shared" si="661"/>
        <v>2.3390532357176705</v>
      </c>
      <c r="Z62" s="39">
        <f t="shared" ref="Z62:AA62" si="662">+IF(Y60&lt;0,1-Z60/Y60,Z60/Y60-1)</f>
        <v>-0.10159650676416465</v>
      </c>
      <c r="AA62" s="39">
        <f t="shared" si="662"/>
        <v>-0.36722320748096349</v>
      </c>
      <c r="AB62" s="40">
        <f t="shared" si="661"/>
        <v>0.16677220938266646</v>
      </c>
      <c r="AC62" s="40">
        <f t="shared" si="661"/>
        <v>0.23757341443784918</v>
      </c>
      <c r="AD62" s="40">
        <f t="shared" si="661"/>
        <v>0.16361104714681818</v>
      </c>
      <c r="AE62" s="40">
        <f t="shared" si="661"/>
        <v>0.16832628242267389</v>
      </c>
      <c r="AM62" s="39">
        <f>+IF(AI60&lt;0,1-AM60/AI60,AM60/AI60-1)</f>
        <v>-0.26701513666557564</v>
      </c>
      <c r="AN62" s="39">
        <f t="shared" ref="AN62" si="663">+IF(AJ60&lt;0,1-AN60/AJ60,AN60/AJ60-1)</f>
        <v>-0.53689524610854122</v>
      </c>
      <c r="AO62" s="39">
        <f t="shared" ref="AO62" si="664">+IF(AK60&lt;0,1-AO60/AK60,AO60/AK60-1)</f>
        <v>-0.3776840995916213</v>
      </c>
      <c r="AP62" s="39">
        <f t="shared" ref="AP62" si="665">+IF(AL60&lt;0,1-AP60/AL60,AP60/AL60-1)</f>
        <v>0.2826603325415773</v>
      </c>
      <c r="AQ62" s="39">
        <f t="shared" ref="AQ62" si="666">+IF(AM60&lt;0,1-AQ60/AM60,AQ60/AM60-1)</f>
        <v>-0.34095973852325034</v>
      </c>
      <c r="AR62" s="39">
        <f t="shared" ref="AR62" si="667">+IF(AN60&lt;0,1-AR60/AN60,AR60/AN60-1)</f>
        <v>0.44585755813953587</v>
      </c>
      <c r="AS62" s="39">
        <f t="shared" ref="AS62" si="668">+IF(AO60&lt;0,1-AS60/AO60,AS60/AO60-1)</f>
        <v>1.1570702794242109</v>
      </c>
      <c r="AT62" s="39">
        <f t="shared" ref="AT62" si="669">+IF(AP60&lt;0,1-AT60/AP60,AT60/AP60-1)</f>
        <v>0.9831275720164494</v>
      </c>
      <c r="AU62" s="39">
        <f t="shared" ref="AU62" si="670">+IF(AQ60&lt;0,1-AU60/AQ60,AU60/AQ60-1)</f>
        <v>1.1911632100991856</v>
      </c>
      <c r="AV62" s="39">
        <f t="shared" ref="AV62" si="671">+IF(AR60&lt;0,1-AV60/AR60,AV60/AR60-1)</f>
        <v>-8.6328223171650342E-2</v>
      </c>
      <c r="AW62" s="39">
        <f t="shared" ref="AW62" si="672">+IF(AS60&lt;0,1-AW60/AS60,AW60/AS60-1)</f>
        <v>-0.58292443572129593</v>
      </c>
      <c r="AX62" s="39">
        <f t="shared" ref="AX62" si="673">+IF(AT60&lt;0,1-AX60/AT60,AX60/AT60-1)</f>
        <v>0.47468354430379822</v>
      </c>
      <c r="AY62" s="39">
        <f t="shared" ref="AY62" si="674">+IF(AU60&lt;0,1-AY60/AU60,AY60/AU60-1)</f>
        <v>-0.32325102880658285</v>
      </c>
      <c r="AZ62" s="39">
        <f t="shared" ref="AZ62" si="675">+IF(AV60&lt;0,1-AZ60/AV60,AZ60/AV60-1)</f>
        <v>0.12735524687113253</v>
      </c>
      <c r="BA62" s="39">
        <f t="shared" ref="BA62" si="676">+IF(AW60&lt;0,1-BA60/AW60,BA60/AW60-1)</f>
        <v>0.8981176470588299</v>
      </c>
      <c r="BB62" s="39">
        <f t="shared" ref="BB62" si="677">+IF(AX60&lt;0,1-BB60/AX60,BB60/AX60-1)</f>
        <v>0.10483360303947009</v>
      </c>
      <c r="BC62" s="39">
        <f t="shared" ref="BC62" si="678">+IF(AY60&lt;0,1-BC60/AY60,BC60/AY60-1)</f>
        <v>-3.3292794162357087E-2</v>
      </c>
      <c r="BD62" s="39">
        <f t="shared" ref="BD62" si="679">+IF(AZ60&lt;0,1-BD60/AZ60,BD60/AZ60-1)</f>
        <v>-0.23996584116140018</v>
      </c>
      <c r="BE62" s="39">
        <f t="shared" ref="BE62" si="680">+IF(BA60&lt;0,1-BE60/BA60,BE60/BA60-1)</f>
        <v>0.36419982645345006</v>
      </c>
      <c r="BF62" s="39">
        <f t="shared" ref="BF62" si="681">+IF(BB60&lt;0,1-BF60/BB60,BF60/BB60-1)</f>
        <v>8.4060370629814862E-3</v>
      </c>
      <c r="BG62" s="39">
        <f t="shared" ref="BG62" si="682">+IF(BC60&lt;0,1-BG60/BC60,BG60/BC60-1)</f>
        <v>0.23069665041672516</v>
      </c>
      <c r="BH62" s="39">
        <f t="shared" ref="BH62" si="683">+IF(BD60&lt;0,1-BH60/BD60,BH60/BD60-1)</f>
        <v>0.18298555377206838</v>
      </c>
      <c r="BI62" s="39">
        <f t="shared" ref="BI62" si="684">+IF(BE60&lt;0,1-BI60/BE60,BI60/BE60-1)</f>
        <v>0.10631531122217019</v>
      </c>
      <c r="BJ62" s="39">
        <f t="shared" ref="BJ62" si="685">+IF(BF60&lt;0,1-BJ60/BF60,BJ60/BF60-1)</f>
        <v>-0.21452478686454068</v>
      </c>
      <c r="BK62" s="39">
        <f t="shared" ref="BK62" si="686">+IF(BG60&lt;0,1-BK60/BG60,BK60/BG60-1)</f>
        <v>0.41783797597751193</v>
      </c>
      <c r="BL62" s="39">
        <f t="shared" ref="BL62" si="687">+IF(BH60&lt;0,1-BL60/BH60,BL60/BH60-1)</f>
        <v>2.8329715061058343</v>
      </c>
      <c r="BM62" s="39">
        <f t="shared" ref="BM62" si="688">+IF(BI60&lt;0,1-BM60/BI60,BM60/BI60-1)</f>
        <v>-0.15063655030800549</v>
      </c>
      <c r="BN62" s="39">
        <f t="shared" ref="BN62" si="689">+IF(BJ60&lt;0,1-BN60/BJ60,BN60/BJ60-1)</f>
        <v>-0.37055796751889447</v>
      </c>
      <c r="BO62" s="39">
        <f t="shared" ref="BO62" si="690">+IF(BK60&lt;0,1-BO60/BK60,BO60/BK60-1)</f>
        <v>-1.2394556596971891</v>
      </c>
      <c r="BP62" s="39">
        <f t="shared" ref="BP62" si="691">+IF(BL60&lt;0,1-BP60/BL60,BP60/BL60-1)</f>
        <v>-0.71839711140217277</v>
      </c>
      <c r="BQ62" s="39">
        <f t="shared" ref="BQ62" si="692">+IF(BM60&lt;0,1-BQ60/BM60,BQ60/BM60-1)</f>
        <v>-0.14814814814815191</v>
      </c>
      <c r="BR62" s="39">
        <f t="shared" ref="BR62" si="693">+IF(BN60&lt;0,1-BR60/BN60,BR60/BN60-1)</f>
        <v>1.3842125431089536</v>
      </c>
      <c r="BS62" s="39">
        <f t="shared" ref="BS62" si="694">+IF(BO60&lt;0,1-BS60/BO60,BS60/BO60-1)</f>
        <v>6.4851336093338174</v>
      </c>
      <c r="BT62" s="39">
        <f t="shared" ref="BT62" si="695">+IF(BP60&lt;0,1-BT60/BP60,BT60/BP60-1)</f>
        <v>0.35285983658076225</v>
      </c>
      <c r="BU62" s="39">
        <f t="shared" ref="BU62" si="696">+IF(BQ60&lt;0,1-BU60/BQ60,BU60/BQ60-1)</f>
        <v>-0.99228062209104173</v>
      </c>
      <c r="BV62" s="39">
        <f t="shared" ref="BV62" si="697">+IF(BR60&lt;0,1-BV60/BR60,BV60/BR60-1)</f>
        <v>-0.34726240222865135</v>
      </c>
      <c r="BW62" s="39">
        <f t="shared" ref="BW62" si="698">+IF(BS60&lt;0,1-BW60/BS60,BW60/BS60-1)</f>
        <v>-1.1062165500205843</v>
      </c>
      <c r="BX62" s="39">
        <f t="shared" ref="BX62" si="699">+IF(BT60&lt;0,1-BX60/BT60,BX60/BT60-1)</f>
        <v>-0.57191971752462167</v>
      </c>
      <c r="BY62" s="39">
        <f t="shared" ref="BY62" si="700">+IF(BU60&lt;0,1-BY60/BU60,BY60/BU60-1)</f>
        <v>209.73529411760657</v>
      </c>
      <c r="BZ62" s="39">
        <f t="shared" ref="BZ62" si="701">+IF(BV60&lt;0,1-BZ60/BV60,BZ60/BV60-1)</f>
        <v>1.4432042022324429</v>
      </c>
      <c r="CA62" s="39">
        <f t="shared" ref="CA62" si="702">+IF(BW60&lt;0,1-CA60/BW60,CA60/BW60-1)</f>
        <v>16.77583979328174</v>
      </c>
      <c r="CB62" s="39">
        <f t="shared" ref="CB62" si="703">+IF(BX60&lt;0,1-CB60/BX60,CB60/BX60-1)</f>
        <v>6.7338832211851196</v>
      </c>
      <c r="CC62" s="39">
        <f t="shared" ref="CC62" si="704">+IF(BY60&lt;0,1-CC60/BY60,CC60/BY60-1)</f>
        <v>2.5833914863922036</v>
      </c>
      <c r="CD62" s="39">
        <f t="shared" ref="CD62" si="705">+IF(BZ60&lt;0,1-CD60/BZ60,CD60/BZ60-1)</f>
        <v>0.61132760010749831</v>
      </c>
      <c r="CE62" s="39">
        <f t="shared" ref="CE62" si="706">+IF(CA60&lt;0,1-CE60/CA60,CE60/CA60-1)</f>
        <v>0.68379673232053939</v>
      </c>
      <c r="CF62" s="39">
        <f t="shared" ref="CF62" si="707">+IF(CB60&lt;0,1-CF60/CB60,CF60/CB60-1)</f>
        <v>0.31495930395734129</v>
      </c>
      <c r="CG62" s="39">
        <f t="shared" ref="CG62" si="708">+IF(CC60&lt;0,1-CG60/CC60,CG60/CC60-1)</f>
        <v>-8.0856864654332727E-2</v>
      </c>
      <c r="CH62" s="39">
        <f t="shared" ref="CH62:CL62" si="709">+IF(CD60&lt;0,1-CH60/CD60,CH60/CD60-1)</f>
        <v>-0.27189050577492446</v>
      </c>
      <c r="CI62" s="39">
        <f t="shared" si="709"/>
        <v>-0.33625364785992085</v>
      </c>
      <c r="CJ62" s="39">
        <f t="shared" si="709"/>
        <v>-0.72438743276701034</v>
      </c>
      <c r="CK62" s="39">
        <f t="shared" si="709"/>
        <v>-0.48101614475189558</v>
      </c>
      <c r="CL62" s="39">
        <f t="shared" si="709"/>
        <v>-0.63681656143967791</v>
      </c>
      <c r="CM62" s="40">
        <f t="shared" ref="CM62" si="710">+CM60/CI60-1</f>
        <v>-0.38100477713960101</v>
      </c>
      <c r="CN62" s="40">
        <f t="shared" ref="CN62" si="711">+CN60/CJ60-1</f>
        <v>0.72483094461209485</v>
      </c>
      <c r="CO62" s="40">
        <f t="shared" ref="CO62" si="712">+CO60/CK60-1</f>
        <v>0.33662809038121355</v>
      </c>
      <c r="CP62" s="40">
        <f t="shared" ref="CP62" si="713">+CP60/CL60-1</f>
        <v>1.6648423471015539</v>
      </c>
      <c r="CQ62" s="40">
        <f t="shared" ref="CQ62" si="714">+CQ60/CM60-1</f>
        <v>0.68364696624406096</v>
      </c>
      <c r="CR62" s="40">
        <f t="shared" ref="CR62" si="715">+CR60/CN60-1</f>
        <v>0.15670426688481243</v>
      </c>
      <c r="CS62" s="40">
        <f t="shared" ref="CS62" si="716">+CS60/CO60-1</f>
        <v>0.15037638840565171</v>
      </c>
      <c r="CT62" s="40">
        <f t="shared" ref="CT62" si="717">+CT60/CP60-1</f>
        <v>0.15236637049422685</v>
      </c>
      <c r="CU62" s="40">
        <f t="shared" ref="CU62" si="718">+CU60/CQ60-1</f>
        <v>0.16652995672694093</v>
      </c>
      <c r="CV62" s="40">
        <f t="shared" ref="CV62" si="719">+CV60/CR60-1</f>
        <v>0.17827190131641402</v>
      </c>
      <c r="CW62" s="40">
        <f t="shared" ref="CW62" si="720">+CW60/CS60-1</f>
        <v>0.15688382694022218</v>
      </c>
      <c r="CX62" s="40">
        <f t="shared" ref="CX62" si="721">+CX60/CT60-1</f>
        <v>0.15828747493224093</v>
      </c>
      <c r="CY62" s="40">
        <f t="shared" ref="CY62" si="722">+CY60/CU60-1</f>
        <v>0.17233701104983279</v>
      </c>
      <c r="CZ62" s="40">
        <f t="shared" ref="CZ62" si="723">+CZ60/CV60-1</f>
        <v>0.18341534145986804</v>
      </c>
      <c r="DA62" s="40">
        <f t="shared" ref="DA62" si="724">+DA60/CW60-1</f>
        <v>0.1611893528013828</v>
      </c>
      <c r="DB62" s="40">
        <f t="shared" ref="DB62" si="725">+DB60/CX60-1</f>
        <v>0.16211695480936839</v>
      </c>
      <c r="DE62" s="122"/>
      <c r="DF62" s="39">
        <v>-0.36722320748096349</v>
      </c>
    </row>
    <row r="63" spans="1:110" s="39" customFormat="1" x14ac:dyDescent="0.2">
      <c r="A63" s="39" t="s">
        <v>452</v>
      </c>
      <c r="AB63" s="40"/>
      <c r="AC63" s="40"/>
      <c r="AD63" s="40"/>
      <c r="AE63" s="40"/>
      <c r="AJ63" s="39">
        <f>+IF(AI60&lt;0,1-AJ60/AI60,AJ60/AI60-1)</f>
        <v>0.29423935533050649</v>
      </c>
      <c r="AK63" s="39">
        <f t="shared" ref="AK63:AM63" si="726">+IF(AJ60&lt;0,1-AK60/AJ60,AK60/AJ60-1)</f>
        <v>-0.36129575094657151</v>
      </c>
      <c r="AL63" s="39">
        <f t="shared" si="726"/>
        <v>-0.50085627717033476</v>
      </c>
      <c r="AM63" s="39">
        <f t="shared" si="726"/>
        <v>0.77645816838216342</v>
      </c>
      <c r="AN63" s="39">
        <f t="shared" ref="AN63" si="727">+IF(AM60&lt;0,1-AN60/AM60,AN60/AM60-1)</f>
        <v>-0.18229089288367395</v>
      </c>
      <c r="AO63" s="39">
        <f t="shared" ref="AO63" si="728">+IF(AN60&lt;0,1-AO60/AN60,AO60/AN60-1)</f>
        <v>-0.14171511627906741</v>
      </c>
      <c r="AP63" s="39">
        <f t="shared" ref="AP63" si="729">+IF(AO60&lt;0,1-AP60/AO60,AP60/AO60-1)</f>
        <v>2.8789161727353685E-2</v>
      </c>
      <c r="AQ63" s="39">
        <f t="shared" ref="AQ63" si="730">+IF(AP60&lt;0,1-AQ60/AP60,AQ60/AP60-1)</f>
        <v>-8.7242798353913575E-2</v>
      </c>
      <c r="AR63" s="39">
        <f t="shared" ref="AR63" si="731">+IF(AQ60&lt;0,1-AR60/AQ60,AR60/AQ60-1)</f>
        <v>0.79395852119025889</v>
      </c>
      <c r="AS63" s="39">
        <f t="shared" ref="AS63" si="732">+IF(AR60&lt;0,1-AS60/AR60,AS60/AR60-1)</f>
        <v>0.28047248052274365</v>
      </c>
      <c r="AT63" s="39">
        <f t="shared" ref="AT63" si="733">+IF(AS60&lt;0,1-AT60/AS60,AT60/AS60-1)</f>
        <v>-5.4170755642786284E-2</v>
      </c>
      <c r="AU63" s="39">
        <f t="shared" ref="AU63" si="734">+IF(AT60&lt;0,1-AU60/AT60,AU60/AT60-1)</f>
        <v>8.5079892093795628E-3</v>
      </c>
      <c r="AV63" s="39">
        <f t="shared" ref="AV63" si="735">+IF(AU60&lt;0,1-AV60/AU60,AV60/AU60-1)</f>
        <v>-0.25195473251028755</v>
      </c>
      <c r="AW63" s="39">
        <f t="shared" ref="AW63" si="736">+IF(AV60&lt;0,1-AW60/AV60,AW60/AV60-1)</f>
        <v>-0.41548617796726883</v>
      </c>
      <c r="AX63" s="39">
        <f t="shared" ref="AX63" si="737">+IF(AW60&lt;0,1-AX60/AW60,AX60/AW60-1)</f>
        <v>2.3442352941176559</v>
      </c>
      <c r="AY63" s="39">
        <f t="shared" ref="AY63" si="738">+IF(AX60&lt;0,1-AY60/AX60,AY60/AX60-1)</f>
        <v>-0.53718426792373108</v>
      </c>
      <c r="AZ63" s="39">
        <f t="shared" ref="AZ63" si="739">+IF(AY60&lt;0,1-AZ60/AY60,AZ60/AY60-1)</f>
        <v>0.24612344177561463</v>
      </c>
      <c r="BA63" s="39">
        <f t="shared" ref="BA63" si="740">+IF(AZ60&lt;0,1-BA60/AZ60,BA60/AZ60-1)</f>
        <v>-1.5859460778333445E-2</v>
      </c>
      <c r="BB63" s="39">
        <f t="shared" ref="BB63" si="741">+IF(BA60&lt;0,1-BB60/BA60,BB60/BA60-1)</f>
        <v>0.94657245568364656</v>
      </c>
      <c r="BC63" s="39">
        <f t="shared" ref="BC63" si="742">+IF(BB60&lt;0,1-BC60/BB60,BC60/BB60-1)</f>
        <v>-0.595045532700756</v>
      </c>
      <c r="BD63" s="39">
        <f t="shared" ref="BD63" si="743">+IF(BC60&lt;0,1-BD60/BC60,BD60/BC60-1)</f>
        <v>-2.0286208523355387E-2</v>
      </c>
      <c r="BE63" s="39">
        <f t="shared" ref="BE63" si="744">+IF(BD60&lt;0,1-BE60/BD60,BE60/BD60-1)</f>
        <v>0.76645264847511663</v>
      </c>
      <c r="BF63" s="39">
        <f t="shared" ref="BF63" si="745">+IF(BE60&lt;0,1-BF60/BE60,BF60/BE60-1)</f>
        <v>0.43889141299409373</v>
      </c>
      <c r="BG63" s="39">
        <f t="shared" ref="BG63" si="746">+IF(BF60&lt;0,1-BG60/BF60,BG60/BF60-1)</f>
        <v>-0.50577833912219805</v>
      </c>
      <c r="BH63" s="39">
        <f t="shared" ref="BH63" si="747">+IF(BG60&lt;0,1-BH60/BG60,BH60/BG60-1)</f>
        <v>-5.8267314081266619E-2</v>
      </c>
      <c r="BI63" s="39">
        <f t="shared" ref="BI63" si="748">+IF(BH60&lt;0,1-BI60/BH60,BI60/BH60-1)</f>
        <v>0.65196743554952263</v>
      </c>
      <c r="BJ63" s="39">
        <f t="shared" ref="BJ63" si="749">+IF(BI60&lt;0,1-BJ60/BI60,BJ60/BI60-1)</f>
        <v>2.160164271047349E-2</v>
      </c>
      <c r="BK63" s="39">
        <f t="shared" ref="BK63" si="750">+IF(BJ60&lt;0,1-BK60/BJ60,BK60/BJ60-1)</f>
        <v>-0.10789515999356802</v>
      </c>
      <c r="BL63" s="39">
        <f t="shared" ref="BL63" si="751">+IF(BK60&lt;0,1-BL60/BK60,BL60/BK60-1)</f>
        <v>1.5458723864455668</v>
      </c>
      <c r="BM63" s="39">
        <f t="shared" ref="BM63" si="752">+IF(BL60&lt;0,1-BM60/BL60,BM60/BL60-1)</f>
        <v>-0.63393394456440877</v>
      </c>
      <c r="BN63" s="39">
        <f t="shared" ref="BN63" si="753">+IF(BM60&lt;0,1-BN60/BM60,BN60/BM60-1)</f>
        <v>-0.24291654578861088</v>
      </c>
      <c r="BO63" s="39">
        <f t="shared" ref="BO63" si="754">+IF(BN60&lt;0,1-BO60/BN60,BO60/BN60-1)</f>
        <v>-1.3393792310639945</v>
      </c>
      <c r="BP63" s="39">
        <f t="shared" ref="BP63" si="755">+IF(BO60&lt;0,1-BP60/BO60,BP60/BO60-1)</f>
        <v>3.9939781708694002</v>
      </c>
      <c r="BQ63" s="39">
        <f t="shared" ref="BQ63" si="756">+IF(BP60&lt;0,1-BQ60/BP60,BQ60/BP60-1)</f>
        <v>0.1073538654933941</v>
      </c>
      <c r="BR63" s="39">
        <f t="shared" ref="BR63" si="757">+IF(BQ60&lt;0,1-BR60/BQ60,BR60/BQ60-1)</f>
        <v>1.1189692360086303</v>
      </c>
      <c r="BS63" s="39">
        <f t="shared" ref="BS63" si="758">+IF(BR60&lt;0,1-BS60/BR60,BS60/BR60-1)</f>
        <v>-0.21922211507553713</v>
      </c>
      <c r="BT63" s="39">
        <f t="shared" ref="BT63" si="759">+IF(BS60&lt;0,1-BT60/BS60,BT60/BS60-1)</f>
        <v>-0.26156168519280953</v>
      </c>
      <c r="BU63" s="39">
        <f t="shared" ref="BU63" si="760">+IF(BT60&lt;0,1-BU60/BT60,BU60/BT60-1)</f>
        <v>-0.99368147184538069</v>
      </c>
      <c r="BV63" s="39">
        <f t="shared" ref="BV63" si="761">+IF(BU60&lt;0,1-BV60/BU60,BV60/BU60-1)</f>
        <v>178.1764705882012</v>
      </c>
      <c r="BW63" s="39">
        <f t="shared" ref="BW63" si="762">+IF(BV60&lt;0,1-BW60/BV60,BW60/BV60-1)</f>
        <v>-1.1270518713066315</v>
      </c>
      <c r="BX63" s="39">
        <f t="shared" ref="BX63" si="763">+IF(BW60&lt;0,1-BX60/BW60,BX60/BW60-1)</f>
        <v>3.976098191214493</v>
      </c>
      <c r="BY63" s="39">
        <f t="shared" ref="BY63" si="764">+IF(BX60&lt;0,1-BY60/BX60,BY60/BX60-1)</f>
        <v>2.1104840460169059</v>
      </c>
      <c r="BZ63" s="39">
        <f t="shared" ref="BZ63" si="765">+IF(BY60&lt;0,1-BZ60/BY60,BZ60/BY60-1)</f>
        <v>1.0773203070481605</v>
      </c>
      <c r="CA63" s="39">
        <f t="shared" ref="CA63" si="766">+IF(BZ60&lt;0,1-CA60/BZ60,CA60/BZ60-1)</f>
        <v>-0.17962241332974893</v>
      </c>
      <c r="CB63" s="39">
        <f t="shared" ref="CB63" si="767">+IF(CA60&lt;0,1-CB60/CA60,CB60/CA60-1)</f>
        <v>0.45899021334097356</v>
      </c>
      <c r="CC63" s="39">
        <f t="shared" ref="CC63" si="768">+IF(CB60&lt;0,1-CC60/CB60,CC60/CB60-1)</f>
        <v>0.44120123491440033</v>
      </c>
      <c r="CD63" s="39">
        <f t="shared" ref="CD63" si="769">+IF(CC60&lt;0,1-CD60/CC60,CD60/CC60-1)</f>
        <v>-6.5900681596884558E-2</v>
      </c>
      <c r="CE63" s="39">
        <f t="shared" ref="CE63" si="770">+IF(CD60&lt;0,1-CE60/CD60,CE60/CD60-1)</f>
        <v>-0.14272609765250521</v>
      </c>
      <c r="CF63" s="39">
        <f t="shared" ref="CF63" si="771">+IF(CE60&lt;0,1-CF60/CE60,CF60/CE60-1)</f>
        <v>0.13939688715953524</v>
      </c>
      <c r="CG63" s="39">
        <f t="shared" ref="CG63" si="772">+IF(CF60&lt;0,1-CG60/CF60,CG60/CF60-1)</f>
        <v>7.3849568855124392E-3</v>
      </c>
      <c r="CH63" s="39">
        <f t="shared" ref="CH63:CL63" si="773">+IF(CG60&lt;0,1-CH60/CG60,CH60/CG60-1)</f>
        <v>-0.26004279842366318</v>
      </c>
      <c r="CI63" s="39">
        <f t="shared" si="773"/>
        <v>-0.21850706524073271</v>
      </c>
      <c r="CJ63" s="39">
        <f t="shared" si="773"/>
        <v>-0.52687935661747776</v>
      </c>
      <c r="CK63" s="39">
        <f t="shared" si="773"/>
        <v>0.89692557887400226</v>
      </c>
      <c r="CL63" s="39">
        <f t="shared" si="773"/>
        <v>-0.48218003674219501</v>
      </c>
      <c r="CM63" s="40">
        <f t="shared" ref="CM63" si="774">+CM60/CL60-1</f>
        <v>0.33194507776211335</v>
      </c>
      <c r="CN63" s="40">
        <f t="shared" ref="CN63" si="775">+CN60/CM60-1</f>
        <v>0.31835125070908843</v>
      </c>
      <c r="CO63" s="40">
        <f t="shared" ref="CO63" si="776">+CO60/CN60-1</f>
        <v>0.4699898688655848</v>
      </c>
      <c r="CP63" s="40">
        <f t="shared" ref="CP63" si="777">+CP60/CO60-1</f>
        <v>3.2380342889855251E-2</v>
      </c>
      <c r="CQ63" s="40">
        <f t="shared" ref="CQ63" si="778">+CQ60/CP60-1</f>
        <v>-0.15847731412066457</v>
      </c>
      <c r="CR63" s="40">
        <f t="shared" ref="CR63" si="779">+CR60/CQ60-1</f>
        <v>-9.4262308237915704E-2</v>
      </c>
      <c r="CS63" s="40">
        <f t="shared" ref="CS63" si="780">+CS60/CR60-1</f>
        <v>0.46194812689048992</v>
      </c>
      <c r="CT63" s="40">
        <f t="shared" ref="CT63" si="781">+CT60/CS60-1</f>
        <v>3.4166209160802596E-2</v>
      </c>
      <c r="CU63" s="40">
        <f t="shared" ref="CU63" si="782">+CU60/CT60-1</f>
        <v>-0.14813426747038339</v>
      </c>
      <c r="CV63" s="40">
        <f t="shared" ref="CV63" si="783">+CV60/CU60-1</f>
        <v>-8.5145421245053643E-2</v>
      </c>
      <c r="CW63" s="40">
        <f t="shared" ref="CW63" si="784">+CW60/CV60-1</f>
        <v>0.43541074172741001</v>
      </c>
      <c r="CX63" s="40">
        <f t="shared" ref="CX63" si="785">+CX60/CW60-1</f>
        <v>3.5420963777557324E-2</v>
      </c>
      <c r="CY63" s="40">
        <f t="shared" ref="CY63" si="786">+CY60/CX60-1</f>
        <v>-0.13780149720779056</v>
      </c>
      <c r="CZ63" s="40">
        <f t="shared" ref="CZ63" si="787">+CZ60/CY60-1</f>
        <v>-7.6500243958101843E-2</v>
      </c>
      <c r="DA63" s="40">
        <f t="shared" ref="DA63" si="788">+DA60/CZ60-1</f>
        <v>0.40845197099984354</v>
      </c>
      <c r="DB63" s="40">
        <f t="shared" ref="DB63" si="789">+DB60/DA60-1</f>
        <v>3.6248097235845878E-2</v>
      </c>
      <c r="DE63" s="122"/>
    </row>
    <row r="64" spans="1:110" s="75" customFormat="1" x14ac:dyDescent="0.2">
      <c r="A64" s="23" t="s">
        <v>23</v>
      </c>
      <c r="B64" s="75">
        <f>'Annual Raw'!C32</f>
        <v>0</v>
      </c>
      <c r="C64" s="75">
        <f>'Annual Raw'!D32</f>
        <v>0</v>
      </c>
      <c r="D64" s="75">
        <f>'Annual Raw'!E32</f>
        <v>0</v>
      </c>
      <c r="E64" s="75">
        <f>'Annual Raw'!F32</f>
        <v>0</v>
      </c>
      <c r="F64" s="75">
        <f>'Annual Raw'!G32</f>
        <v>0</v>
      </c>
      <c r="G64" s="75">
        <f>'Annual Raw'!H32</f>
        <v>0</v>
      </c>
      <c r="H64" s="75">
        <f>'Annual Raw'!I32</f>
        <v>0</v>
      </c>
      <c r="I64" s="75">
        <f>'Annual Raw'!J32</f>
        <v>0</v>
      </c>
      <c r="J64" s="75">
        <f>'Annual Raw'!K32</f>
        <v>0</v>
      </c>
      <c r="K64" s="75">
        <f>'Annual Raw'!L32</f>
        <v>0.74139999999999995</v>
      </c>
      <c r="L64" s="75">
        <f>'Annual Raw'!M32</f>
        <v>0.15859999999999999</v>
      </c>
      <c r="M64" s="75">
        <f>'Annual Raw'!N32</f>
        <v>0.6613</v>
      </c>
      <c r="N64" s="75">
        <f>'Annual Raw'!O32</f>
        <v>1.0636000000000001</v>
      </c>
      <c r="O64" s="75">
        <f>'Annual Raw'!P32</f>
        <v>14.681900000000001</v>
      </c>
      <c r="P64" s="75">
        <f>'Annual Raw'!Q32</f>
        <v>12.937900000000001</v>
      </c>
      <c r="Q64" s="75">
        <f>'Annual Raw'!R32</f>
        <v>40.036700000000003</v>
      </c>
      <c r="R64" s="75">
        <f>'Annual Raw'!S32</f>
        <v>75.250900000000001</v>
      </c>
      <c r="S64" s="75">
        <f>'Annual Raw'!T32</f>
        <v>189.47810000000001</v>
      </c>
      <c r="T64" s="75">
        <f>'Annual Raw'!U32</f>
        <v>86.442899999999995</v>
      </c>
      <c r="U64" s="75">
        <f>'Annual Raw'!V32</f>
        <v>93.484099999999998</v>
      </c>
      <c r="V64" s="75">
        <f>'Annual Raw'!W32</f>
        <v>-8.9007000000000005</v>
      </c>
      <c r="W64" s="75">
        <f>'Annual Raw'!X32</f>
        <v>35.859299999999998</v>
      </c>
      <c r="X64" s="75">
        <f>'Annual Raw'!Y32</f>
        <v>192.1611</v>
      </c>
      <c r="Y64" s="75">
        <f>'Annual Raw'!Z32</f>
        <v>84.156099999999995</v>
      </c>
      <c r="Z64" s="75">
        <f>'Annual Raw'!AA32</f>
        <v>280.31869999999998</v>
      </c>
      <c r="AA64" s="75">
        <f>'Annual Raw'!AB32</f>
        <v>48.026600000000002</v>
      </c>
      <c r="AB64" s="76">
        <f t="shared" ref="AB64:AB65" si="790">+SUM(CM64:CP64)</f>
        <v>63</v>
      </c>
      <c r="AC64" s="76">
        <f t="shared" ref="AC64:AC65" si="791">+SUM(CQ64:CT64)</f>
        <v>63</v>
      </c>
      <c r="AD64" s="76">
        <f t="shared" ref="AD64:AD65" si="792">+SUM(CU64:CX64)</f>
        <v>63</v>
      </c>
      <c r="AE64" s="76">
        <f t="shared" ref="AE64:AE65" si="793">+SUM(CY64:DB64)</f>
        <v>63</v>
      </c>
      <c r="AI64" s="75">
        <f>'QTR Raw'!C34</f>
        <v>0</v>
      </c>
      <c r="AJ64" s="75">
        <f>'QTR Raw'!D34</f>
        <v>0</v>
      </c>
      <c r="AK64" s="75">
        <f>'QTR Raw'!E34</f>
        <v>0</v>
      </c>
      <c r="AL64" s="75">
        <f>'QTR Raw'!F34</f>
        <v>0</v>
      </c>
      <c r="AM64" s="75">
        <f>'QTR Raw'!G34</f>
        <v>0</v>
      </c>
      <c r="AN64" s="75">
        <f>'QTR Raw'!H34</f>
        <v>0</v>
      </c>
      <c r="AO64" s="75">
        <f>'QTR Raw'!I34</f>
        <v>0</v>
      </c>
      <c r="AP64" s="75">
        <f>'QTR Raw'!J34</f>
        <v>0</v>
      </c>
      <c r="AQ64" s="75">
        <f>'QTR Raw'!K34</f>
        <v>0</v>
      </c>
      <c r="AR64" s="75">
        <f>'QTR Raw'!L34</f>
        <v>0</v>
      </c>
      <c r="AS64" s="75">
        <f>'QTR Raw'!M34</f>
        <v>0</v>
      </c>
      <c r="AT64" s="75">
        <f>'QTR Raw'!N34</f>
        <v>0</v>
      </c>
      <c r="AU64" s="75">
        <f>'QTR Raw'!O34</f>
        <v>0</v>
      </c>
      <c r="AV64" s="75">
        <f>'QTR Raw'!P34</f>
        <v>0</v>
      </c>
      <c r="AW64" s="75">
        <f>'QTR Raw'!Q34</f>
        <v>0</v>
      </c>
      <c r="AX64" s="75">
        <f>'QTR Raw'!R34</f>
        <v>0</v>
      </c>
      <c r="AY64" s="75">
        <f>'QTR Raw'!S34</f>
        <v>0</v>
      </c>
      <c r="AZ64" s="75">
        <f>'QTR Raw'!T34</f>
        <v>0</v>
      </c>
      <c r="BA64" s="75">
        <f>'QTR Raw'!U34</f>
        <v>0</v>
      </c>
      <c r="BB64" s="75">
        <f>'QTR Raw'!V34</f>
        <v>0</v>
      </c>
      <c r="BC64" s="75">
        <f>'QTR Raw'!W34</f>
        <v>0</v>
      </c>
      <c r="BD64" s="75">
        <f>'QTR Raw'!X34</f>
        <v>0</v>
      </c>
      <c r="BE64" s="75">
        <f>'QTR Raw'!Y34</f>
        <v>0</v>
      </c>
      <c r="BF64" s="75">
        <f>'QTR Raw'!Z34</f>
        <v>0</v>
      </c>
      <c r="BG64" s="75">
        <f>'QTR Raw'!AA34</f>
        <v>16.3</v>
      </c>
      <c r="BH64" s="75">
        <f>'QTR Raw'!AB34</f>
        <v>24.26</v>
      </c>
      <c r="BI64" s="75">
        <f>'QTR Raw'!AC34</f>
        <v>17.41</v>
      </c>
      <c r="BJ64" s="75">
        <f>'QTR Raw'!AD34</f>
        <v>28.48</v>
      </c>
      <c r="BK64" s="75">
        <f>'QTR Raw'!AE34</f>
        <v>21.93</v>
      </c>
      <c r="BL64" s="75">
        <f>'QTR Raw'!AF34</f>
        <v>44.26</v>
      </c>
      <c r="BM64" s="75">
        <f>'QTR Raw'!AG34</f>
        <v>24.06</v>
      </c>
      <c r="BN64" s="75">
        <f>'QTR Raw'!AH34</f>
        <v>3.23</v>
      </c>
      <c r="BO64" s="75">
        <f>'QTR Raw'!AI34</f>
        <v>17.329999999999998</v>
      </c>
      <c r="BP64" s="75">
        <f>'QTR Raw'!AJ34</f>
        <v>-1.35</v>
      </c>
      <c r="BQ64" s="75">
        <f>'QTR Raw'!AK34</f>
        <v>-22.32</v>
      </c>
      <c r="BR64" s="75">
        <f>'QTR Raw'!AL34</f>
        <v>-2.56</v>
      </c>
      <c r="BS64" s="75">
        <f>'QTR Raw'!AM34</f>
        <v>6.36</v>
      </c>
      <c r="BT64" s="75">
        <f>'QTR Raw'!AN34</f>
        <v>12.46</v>
      </c>
      <c r="BU64" s="75">
        <f>'QTR Raw'!AO34</f>
        <v>11.96</v>
      </c>
      <c r="BV64" s="75">
        <f>'QTR Raw'!AP34</f>
        <v>5.09</v>
      </c>
      <c r="BW64" s="75">
        <f>'QTR Raw'!AQ34</f>
        <v>20.51</v>
      </c>
      <c r="BX64" s="75">
        <f>'QTR Raw'!AR34</f>
        <v>38.42</v>
      </c>
      <c r="BY64" s="75">
        <f>'QTR Raw'!AS34</f>
        <v>71.209999999999994</v>
      </c>
      <c r="BZ64" s="75">
        <f>'QTR Raw'!AT34</f>
        <v>59.66</v>
      </c>
      <c r="CA64" s="75">
        <f>'QTR Raw'!AU34</f>
        <v>20.309999999999999</v>
      </c>
      <c r="CB64" s="75">
        <f>'QTR Raw'!AV34</f>
        <v>21.26</v>
      </c>
      <c r="CC64" s="75">
        <f>'QTR Raw'!AW34</f>
        <v>20.78</v>
      </c>
      <c r="CD64" s="75">
        <f>'QTR Raw'!AX34</f>
        <v>21.81</v>
      </c>
      <c r="CE64" s="75">
        <f>'QTR Raw'!AY34</f>
        <v>24.63</v>
      </c>
      <c r="CF64" s="75">
        <f>'QTR Raw'!AZ34</f>
        <v>24.3</v>
      </c>
      <c r="CG64" s="75">
        <f>'QTR Raw'!BA34</f>
        <v>27.04</v>
      </c>
      <c r="CH64" s="75">
        <f>'QTR Raw'!BB34</f>
        <v>204.36</v>
      </c>
      <c r="CI64" s="75">
        <f>'QTR Raw'!BC34</f>
        <v>8.57</v>
      </c>
      <c r="CJ64" s="75">
        <f>'QTR Raw'!BD34</f>
        <v>13.33</v>
      </c>
      <c r="CK64" s="75">
        <f>'QTR Raw'!BE34</f>
        <v>10.37</v>
      </c>
      <c r="CL64" s="75">
        <f>'QTR Raw'!BF34</f>
        <v>15.75</v>
      </c>
      <c r="CM64" s="76">
        <f t="shared" ref="CM64:CM65" si="794">+CL64</f>
        <v>15.75</v>
      </c>
      <c r="CN64" s="76">
        <f t="shared" ref="CN64:CN65" si="795">+CM64</f>
        <v>15.75</v>
      </c>
      <c r="CO64" s="76">
        <f t="shared" ref="CO64:CO65" si="796">+CN64</f>
        <v>15.75</v>
      </c>
      <c r="CP64" s="76">
        <f t="shared" ref="CP64:CP65" si="797">+CO64</f>
        <v>15.75</v>
      </c>
      <c r="CQ64" s="76">
        <f t="shared" ref="CQ64:CQ65" si="798">+CP64</f>
        <v>15.75</v>
      </c>
      <c r="CR64" s="76">
        <f t="shared" ref="CR64:CR65" si="799">+CQ64</f>
        <v>15.75</v>
      </c>
      <c r="CS64" s="76">
        <f t="shared" ref="CS64:CS65" si="800">+CR64</f>
        <v>15.75</v>
      </c>
      <c r="CT64" s="76">
        <f t="shared" ref="CT64:CT65" si="801">+CS64</f>
        <v>15.75</v>
      </c>
      <c r="CU64" s="76">
        <f t="shared" ref="CU64:CU65" si="802">+CT64</f>
        <v>15.75</v>
      </c>
      <c r="CV64" s="76">
        <f t="shared" ref="CV64:CV65" si="803">+CU64</f>
        <v>15.75</v>
      </c>
      <c r="CW64" s="76">
        <f t="shared" ref="CW64:CW65" si="804">+CV64</f>
        <v>15.75</v>
      </c>
      <c r="CX64" s="76">
        <f t="shared" ref="CX64:CX65" si="805">+CW64</f>
        <v>15.75</v>
      </c>
      <c r="CY64" s="76">
        <f t="shared" ref="CY64:CY65" si="806">+CX64</f>
        <v>15.75</v>
      </c>
      <c r="CZ64" s="76">
        <f t="shared" ref="CZ64:CZ65" si="807">+CY64</f>
        <v>15.75</v>
      </c>
      <c r="DA64" s="76">
        <f t="shared" ref="DA64:DA65" si="808">+CZ64</f>
        <v>15.75</v>
      </c>
      <c r="DB64" s="76">
        <f t="shared" ref="DB64:DB65" si="809">+DA64</f>
        <v>15.75</v>
      </c>
      <c r="DE64" s="131"/>
      <c r="DF64" s="75">
        <v>48.026600000000002</v>
      </c>
    </row>
    <row r="65" spans="1:110" s="75" customFormat="1" x14ac:dyDescent="0.2">
      <c r="A65" s="23" t="s">
        <v>24</v>
      </c>
      <c r="B65" s="75">
        <f>'Annual Raw'!C33+'Annual Raw'!C28</f>
        <v>0</v>
      </c>
      <c r="C65" s="75">
        <f>'Annual Raw'!D33+'Annual Raw'!D28</f>
        <v>0</v>
      </c>
      <c r="D65" s="75">
        <f>'Annual Raw'!E33+'Annual Raw'!E28</f>
        <v>0</v>
      </c>
      <c r="E65" s="75">
        <f>'Annual Raw'!F33+'Annual Raw'!F28</f>
        <v>0</v>
      </c>
      <c r="F65" s="75">
        <f>'Annual Raw'!G33+'Annual Raw'!G28</f>
        <v>0</v>
      </c>
      <c r="G65" s="75">
        <f>'Annual Raw'!H33+'Annual Raw'!H28</f>
        <v>0</v>
      </c>
      <c r="H65" s="75">
        <f>'Annual Raw'!I33+'Annual Raw'!I28</f>
        <v>0</v>
      </c>
      <c r="I65" s="75">
        <f>'Annual Raw'!J33+'Annual Raw'!J28</f>
        <v>0</v>
      </c>
      <c r="J65" s="75">
        <f>'Annual Raw'!K33+'Annual Raw'!K28</f>
        <v>0</v>
      </c>
      <c r="K65" s="75">
        <f>'Annual Raw'!L33+'Annual Raw'!L28</f>
        <v>0</v>
      </c>
      <c r="L65" s="75">
        <f>'Annual Raw'!M33+'Annual Raw'!M28</f>
        <v>0</v>
      </c>
      <c r="M65" s="75">
        <f>'Annual Raw'!N33+'Annual Raw'!N28</f>
        <v>0</v>
      </c>
      <c r="N65" s="75">
        <f>'Annual Raw'!O33+'Annual Raw'!O28</f>
        <v>0</v>
      </c>
      <c r="O65" s="75">
        <f>'Annual Raw'!P33+'Annual Raw'!P28</f>
        <v>0</v>
      </c>
      <c r="P65" s="75">
        <f>'Annual Raw'!Q33+'Annual Raw'!Q28</f>
        <v>-0.49120000000000003</v>
      </c>
      <c r="Q65" s="75">
        <f>'Annual Raw'!R33+'Annual Raw'!R28</f>
        <v>0</v>
      </c>
      <c r="R65" s="75">
        <f>'Annual Raw'!S33+'Annual Raw'!S28</f>
        <v>-8.5871999999999993</v>
      </c>
      <c r="S65" s="75">
        <f>'Annual Raw'!T33+'Annual Raw'!T28</f>
        <v>-5.4043000000000001</v>
      </c>
      <c r="T65" s="75">
        <f>'Annual Raw'!U33+'Annual Raw'!U28</f>
        <v>-3.5000000000000001E-3</v>
      </c>
      <c r="U65" s="75">
        <f>'Annual Raw'!V33+'Annual Raw'!V28</f>
        <v>0</v>
      </c>
      <c r="V65" s="75">
        <f>'Annual Raw'!W33+'Annual Raw'!W28</f>
        <v>0</v>
      </c>
      <c r="W65" s="75">
        <f>'Annual Raw'!X33+'Annual Raw'!X28</f>
        <v>0</v>
      </c>
      <c r="X65" s="75">
        <f>'Annual Raw'!Y33+'Annual Raw'!Y28</f>
        <v>-0.45600000000000002</v>
      </c>
      <c r="Y65" s="75">
        <f>'Annual Raw'!Z33+'Annual Raw'!Z28</f>
        <v>-0.80920000000000003</v>
      </c>
      <c r="Z65" s="75">
        <f>'Annual Raw'!AA33+'Annual Raw'!AA28</f>
        <v>26.274899999999999</v>
      </c>
      <c r="AA65" s="75">
        <f>'Annual Raw'!AB33+'Annual Raw'!AB28</f>
        <v>19.333100000000002</v>
      </c>
      <c r="AB65" s="76">
        <f t="shared" si="790"/>
        <v>-12.64</v>
      </c>
      <c r="AC65" s="76">
        <f t="shared" si="791"/>
        <v>-12.64</v>
      </c>
      <c r="AD65" s="76">
        <f t="shared" si="792"/>
        <v>-12.64</v>
      </c>
      <c r="AE65" s="76">
        <f t="shared" si="793"/>
        <v>-12.64</v>
      </c>
      <c r="AI65" s="75">
        <f>'QTR Raw'!C35</f>
        <v>0</v>
      </c>
      <c r="AJ65" s="75">
        <f>'QTR Raw'!D35</f>
        <v>0</v>
      </c>
      <c r="AK65" s="75">
        <f>'QTR Raw'!E35</f>
        <v>0</v>
      </c>
      <c r="AL65" s="75">
        <f>'QTR Raw'!F35</f>
        <v>0</v>
      </c>
      <c r="AM65" s="75">
        <f>'QTR Raw'!G35</f>
        <v>0</v>
      </c>
      <c r="AN65" s="75">
        <f>'QTR Raw'!H35</f>
        <v>0</v>
      </c>
      <c r="AO65" s="75">
        <f>'QTR Raw'!I35</f>
        <v>0</v>
      </c>
      <c r="AP65" s="75">
        <f>'QTR Raw'!J35</f>
        <v>0</v>
      </c>
      <c r="AQ65" s="75">
        <f>'QTR Raw'!K35</f>
        <v>0</v>
      </c>
      <c r="AR65" s="75">
        <f>'QTR Raw'!L35</f>
        <v>0</v>
      </c>
      <c r="AS65" s="75">
        <f>'QTR Raw'!M35</f>
        <v>0</v>
      </c>
      <c r="AT65" s="75">
        <f>'QTR Raw'!N35</f>
        <v>0</v>
      </c>
      <c r="AU65" s="75">
        <f>'QTR Raw'!O35</f>
        <v>0</v>
      </c>
      <c r="AV65" s="75">
        <f>'QTR Raw'!P35</f>
        <v>0</v>
      </c>
      <c r="AW65" s="75">
        <f>'QTR Raw'!Q35</f>
        <v>0</v>
      </c>
      <c r="AX65" s="75">
        <f>'QTR Raw'!R35</f>
        <v>0</v>
      </c>
      <c r="AY65" s="75">
        <f>'QTR Raw'!S35</f>
        <v>0</v>
      </c>
      <c r="AZ65" s="75">
        <f>'QTR Raw'!T35</f>
        <v>0</v>
      </c>
      <c r="BA65" s="75">
        <f>'QTR Raw'!U35</f>
        <v>0</v>
      </c>
      <c r="BB65" s="75">
        <f>'QTR Raw'!V35</f>
        <v>0</v>
      </c>
      <c r="BC65" s="75">
        <f>'QTR Raw'!W35</f>
        <v>0</v>
      </c>
      <c r="BD65" s="75">
        <f>'QTR Raw'!X35</f>
        <v>0</v>
      </c>
      <c r="BE65" s="75">
        <f>'QTR Raw'!Y35</f>
        <v>0</v>
      </c>
      <c r="BF65" s="75">
        <f>'QTR Raw'!Z35</f>
        <v>0</v>
      </c>
      <c r="BG65" s="75">
        <f>'QTR Raw'!AA35</f>
        <v>0</v>
      </c>
      <c r="BH65" s="75">
        <f>'QTR Raw'!AB35</f>
        <v>0</v>
      </c>
      <c r="BI65" s="75">
        <f>'QTR Raw'!AC35</f>
        <v>0</v>
      </c>
      <c r="BJ65" s="75">
        <f>'QTR Raw'!AD35</f>
        <v>0</v>
      </c>
      <c r="BK65" s="75">
        <f>'QTR Raw'!AE35</f>
        <v>0</v>
      </c>
      <c r="BL65" s="75">
        <f>'QTR Raw'!AF35</f>
        <v>0</v>
      </c>
      <c r="BM65" s="75">
        <f>'QTR Raw'!AG35</f>
        <v>0</v>
      </c>
      <c r="BN65" s="75">
        <f>'QTR Raw'!AH35</f>
        <v>0</v>
      </c>
      <c r="BO65" s="75">
        <f>'QTR Raw'!AI35</f>
        <v>0</v>
      </c>
      <c r="BP65" s="75">
        <f>'QTR Raw'!AJ35</f>
        <v>0</v>
      </c>
      <c r="BQ65" s="75">
        <f>'QTR Raw'!AK35</f>
        <v>0</v>
      </c>
      <c r="BR65" s="75">
        <f>'QTR Raw'!AL35</f>
        <v>0</v>
      </c>
      <c r="BS65" s="75">
        <f>'QTR Raw'!AM35</f>
        <v>0</v>
      </c>
      <c r="BT65" s="75">
        <f>'QTR Raw'!AN35</f>
        <v>0</v>
      </c>
      <c r="BU65" s="75">
        <f>'QTR Raw'!AO35</f>
        <v>0</v>
      </c>
      <c r="BV65" s="75">
        <f>'QTR Raw'!AP35</f>
        <v>0</v>
      </c>
      <c r="BW65" s="75">
        <f>'QTR Raw'!AQ35</f>
        <v>-0.18</v>
      </c>
      <c r="BX65" s="75">
        <f>'QTR Raw'!AR35</f>
        <v>-0.03</v>
      </c>
      <c r="BY65" s="75">
        <f>'QTR Raw'!AS35</f>
        <v>-7.0000000000000007E-2</v>
      </c>
      <c r="BZ65" s="75">
        <f>'QTR Raw'!AT35</f>
        <v>-0.18</v>
      </c>
      <c r="CA65" s="75">
        <f>'QTR Raw'!AU35</f>
        <v>0.08</v>
      </c>
      <c r="CB65" s="75">
        <f>'QTR Raw'!AV35</f>
        <v>-0.53</v>
      </c>
      <c r="CC65" s="75">
        <f>'QTR Raw'!AW35</f>
        <v>-1.07</v>
      </c>
      <c r="CD65" s="75">
        <f>'QTR Raw'!AX35</f>
        <v>0.71</v>
      </c>
      <c r="CE65" s="75">
        <f>'QTR Raw'!AY35</f>
        <v>5.23</v>
      </c>
      <c r="CF65" s="75">
        <f>'QTR Raw'!AZ35</f>
        <v>6.79</v>
      </c>
      <c r="CG65" s="75">
        <f>'QTR Raw'!BA35</f>
        <v>7.4</v>
      </c>
      <c r="CH65" s="75">
        <f>'QTR Raw'!BB35</f>
        <v>6.85</v>
      </c>
      <c r="CI65" s="75">
        <f>'QTR Raw'!BC35</f>
        <v>10.39</v>
      </c>
      <c r="CJ65" s="75">
        <f>'QTR Raw'!BD35</f>
        <v>9.43</v>
      </c>
      <c r="CK65" s="75">
        <f>'QTR Raw'!BE35</f>
        <v>2.67</v>
      </c>
      <c r="CL65" s="75">
        <f>'QTR Raw'!BF35</f>
        <v>-3.16</v>
      </c>
      <c r="CM65" s="76">
        <f t="shared" si="794"/>
        <v>-3.16</v>
      </c>
      <c r="CN65" s="76">
        <f t="shared" si="795"/>
        <v>-3.16</v>
      </c>
      <c r="CO65" s="76">
        <f t="shared" si="796"/>
        <v>-3.16</v>
      </c>
      <c r="CP65" s="76">
        <f t="shared" si="797"/>
        <v>-3.16</v>
      </c>
      <c r="CQ65" s="76">
        <f t="shared" si="798"/>
        <v>-3.16</v>
      </c>
      <c r="CR65" s="76">
        <f t="shared" si="799"/>
        <v>-3.16</v>
      </c>
      <c r="CS65" s="76">
        <f t="shared" si="800"/>
        <v>-3.16</v>
      </c>
      <c r="CT65" s="76">
        <f t="shared" si="801"/>
        <v>-3.16</v>
      </c>
      <c r="CU65" s="76">
        <f t="shared" si="802"/>
        <v>-3.16</v>
      </c>
      <c r="CV65" s="76">
        <f t="shared" si="803"/>
        <v>-3.16</v>
      </c>
      <c r="CW65" s="76">
        <f t="shared" si="804"/>
        <v>-3.16</v>
      </c>
      <c r="CX65" s="76">
        <f t="shared" si="805"/>
        <v>-3.16</v>
      </c>
      <c r="CY65" s="76">
        <f t="shared" si="806"/>
        <v>-3.16</v>
      </c>
      <c r="CZ65" s="76">
        <f t="shared" si="807"/>
        <v>-3.16</v>
      </c>
      <c r="DA65" s="76">
        <f t="shared" si="808"/>
        <v>-3.16</v>
      </c>
      <c r="DB65" s="76">
        <f t="shared" si="809"/>
        <v>-3.16</v>
      </c>
      <c r="DE65" s="131"/>
      <c r="DF65" s="75">
        <v>19.333100000000002</v>
      </c>
    </row>
    <row r="66" spans="1:110" s="23" customFormat="1" x14ac:dyDescent="0.2">
      <c r="A66" s="23" t="s">
        <v>19</v>
      </c>
      <c r="B66" s="75">
        <f>'Annual Raw'!C29+'Annual Raw'!C31+'Annual Raw'!C34+'Annual Raw'!C36</f>
        <v>0</v>
      </c>
      <c r="C66" s="75">
        <f>'Annual Raw'!D29+'Annual Raw'!D31+'Annual Raw'!D34+'Annual Raw'!D36</f>
        <v>0</v>
      </c>
      <c r="D66" s="75">
        <f>'Annual Raw'!E29+'Annual Raw'!E31+'Annual Raw'!E34+'Annual Raw'!E36</f>
        <v>0</v>
      </c>
      <c r="E66" s="75">
        <f>'Annual Raw'!F29+'Annual Raw'!F31+'Annual Raw'!F34+'Annual Raw'!F36</f>
        <v>0</v>
      </c>
      <c r="F66" s="75">
        <f>'Annual Raw'!G29+'Annual Raw'!G31+'Annual Raw'!G34+'Annual Raw'!G36</f>
        <v>0</v>
      </c>
      <c r="G66" s="75">
        <f>'Annual Raw'!H29+'Annual Raw'!H31+'Annual Raw'!H34+'Annual Raw'!H36</f>
        <v>0</v>
      </c>
      <c r="H66" s="75">
        <f>'Annual Raw'!I29+'Annual Raw'!I31+'Annual Raw'!I34+'Annual Raw'!I36</f>
        <v>0</v>
      </c>
      <c r="I66" s="75">
        <f>'Annual Raw'!J29+'Annual Raw'!J31+'Annual Raw'!J34+'Annual Raw'!J36</f>
        <v>0</v>
      </c>
      <c r="J66" s="75">
        <f>'Annual Raw'!K29+'Annual Raw'!K31+'Annual Raw'!K34+'Annual Raw'!K36</f>
        <v>0</v>
      </c>
      <c r="K66" s="75">
        <f>'Annual Raw'!L29+'Annual Raw'!L31+'Annual Raw'!L34+'Annual Raw'!L36</f>
        <v>0</v>
      </c>
      <c r="L66" s="75">
        <f>'Annual Raw'!M29+'Annual Raw'!M31+'Annual Raw'!M34+'Annual Raw'!M36</f>
        <v>0</v>
      </c>
      <c r="M66" s="75">
        <f>'Annual Raw'!N29+'Annual Raw'!N31+'Annual Raw'!N34+'Annual Raw'!N36</f>
        <v>-140.8039</v>
      </c>
      <c r="N66" s="75">
        <f>'Annual Raw'!O29+'Annual Raw'!O31+'Annual Raw'!O34+'Annual Raw'!O36</f>
        <v>-200.45400000000001</v>
      </c>
      <c r="O66" s="75">
        <f>'Annual Raw'!P29+'Annual Raw'!P31+'Annual Raw'!P34+'Annual Raw'!P36</f>
        <v>-67.736599999999996</v>
      </c>
      <c r="P66" s="75">
        <f>'Annual Raw'!Q29+'Annual Raw'!Q31+'Annual Raw'!Q34+'Annual Raw'!Q36</f>
        <v>16.032500000000002</v>
      </c>
      <c r="Q66" s="75">
        <f>'Annual Raw'!R29+'Annual Raw'!R31+'Annual Raw'!R34+'Annual Raw'!R36</f>
        <v>-84.646900000000002</v>
      </c>
      <c r="R66" s="75">
        <f>'Annual Raw'!S29+'Annual Raw'!S31+'Annual Raw'!S34+'Annual Raw'!S36</f>
        <v>4.0904000000000025</v>
      </c>
      <c r="S66" s="75">
        <f>'Annual Raw'!T29+'Annual Raw'!T31+'Annual Raw'!T34+'Annual Raw'!T36</f>
        <v>-102.4014</v>
      </c>
      <c r="T66" s="75">
        <f>'Annual Raw'!U29+'Annual Raw'!U31+'Annual Raw'!U34+'Annual Raw'!U36</f>
        <v>365.62690000000003</v>
      </c>
      <c r="U66" s="75">
        <f>'Annual Raw'!V29+'Annual Raw'!V31+'Annual Raw'!V34+'Annual Raw'!V36</f>
        <v>-112.0462</v>
      </c>
      <c r="V66" s="75">
        <f>'Annual Raw'!W29+'Annual Raw'!W31+'Annual Raw'!W34+'Annual Raw'!W36</f>
        <v>0</v>
      </c>
      <c r="W66" s="75">
        <f>'Annual Raw'!X29+'Annual Raw'!X31+'Annual Raw'!X34+'Annual Raw'!X36</f>
        <v>0</v>
      </c>
      <c r="X66" s="75">
        <f>'Annual Raw'!Y29+'Annual Raw'!Y31+'Annual Raw'!Y34+'Annual Raw'!Y36</f>
        <v>-25.044899999999998</v>
      </c>
      <c r="Y66" s="75">
        <f>'Annual Raw'!Z29+'Annual Raw'!Z31+'Annual Raw'!Z34+'Annual Raw'!Z36</f>
        <v>0</v>
      </c>
      <c r="Z66" s="75">
        <f>'Annual Raw'!AA29+'Annual Raw'!AA31+'Annual Raw'!AA34+'Annual Raw'!AA36</f>
        <v>0</v>
      </c>
      <c r="AA66" s="75">
        <f>'Annual Raw'!AB29+'Annual Raw'!AB31+'Annual Raw'!AB34+'Annual Raw'!AB36</f>
        <v>0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75">
        <f>'QTR Raw'!C26+'QTR Raw'!C31+'QTR Raw'!C32+'QTR Raw'!C33+'QTR Raw'!C36+'QTR Raw'!C37+'QTR Raw'!C39</f>
        <v>-56.64</v>
      </c>
      <c r="AJ66" s="75">
        <f>'QTR Raw'!D26+'QTR Raw'!D31+'QTR Raw'!D32+'QTR Raw'!D33+'QTR Raw'!D36+'QTR Raw'!D37+'QTR Raw'!D39</f>
        <v>-57.74</v>
      </c>
      <c r="AK66" s="75">
        <f>'QTR Raw'!E26+'QTR Raw'!E31+'QTR Raw'!E32+'QTR Raw'!E33+'QTR Raw'!E36+'QTR Raw'!E37+'QTR Raw'!E39</f>
        <v>-15.88</v>
      </c>
      <c r="AL66" s="75">
        <f>'QTR Raw'!F26+'QTR Raw'!F31+'QTR Raw'!F32+'QTR Raw'!F33+'QTR Raw'!F36+'QTR Raw'!F37+'QTR Raw'!F39</f>
        <v>-0.81</v>
      </c>
      <c r="AM66" s="75">
        <f>'QTR Raw'!G26+'QTR Raw'!G31+'QTR Raw'!G32+'QTR Raw'!G33+'QTR Raw'!G36+'QTR Raw'!G37+'QTR Raw'!G39</f>
        <v>-52.1</v>
      </c>
      <c r="AN66" s="75">
        <f>'QTR Raw'!H26+'QTR Raw'!H31+'QTR Raw'!H32+'QTR Raw'!H33+'QTR Raw'!H36+'QTR Raw'!H37+'QTR Raw'!H39</f>
        <v>-33.08</v>
      </c>
      <c r="AO66" s="75">
        <f>'QTR Raw'!I26+'QTR Raw'!I31+'QTR Raw'!I32+'QTR Raw'!I33+'QTR Raw'!I36+'QTR Raw'!I37+'QTR Raw'!I39</f>
        <v>2.8</v>
      </c>
      <c r="AP66" s="75">
        <f>'QTR Raw'!J26+'QTR Raw'!J31+'QTR Raw'!J32+'QTR Raw'!J33+'QTR Raw'!J36+'QTR Raw'!J37+'QTR Raw'!J39</f>
        <v>8.4600000000000009</v>
      </c>
      <c r="AQ66" s="75">
        <f>'QTR Raw'!K26+'QTR Raw'!K31+'QTR Raw'!K32+'QTR Raw'!K33+'QTR Raw'!K36+'QTR Raw'!K37+'QTR Raw'!K39</f>
        <v>10.54</v>
      </c>
      <c r="AR66" s="75">
        <f>'QTR Raw'!L26+'QTR Raw'!L31+'QTR Raw'!L32+'QTR Raw'!L33+'QTR Raw'!L36+'QTR Raw'!L37+'QTR Raw'!L39</f>
        <v>-4.97</v>
      </c>
      <c r="AS66" s="75">
        <f>'QTR Raw'!M26+'QTR Raw'!M31+'QTR Raw'!M32+'QTR Raw'!M33+'QTR Raw'!M36+'QTR Raw'!M37+'QTR Raw'!M39</f>
        <v>-39.979999999999997</v>
      </c>
      <c r="AT66" s="75">
        <f>'QTR Raw'!N26+'QTR Raw'!N31+'QTR Raw'!N32+'QTR Raw'!N33+'QTR Raw'!N36+'QTR Raw'!N37+'QTR Raw'!N39</f>
        <v>0</v>
      </c>
      <c r="AU66" s="75">
        <f>'QTR Raw'!O26+'QTR Raw'!O31+'QTR Raw'!O32+'QTR Raw'!O33+'QTR Raw'!O36+'QTR Raw'!O37+'QTR Raw'!O39</f>
        <v>0</v>
      </c>
      <c r="AV66" s="75">
        <f>'QTR Raw'!P26+'QTR Raw'!P31+'QTR Raw'!P32+'QTR Raw'!P33+'QTR Raw'!P36+'QTR Raw'!P37+'QTR Raw'!P39</f>
        <v>-0.06</v>
      </c>
      <c r="AW66" s="75">
        <f>'QTR Raw'!Q26+'QTR Raw'!Q31+'QTR Raw'!Q32+'QTR Raw'!Q33+'QTR Raw'!Q36+'QTR Raw'!Q37+'QTR Raw'!Q39</f>
        <v>-58.27</v>
      </c>
      <c r="AX66" s="75">
        <f>'QTR Raw'!R26+'QTR Raw'!R31+'QTR Raw'!R32+'QTR Raw'!R33+'QTR Raw'!R36+'QTR Raw'!R37+'QTR Raw'!R39</f>
        <v>-74.88</v>
      </c>
      <c r="AY66" s="75">
        <f>'QTR Raw'!S26+'QTR Raw'!S31+'QTR Raw'!S32+'QTR Raw'!S33+'QTR Raw'!S36+'QTR Raw'!S37+'QTR Raw'!S39</f>
        <v>0</v>
      </c>
      <c r="AZ66" s="75">
        <f>'QTR Raw'!T26+'QTR Raw'!T31+'QTR Raw'!T32+'QTR Raw'!T33+'QTR Raw'!T36+'QTR Raw'!T37+'QTR Raw'!T39</f>
        <v>-34.65</v>
      </c>
      <c r="BA66" s="75">
        <f>'QTR Raw'!U26+'QTR Raw'!U31+'QTR Raw'!U32+'QTR Raw'!U33+'QTR Raw'!U36+'QTR Raw'!U37+'QTR Raw'!U39</f>
        <v>0</v>
      </c>
      <c r="BB66" s="75">
        <f>'QTR Raw'!V26+'QTR Raw'!V31+'QTR Raw'!V32+'QTR Raw'!V33+'QTR Raw'!V36+'QTR Raw'!V37+'QTR Raw'!V39</f>
        <v>-43.1</v>
      </c>
      <c r="BC66" s="75">
        <f>'QTR Raw'!W26+'QTR Raw'!W31+'QTR Raw'!W32+'QTR Raw'!W33+'QTR Raw'!W36+'QTR Raw'!W37+'QTR Raw'!W39</f>
        <v>0.45</v>
      </c>
      <c r="BD66" s="75">
        <f>'QTR Raw'!X26+'QTR Raw'!X31+'QTR Raw'!X32+'QTR Raw'!X33+'QTR Raw'!X36+'QTR Raw'!X37+'QTR Raw'!X39</f>
        <v>-2.2000000000000002</v>
      </c>
      <c r="BE66" s="75">
        <f>'QTR Raw'!Y26+'QTR Raw'!Y31+'QTR Raw'!Y32+'QTR Raw'!Y33+'QTR Raw'!Y36+'QTR Raw'!Y37+'QTR Raw'!Y39</f>
        <v>-13.82</v>
      </c>
      <c r="BF66" s="75">
        <f>'QTR Raw'!Z26+'QTR Raw'!Z31+'QTR Raw'!Z32+'QTR Raw'!Z33+'QTR Raw'!Z36+'QTR Raw'!Z37+'QTR Raw'!Z39</f>
        <v>7.07</v>
      </c>
      <c r="BG66" s="75">
        <f>'QTR Raw'!AA26+'QTR Raw'!AA31+'QTR Raw'!AA32+'QTR Raw'!AA33+'QTR Raw'!AA36+'QTR Raw'!AA37+'QTR Raw'!AA39</f>
        <v>-1.81</v>
      </c>
      <c r="BH66" s="75">
        <f>'QTR Raw'!AB26+'QTR Raw'!AB31+'QTR Raw'!AB32+'QTR Raw'!AB33+'QTR Raw'!AB36+'QTR Raw'!AB37+'QTR Raw'!AB39</f>
        <v>-0.78</v>
      </c>
      <c r="BI66" s="75">
        <f>'QTR Raw'!AC26+'QTR Raw'!AC31+'QTR Raw'!AC32+'QTR Raw'!AC33+'QTR Raw'!AC36+'QTR Raw'!AC37+'QTR Raw'!AC39</f>
        <v>-0.25</v>
      </c>
      <c r="BJ66" s="75">
        <f>'QTR Raw'!AD26+'QTR Raw'!AD31+'QTR Raw'!AD32+'QTR Raw'!AD33+'QTR Raw'!AD36+'QTR Raw'!AD37+'QTR Raw'!AD39</f>
        <v>368.46</v>
      </c>
      <c r="BK66" s="75">
        <f>'QTR Raw'!AE26+'QTR Raw'!AE31+'QTR Raw'!AE32+'QTR Raw'!AE33+'QTR Raw'!AE36+'QTR Raw'!AE37+'QTR Raw'!AE39</f>
        <v>-1.52</v>
      </c>
      <c r="BL66" s="75">
        <f>'QTR Raw'!AF26+'QTR Raw'!AF31+'QTR Raw'!AF32+'QTR Raw'!AF33+'QTR Raw'!AF36+'QTR Raw'!AF37+'QTR Raw'!AF39</f>
        <v>-25.72</v>
      </c>
      <c r="BM66" s="75">
        <f>'QTR Raw'!AG26+'QTR Raw'!AG31+'QTR Raw'!AG32+'QTR Raw'!AG33+'QTR Raw'!AG36+'QTR Raw'!AG37+'QTR Raw'!AG39</f>
        <v>-37.92</v>
      </c>
      <c r="BN66" s="75">
        <f>'QTR Raw'!AH26+'QTR Raw'!AH31+'QTR Raw'!AH32+'QTR Raw'!AH33+'QTR Raw'!AH36+'QTR Raw'!AH37+'QTR Raw'!AH39</f>
        <v>-48.73</v>
      </c>
      <c r="BO66" s="75">
        <f>'QTR Raw'!AI26+'QTR Raw'!AI31+'QTR Raw'!AI32+'QTR Raw'!AI33+'QTR Raw'!AI36+'QTR Raw'!AI37+'QTR Raw'!AI39</f>
        <v>0</v>
      </c>
      <c r="BP66" s="75">
        <f>'QTR Raw'!AJ26+'QTR Raw'!AJ31+'QTR Raw'!AJ32+'QTR Raw'!AJ33+'QTR Raw'!AJ36+'QTR Raw'!AJ37+'QTR Raw'!AJ39</f>
        <v>0</v>
      </c>
      <c r="BQ66" s="75">
        <f>'QTR Raw'!AK26+'QTR Raw'!AK31+'QTR Raw'!AK32+'QTR Raw'!AK33+'QTR Raw'!AK36+'QTR Raw'!AK37+'QTR Raw'!AK39</f>
        <v>0</v>
      </c>
      <c r="BR66" s="75">
        <f>'QTR Raw'!AL26+'QTR Raw'!AL31+'QTR Raw'!AL32+'QTR Raw'!AL33+'QTR Raw'!AL36+'QTR Raw'!AL37+'QTR Raw'!AL39</f>
        <v>0</v>
      </c>
      <c r="BS66" s="75">
        <f>'QTR Raw'!AM26+'QTR Raw'!AM31+'QTR Raw'!AM32+'QTR Raw'!AM33+'QTR Raw'!AM36+'QTR Raw'!AM37+'QTR Raw'!AM39</f>
        <v>0</v>
      </c>
      <c r="BT66" s="75">
        <f>'QTR Raw'!AN26+'QTR Raw'!AN31+'QTR Raw'!AN32+'QTR Raw'!AN33+'QTR Raw'!AN36+'QTR Raw'!AN37+'QTR Raw'!AN39</f>
        <v>0</v>
      </c>
      <c r="BU66" s="75">
        <f>'QTR Raw'!AO26+'QTR Raw'!AO31+'QTR Raw'!AO32+'QTR Raw'!AO33+'QTR Raw'!AO36+'QTR Raw'!AO37+'QTR Raw'!AO39</f>
        <v>0</v>
      </c>
      <c r="BV66" s="75">
        <f>'QTR Raw'!AP26+'QTR Raw'!AP31+'QTR Raw'!AP32+'QTR Raw'!AP33+'QTR Raw'!AP36+'QTR Raw'!AP37+'QTR Raw'!AP39</f>
        <v>0</v>
      </c>
      <c r="BW66" s="75">
        <f>'QTR Raw'!AQ26+'QTR Raw'!AQ31+'QTR Raw'!AQ32+'QTR Raw'!AQ33+'QTR Raw'!AQ36+'QTR Raw'!AQ37+'QTR Raw'!AQ39</f>
        <v>0</v>
      </c>
      <c r="BX66" s="75">
        <f>'QTR Raw'!AR26+'QTR Raw'!AR31+'QTR Raw'!AR32+'QTR Raw'!AR33+'QTR Raw'!AR36+'QTR Raw'!AR37+'QTR Raw'!AR39</f>
        <v>-25.04</v>
      </c>
      <c r="BY66" s="75">
        <f>'QTR Raw'!AS26+'QTR Raw'!AS31+'QTR Raw'!AS32+'QTR Raw'!AS33+'QTR Raw'!AS36+'QTR Raw'!AS37+'QTR Raw'!AS39</f>
        <v>0</v>
      </c>
      <c r="BZ66" s="75">
        <f>'QTR Raw'!AT26+'QTR Raw'!AT31+'QTR Raw'!AT32+'QTR Raw'!AT33+'QTR Raw'!AT36+'QTR Raw'!AT37+'QTR Raw'!AT39</f>
        <v>0</v>
      </c>
      <c r="CA66" s="75">
        <f>'QTR Raw'!AU26+'QTR Raw'!AU31+'QTR Raw'!AU32+'QTR Raw'!AU33+'QTR Raw'!AU36+'QTR Raw'!AU37+'QTR Raw'!AU39</f>
        <v>0</v>
      </c>
      <c r="CB66" s="75">
        <f>'QTR Raw'!AV26+'QTR Raw'!AV31+'QTR Raw'!AV32+'QTR Raw'!AV33+'QTR Raw'!AV36+'QTR Raw'!AV37+'QTR Raw'!AV39</f>
        <v>0</v>
      </c>
      <c r="CC66" s="75">
        <f>'QTR Raw'!AW26+'QTR Raw'!AW31+'QTR Raw'!AW32+'QTR Raw'!AW33+'QTR Raw'!AW36+'QTR Raw'!AW37+'QTR Raw'!AW39</f>
        <v>0</v>
      </c>
      <c r="CD66" s="75">
        <f>'QTR Raw'!AX26+'QTR Raw'!AX31+'QTR Raw'!AX32+'QTR Raw'!AX33+'QTR Raw'!AX36+'QTR Raw'!AX37+'QTR Raw'!AX39</f>
        <v>0</v>
      </c>
      <c r="CE66" s="75">
        <f>'QTR Raw'!AY26+'QTR Raw'!AY31+'QTR Raw'!AY32+'QTR Raw'!AY33+'QTR Raw'!AY36+'QTR Raw'!AY37+'QTR Raw'!AY39</f>
        <v>0</v>
      </c>
      <c r="CF66" s="75">
        <f>'QTR Raw'!AZ26+'QTR Raw'!AZ31+'QTR Raw'!AZ32+'QTR Raw'!AZ33+'QTR Raw'!AZ36+'QTR Raw'!AZ37+'QTR Raw'!AZ39</f>
        <v>0</v>
      </c>
      <c r="CG66" s="75">
        <f>'QTR Raw'!BA26+'QTR Raw'!BA31+'QTR Raw'!BA32+'QTR Raw'!BA33+'QTR Raw'!BA36+'QTR Raw'!BA37+'QTR Raw'!BA39</f>
        <v>0</v>
      </c>
      <c r="CH66" s="75">
        <v>-269.18</v>
      </c>
      <c r="CI66" s="75">
        <v>132.15</v>
      </c>
      <c r="CJ66" s="75">
        <f>'QTR Raw'!BD26+'QTR Raw'!BD31+'QTR Raw'!BD32+'QTR Raw'!BD33+'QTR Raw'!BD36+'QTR Raw'!BD37+'QTR Raw'!BD39</f>
        <v>0</v>
      </c>
      <c r="CK66" s="75">
        <f>'QTR Raw'!BE26+'QTR Raw'!BE31+'QTR Raw'!BE32+'QTR Raw'!BE33+'QTR Raw'!BE36+'QTR Raw'!BE37+'QTR Raw'!BE39</f>
        <v>0</v>
      </c>
      <c r="CL66" s="75">
        <f>'QTR Raw'!BF26+'QTR Raw'!BF31+'QTR Raw'!BF32+'QTR Raw'!BF33+'QTR Raw'!BF36+'QTR Raw'!BF37+'QTR Raw'!BF39</f>
        <v>0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6" customFormat="1" x14ac:dyDescent="0.2">
      <c r="A67" s="35" t="s">
        <v>25</v>
      </c>
      <c r="B67" s="26">
        <f>B60+B64+B65+B66</f>
        <v>0</v>
      </c>
      <c r="C67" s="26">
        <f>C60+C64+C65+C66</f>
        <v>0</v>
      </c>
      <c r="D67" s="26">
        <f>D60+D64+D65+D66</f>
        <v>0</v>
      </c>
      <c r="E67" s="26">
        <f t="shared" ref="E67:U67" si="810">E60+E64+E65+E66</f>
        <v>0</v>
      </c>
      <c r="F67" s="26">
        <f t="shared" si="810"/>
        <v>0</v>
      </c>
      <c r="G67" s="26">
        <f t="shared" si="810"/>
        <v>0</v>
      </c>
      <c r="H67" s="26">
        <f t="shared" si="810"/>
        <v>0</v>
      </c>
      <c r="I67" s="26">
        <f t="shared" si="810"/>
        <v>0</v>
      </c>
      <c r="J67" s="26">
        <f t="shared" si="810"/>
        <v>0</v>
      </c>
      <c r="K67" s="26">
        <f t="shared" si="810"/>
        <v>679.73000000000025</v>
      </c>
      <c r="L67" s="26">
        <f t="shared" si="810"/>
        <v>444.6567000000008</v>
      </c>
      <c r="M67" s="26">
        <f t="shared" si="810"/>
        <v>189.10980000000058</v>
      </c>
      <c r="N67" s="26">
        <f t="shared" si="810"/>
        <v>-18.866700000000264</v>
      </c>
      <c r="O67" s="26">
        <f t="shared" si="810"/>
        <v>-85.542199999999497</v>
      </c>
      <c r="P67" s="26">
        <f t="shared" si="810"/>
        <v>-14.474599999998123</v>
      </c>
      <c r="Q67" s="26">
        <f t="shared" si="810"/>
        <v>-40.164199999998566</v>
      </c>
      <c r="R67" s="26">
        <f t="shared" si="810"/>
        <v>113.77050000000024</v>
      </c>
      <c r="S67" s="26">
        <f t="shared" si="810"/>
        <v>178.49710000000076</v>
      </c>
      <c r="T67" s="26">
        <f t="shared" si="810"/>
        <v>850.15949999999873</v>
      </c>
      <c r="U67" s="26">
        <f t="shared" si="810"/>
        <v>554.75109999999995</v>
      </c>
      <c r="V67" s="26">
        <f t="shared" ref="V67:AA67" si="811">V60+V64+V65+V66</f>
        <v>318.83059999999932</v>
      </c>
      <c r="W67" s="26">
        <f t="shared" si="811"/>
        <v>411.7490999999988</v>
      </c>
      <c r="X67" s="26">
        <f t="shared" si="811"/>
        <v>643.94689999999787</v>
      </c>
      <c r="Y67" s="26">
        <f t="shared" si="811"/>
        <v>1677.032600000002</v>
      </c>
      <c r="Z67" s="26">
        <f t="shared" si="811"/>
        <v>1738.3663999999992</v>
      </c>
      <c r="AA67" s="26">
        <f t="shared" ref="AA67" si="812">AA60+AA64+AA65+AA66</f>
        <v>973.35229999999956</v>
      </c>
      <c r="AB67" s="27">
        <f t="shared" ref="AB67:AD67" si="813">AB60+AB64+AB65+AB66</f>
        <v>1107.4469875863458</v>
      </c>
      <c r="AC67" s="27">
        <f t="shared" si="813"/>
        <v>1358.5827525850543</v>
      </c>
      <c r="AD67" s="27">
        <f t="shared" si="813"/>
        <v>1572.6224470367879</v>
      </c>
      <c r="AE67" s="27">
        <f t="shared" ref="AE67" si="814">AE60+AE64+AE65+AE66</f>
        <v>1828.859225618133</v>
      </c>
      <c r="AI67" s="26">
        <f t="shared" ref="AI67" si="815">AI60+AI64+AI65+AI66</f>
        <v>35.189999999999785</v>
      </c>
      <c r="AJ67" s="26">
        <f t="shared" ref="AJ67" si="816">AJ60+AJ64+AJ65+AJ66</f>
        <v>61.110000000000134</v>
      </c>
      <c r="AK67" s="26">
        <f t="shared" ref="AK67:AM67" si="817">AK60+AK64+AK65+AK66</f>
        <v>60.030000000000065</v>
      </c>
      <c r="AL67" s="26">
        <f t="shared" si="817"/>
        <v>37.07999999999992</v>
      </c>
      <c r="AM67" s="26">
        <f t="shared" si="817"/>
        <v>15.210000000000029</v>
      </c>
      <c r="AN67" s="26">
        <f t="shared" ref="AN67:AO67" si="818">AN60+AN64+AN65+AN66</f>
        <v>21.959999999999937</v>
      </c>
      <c r="AO67" s="26">
        <f t="shared" si="818"/>
        <v>50.04000000000007</v>
      </c>
      <c r="AP67" s="26">
        <f t="shared" ref="AP67:CD67" si="819">AP60+AP64+AP65+AP66</f>
        <v>57.060000000000265</v>
      </c>
      <c r="AQ67" s="26">
        <f t="shared" si="819"/>
        <v>54.900000000000041</v>
      </c>
      <c r="AR67" s="26">
        <f t="shared" si="819"/>
        <v>74.609999999999957</v>
      </c>
      <c r="AS67" s="26">
        <f t="shared" si="819"/>
        <v>61.919999999999881</v>
      </c>
      <c r="AT67" s="26">
        <f t="shared" si="819"/>
        <v>96.379999999999967</v>
      </c>
      <c r="AU67" s="26">
        <f t="shared" si="819"/>
        <v>97.19999999999996</v>
      </c>
      <c r="AV67" s="26">
        <f t="shared" si="819"/>
        <v>72.65000000000002</v>
      </c>
      <c r="AW67" s="26">
        <f t="shared" si="819"/>
        <v>-15.77000000000011</v>
      </c>
      <c r="AX67" s="26">
        <f t="shared" si="819"/>
        <v>67.250000000000028</v>
      </c>
      <c r="AY67" s="26">
        <f t="shared" si="819"/>
        <v>65.780000000000115</v>
      </c>
      <c r="AZ67" s="26">
        <f t="shared" si="819"/>
        <v>47.320000000000071</v>
      </c>
      <c r="BA67" s="26">
        <f t="shared" si="819"/>
        <v>80.670000000000073</v>
      </c>
      <c r="BB67" s="26">
        <f t="shared" si="819"/>
        <v>113.92999999999992</v>
      </c>
      <c r="BC67" s="26">
        <f t="shared" si="819"/>
        <v>64.040000000000262</v>
      </c>
      <c r="BD67" s="26">
        <f t="shared" si="819"/>
        <v>60.10000000000008</v>
      </c>
      <c r="BE67" s="26">
        <f t="shared" si="819"/>
        <v>96.229999999999905</v>
      </c>
      <c r="BF67" s="26">
        <f t="shared" si="819"/>
        <v>165.41999999999987</v>
      </c>
      <c r="BG67" s="26">
        <f t="shared" si="819"/>
        <v>92.749999999999872</v>
      </c>
      <c r="BH67" s="26">
        <f t="shared" si="819"/>
        <v>97.179999999999964</v>
      </c>
      <c r="BI67" s="26">
        <f t="shared" si="819"/>
        <v>138.90999999999974</v>
      </c>
      <c r="BJ67" s="26">
        <f t="shared" si="819"/>
        <v>521.31999999999982</v>
      </c>
      <c r="BK67" s="26">
        <f t="shared" si="819"/>
        <v>131.36999999999989</v>
      </c>
      <c r="BL67" s="26">
        <f t="shared" si="819"/>
        <v>301.02999999999986</v>
      </c>
      <c r="BM67" s="26">
        <f t="shared" si="819"/>
        <v>89.550000000000111</v>
      </c>
      <c r="BN67" s="26">
        <f t="shared" si="819"/>
        <v>32.789999999999843</v>
      </c>
      <c r="BO67" s="26">
        <f t="shared" si="819"/>
        <v>-9.240000000000073</v>
      </c>
      <c r="BP67" s="26">
        <f t="shared" si="819"/>
        <v>78.200000000000188</v>
      </c>
      <c r="BQ67" s="26">
        <f t="shared" si="819"/>
        <v>65.769999999999698</v>
      </c>
      <c r="BR67" s="26">
        <f t="shared" si="819"/>
        <v>184.0999999999996</v>
      </c>
      <c r="BS67" s="26">
        <f t="shared" si="819"/>
        <v>152.09999999999994</v>
      </c>
      <c r="BT67" s="26">
        <f t="shared" si="819"/>
        <v>120.07999999999987</v>
      </c>
      <c r="BU67" s="26">
        <f t="shared" si="819"/>
        <v>12.640000000000128</v>
      </c>
      <c r="BV67" s="26">
        <f t="shared" si="819"/>
        <v>126.92999999999968</v>
      </c>
      <c r="BW67" s="26">
        <f t="shared" si="819"/>
        <v>4.8500000000000654</v>
      </c>
      <c r="BX67" s="26">
        <f t="shared" si="819"/>
        <v>59.420000000000165</v>
      </c>
      <c r="BY67" s="26">
        <f t="shared" si="819"/>
        <v>214.43999999999937</v>
      </c>
      <c r="BZ67" s="26">
        <f t="shared" si="819"/>
        <v>357.16</v>
      </c>
      <c r="CA67" s="26">
        <f t="shared" si="819"/>
        <v>264.60000000000036</v>
      </c>
      <c r="CB67" s="26">
        <f t="shared" si="819"/>
        <v>377.02999999999975</v>
      </c>
      <c r="CC67" s="26">
        <f t="shared" si="819"/>
        <v>533.21000000000038</v>
      </c>
      <c r="CD67" s="26">
        <f t="shared" si="819"/>
        <v>502.18000000000018</v>
      </c>
      <c r="CE67" s="26">
        <f t="shared" ref="CE67:CF67" si="820">CE60+CE64+CE65+CE66</f>
        <v>441.05999999999955</v>
      </c>
      <c r="CF67" s="26">
        <f t="shared" si="820"/>
        <v>499.61000000000035</v>
      </c>
      <c r="CG67" s="26">
        <f t="shared" ref="CG67:CH67" si="821">CG60+CG64+CG65+CG66</f>
        <v>506.42000000000058</v>
      </c>
      <c r="CH67" s="26">
        <f t="shared" si="821"/>
        <v>291.27499999999992</v>
      </c>
      <c r="CI67" s="26">
        <f t="shared" ref="CI67:CJ67" si="822">CI60+CI64+CI65+CI66</f>
        <v>424.04250000000025</v>
      </c>
      <c r="CJ67" s="26">
        <f t="shared" si="822"/>
        <v>151.89000000000038</v>
      </c>
      <c r="CK67" s="26">
        <f t="shared" ref="CK67:CL67" si="823">CK60+CK64+CK65+CK66</f>
        <v>257.99000000000063</v>
      </c>
      <c r="CL67" s="26">
        <f t="shared" si="823"/>
        <v>139.42999999999967</v>
      </c>
      <c r="CM67" s="27">
        <f t="shared" ref="CM67:DB67" si="824">CM60+CM64+CM65+CM66</f>
        <v>181.533913663346</v>
      </c>
      <c r="CN67" s="27">
        <f t="shared" si="824"/>
        <v>235.31741987776044</v>
      </c>
      <c r="CO67" s="27">
        <f t="shared" si="824"/>
        <v>339.99705073887907</v>
      </c>
      <c r="CP67" s="27">
        <f t="shared" si="824"/>
        <v>350.59860330636019</v>
      </c>
      <c r="CQ67" s="27">
        <f t="shared" si="824"/>
        <v>297.03190770469104</v>
      </c>
      <c r="CR67" s="27">
        <f t="shared" si="824"/>
        <v>270.21975692485069</v>
      </c>
      <c r="CS67" s="27">
        <f t="shared" si="824"/>
        <v>389.2313405675377</v>
      </c>
      <c r="CT67" s="27">
        <f t="shared" si="824"/>
        <v>402.09974738797325</v>
      </c>
      <c r="CU67" s="27">
        <f t="shared" si="824"/>
        <v>344.40000628608175</v>
      </c>
      <c r="CV67" s="27">
        <f t="shared" si="824"/>
        <v>316.14790352752942</v>
      </c>
      <c r="CW67" s="27">
        <f t="shared" si="824"/>
        <v>448.32027545966861</v>
      </c>
      <c r="CX67" s="27">
        <f t="shared" si="824"/>
        <v>463.75426176351061</v>
      </c>
      <c r="CY67" s="27">
        <f t="shared" si="824"/>
        <v>401.58315100585133</v>
      </c>
      <c r="CZ67" s="27">
        <f t="shared" si="824"/>
        <v>371.82508005587295</v>
      </c>
      <c r="DA67" s="27">
        <f t="shared" si="824"/>
        <v>518.55535655698088</v>
      </c>
      <c r="DB67" s="27">
        <f t="shared" si="824"/>
        <v>536.89563799942778</v>
      </c>
      <c r="DE67" s="121"/>
      <c r="DF67" s="26">
        <v>973.35229999999956</v>
      </c>
    </row>
    <row r="68" spans="1:110" s="25" customFormat="1" x14ac:dyDescent="0.2">
      <c r="A68" s="151" t="s">
        <v>486</v>
      </c>
      <c r="AB68" s="17"/>
      <c r="AC68" s="17"/>
      <c r="AD68" s="17"/>
      <c r="AE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1" customFormat="1" x14ac:dyDescent="0.2">
      <c r="AB69" s="20"/>
      <c r="AC69" s="20"/>
      <c r="AD69" s="20"/>
      <c r="AE69" s="20"/>
      <c r="BV69" s="182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22" customFormat="1" x14ac:dyDescent="0.2">
      <c r="A70" s="22" t="s">
        <v>434</v>
      </c>
      <c r="B70" s="22">
        <f>'Annual Raw'!C35</f>
        <v>0</v>
      </c>
      <c r="C70" s="22">
        <f>'Annual Raw'!D35</f>
        <v>0</v>
      </c>
      <c r="D70" s="22">
        <f>'Annual Raw'!E35</f>
        <v>0</v>
      </c>
      <c r="E70" s="22">
        <f>'Annual Raw'!F35</f>
        <v>0</v>
      </c>
      <c r="F70" s="22">
        <f>'Annual Raw'!G35</f>
        <v>0</v>
      </c>
      <c r="G70" s="22">
        <f>'Annual Raw'!H35</f>
        <v>0</v>
      </c>
      <c r="H70" s="22">
        <f>'Annual Raw'!I35</f>
        <v>0</v>
      </c>
      <c r="I70" s="22">
        <f>'Annual Raw'!J35</f>
        <v>0</v>
      </c>
      <c r="J70" s="22">
        <f>'Annual Raw'!K35</f>
        <v>0</v>
      </c>
      <c r="K70" s="22">
        <f>'Annual Raw'!L35</f>
        <v>679.73</v>
      </c>
      <c r="L70" s="22">
        <f>'Annual Raw'!M35</f>
        <v>444.6567</v>
      </c>
      <c r="M70" s="22">
        <f>'Annual Raw'!N35</f>
        <v>189.10980000000001</v>
      </c>
      <c r="N70" s="22">
        <f>'Annual Raw'!O35</f>
        <v>-18.866700000000002</v>
      </c>
      <c r="O70" s="22">
        <f>'Annual Raw'!P35</f>
        <v>-85.542199999999994</v>
      </c>
      <c r="P70" s="22">
        <f>'Annual Raw'!Q35</f>
        <v>-14.474600000000001</v>
      </c>
      <c r="Q70" s="22">
        <f>'Annual Raw'!R35</f>
        <v>-40.164200000000001</v>
      </c>
      <c r="R70" s="22">
        <f>'Annual Raw'!S35</f>
        <v>113.7705</v>
      </c>
      <c r="S70" s="22">
        <f>'Annual Raw'!T35</f>
        <v>178.49709999999999</v>
      </c>
      <c r="T70" s="22">
        <f>'Annual Raw'!U35</f>
        <v>850.15949999999998</v>
      </c>
      <c r="U70" s="22">
        <f>'Annual Raw'!V35</f>
        <v>554.75109999999995</v>
      </c>
      <c r="V70" s="22">
        <f>'Annual Raw'!W35</f>
        <v>318.8306</v>
      </c>
      <c r="W70" s="22">
        <f>'Annual Raw'!X35</f>
        <v>411.7491</v>
      </c>
      <c r="X70" s="22">
        <f>'Annual Raw'!Y35</f>
        <v>643.94690000000003</v>
      </c>
      <c r="Y70" s="22">
        <f>'Annual Raw'!Z35</f>
        <v>1677.0326</v>
      </c>
      <c r="Z70" s="22">
        <f>'Annual Raw'!AA35</f>
        <v>1738.3664000000001</v>
      </c>
      <c r="AA70" s="22">
        <f>'Annual Raw'!AB35</f>
        <v>973.35230000000001</v>
      </c>
      <c r="AB70" s="21">
        <f t="shared" ref="AB70:AD70" si="825">+AB67</f>
        <v>1107.4469875863458</v>
      </c>
      <c r="AC70" s="21">
        <f t="shared" si="825"/>
        <v>1358.5827525850543</v>
      </c>
      <c r="AD70" s="21">
        <f t="shared" si="825"/>
        <v>1572.6224470367879</v>
      </c>
      <c r="AE70" s="21">
        <f t="shared" ref="AE70" si="826">+AE67</f>
        <v>1828.859225618133</v>
      </c>
      <c r="AI70" s="22">
        <f>'QTR Raw'!C42</f>
        <v>35.19</v>
      </c>
      <c r="AJ70" s="22">
        <f>'QTR Raw'!D42</f>
        <v>61.11</v>
      </c>
      <c r="AK70" s="22">
        <f>'QTR Raw'!E42</f>
        <v>60.03</v>
      </c>
      <c r="AL70" s="22">
        <f>'QTR Raw'!F42</f>
        <v>37.08</v>
      </c>
      <c r="AM70" s="22">
        <f>'QTR Raw'!G42</f>
        <v>15.21</v>
      </c>
      <c r="AN70" s="22">
        <f>'QTR Raw'!H42</f>
        <v>21.96</v>
      </c>
      <c r="AO70" s="22">
        <f>'QTR Raw'!I42</f>
        <v>50.04</v>
      </c>
      <c r="AP70" s="22">
        <f>'QTR Raw'!J42</f>
        <v>57.06</v>
      </c>
      <c r="AQ70" s="22">
        <f>'QTR Raw'!K42</f>
        <v>54.9</v>
      </c>
      <c r="AR70" s="22">
        <f>'QTR Raw'!L42</f>
        <v>74.61</v>
      </c>
      <c r="AS70" s="22">
        <f>'QTR Raw'!M42</f>
        <v>61.92</v>
      </c>
      <c r="AT70" s="22">
        <f>'QTR Raw'!N42</f>
        <v>96.38</v>
      </c>
      <c r="AU70" s="22">
        <f>'QTR Raw'!O42</f>
        <v>97.2</v>
      </c>
      <c r="AV70" s="22">
        <f>'QTR Raw'!P42</f>
        <v>72.650000000000006</v>
      </c>
      <c r="AW70" s="22">
        <f>'QTR Raw'!Q42</f>
        <v>-15.77</v>
      </c>
      <c r="AX70" s="22">
        <f>'QTR Raw'!R42</f>
        <v>67.25</v>
      </c>
      <c r="AY70" s="22">
        <f>'QTR Raw'!S42</f>
        <v>65.78</v>
      </c>
      <c r="AZ70" s="22">
        <f>'QTR Raw'!T42</f>
        <v>47.32</v>
      </c>
      <c r="BA70" s="22">
        <f>'QTR Raw'!U42</f>
        <v>80.67</v>
      </c>
      <c r="BB70" s="22">
        <f>'QTR Raw'!V42</f>
        <v>113.93</v>
      </c>
      <c r="BC70" s="22">
        <f>'QTR Raw'!W42</f>
        <v>64.040000000000006</v>
      </c>
      <c r="BD70" s="22">
        <f>'QTR Raw'!X42</f>
        <v>60.1</v>
      </c>
      <c r="BE70" s="22">
        <f>'QTR Raw'!Y42</f>
        <v>96.23</v>
      </c>
      <c r="BF70" s="22">
        <f>'QTR Raw'!Z42</f>
        <v>165.42</v>
      </c>
      <c r="BG70" s="22">
        <f>'QTR Raw'!AA42</f>
        <v>92.75</v>
      </c>
      <c r="BH70" s="22">
        <f>'QTR Raw'!AB42</f>
        <v>97.18</v>
      </c>
      <c r="BI70" s="22">
        <f>'QTR Raw'!AC42</f>
        <v>138.91</v>
      </c>
      <c r="BJ70" s="22">
        <f>'QTR Raw'!AD42</f>
        <v>521.32000000000005</v>
      </c>
      <c r="BK70" s="22">
        <f>'QTR Raw'!AE42</f>
        <v>131.37</v>
      </c>
      <c r="BL70" s="22">
        <f>'QTR Raw'!AF42</f>
        <v>301.04000000000002</v>
      </c>
      <c r="BM70" s="22">
        <f>'QTR Raw'!AG42</f>
        <v>89.55</v>
      </c>
      <c r="BN70" s="22">
        <f>'QTR Raw'!AH42</f>
        <v>32.79</v>
      </c>
      <c r="BO70" s="22">
        <f>'QTR Raw'!AI42</f>
        <v>-9.24</v>
      </c>
      <c r="BP70" s="22">
        <f>'QTR Raw'!AJ42</f>
        <v>78.2</v>
      </c>
      <c r="BQ70" s="22">
        <f>'QTR Raw'!AK42</f>
        <v>65.77</v>
      </c>
      <c r="BR70" s="22">
        <f>'QTR Raw'!AL42</f>
        <v>184.1</v>
      </c>
      <c r="BS70" s="22">
        <f>'QTR Raw'!AM42</f>
        <v>152.1</v>
      </c>
      <c r="BT70" s="22">
        <f>'QTR Raw'!AN42</f>
        <v>120.08</v>
      </c>
      <c r="BU70" s="22">
        <f>'QTR Raw'!AO42</f>
        <v>12.64</v>
      </c>
      <c r="BV70" s="22">
        <f>'QTR Raw'!AP42</f>
        <v>126.93</v>
      </c>
      <c r="BW70" s="22">
        <f>'QTR Raw'!AQ42</f>
        <v>4.8499999999999996</v>
      </c>
      <c r="BX70" s="22">
        <f>'QTR Raw'!AR42</f>
        <v>59.42</v>
      </c>
      <c r="BY70" s="22">
        <f>'QTR Raw'!AS42</f>
        <v>214.44</v>
      </c>
      <c r="BZ70" s="22">
        <f>'QTR Raw'!AT42</f>
        <v>357.16</v>
      </c>
      <c r="CA70" s="22">
        <f>'QTR Raw'!AU42</f>
        <v>264.60000000000002</v>
      </c>
      <c r="CB70" s="22">
        <f>'QTR Raw'!AV42</f>
        <v>377.03</v>
      </c>
      <c r="CC70" s="22">
        <f>'QTR Raw'!AW42</f>
        <v>533.21</v>
      </c>
      <c r="CD70" s="22">
        <f>'QTR Raw'!AX42</f>
        <v>502.18</v>
      </c>
      <c r="CE70" s="22">
        <f>'QTR Raw'!AY42</f>
        <v>441.06</v>
      </c>
      <c r="CF70" s="22">
        <f>'QTR Raw'!AZ42</f>
        <v>499.61</v>
      </c>
      <c r="CG70" s="22">
        <f>'QTR Raw'!BA42</f>
        <v>506.42</v>
      </c>
      <c r="CH70" s="22">
        <f>'QTR Raw'!BB42</f>
        <v>291.27999999999997</v>
      </c>
      <c r="CI70" s="22">
        <f>'QTR Raw'!BC42</f>
        <v>424.04</v>
      </c>
      <c r="CJ70" s="22">
        <f>'QTR Raw'!BD42</f>
        <v>151.88999999999999</v>
      </c>
      <c r="CK70" s="22">
        <f>'QTR Raw'!BE42</f>
        <v>257.99</v>
      </c>
      <c r="CL70" s="22">
        <f>'QTR Raw'!BF42</f>
        <v>139.43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2">
        <v>973.35230000000001</v>
      </c>
    </row>
    <row r="71" spans="1:110" s="25" customFormat="1" x14ac:dyDescent="0.2">
      <c r="A71" s="36" t="s">
        <v>435</v>
      </c>
      <c r="B71" s="25">
        <f t="shared" ref="B71:V71" si="827">B70-B67</f>
        <v>0</v>
      </c>
      <c r="C71" s="25">
        <f>C70-C67</f>
        <v>0</v>
      </c>
      <c r="D71" s="25">
        <f t="shared" si="827"/>
        <v>0</v>
      </c>
      <c r="E71" s="25">
        <f t="shared" si="827"/>
        <v>0</v>
      </c>
      <c r="F71" s="25">
        <f t="shared" si="827"/>
        <v>0</v>
      </c>
      <c r="G71" s="25">
        <f t="shared" si="827"/>
        <v>0</v>
      </c>
      <c r="H71" s="25">
        <f t="shared" si="827"/>
        <v>0</v>
      </c>
      <c r="I71" s="25">
        <f t="shared" si="827"/>
        <v>0</v>
      </c>
      <c r="J71" s="25">
        <f t="shared" si="827"/>
        <v>0</v>
      </c>
      <c r="K71" s="25">
        <f t="shared" si="827"/>
        <v>0</v>
      </c>
      <c r="L71" s="25">
        <f t="shared" si="827"/>
        <v>-7.9580786405131221E-13</v>
      </c>
      <c r="M71" s="25">
        <f t="shared" si="827"/>
        <v>-5.6843418860808015E-13</v>
      </c>
      <c r="N71" s="25">
        <f t="shared" si="827"/>
        <v>2.6290081223123707E-13</v>
      </c>
      <c r="O71" s="25">
        <f t="shared" si="827"/>
        <v>-4.9737991503207013E-13</v>
      </c>
      <c r="P71" s="25">
        <f t="shared" si="827"/>
        <v>-1.8776091792460647E-12</v>
      </c>
      <c r="Q71" s="25">
        <f t="shared" si="827"/>
        <v>-1.4352963262354024E-12</v>
      </c>
      <c r="R71" s="25">
        <f t="shared" si="827"/>
        <v>-2.4158453015843406E-13</v>
      </c>
      <c r="S71" s="25">
        <f t="shared" si="827"/>
        <v>-7.673861546209082E-13</v>
      </c>
      <c r="T71" s="25">
        <f t="shared" si="827"/>
        <v>1.2505552149377763E-12</v>
      </c>
      <c r="U71" s="25">
        <f t="shared" si="827"/>
        <v>0</v>
      </c>
      <c r="V71" s="25">
        <f t="shared" si="827"/>
        <v>6.8212102632969618E-13</v>
      </c>
      <c r="W71" s="25">
        <f t="shared" ref="W71" si="828">W70-W67</f>
        <v>1.1937117960769683E-12</v>
      </c>
      <c r="X71" s="25">
        <f t="shared" ref="X71:Y71" si="829">X70-X67</f>
        <v>2.1600499167107046E-12</v>
      </c>
      <c r="Y71" s="25">
        <f t="shared" si="829"/>
        <v>-2.0463630789890885E-12</v>
      </c>
      <c r="Z71" s="25">
        <f t="shared" ref="Z71:AA71" si="830">Z70-Z67</f>
        <v>0</v>
      </c>
      <c r="AA71" s="25">
        <f t="shared" si="830"/>
        <v>0</v>
      </c>
      <c r="AB71" s="17">
        <f t="shared" ref="AB71:AD71" si="831">AB70-AB67</f>
        <v>0</v>
      </c>
      <c r="AC71" s="17">
        <f t="shared" si="831"/>
        <v>0</v>
      </c>
      <c r="AD71" s="17">
        <f t="shared" si="831"/>
        <v>0</v>
      </c>
      <c r="AE71" s="17">
        <f t="shared" ref="AE71" si="832">AE70-AE67</f>
        <v>0</v>
      </c>
      <c r="AI71" s="25">
        <f t="shared" ref="AI71" si="833">AI70-AI67</f>
        <v>2.1316282072803006E-13</v>
      </c>
      <c r="AJ71" s="25">
        <f t="shared" ref="AJ71" si="834">AJ70-AJ67</f>
        <v>-1.3500311979441904E-13</v>
      </c>
      <c r="AK71" s="25">
        <f t="shared" ref="AK71:AM71" si="835">AK70-AK67</f>
        <v>-6.3948846218409017E-14</v>
      </c>
      <c r="AL71" s="25">
        <f t="shared" si="835"/>
        <v>7.815970093361102E-14</v>
      </c>
      <c r="AM71" s="25">
        <f t="shared" si="835"/>
        <v>-2.8421709430404007E-14</v>
      </c>
      <c r="AN71" s="25">
        <f t="shared" ref="AN71:AO71" si="836">AN70-AN67</f>
        <v>6.3948846218409017E-14</v>
      </c>
      <c r="AO71" s="25">
        <f t="shared" si="836"/>
        <v>-7.1054273576010019E-14</v>
      </c>
      <c r="AP71" s="25">
        <f t="shared" ref="AP71:CD71" si="837">AP70-AP67</f>
        <v>-2.6290081223123707E-13</v>
      </c>
      <c r="AQ71" s="25">
        <f t="shared" si="837"/>
        <v>0</v>
      </c>
      <c r="AR71" s="25">
        <f t="shared" si="837"/>
        <v>0</v>
      </c>
      <c r="AS71" s="25">
        <f t="shared" si="837"/>
        <v>1.2079226507921703E-13</v>
      </c>
      <c r="AT71" s="25">
        <f t="shared" si="837"/>
        <v>0</v>
      </c>
      <c r="AU71" s="25">
        <f t="shared" si="837"/>
        <v>0</v>
      </c>
      <c r="AV71" s="25">
        <f t="shared" si="837"/>
        <v>0</v>
      </c>
      <c r="AW71" s="25">
        <f t="shared" si="837"/>
        <v>1.1013412404281553E-13</v>
      </c>
      <c r="AX71" s="25">
        <f t="shared" si="837"/>
        <v>0</v>
      </c>
      <c r="AY71" s="25">
        <f t="shared" si="837"/>
        <v>-1.1368683772161603E-13</v>
      </c>
      <c r="AZ71" s="25">
        <f t="shared" si="837"/>
        <v>-7.1054273576010019E-14</v>
      </c>
      <c r="BA71" s="25">
        <f t="shared" si="837"/>
        <v>0</v>
      </c>
      <c r="BB71" s="25">
        <f t="shared" si="837"/>
        <v>0</v>
      </c>
      <c r="BC71" s="25">
        <f t="shared" si="837"/>
        <v>-2.5579538487363607E-13</v>
      </c>
      <c r="BD71" s="25">
        <f t="shared" si="837"/>
        <v>-7.815970093361102E-14</v>
      </c>
      <c r="BE71" s="25">
        <f t="shared" si="837"/>
        <v>0</v>
      </c>
      <c r="BF71" s="25">
        <f t="shared" si="837"/>
        <v>0</v>
      </c>
      <c r="BG71" s="25">
        <f t="shared" si="837"/>
        <v>1.2789769243681803E-13</v>
      </c>
      <c r="BH71" s="25">
        <f t="shared" si="837"/>
        <v>0</v>
      </c>
      <c r="BI71" s="25">
        <f t="shared" si="837"/>
        <v>2.5579538487363607E-13</v>
      </c>
      <c r="BJ71" s="25">
        <f t="shared" si="837"/>
        <v>0</v>
      </c>
      <c r="BK71" s="25">
        <f t="shared" si="837"/>
        <v>0</v>
      </c>
      <c r="BL71" s="25">
        <f t="shared" si="837"/>
        <v>1.0000000000161435E-2</v>
      </c>
      <c r="BM71" s="25">
        <f t="shared" si="837"/>
        <v>-1.1368683772161603E-13</v>
      </c>
      <c r="BN71" s="25">
        <f t="shared" si="837"/>
        <v>1.5631940186722204E-13</v>
      </c>
      <c r="BO71" s="25">
        <f t="shared" si="837"/>
        <v>7.2830630415410269E-14</v>
      </c>
      <c r="BP71" s="25">
        <f t="shared" si="837"/>
        <v>-1.8474111129762605E-13</v>
      </c>
      <c r="BQ71" s="25">
        <f t="shared" si="837"/>
        <v>2.9842794901924208E-13</v>
      </c>
      <c r="BR71" s="25">
        <f t="shared" si="837"/>
        <v>3.979039320256561E-13</v>
      </c>
      <c r="BS71" s="25">
        <f t="shared" si="837"/>
        <v>0</v>
      </c>
      <c r="BT71" s="25">
        <f t="shared" si="837"/>
        <v>1.2789769243681803E-13</v>
      </c>
      <c r="BU71" s="25">
        <f t="shared" si="837"/>
        <v>-1.2789769243681803E-13</v>
      </c>
      <c r="BV71" s="25">
        <f t="shared" si="837"/>
        <v>3.2684965844964609E-13</v>
      </c>
      <c r="BW71" s="25">
        <f t="shared" si="837"/>
        <v>-6.5725203057809267E-14</v>
      </c>
      <c r="BX71" s="25">
        <f t="shared" si="837"/>
        <v>-1.6342482922482304E-13</v>
      </c>
      <c r="BY71" s="25">
        <f t="shared" si="837"/>
        <v>6.2527760746888816E-13</v>
      </c>
      <c r="BZ71" s="25">
        <f t="shared" si="837"/>
        <v>0</v>
      </c>
      <c r="CA71" s="25">
        <f t="shared" si="837"/>
        <v>0</v>
      </c>
      <c r="CB71" s="25">
        <f t="shared" si="837"/>
        <v>0</v>
      </c>
      <c r="CC71" s="25">
        <f t="shared" si="837"/>
        <v>0</v>
      </c>
      <c r="CD71" s="25">
        <f t="shared" si="837"/>
        <v>0</v>
      </c>
      <c r="CE71" s="25">
        <f t="shared" ref="CE71:CF71" si="838">CE70-CE67</f>
        <v>4.5474735088646412E-13</v>
      </c>
      <c r="CF71" s="25">
        <f t="shared" si="838"/>
        <v>0</v>
      </c>
      <c r="CG71" s="25">
        <f t="shared" ref="CG71:CH71" si="839">CG70-CG67</f>
        <v>-5.6843418860808015E-13</v>
      </c>
      <c r="CH71" s="25">
        <f t="shared" si="839"/>
        <v>5.0000000000522959E-3</v>
      </c>
      <c r="CI71" s="25">
        <f t="shared" ref="CI71:CJ71" si="840">CI70-CI67</f>
        <v>-2.5000000002250999E-3</v>
      </c>
      <c r="CJ71" s="25">
        <f t="shared" si="840"/>
        <v>-3.979039320256561E-13</v>
      </c>
      <c r="CK71" s="25">
        <f t="shared" ref="CK71:CL71" si="841">CK70-CK67</f>
        <v>-6.2527760746888816E-13</v>
      </c>
      <c r="CL71" s="25">
        <f t="shared" si="841"/>
        <v>3.4106051316484809E-13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5">
        <v>0</v>
      </c>
    </row>
    <row r="72" spans="1:110" s="1" customFormat="1" x14ac:dyDescent="0.2">
      <c r="A72" s="150" t="s">
        <v>487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38" customFormat="1" x14ac:dyDescent="0.2">
      <c r="A73" s="38" t="s">
        <v>350</v>
      </c>
      <c r="B73" s="39" t="e">
        <f t="shared" ref="B73:AE73" si="842">(B67-B66)/B139</f>
        <v>#DIV/0!</v>
      </c>
      <c r="C73" s="39" t="e">
        <f t="shared" si="842"/>
        <v>#DIV/0!</v>
      </c>
      <c r="D73" s="39" t="e">
        <f t="shared" si="842"/>
        <v>#DIV/0!</v>
      </c>
      <c r="E73" s="39" t="e">
        <f t="shared" si="842"/>
        <v>#DIV/0!</v>
      </c>
      <c r="F73" s="39" t="e">
        <f t="shared" si="842"/>
        <v>#DIV/0!</v>
      </c>
      <c r="G73" s="39" t="e">
        <f t="shared" si="842"/>
        <v>#DIV/0!</v>
      </c>
      <c r="H73" s="39" t="e">
        <f t="shared" si="842"/>
        <v>#DIV/0!</v>
      </c>
      <c r="I73" s="39" t="e">
        <f t="shared" si="842"/>
        <v>#DIV/0!</v>
      </c>
      <c r="J73" s="39" t="e">
        <f t="shared" si="842"/>
        <v>#DIV/0!</v>
      </c>
      <c r="K73" s="39">
        <f t="shared" si="842"/>
        <v>0.18435608201083284</v>
      </c>
      <c r="L73" s="39">
        <f t="shared" si="842"/>
        <v>0.10926778076266823</v>
      </c>
      <c r="M73" s="39">
        <f t="shared" si="842"/>
        <v>8.8623912870972793E-2</v>
      </c>
      <c r="N73" s="39">
        <f t="shared" si="842"/>
        <v>4.9512808695166284E-2</v>
      </c>
      <c r="O73" s="39">
        <f t="shared" si="842"/>
        <v>-4.9898366855282488E-3</v>
      </c>
      <c r="P73" s="39">
        <f t="shared" si="842"/>
        <v>-5.6598414351646522E-3</v>
      </c>
      <c r="Q73" s="39">
        <f t="shared" si="842"/>
        <v>8.6840201433614709E-3</v>
      </c>
      <c r="R73" s="39">
        <f t="shared" si="842"/>
        <v>2.0363405130299821E-2</v>
      </c>
      <c r="S73" s="39">
        <f t="shared" si="842"/>
        <v>5.1105933577942193E-2</v>
      </c>
      <c r="T73" s="39">
        <f t="shared" si="842"/>
        <v>7.7125846029125603E-2</v>
      </c>
      <c r="U73" s="39">
        <f t="shared" si="842"/>
        <v>9.8587639118101311E-2</v>
      </c>
      <c r="V73" s="39">
        <f t="shared" si="842"/>
        <v>4.5657885021566744E-2</v>
      </c>
      <c r="W73" s="39">
        <f t="shared" si="842"/>
        <v>5.5912394571297083E-2</v>
      </c>
      <c r="X73" s="39">
        <f t="shared" si="842"/>
        <v>8.4458876330186533E-2</v>
      </c>
      <c r="Y73" s="39">
        <f t="shared" si="842"/>
        <v>0.16615257134385372</v>
      </c>
      <c r="Z73" s="39">
        <f t="shared" si="842"/>
        <v>0.15234182675297217</v>
      </c>
      <c r="AA73" s="39">
        <f t="shared" ref="AA73" si="843">(AA67-AA66)/AA139</f>
        <v>7.7408410245043066E-2</v>
      </c>
      <c r="AB73" s="40">
        <f t="shared" si="842"/>
        <v>8.0943745357656069E-2</v>
      </c>
      <c r="AC73" s="40">
        <f t="shared" si="842"/>
        <v>9.0329679989474165E-2</v>
      </c>
      <c r="AD73" s="40">
        <f t="shared" si="842"/>
        <v>9.4662773303717473E-2</v>
      </c>
      <c r="AE73" s="40">
        <f t="shared" si="842"/>
        <v>9.9169497770485768E-2</v>
      </c>
      <c r="AF73" s="39"/>
      <c r="AG73" s="39"/>
      <c r="AH73" s="39"/>
      <c r="AI73" s="39"/>
      <c r="AJ73" s="39"/>
      <c r="AK73" s="39"/>
      <c r="AL73" s="39">
        <f t="shared" ref="AL73:BQ73" si="844">(SUM(AI67:AL67)-SUM(AI66:AL66))/AL139</f>
        <v>8.8474678867563356E-2</v>
      </c>
      <c r="AM73" s="39">
        <f t="shared" si="844"/>
        <v>8.1451109240502931E-2</v>
      </c>
      <c r="AN73" s="39">
        <f t="shared" si="844"/>
        <v>6.2713781894665269E-2</v>
      </c>
      <c r="AO73" s="39">
        <f t="shared" si="844"/>
        <v>5.4377339106186237E-2</v>
      </c>
      <c r="AP73" s="39">
        <f t="shared" si="844"/>
        <v>6.114539370806929E-2</v>
      </c>
      <c r="AQ73" s="39">
        <f t="shared" si="844"/>
        <v>5.388487779028954E-2</v>
      </c>
      <c r="AR73" s="39">
        <f t="shared" si="844"/>
        <v>5.4880926518289977E-2</v>
      </c>
      <c r="AS73" s="39">
        <f t="shared" si="844"/>
        <v>6.7486518188457689E-2</v>
      </c>
      <c r="AT73" s="39">
        <f t="shared" si="844"/>
        <v>5.9327042577675453E-2</v>
      </c>
      <c r="AU73" s="39">
        <f t="shared" si="844"/>
        <v>6.784180014289716E-2</v>
      </c>
      <c r="AV73" s="39">
        <f t="shared" si="844"/>
        <v>8.0773179592481412E-2</v>
      </c>
      <c r="AW73" s="39">
        <f t="shared" si="844"/>
        <v>6.7977237454733552E-2</v>
      </c>
      <c r="AX73" s="39">
        <f t="shared" si="844"/>
        <v>6.921405521272378E-2</v>
      </c>
      <c r="AY73" s="39">
        <f t="shared" si="844"/>
        <v>6.2280388963310639E-2</v>
      </c>
      <c r="AZ73" s="39">
        <f t="shared" si="844"/>
        <v>6.1394500022165434E-2</v>
      </c>
      <c r="BA73" s="39">
        <f t="shared" si="844"/>
        <v>6.7440044699163398E-2</v>
      </c>
      <c r="BB73" s="39">
        <f t="shared" si="844"/>
        <v>7.1563308788854391E-2</v>
      </c>
      <c r="BC73" s="39">
        <f t="shared" si="844"/>
        <v>7.0320613264149137E-2</v>
      </c>
      <c r="BD73" s="39">
        <f t="shared" si="844"/>
        <v>6.4398830303706647E-2</v>
      </c>
      <c r="BE73" s="39">
        <f t="shared" si="844"/>
        <v>6.843615794808211E-2</v>
      </c>
      <c r="BF73" s="39">
        <f t="shared" si="844"/>
        <v>7.1736045411542118E-2</v>
      </c>
      <c r="BG73" s="39">
        <f t="shared" si="844"/>
        <v>7.6086703702709674E-2</v>
      </c>
      <c r="BH73" s="39">
        <f t="shared" si="844"/>
        <v>7.5971149028191604E-2</v>
      </c>
      <c r="BI73" s="39">
        <f t="shared" si="844"/>
        <v>7.8961319378982986E-2</v>
      </c>
      <c r="BJ73" s="39">
        <f t="shared" si="844"/>
        <v>7.7127066898426619E-2</v>
      </c>
      <c r="BK73" s="39">
        <f t="shared" si="844"/>
        <v>8.1523544021965294E-2</v>
      </c>
      <c r="BL73" s="39">
        <f t="shared" si="844"/>
        <v>0.11325946038796846</v>
      </c>
      <c r="BM73" s="39">
        <f t="shared" si="844"/>
        <v>0.11001357384663185</v>
      </c>
      <c r="BN73" s="39">
        <f t="shared" si="844"/>
        <v>9.8858579138020208E-2</v>
      </c>
      <c r="BO73" s="39">
        <f t="shared" si="844"/>
        <v>7.7950804381234917E-2</v>
      </c>
      <c r="BP73" s="39">
        <f t="shared" si="844"/>
        <v>4.1190958884620862E-2</v>
      </c>
      <c r="BQ73" s="39">
        <f t="shared" si="844"/>
        <v>3.1737948018744785E-2</v>
      </c>
      <c r="BR73" s="39">
        <f t="shared" ref="BR73:CW73" si="845">(SUM(BO67:BR67)-SUM(BO66:BR66))/BR139</f>
        <v>4.565783048332879E-2</v>
      </c>
      <c r="BS73" s="39">
        <f t="shared" si="845"/>
        <v>6.7296601463463085E-2</v>
      </c>
      <c r="BT73" s="39">
        <f t="shared" si="845"/>
        <v>7.2481575892881803E-2</v>
      </c>
      <c r="BU73" s="39">
        <f t="shared" si="845"/>
        <v>6.4990935751944451E-2</v>
      </c>
      <c r="BV73" s="39">
        <f t="shared" si="845"/>
        <v>5.5912538802690814E-2</v>
      </c>
      <c r="BW73" s="39">
        <f t="shared" si="845"/>
        <v>3.5893462233156842E-2</v>
      </c>
      <c r="BX73" s="39">
        <f t="shared" si="845"/>
        <v>3.1112029404728254E-2</v>
      </c>
      <c r="BY73" s="39">
        <f t="shared" si="845"/>
        <v>5.6884883002160776E-2</v>
      </c>
      <c r="BZ73" s="39">
        <f t="shared" si="845"/>
        <v>8.3438539967579481E-2</v>
      </c>
      <c r="CA73" s="39">
        <f t="shared" si="845"/>
        <v>0.11247422277387384</v>
      </c>
      <c r="CB73" s="39">
        <f t="shared" si="845"/>
        <v>0.13433822454701275</v>
      </c>
      <c r="CC73" s="39">
        <f t="shared" si="845"/>
        <v>0.16017782666291666</v>
      </c>
      <c r="CD73" s="39">
        <f t="shared" si="845"/>
        <v>0.16615130982539963</v>
      </c>
      <c r="CE73" s="39">
        <f t="shared" si="845"/>
        <v>0.17594564089615058</v>
      </c>
      <c r="CF73" s="39">
        <f t="shared" si="845"/>
        <v>0.1811245697734637</v>
      </c>
      <c r="CG73" s="39">
        <f t="shared" si="845"/>
        <v>0.17074341493837364</v>
      </c>
      <c r="CH73" s="39">
        <f t="shared" si="845"/>
        <v>0.17593130688029618</v>
      </c>
      <c r="CI73" s="39">
        <f t="shared" si="845"/>
        <v>0.15702384466875338</v>
      </c>
      <c r="CJ73" s="39">
        <f t="shared" si="845"/>
        <v>0.12502431119655785</v>
      </c>
      <c r="CK73" s="39">
        <f t="shared" si="845"/>
        <v>0.10228002009577916</v>
      </c>
      <c r="CL73" s="39">
        <f t="shared" si="845"/>
        <v>6.6898874206313921E-2</v>
      </c>
      <c r="CM73" s="40">
        <f t="shared" si="845"/>
        <v>5.7295144819124073E-2</v>
      </c>
      <c r="CN73" s="40">
        <f t="shared" si="845"/>
        <v>6.2679209362401803E-2</v>
      </c>
      <c r="CO73" s="40">
        <f t="shared" si="845"/>
        <v>6.7232198785575251E-2</v>
      </c>
      <c r="CP73" s="40">
        <f t="shared" si="845"/>
        <v>8.0943745357656069E-2</v>
      </c>
      <c r="CQ73" s="40">
        <f t="shared" si="845"/>
        <v>8.7486198899075079E-2</v>
      </c>
      <c r="CR73" s="40">
        <f t="shared" si="845"/>
        <v>8.8276562161994421E-2</v>
      </c>
      <c r="CS73" s="40">
        <f t="shared" si="845"/>
        <v>8.9292692266029622E-2</v>
      </c>
      <c r="CT73" s="40">
        <f t="shared" si="845"/>
        <v>9.0329679989474068E-2</v>
      </c>
      <c r="CU73" s="40">
        <f t="shared" si="845"/>
        <v>9.1386482409879607E-2</v>
      </c>
      <c r="CV73" s="40">
        <f t="shared" si="845"/>
        <v>9.2471553401584042E-2</v>
      </c>
      <c r="CW73" s="40">
        <f t="shared" si="845"/>
        <v>9.3563380264438945E-2</v>
      </c>
      <c r="CX73" s="40">
        <f t="shared" ref="CX73:DB73" si="846">(SUM(CU67:CX67)-SUM(CU66:CX66))/CX139</f>
        <v>9.4662773303717626E-2</v>
      </c>
      <c r="CY73" s="40">
        <f t="shared" si="846"/>
        <v>9.5789353439307168E-2</v>
      </c>
      <c r="CZ73" s="40">
        <f t="shared" si="846"/>
        <v>9.6943152236904889E-2</v>
      </c>
      <c r="DA73" s="40">
        <f t="shared" si="846"/>
        <v>9.8058195579025259E-2</v>
      </c>
      <c r="DB73" s="40">
        <f t="shared" si="846"/>
        <v>9.9169497770485782E-2</v>
      </c>
      <c r="DE73" s="122"/>
      <c r="DF73" s="38">
        <v>7.7408410245043066E-2</v>
      </c>
    </row>
    <row r="74" spans="1:110" s="38" customFormat="1" x14ac:dyDescent="0.2">
      <c r="A74" s="38" t="s">
        <v>351</v>
      </c>
      <c r="B74" s="39" t="e">
        <f t="shared" ref="B74:AE74" si="847">+B53/B148</f>
        <v>#DIV/0!</v>
      </c>
      <c r="C74" s="39" t="e">
        <f t="shared" si="847"/>
        <v>#DIV/0!</v>
      </c>
      <c r="D74" s="39" t="e">
        <f t="shared" si="847"/>
        <v>#DIV/0!</v>
      </c>
      <c r="E74" s="39" t="e">
        <f t="shared" si="847"/>
        <v>#DIV/0!</v>
      </c>
      <c r="F74" s="39" t="e">
        <f t="shared" si="847"/>
        <v>#DIV/0!</v>
      </c>
      <c r="G74" s="39" t="e">
        <f t="shared" si="847"/>
        <v>#DIV/0!</v>
      </c>
      <c r="H74" s="39" t="e">
        <f t="shared" si="847"/>
        <v>#DIV/0!</v>
      </c>
      <c r="I74" s="39" t="e">
        <f t="shared" si="847"/>
        <v>#DIV/0!</v>
      </c>
      <c r="J74" s="39" t="e">
        <f t="shared" si="847"/>
        <v>#DIV/0!</v>
      </c>
      <c r="K74" s="39">
        <f t="shared" si="847"/>
        <v>0.2275573511929691</v>
      </c>
      <c r="L74" s="39">
        <f t="shared" si="847"/>
        <v>0.10934683675626401</v>
      </c>
      <c r="M74" s="39">
        <f t="shared" si="847"/>
        <v>6.6297534053964519E-2</v>
      </c>
      <c r="N74" s="39">
        <f t="shared" si="847"/>
        <v>4.2625502149543068E-2</v>
      </c>
      <c r="O74" s="39">
        <f t="shared" si="847"/>
        <v>3.2807227244573176E-2</v>
      </c>
      <c r="P74" s="39">
        <f t="shared" si="847"/>
        <v>3.4928809804808697E-2</v>
      </c>
      <c r="Q74" s="39">
        <f t="shared" si="847"/>
        <v>2.7046494316684922E-2</v>
      </c>
      <c r="R74" s="39">
        <f t="shared" si="847"/>
        <v>3.3555633960395265E-2</v>
      </c>
      <c r="S74" s="39">
        <f t="shared" si="847"/>
        <v>5.4770695025383571E-2</v>
      </c>
      <c r="T74" s="39">
        <f t="shared" si="847"/>
        <v>8.9163413936316008E-2</v>
      </c>
      <c r="U74" s="39">
        <f t="shared" si="847"/>
        <v>8.9205309733861912E-2</v>
      </c>
      <c r="V74" s="39">
        <f t="shared" si="847"/>
        <v>6.2468499381335953E-2</v>
      </c>
      <c r="W74" s="39">
        <f t="shared" si="847"/>
        <v>6.983069239382346E-2</v>
      </c>
      <c r="X74" s="39">
        <f t="shared" si="847"/>
        <v>9.4010928692264781E-2</v>
      </c>
      <c r="Y74" s="39">
        <f t="shared" si="847"/>
        <v>0.17445160591735706</v>
      </c>
      <c r="Z74" s="39">
        <f t="shared" si="847"/>
        <v>0.17538957215995782</v>
      </c>
      <c r="AA74" s="39">
        <f t="shared" ref="AA74" si="848">+AA53/AA148</f>
        <v>9.3810179364809884E-2</v>
      </c>
      <c r="AB74" s="40">
        <f t="shared" si="847"/>
        <v>0.10316686808775558</v>
      </c>
      <c r="AC74" s="40">
        <f t="shared" si="847"/>
        <v>0.11288769289593813</v>
      </c>
      <c r="AD74" s="40">
        <f t="shared" si="847"/>
        <v>0.11728348286269501</v>
      </c>
      <c r="AE74" s="40">
        <f t="shared" si="847"/>
        <v>0.12097797811957542</v>
      </c>
      <c r="AF74" s="39"/>
      <c r="AG74" s="39"/>
      <c r="AH74" s="39"/>
      <c r="AI74" s="39"/>
      <c r="AJ74" s="39"/>
      <c r="AK74" s="39"/>
      <c r="AL74" s="39">
        <f t="shared" ref="AL74:BQ74" si="849">+SUM(AI53:AL53)/AL148</f>
        <v>5.2732282606721977E-2</v>
      </c>
      <c r="AM74" s="39">
        <f t="shared" si="849"/>
        <v>4.9859010364919035E-2</v>
      </c>
      <c r="AN74" s="39">
        <f t="shared" si="849"/>
        <v>5.131201071656228E-2</v>
      </c>
      <c r="AO74" s="39">
        <f t="shared" si="849"/>
        <v>4.9889362317327338E-2</v>
      </c>
      <c r="AP74" s="39">
        <f t="shared" si="849"/>
        <v>4.2758161941078496E-2</v>
      </c>
      <c r="AQ74" s="39">
        <f t="shared" si="849"/>
        <v>4.2805522388528298E-2</v>
      </c>
      <c r="AR74" s="39">
        <f t="shared" si="849"/>
        <v>6.071630057925953E-2</v>
      </c>
      <c r="AS74" s="39">
        <f t="shared" si="849"/>
        <v>6.8705388457021885E-2</v>
      </c>
      <c r="AT74" s="39">
        <f t="shared" si="849"/>
        <v>4.5644469857266903E-2</v>
      </c>
      <c r="AU74" s="39">
        <f t="shared" si="849"/>
        <v>5.5195554125666964E-2</v>
      </c>
      <c r="AV74" s="39">
        <f t="shared" si="849"/>
        <v>7.6103881842639859E-2</v>
      </c>
      <c r="AW74" s="39">
        <f t="shared" si="849"/>
        <v>7.0686292519962626E-2</v>
      </c>
      <c r="AX74" s="39">
        <f t="shared" si="849"/>
        <v>5.9792358707855403E-2</v>
      </c>
      <c r="AY74" s="39">
        <f t="shared" si="849"/>
        <v>5.598175903907697E-2</v>
      </c>
      <c r="AZ74" s="39">
        <f t="shared" si="849"/>
        <v>7.7049300118420011E-2</v>
      </c>
      <c r="BA74" s="39">
        <f t="shared" si="849"/>
        <v>8.1932300860914548E-2</v>
      </c>
      <c r="BB74" s="39">
        <f t="shared" si="849"/>
        <v>6.669293738893807E-2</v>
      </c>
      <c r="BC74" s="39">
        <f t="shared" si="849"/>
        <v>5.9038415343964271E-2</v>
      </c>
      <c r="BD74" s="39">
        <f t="shared" si="849"/>
        <v>6.5452540652267271E-2</v>
      </c>
      <c r="BE74" s="39">
        <f t="shared" si="849"/>
        <v>6.6107460635810647E-2</v>
      </c>
      <c r="BF74" s="39">
        <f t="shared" si="849"/>
        <v>7.0387176637159959E-2</v>
      </c>
      <c r="BG74" s="39">
        <f t="shared" si="849"/>
        <v>8.3311708830034928E-2</v>
      </c>
      <c r="BH74" s="39">
        <f t="shared" si="849"/>
        <v>0.10667673034724845</v>
      </c>
      <c r="BI74" s="39">
        <f t="shared" si="849"/>
        <v>0.11255482010882803</v>
      </c>
      <c r="BJ74" s="39">
        <f t="shared" si="849"/>
        <v>9.6171916092394616E-2</v>
      </c>
      <c r="BK74" s="39">
        <f t="shared" si="849"/>
        <v>9.8066082916904176E-2</v>
      </c>
      <c r="BL74" s="39">
        <f t="shared" si="849"/>
        <v>9.6685277926696872E-2</v>
      </c>
      <c r="BM74" s="39">
        <f t="shared" si="849"/>
        <v>9.7137815605781427E-2</v>
      </c>
      <c r="BN74" s="39">
        <f t="shared" si="849"/>
        <v>9.738847349632751E-2</v>
      </c>
      <c r="BO74" s="39">
        <f t="shared" si="849"/>
        <v>7.7786733915144637E-2</v>
      </c>
      <c r="BP74" s="39">
        <f t="shared" si="849"/>
        <v>7.0561426349023446E-2</v>
      </c>
      <c r="BQ74" s="39">
        <f t="shared" si="849"/>
        <v>6.2846817687657791E-2</v>
      </c>
      <c r="BR74" s="39">
        <f t="shared" ref="BR74:CW74" si="850">+SUM(BO53:BR53)/BR148</f>
        <v>6.7470949290961313E-2</v>
      </c>
      <c r="BS74" s="39">
        <f t="shared" si="850"/>
        <v>8.6174975880858179E-2</v>
      </c>
      <c r="BT74" s="39">
        <f t="shared" si="850"/>
        <v>9.2046860642169187E-2</v>
      </c>
      <c r="BU74" s="39">
        <f t="shared" si="850"/>
        <v>8.2626100615383558E-2</v>
      </c>
      <c r="BV74" s="39">
        <f t="shared" si="850"/>
        <v>7.3521230418593944E-2</v>
      </c>
      <c r="BW74" s="39">
        <f t="shared" si="850"/>
        <v>5.9432648799164614E-2</v>
      </c>
      <c r="BX74" s="39">
        <f t="shared" si="850"/>
        <v>5.5191387727808634E-2</v>
      </c>
      <c r="BY74" s="39">
        <f t="shared" si="850"/>
        <v>7.6896866368854108E-2</v>
      </c>
      <c r="BZ74" s="39">
        <f t="shared" si="850"/>
        <v>9.9014933119754289E-2</v>
      </c>
      <c r="CA74" s="39">
        <f t="shared" si="850"/>
        <v>0.12507433648852681</v>
      </c>
      <c r="CB74" s="39">
        <f t="shared" si="850"/>
        <v>0.13929664839067465</v>
      </c>
      <c r="CC74" s="39">
        <f t="shared" si="850"/>
        <v>0.16566014722707945</v>
      </c>
      <c r="CD74" s="39">
        <f t="shared" si="850"/>
        <v>0.18409904177497335</v>
      </c>
      <c r="CE74" s="39">
        <f t="shared" si="850"/>
        <v>0.19281443349193719</v>
      </c>
      <c r="CF74" s="39">
        <f t="shared" si="850"/>
        <v>0.19867859663207238</v>
      </c>
      <c r="CG74" s="39">
        <f t="shared" si="850"/>
        <v>0.18902503240948543</v>
      </c>
      <c r="CH74" s="39">
        <f t="shared" si="850"/>
        <v>0.18123193820102385</v>
      </c>
      <c r="CI74" s="39">
        <f t="shared" si="850"/>
        <v>0.16553474507530072</v>
      </c>
      <c r="CJ74" s="39">
        <f t="shared" si="850"/>
        <v>0.13008293702704493</v>
      </c>
      <c r="CK74" s="39">
        <f t="shared" si="850"/>
        <v>0.10870151636167032</v>
      </c>
      <c r="CL74" s="39">
        <f t="shared" si="850"/>
        <v>9.7057727982277561E-2</v>
      </c>
      <c r="CM74" s="40">
        <f t="shared" si="850"/>
        <v>8.6239255953150878E-2</v>
      </c>
      <c r="CN74" s="40">
        <f t="shared" si="850"/>
        <v>9.0239821686249638E-2</v>
      </c>
      <c r="CO74" s="40">
        <f t="shared" si="850"/>
        <v>9.1257570831849211E-2</v>
      </c>
      <c r="CP74" s="40">
        <f t="shared" si="850"/>
        <v>0.10316686808775556</v>
      </c>
      <c r="CQ74" s="40">
        <f t="shared" si="850"/>
        <v>0.10932530489355094</v>
      </c>
      <c r="CR74" s="40">
        <f t="shared" si="850"/>
        <v>0.11050271998029419</v>
      </c>
      <c r="CS74" s="40">
        <f t="shared" si="850"/>
        <v>0.11162272730843611</v>
      </c>
      <c r="CT74" s="40">
        <f t="shared" si="850"/>
        <v>0.11288769289593802</v>
      </c>
      <c r="CU74" s="40">
        <f t="shared" si="850"/>
        <v>0.1141288768969692</v>
      </c>
      <c r="CV74" s="40">
        <f t="shared" si="850"/>
        <v>0.11520193392326075</v>
      </c>
      <c r="CW74" s="40">
        <f t="shared" si="850"/>
        <v>0.11617313862546334</v>
      </c>
      <c r="CX74" s="40">
        <f t="shared" ref="CX74:DB74" si="851">+SUM(CU53:CX53)/CX148</f>
        <v>0.11728348286269512</v>
      </c>
      <c r="CY74" s="40">
        <f t="shared" si="851"/>
        <v>0.11837561901680284</v>
      </c>
      <c r="CZ74" s="40">
        <f t="shared" si="851"/>
        <v>0.11929248285908221</v>
      </c>
      <c r="DA74" s="40">
        <f t="shared" si="851"/>
        <v>0.12006781929140752</v>
      </c>
      <c r="DB74" s="40">
        <f t="shared" si="851"/>
        <v>0.12097797811957542</v>
      </c>
      <c r="DE74" s="122"/>
      <c r="DF74" s="38">
        <v>9.3810179364809884E-2</v>
      </c>
    </row>
    <row r="75" spans="1:110" s="1" customFormat="1" x14ac:dyDescent="0.2">
      <c r="A75" s="150" t="s">
        <v>488</v>
      </c>
      <c r="AB75" s="20"/>
      <c r="AC75" s="20"/>
      <c r="AD75" s="20"/>
      <c r="AE75" s="20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8" customFormat="1" x14ac:dyDescent="0.2">
      <c r="A76" s="12" t="s">
        <v>26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9" customFormat="1" x14ac:dyDescent="0.2">
      <c r="A77" s="9" t="s">
        <v>453</v>
      </c>
      <c r="N77" s="9">
        <f>N29-SUM(AI29:AL29)</f>
        <v>1134.5677999999998</v>
      </c>
      <c r="O77" s="9">
        <f>O29-SUM(AM29:AP29)</f>
        <v>1146.2574000000004</v>
      </c>
      <c r="P77" s="9">
        <f>P29-SUM(AQ29:AT29)</f>
        <v>1605.9501000000018</v>
      </c>
      <c r="Q77" s="9">
        <f>Q29-SUM(AU29:AX29)</f>
        <v>1457.3186000000005</v>
      </c>
      <c r="R77" s="9">
        <f>R29-SUM(AY29:BB29)</f>
        <v>1379.4813999999997</v>
      </c>
      <c r="S77" s="9">
        <f>S29-SUM(BC29:BF29)</f>
        <v>1216.6898999999994</v>
      </c>
      <c r="T77" s="9">
        <f>T29-SUM(BG29:BJ29)</f>
        <v>1.6000000014173565E-3</v>
      </c>
      <c r="U77" s="9">
        <f>U29-SUM(BK29:BN29)</f>
        <v>-3.2000000010157237E-3</v>
      </c>
      <c r="V77" s="9">
        <f>V29-SUM(BO29:BR29)</f>
        <v>-4.1999999994004611E-3</v>
      </c>
      <c r="W77" s="9">
        <f>W29-SUM(BS29:BV29)</f>
        <v>1.0999999994965037E-3</v>
      </c>
      <c r="X77" s="9">
        <f>X29-SUM(BW29:BZ29)</f>
        <v>0.21889999999984866</v>
      </c>
      <c r="Y77" s="9">
        <f>Y29-SUM(CA29:CD29)</f>
        <v>9.9999997473787516E-5</v>
      </c>
      <c r="Z77" s="9">
        <f>Z29-SUM(CE29:CH29)</f>
        <v>4.7999999987951014E-3</v>
      </c>
      <c r="AA77" s="9">
        <f>AA29-SUM(CF29:CI29)</f>
        <v>-2079.3248000000021</v>
      </c>
      <c r="AB77" s="15">
        <f>AB29-SUM(CM29:CP29)</f>
        <v>0</v>
      </c>
      <c r="AC77" s="15">
        <f>AC29-SUM(CQ29:CT29)</f>
        <v>0</v>
      </c>
      <c r="AD77" s="15">
        <f>AD29-SUM(CU29:CX29)</f>
        <v>0</v>
      </c>
      <c r="AE77" s="15">
        <f>AE29-SUM(CY29:DB29)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-2079.3248000000021</v>
      </c>
    </row>
    <row r="78" spans="1:110" s="9" customFormat="1" x14ac:dyDescent="0.2">
      <c r="A78" s="9" t="s">
        <v>454</v>
      </c>
      <c r="N78" s="9">
        <f>N35-SUM(AI35:AL35)</f>
        <v>700.27259999999978</v>
      </c>
      <c r="O78" s="9">
        <f>O35-SUM(AM35:AP35)</f>
        <v>810.04559999999992</v>
      </c>
      <c r="P78" s="9">
        <f>P35-SUM(AQ35:AT35)</f>
        <v>980.71630000000187</v>
      </c>
      <c r="Q78" s="9">
        <f>Q35-SUM(AU35:AX35)</f>
        <v>675.18800000000101</v>
      </c>
      <c r="R78" s="9">
        <f>R35-SUM(AY35:BB35)</f>
        <v>576.55169999999998</v>
      </c>
      <c r="S78" s="9">
        <f>S35-SUM(BC35:BF35)</f>
        <v>596.32729999999992</v>
      </c>
      <c r="T78" s="9">
        <f>T35-SUM(BG35:BJ35)</f>
        <v>6.6999999999097781E-3</v>
      </c>
      <c r="U78" s="9">
        <f>U35-SUM(BK35:BN35)</f>
        <v>2.1000000006097252E-3</v>
      </c>
      <c r="V78" s="9">
        <f>V35-SUM(BO35:BR35)</f>
        <v>5.2000000005136826E-3</v>
      </c>
      <c r="W78" s="9">
        <f>W35-SUM(BS35:BV35)</f>
        <v>1.0024999999995998</v>
      </c>
      <c r="X78" s="9">
        <f>X35-SUM(BW35:BZ35)</f>
        <v>0.15139999999883003</v>
      </c>
      <c r="Y78" s="9">
        <f>Y35-SUM(CA35:CD35)</f>
        <v>1.0000000111176632E-4</v>
      </c>
      <c r="Z78" s="9">
        <f>Z35-SUM(CE35:CH35)</f>
        <v>7.1999999981926521E-3</v>
      </c>
      <c r="AA78" s="9">
        <f>AA35-SUM(CF35:CI35)</f>
        <v>-875.1229000000003</v>
      </c>
      <c r="AB78" s="15">
        <f>AB35-SUM(CM35:CP35)</f>
        <v>0</v>
      </c>
      <c r="AC78" s="15">
        <f>AC35-SUM(CQ35:CT35)</f>
        <v>0</v>
      </c>
      <c r="AD78" s="15">
        <f>AD35-SUM(CU35:CX35)</f>
        <v>0</v>
      </c>
      <c r="AE78" s="15">
        <f>AE35-SUM(CY35:DB35)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-875.1229000000003</v>
      </c>
    </row>
    <row r="79" spans="1:110" s="9" customFormat="1" x14ac:dyDescent="0.2">
      <c r="A79" s="9" t="s">
        <v>455</v>
      </c>
      <c r="N79" s="9">
        <f>N47-SUM(AI47:AL47)</f>
        <v>-15.931500000000142</v>
      </c>
      <c r="O79" s="9">
        <f>O47-SUM(AM47:AP47)</f>
        <v>21.011500000000296</v>
      </c>
      <c r="P79" s="9">
        <f>P47-SUM(AQ47:AT47)</f>
        <v>-29.326699999998027</v>
      </c>
      <c r="Q79" s="9">
        <f>Q47-SUM(AU47:AX47)</f>
        <v>-280.0108999999984</v>
      </c>
      <c r="R79" s="9">
        <f>R47-SUM(AY47:BB47)</f>
        <v>-233.23789999999997</v>
      </c>
      <c r="S79" s="9">
        <f>S47-SUM(BC47:BF47)</f>
        <v>-51.151999999999589</v>
      </c>
      <c r="T79" s="9">
        <f>T47-SUM(BG47:BJ47)</f>
        <v>-43.095400000000836</v>
      </c>
      <c r="U79" s="9">
        <f>U47-SUM(BK47:BN47)</f>
        <v>-48.40769999999975</v>
      </c>
      <c r="V79" s="9">
        <f>V47-SUM(BO47:BR47)</f>
        <v>-58.139599999999973</v>
      </c>
      <c r="W79" s="9">
        <f>W47-SUM(BS47:BV47)</f>
        <v>-46.63720000000103</v>
      </c>
      <c r="X79" s="9">
        <f>X47-SUM(BW47:BZ47)</f>
        <v>-60.699700000001712</v>
      </c>
      <c r="Y79" s="9">
        <f>Y47-SUM(CA47:CD47)</f>
        <v>-144.26789999999892</v>
      </c>
      <c r="Z79" s="9">
        <f>Z47-SUM(CE47:CH47)</f>
        <v>-91.140300000000934</v>
      </c>
      <c r="AA79" s="9">
        <f>AA47-SUM(CF47:CI47)</f>
        <v>-1098.0672000000013</v>
      </c>
      <c r="AB79" s="15">
        <f>AB47-SUM(CM47:CP47)</f>
        <v>0</v>
      </c>
      <c r="AC79" s="15">
        <f>AC47-SUM(CQ47:CT47)</f>
        <v>0</v>
      </c>
      <c r="AD79" s="15">
        <f>AD47-SUM(CU47:CX47)</f>
        <v>0</v>
      </c>
      <c r="AE79" s="15">
        <f>AE47-SUM(CY47:DB47)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-1098.0672000000013</v>
      </c>
    </row>
    <row r="80" spans="1:110" s="9" customFormat="1" x14ac:dyDescent="0.2">
      <c r="A80" s="9" t="s">
        <v>456</v>
      </c>
      <c r="N80" s="9">
        <f>N67-SUM(AI67:AL67)</f>
        <v>-212.27670000000018</v>
      </c>
      <c r="O80" s="9">
        <f>O67-SUM(AM67:AP67)</f>
        <v>-229.81219999999979</v>
      </c>
      <c r="P80" s="9">
        <f>P67-SUM(AQ67:AT67)</f>
        <v>-302.28459999999797</v>
      </c>
      <c r="Q80" s="9">
        <f>Q67-SUM(AU67:AX67)</f>
        <v>-261.49419999999844</v>
      </c>
      <c r="R80" s="9">
        <f>R67-SUM(AY67:BB67)</f>
        <v>-193.9294999999999</v>
      </c>
      <c r="S80" s="9">
        <f>S67-SUM(BC67:BF67)</f>
        <v>-207.29289999999932</v>
      </c>
      <c r="T80" s="9">
        <f>T67-SUM(BG67:BJ67)</f>
        <v>-5.000000006702976E-4</v>
      </c>
      <c r="U80" s="9">
        <f>U67-SUM(BK67:BN67)</f>
        <v>1.1100000000283217E-2</v>
      </c>
      <c r="V80" s="9">
        <f>V67-SUM(BO67:BR67)</f>
        <v>5.999999999062311E-4</v>
      </c>
      <c r="W80" s="9">
        <f>W60-SUM(BS60:BV60)</f>
        <v>9.7999999991884579E-3</v>
      </c>
      <c r="X80" s="9">
        <f>X60-SUM(BW60:BZ60)</f>
        <v>5.7166999999982409</v>
      </c>
      <c r="Y80" s="9">
        <f>Y60-SUM(CA60:CD60)</f>
        <v>1.5700000001061198E-2</v>
      </c>
      <c r="Z80" s="9">
        <f>Z60-SUM(CE60:CH60)</f>
        <v>-269.17220000000088</v>
      </c>
      <c r="AA80" s="9">
        <f>AA60-SUM(CF60:CI60)</f>
        <v>-656.68490000000156</v>
      </c>
      <c r="AB80" s="15">
        <f>AB60-SUM(CM60:CP60)</f>
        <v>0</v>
      </c>
      <c r="AC80" s="15">
        <f>AC60-SUM(CQ60:CT60)</f>
        <v>0</v>
      </c>
      <c r="AD80" s="15">
        <f>AD60-SUM(CU60:CX60)</f>
        <v>-2.5011104298755527E-12</v>
      </c>
      <c r="AE80" s="15">
        <f>AE60-SUM(CY60:DB60)</f>
        <v>0</v>
      </c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-656.68490000000156</v>
      </c>
    </row>
    <row r="81" spans="1:110" s="8" customFormat="1" x14ac:dyDescent="0.2">
      <c r="A81" s="149" t="s">
        <v>489</v>
      </c>
      <c r="AB81" s="58"/>
      <c r="AC81" s="58"/>
      <c r="AD81" s="58"/>
      <c r="AE81" s="58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3" customFormat="1" x14ac:dyDescent="0.2">
      <c r="A82" s="3" t="s">
        <v>27</v>
      </c>
      <c r="B82" s="3">
        <f>'Annual Raw'!C104</f>
        <v>0</v>
      </c>
      <c r="C82" s="3">
        <f>'Annual Raw'!D104</f>
        <v>0</v>
      </c>
      <c r="D82" s="3">
        <f>'Annual Raw'!E104</f>
        <v>0</v>
      </c>
      <c r="E82" s="3">
        <f t="shared" ref="E82:Y82" ca="1" si="852">+F82</f>
        <v>63.95</v>
      </c>
      <c r="F82" s="3">
        <f t="shared" ca="1" si="852"/>
        <v>63.95</v>
      </c>
      <c r="G82" s="3">
        <f t="shared" ca="1" si="852"/>
        <v>63.95</v>
      </c>
      <c r="H82" s="3">
        <f t="shared" ca="1" si="852"/>
        <v>63.95</v>
      </c>
      <c r="I82" s="3">
        <f t="shared" ca="1" si="852"/>
        <v>63.95</v>
      </c>
      <c r="J82" s="3">
        <f t="shared" ca="1" si="852"/>
        <v>63.95</v>
      </c>
      <c r="K82" s="3">
        <f t="shared" ca="1" si="852"/>
        <v>63.95</v>
      </c>
      <c r="L82" s="3">
        <f t="shared" ca="1" si="852"/>
        <v>63.95</v>
      </c>
      <c r="M82" s="3">
        <f t="shared" ca="1" si="852"/>
        <v>63.95</v>
      </c>
      <c r="N82" s="3">
        <f t="shared" ca="1" si="852"/>
        <v>63.95</v>
      </c>
      <c r="O82" s="3">
        <f t="shared" ca="1" si="852"/>
        <v>63.95</v>
      </c>
      <c r="P82" s="3">
        <f t="shared" ca="1" si="852"/>
        <v>63.95</v>
      </c>
      <c r="Q82" s="3">
        <f t="shared" ca="1" si="852"/>
        <v>63.95</v>
      </c>
      <c r="R82" s="3">
        <f t="shared" ca="1" si="852"/>
        <v>63.95</v>
      </c>
      <c r="S82" s="3">
        <f t="shared" ca="1" si="852"/>
        <v>63.95</v>
      </c>
      <c r="T82" s="3">
        <f t="shared" ca="1" si="852"/>
        <v>63.95</v>
      </c>
      <c r="U82" s="3">
        <f t="shared" ca="1" si="852"/>
        <v>63.95</v>
      </c>
      <c r="V82" s="3">
        <f t="shared" ca="1" si="852"/>
        <v>63.95</v>
      </c>
      <c r="W82" s="3">
        <f t="shared" ca="1" si="852"/>
        <v>63.95</v>
      </c>
      <c r="X82" s="3">
        <f t="shared" ca="1" si="852"/>
        <v>63.95</v>
      </c>
      <c r="Y82" s="3">
        <f t="shared" ca="1" si="852"/>
        <v>63.95</v>
      </c>
      <c r="Z82" s="3">
        <f ca="1">+AA82</f>
        <v>63.95</v>
      </c>
      <c r="AA82" s="3">
        <f ca="1">+AB82</f>
        <v>63.95</v>
      </c>
      <c r="AB82" s="37">
        <f t="shared" ref="AB82:AB83" ca="1" si="853">AA82</f>
        <v>63.95</v>
      </c>
      <c r="AC82" s="37">
        <f t="shared" ref="AC82:AC83" ca="1" si="854">AB82</f>
        <v>63.95</v>
      </c>
      <c r="AD82" s="37">
        <f t="shared" ref="AD82:AD83" ca="1" si="855">AC82</f>
        <v>63.95</v>
      </c>
      <c r="AE82" s="37">
        <f t="shared" ref="AE82:AE83" ca="1" si="856">AD82</f>
        <v>63.95</v>
      </c>
      <c r="AI82" s="3">
        <f t="shared" ref="AI82:CH82" si="857">+AJ82</f>
        <v>63.95</v>
      </c>
      <c r="AJ82" s="3">
        <f t="shared" si="857"/>
        <v>63.95</v>
      </c>
      <c r="AK82" s="3">
        <f t="shared" si="857"/>
        <v>63.95</v>
      </c>
      <c r="AL82" s="3">
        <f t="shared" si="857"/>
        <v>63.95</v>
      </c>
      <c r="AM82" s="3">
        <f t="shared" si="857"/>
        <v>63.95</v>
      </c>
      <c r="AN82" s="3">
        <f t="shared" si="857"/>
        <v>63.95</v>
      </c>
      <c r="AO82" s="3">
        <f t="shared" si="857"/>
        <v>63.95</v>
      </c>
      <c r="AP82" s="3">
        <f t="shared" si="857"/>
        <v>63.95</v>
      </c>
      <c r="AQ82" s="3">
        <f t="shared" si="857"/>
        <v>63.95</v>
      </c>
      <c r="AR82" s="3">
        <f t="shared" si="857"/>
        <v>63.95</v>
      </c>
      <c r="AS82" s="3">
        <f t="shared" si="857"/>
        <v>63.95</v>
      </c>
      <c r="AT82" s="3">
        <f t="shared" si="857"/>
        <v>63.95</v>
      </c>
      <c r="AU82" s="3">
        <f t="shared" si="857"/>
        <v>63.95</v>
      </c>
      <c r="AV82" s="3">
        <f t="shared" si="857"/>
        <v>63.95</v>
      </c>
      <c r="AW82" s="3">
        <f t="shared" si="857"/>
        <v>63.95</v>
      </c>
      <c r="AX82" s="3">
        <f t="shared" si="857"/>
        <v>63.95</v>
      </c>
      <c r="AY82" s="3">
        <f t="shared" si="857"/>
        <v>63.95</v>
      </c>
      <c r="AZ82" s="3">
        <f t="shared" si="857"/>
        <v>63.95</v>
      </c>
      <c r="BA82" s="3">
        <f t="shared" si="857"/>
        <v>63.95</v>
      </c>
      <c r="BB82" s="3">
        <f t="shared" si="857"/>
        <v>63.95</v>
      </c>
      <c r="BC82" s="3">
        <f t="shared" si="857"/>
        <v>63.95</v>
      </c>
      <c r="BD82" s="3">
        <f t="shared" si="857"/>
        <v>63.95</v>
      </c>
      <c r="BE82" s="3">
        <f t="shared" si="857"/>
        <v>63.95</v>
      </c>
      <c r="BF82" s="3">
        <f t="shared" si="857"/>
        <v>63.95</v>
      </c>
      <c r="BG82" s="3">
        <f t="shared" si="857"/>
        <v>63.95</v>
      </c>
      <c r="BH82" s="3">
        <f t="shared" si="857"/>
        <v>63.95</v>
      </c>
      <c r="BI82" s="3">
        <f t="shared" si="857"/>
        <v>63.95</v>
      </c>
      <c r="BJ82" s="3">
        <f t="shared" si="857"/>
        <v>63.95</v>
      </c>
      <c r="BK82" s="3">
        <f t="shared" si="857"/>
        <v>63.95</v>
      </c>
      <c r="BL82" s="3">
        <f t="shared" si="857"/>
        <v>63.95</v>
      </c>
      <c r="BM82" s="3">
        <f t="shared" si="857"/>
        <v>63.95</v>
      </c>
      <c r="BN82" s="3">
        <f t="shared" si="857"/>
        <v>63.95</v>
      </c>
      <c r="BO82" s="3">
        <f t="shared" si="857"/>
        <v>63.95</v>
      </c>
      <c r="BP82" s="3">
        <f t="shared" si="857"/>
        <v>63.95</v>
      </c>
      <c r="BQ82" s="3">
        <f t="shared" si="857"/>
        <v>63.95</v>
      </c>
      <c r="BR82" s="3">
        <f t="shared" si="857"/>
        <v>63.95</v>
      </c>
      <c r="BS82" s="3">
        <f t="shared" si="857"/>
        <v>63.95</v>
      </c>
      <c r="BT82" s="3">
        <f t="shared" si="857"/>
        <v>63.95</v>
      </c>
      <c r="BU82" s="3">
        <f t="shared" si="857"/>
        <v>63.95</v>
      </c>
      <c r="BV82" s="3">
        <f t="shared" si="857"/>
        <v>63.95</v>
      </c>
      <c r="BW82" s="3">
        <f t="shared" si="857"/>
        <v>63.95</v>
      </c>
      <c r="BX82" s="3">
        <f t="shared" si="857"/>
        <v>63.95</v>
      </c>
      <c r="BY82" s="3">
        <f t="shared" si="857"/>
        <v>63.95</v>
      </c>
      <c r="BZ82" s="3">
        <f t="shared" si="857"/>
        <v>63.95</v>
      </c>
      <c r="CA82" s="3">
        <f t="shared" si="857"/>
        <v>63.95</v>
      </c>
      <c r="CB82" s="3">
        <f t="shared" si="857"/>
        <v>63.95</v>
      </c>
      <c r="CC82" s="3">
        <f t="shared" si="857"/>
        <v>63.95</v>
      </c>
      <c r="CD82" s="3">
        <f t="shared" si="857"/>
        <v>63.95</v>
      </c>
      <c r="CE82" s="3">
        <f t="shared" si="857"/>
        <v>63.95</v>
      </c>
      <c r="CF82" s="3">
        <f t="shared" si="857"/>
        <v>63.95</v>
      </c>
      <c r="CG82" s="3">
        <f t="shared" si="857"/>
        <v>63.95</v>
      </c>
      <c r="CH82" s="3">
        <f t="shared" si="857"/>
        <v>63.95</v>
      </c>
      <c r="CI82" s="3">
        <f>+CJ82</f>
        <v>63.95</v>
      </c>
      <c r="CJ82" s="3">
        <f>'QTR Raw'!BD45</f>
        <v>63.95</v>
      </c>
      <c r="CK82" s="3">
        <f>'QTR Raw'!BE45</f>
        <v>63.95</v>
      </c>
      <c r="CL82" s="3">
        <f>'QTR Raw'!BF45</f>
        <v>63.95</v>
      </c>
      <c r="CM82" s="37">
        <f t="shared" ref="CM82:CM83" si="858">+CL82</f>
        <v>63.95</v>
      </c>
      <c r="CN82" s="37">
        <f t="shared" ref="CN82:CN83" si="859">+CM82</f>
        <v>63.95</v>
      </c>
      <c r="CO82" s="37">
        <f t="shared" ref="CO82:CO83" si="860">+CN82</f>
        <v>63.95</v>
      </c>
      <c r="CP82" s="37">
        <f t="shared" ref="CP82:CP83" si="861">+CO82</f>
        <v>63.95</v>
      </c>
      <c r="CQ82" s="37">
        <f t="shared" ref="CQ82:CQ83" si="862">+CP82</f>
        <v>63.95</v>
      </c>
      <c r="CR82" s="37">
        <f t="shared" ref="CR82:CR83" si="863">+CQ82</f>
        <v>63.95</v>
      </c>
      <c r="CS82" s="37">
        <f t="shared" ref="CS82:CS83" si="864">+CR82</f>
        <v>63.95</v>
      </c>
      <c r="CT82" s="37">
        <f t="shared" ref="CT82:CT83" si="865">+CS82</f>
        <v>63.95</v>
      </c>
      <c r="CU82" s="37">
        <f t="shared" ref="CU82:CU83" si="866">+CT82</f>
        <v>63.95</v>
      </c>
      <c r="CV82" s="37">
        <f t="shared" ref="CV82:CV83" si="867">+CU82</f>
        <v>63.95</v>
      </c>
      <c r="CW82" s="37">
        <f t="shared" ref="CW82:CW83" si="868">+CV82</f>
        <v>63.95</v>
      </c>
      <c r="CX82" s="37">
        <f t="shared" ref="CX82:CX83" si="869">+CW82</f>
        <v>63.95</v>
      </c>
      <c r="CY82" s="37">
        <f t="shared" ref="CY82:CY83" si="870">+CX82</f>
        <v>63.95</v>
      </c>
      <c r="CZ82" s="37">
        <f t="shared" ref="CZ82:CZ83" si="871">+CY82</f>
        <v>63.95</v>
      </c>
      <c r="DA82" s="37">
        <f t="shared" ref="DA82:DA83" si="872">+CZ82</f>
        <v>63.95</v>
      </c>
      <c r="DB82" s="37">
        <f t="shared" ref="DB82:DB83" si="873">+DA82</f>
        <v>63.95</v>
      </c>
      <c r="DE82" s="134"/>
      <c r="DF82" s="3">
        <v>63.95</v>
      </c>
    </row>
    <row r="83" spans="1:110" s="3" customFormat="1" x14ac:dyDescent="0.2">
      <c r="A83" s="3" t="s">
        <v>28</v>
      </c>
      <c r="B83" s="3">
        <f>'Annual Raw'!C105</f>
        <v>0</v>
      </c>
      <c r="C83" s="3">
        <f>'Annual Raw'!D105</f>
        <v>0</v>
      </c>
      <c r="D83" s="3">
        <f>'Annual Raw'!E105</f>
        <v>0</v>
      </c>
      <c r="E83" s="3">
        <f t="shared" ref="E83:Y83" ca="1" si="874">+F83</f>
        <v>1</v>
      </c>
      <c r="F83" s="3">
        <f t="shared" ca="1" si="874"/>
        <v>1</v>
      </c>
      <c r="G83" s="3">
        <f t="shared" ca="1" si="874"/>
        <v>1</v>
      </c>
      <c r="H83" s="3">
        <f t="shared" ca="1" si="874"/>
        <v>1</v>
      </c>
      <c r="I83" s="3">
        <f t="shared" ca="1" si="874"/>
        <v>1</v>
      </c>
      <c r="J83" s="3">
        <f t="shared" ca="1" si="874"/>
        <v>1</v>
      </c>
      <c r="K83" s="3">
        <f t="shared" ca="1" si="874"/>
        <v>1</v>
      </c>
      <c r="L83" s="3">
        <f t="shared" ca="1" si="874"/>
        <v>1</v>
      </c>
      <c r="M83" s="3">
        <f t="shared" ca="1" si="874"/>
        <v>1</v>
      </c>
      <c r="N83" s="3">
        <f t="shared" ca="1" si="874"/>
        <v>1</v>
      </c>
      <c r="O83" s="3">
        <f t="shared" ca="1" si="874"/>
        <v>1</v>
      </c>
      <c r="P83" s="3">
        <f t="shared" ca="1" si="874"/>
        <v>1</v>
      </c>
      <c r="Q83" s="3">
        <f t="shared" ca="1" si="874"/>
        <v>1</v>
      </c>
      <c r="R83" s="3">
        <f t="shared" ca="1" si="874"/>
        <v>1</v>
      </c>
      <c r="S83" s="3">
        <f t="shared" ca="1" si="874"/>
        <v>1</v>
      </c>
      <c r="T83" s="3">
        <f t="shared" ca="1" si="874"/>
        <v>1</v>
      </c>
      <c r="U83" s="3">
        <f t="shared" ca="1" si="874"/>
        <v>1</v>
      </c>
      <c r="V83" s="3">
        <f t="shared" ca="1" si="874"/>
        <v>1</v>
      </c>
      <c r="W83" s="3">
        <f t="shared" ca="1" si="874"/>
        <v>1</v>
      </c>
      <c r="X83" s="3">
        <f t="shared" ca="1" si="874"/>
        <v>1</v>
      </c>
      <c r="Y83" s="3">
        <f t="shared" ca="1" si="874"/>
        <v>1</v>
      </c>
      <c r="Z83" s="3">
        <f ca="1">+AA83</f>
        <v>1</v>
      </c>
      <c r="AA83" s="3">
        <f ca="1">+AB83</f>
        <v>1</v>
      </c>
      <c r="AB83" s="37">
        <f t="shared" ca="1" si="853"/>
        <v>1</v>
      </c>
      <c r="AC83" s="37">
        <f t="shared" ca="1" si="854"/>
        <v>1</v>
      </c>
      <c r="AD83" s="37">
        <f t="shared" ca="1" si="855"/>
        <v>1</v>
      </c>
      <c r="AE83" s="37">
        <f t="shared" ca="1" si="856"/>
        <v>1</v>
      </c>
      <c r="AI83" s="3">
        <f t="shared" ref="AI83:CH83" si="875">AJ83</f>
        <v>1</v>
      </c>
      <c r="AJ83" s="3">
        <f t="shared" si="875"/>
        <v>1</v>
      </c>
      <c r="AK83" s="3">
        <f t="shared" si="875"/>
        <v>1</v>
      </c>
      <c r="AL83" s="3">
        <f t="shared" si="875"/>
        <v>1</v>
      </c>
      <c r="AM83" s="3">
        <f t="shared" si="875"/>
        <v>1</v>
      </c>
      <c r="AN83" s="3">
        <f t="shared" si="875"/>
        <v>1</v>
      </c>
      <c r="AO83" s="3">
        <f t="shared" si="875"/>
        <v>1</v>
      </c>
      <c r="AP83" s="3">
        <f t="shared" si="875"/>
        <v>1</v>
      </c>
      <c r="AQ83" s="3">
        <f t="shared" si="875"/>
        <v>1</v>
      </c>
      <c r="AR83" s="3">
        <f t="shared" si="875"/>
        <v>1</v>
      </c>
      <c r="AS83" s="3">
        <f t="shared" si="875"/>
        <v>1</v>
      </c>
      <c r="AT83" s="3">
        <f t="shared" si="875"/>
        <v>1</v>
      </c>
      <c r="AU83" s="3">
        <f t="shared" si="875"/>
        <v>1</v>
      </c>
      <c r="AV83" s="3">
        <f t="shared" si="875"/>
        <v>1</v>
      </c>
      <c r="AW83" s="3">
        <f t="shared" si="875"/>
        <v>1</v>
      </c>
      <c r="AX83" s="3">
        <f t="shared" si="875"/>
        <v>1</v>
      </c>
      <c r="AY83" s="3">
        <f t="shared" si="875"/>
        <v>1</v>
      </c>
      <c r="AZ83" s="3">
        <f t="shared" si="875"/>
        <v>1</v>
      </c>
      <c r="BA83" s="3">
        <f t="shared" si="875"/>
        <v>1</v>
      </c>
      <c r="BB83" s="3">
        <f t="shared" si="875"/>
        <v>1</v>
      </c>
      <c r="BC83" s="3">
        <f t="shared" si="875"/>
        <v>1</v>
      </c>
      <c r="BD83" s="3">
        <f t="shared" si="875"/>
        <v>1</v>
      </c>
      <c r="BE83" s="3">
        <f t="shared" si="875"/>
        <v>1</v>
      </c>
      <c r="BF83" s="3">
        <f t="shared" si="875"/>
        <v>1</v>
      </c>
      <c r="BG83" s="3">
        <f t="shared" si="875"/>
        <v>1</v>
      </c>
      <c r="BH83" s="3">
        <f t="shared" si="875"/>
        <v>1</v>
      </c>
      <c r="BI83" s="3">
        <f t="shared" si="875"/>
        <v>1</v>
      </c>
      <c r="BJ83" s="3">
        <f t="shared" si="875"/>
        <v>1</v>
      </c>
      <c r="BK83" s="3">
        <f t="shared" si="875"/>
        <v>1</v>
      </c>
      <c r="BL83" s="3">
        <f t="shared" si="875"/>
        <v>1</v>
      </c>
      <c r="BM83" s="3">
        <f t="shared" si="875"/>
        <v>1</v>
      </c>
      <c r="BN83" s="3">
        <f t="shared" si="875"/>
        <v>1</v>
      </c>
      <c r="BO83" s="3">
        <f t="shared" si="875"/>
        <v>1</v>
      </c>
      <c r="BP83" s="3">
        <f t="shared" si="875"/>
        <v>1</v>
      </c>
      <c r="BQ83" s="3">
        <f t="shared" si="875"/>
        <v>1</v>
      </c>
      <c r="BR83" s="3">
        <f t="shared" si="875"/>
        <v>1</v>
      </c>
      <c r="BS83" s="3">
        <f t="shared" si="875"/>
        <v>1</v>
      </c>
      <c r="BT83" s="3">
        <f t="shared" si="875"/>
        <v>1</v>
      </c>
      <c r="BU83" s="3">
        <f t="shared" si="875"/>
        <v>1</v>
      </c>
      <c r="BV83" s="3">
        <f t="shared" si="875"/>
        <v>1</v>
      </c>
      <c r="BW83" s="3">
        <f t="shared" si="875"/>
        <v>1</v>
      </c>
      <c r="BX83" s="3">
        <f t="shared" si="875"/>
        <v>1</v>
      </c>
      <c r="BY83" s="3">
        <f t="shared" si="875"/>
        <v>1</v>
      </c>
      <c r="BZ83" s="3">
        <f t="shared" si="875"/>
        <v>1</v>
      </c>
      <c r="CA83" s="3">
        <f t="shared" si="875"/>
        <v>1</v>
      </c>
      <c r="CB83" s="3">
        <f t="shared" si="875"/>
        <v>1</v>
      </c>
      <c r="CC83" s="3">
        <f t="shared" si="875"/>
        <v>1</v>
      </c>
      <c r="CD83" s="3">
        <f t="shared" si="875"/>
        <v>1</v>
      </c>
      <c r="CE83" s="3">
        <f t="shared" si="875"/>
        <v>1</v>
      </c>
      <c r="CF83" s="3">
        <f t="shared" si="875"/>
        <v>1</v>
      </c>
      <c r="CG83" s="3">
        <f t="shared" si="875"/>
        <v>1</v>
      </c>
      <c r="CH83" s="3">
        <f t="shared" si="875"/>
        <v>1</v>
      </c>
      <c r="CI83" s="3">
        <f>CJ83</f>
        <v>1</v>
      </c>
      <c r="CJ83" s="3">
        <f>'QTR Raw'!BD46</f>
        <v>1</v>
      </c>
      <c r="CK83" s="3">
        <f>'QTR Raw'!BE46</f>
        <v>1</v>
      </c>
      <c r="CL83" s="3">
        <f>'QTR Raw'!BF46</f>
        <v>1</v>
      </c>
      <c r="CM83" s="37">
        <f t="shared" si="858"/>
        <v>1</v>
      </c>
      <c r="CN83" s="37">
        <f t="shared" si="859"/>
        <v>1</v>
      </c>
      <c r="CO83" s="37">
        <f t="shared" si="860"/>
        <v>1</v>
      </c>
      <c r="CP83" s="37">
        <f t="shared" si="861"/>
        <v>1</v>
      </c>
      <c r="CQ83" s="37">
        <f t="shared" si="862"/>
        <v>1</v>
      </c>
      <c r="CR83" s="37">
        <f t="shared" si="863"/>
        <v>1</v>
      </c>
      <c r="CS83" s="37">
        <f t="shared" si="864"/>
        <v>1</v>
      </c>
      <c r="CT83" s="37">
        <f t="shared" si="865"/>
        <v>1</v>
      </c>
      <c r="CU83" s="37">
        <f t="shared" si="866"/>
        <v>1</v>
      </c>
      <c r="CV83" s="37">
        <f t="shared" si="867"/>
        <v>1</v>
      </c>
      <c r="CW83" s="37">
        <f t="shared" si="868"/>
        <v>1</v>
      </c>
      <c r="CX83" s="37">
        <f t="shared" si="869"/>
        <v>1</v>
      </c>
      <c r="CY83" s="37">
        <f t="shared" si="870"/>
        <v>1</v>
      </c>
      <c r="CZ83" s="37">
        <f t="shared" si="871"/>
        <v>1</v>
      </c>
      <c r="DA83" s="37">
        <f t="shared" si="872"/>
        <v>1</v>
      </c>
      <c r="DB83" s="37">
        <f t="shared" si="873"/>
        <v>1</v>
      </c>
      <c r="DE83" s="134"/>
      <c r="DF83" s="3">
        <v>1</v>
      </c>
    </row>
    <row r="84" spans="1:110" s="3" customFormat="1" x14ac:dyDescent="0.2">
      <c r="A84" s="3" t="s">
        <v>29</v>
      </c>
      <c r="B84" s="3" t="e">
        <f>B82/B83</f>
        <v>#DIV/0!</v>
      </c>
      <c r="C84" s="3" t="e">
        <f t="shared" ref="C84:W84" si="876">C82/C83</f>
        <v>#DIV/0!</v>
      </c>
      <c r="D84" s="3" t="e">
        <f t="shared" si="876"/>
        <v>#DIV/0!</v>
      </c>
      <c r="E84" s="3">
        <f t="shared" ca="1" si="876"/>
        <v>63.95</v>
      </c>
      <c r="F84" s="3">
        <f t="shared" ca="1" si="876"/>
        <v>63.95</v>
      </c>
      <c r="G84" s="3">
        <f t="shared" ca="1" si="876"/>
        <v>63.95</v>
      </c>
      <c r="H84" s="3">
        <f t="shared" ca="1" si="876"/>
        <v>63.95</v>
      </c>
      <c r="I84" s="3">
        <f t="shared" ca="1" si="876"/>
        <v>63.95</v>
      </c>
      <c r="J84" s="3">
        <f t="shared" ca="1" si="876"/>
        <v>63.95</v>
      </c>
      <c r="K84" s="3">
        <f t="shared" ca="1" si="876"/>
        <v>63.95</v>
      </c>
      <c r="L84" s="3">
        <f t="shared" ca="1" si="876"/>
        <v>63.95</v>
      </c>
      <c r="M84" s="3">
        <f t="shared" ca="1" si="876"/>
        <v>63.95</v>
      </c>
      <c r="N84" s="3">
        <f t="shared" ca="1" si="876"/>
        <v>63.95</v>
      </c>
      <c r="O84" s="3">
        <f t="shared" ca="1" si="876"/>
        <v>63.95</v>
      </c>
      <c r="P84" s="3">
        <f t="shared" ca="1" si="876"/>
        <v>63.95</v>
      </c>
      <c r="Q84" s="3">
        <f t="shared" ca="1" si="876"/>
        <v>63.95</v>
      </c>
      <c r="R84" s="3">
        <f t="shared" ca="1" si="876"/>
        <v>63.95</v>
      </c>
      <c r="S84" s="3">
        <f t="shared" ca="1" si="876"/>
        <v>63.95</v>
      </c>
      <c r="T84" s="3">
        <f t="shared" ca="1" si="876"/>
        <v>63.95</v>
      </c>
      <c r="U84" s="3">
        <f t="shared" ca="1" si="876"/>
        <v>63.95</v>
      </c>
      <c r="V84" s="3">
        <f ca="1">V82/V83</f>
        <v>63.95</v>
      </c>
      <c r="W84" s="3">
        <f t="shared" ca="1" si="876"/>
        <v>63.95</v>
      </c>
      <c r="X84" s="3">
        <f t="shared" ref="X84:Y84" ca="1" si="877">X82/X83</f>
        <v>63.95</v>
      </c>
      <c r="Y84" s="3">
        <f t="shared" ca="1" si="877"/>
        <v>63.95</v>
      </c>
      <c r="Z84" s="3">
        <f t="shared" ref="Z84:AA84" ca="1" si="878">Z82/Z83</f>
        <v>63.95</v>
      </c>
      <c r="AA84" s="3">
        <f t="shared" ca="1" si="878"/>
        <v>63.95</v>
      </c>
      <c r="AB84" s="37">
        <f t="shared" ref="AB84:AD84" ca="1" si="879">AB82/AB83</f>
        <v>63.95</v>
      </c>
      <c r="AC84" s="37">
        <f t="shared" ca="1" si="879"/>
        <v>63.95</v>
      </c>
      <c r="AD84" s="37">
        <f t="shared" ca="1" si="879"/>
        <v>63.95</v>
      </c>
      <c r="AE84" s="37">
        <f t="shared" ref="AE84" ca="1" si="880">AE82/AE83</f>
        <v>63.95</v>
      </c>
      <c r="AI84" s="3">
        <f t="shared" ref="AI84" si="881">AI82/AI83</f>
        <v>63.95</v>
      </c>
      <c r="AJ84" s="3">
        <f t="shared" ref="AJ84" si="882">AJ82/AJ83</f>
        <v>63.95</v>
      </c>
      <c r="AK84" s="3">
        <f t="shared" ref="AK84:AM84" si="883">AK82/AK83</f>
        <v>63.95</v>
      </c>
      <c r="AL84" s="3">
        <f t="shared" si="883"/>
        <v>63.95</v>
      </c>
      <c r="AM84" s="3">
        <f t="shared" si="883"/>
        <v>63.95</v>
      </c>
      <c r="AN84" s="3">
        <f t="shared" ref="AN84:AO84" si="884">AN82/AN83</f>
        <v>63.95</v>
      </c>
      <c r="AO84" s="3">
        <f t="shared" si="884"/>
        <v>63.95</v>
      </c>
      <c r="AP84" s="3">
        <f t="shared" ref="AP84:CD84" si="885">AP82/AP83</f>
        <v>63.95</v>
      </c>
      <c r="AQ84" s="3">
        <f t="shared" si="885"/>
        <v>63.95</v>
      </c>
      <c r="AR84" s="3">
        <f t="shared" si="885"/>
        <v>63.95</v>
      </c>
      <c r="AS84" s="3">
        <f t="shared" si="885"/>
        <v>63.95</v>
      </c>
      <c r="AT84" s="3">
        <f t="shared" si="885"/>
        <v>63.95</v>
      </c>
      <c r="AU84" s="3">
        <f t="shared" si="885"/>
        <v>63.95</v>
      </c>
      <c r="AV84" s="3">
        <f t="shared" si="885"/>
        <v>63.95</v>
      </c>
      <c r="AW84" s="3">
        <f t="shared" si="885"/>
        <v>63.95</v>
      </c>
      <c r="AX84" s="3">
        <f t="shared" si="885"/>
        <v>63.95</v>
      </c>
      <c r="AY84" s="3">
        <f t="shared" si="885"/>
        <v>63.95</v>
      </c>
      <c r="AZ84" s="3">
        <f t="shared" si="885"/>
        <v>63.95</v>
      </c>
      <c r="BA84" s="3">
        <f t="shared" si="885"/>
        <v>63.95</v>
      </c>
      <c r="BB84" s="3">
        <f t="shared" si="885"/>
        <v>63.95</v>
      </c>
      <c r="BC84" s="3">
        <f t="shared" si="885"/>
        <v>63.95</v>
      </c>
      <c r="BD84" s="3">
        <f t="shared" si="885"/>
        <v>63.95</v>
      </c>
      <c r="BE84" s="3">
        <f t="shared" si="885"/>
        <v>63.95</v>
      </c>
      <c r="BF84" s="3">
        <f t="shared" si="885"/>
        <v>63.95</v>
      </c>
      <c r="BG84" s="3">
        <f t="shared" si="885"/>
        <v>63.95</v>
      </c>
      <c r="BH84" s="3">
        <f t="shared" si="885"/>
        <v>63.95</v>
      </c>
      <c r="BI84" s="3">
        <f t="shared" si="885"/>
        <v>63.95</v>
      </c>
      <c r="BJ84" s="3">
        <f t="shared" si="885"/>
        <v>63.95</v>
      </c>
      <c r="BK84" s="3">
        <f t="shared" si="885"/>
        <v>63.95</v>
      </c>
      <c r="BL84" s="3">
        <f t="shared" si="885"/>
        <v>63.95</v>
      </c>
      <c r="BM84" s="3">
        <f t="shared" si="885"/>
        <v>63.95</v>
      </c>
      <c r="BN84" s="3">
        <f t="shared" si="885"/>
        <v>63.95</v>
      </c>
      <c r="BO84" s="3">
        <f t="shared" si="885"/>
        <v>63.95</v>
      </c>
      <c r="BP84" s="3">
        <f t="shared" si="885"/>
        <v>63.95</v>
      </c>
      <c r="BQ84" s="3">
        <f t="shared" si="885"/>
        <v>63.95</v>
      </c>
      <c r="BR84" s="3">
        <f t="shared" si="885"/>
        <v>63.95</v>
      </c>
      <c r="BS84" s="3">
        <f t="shared" si="885"/>
        <v>63.95</v>
      </c>
      <c r="BT84" s="3">
        <f t="shared" si="885"/>
        <v>63.95</v>
      </c>
      <c r="BU84" s="3">
        <f t="shared" si="885"/>
        <v>63.95</v>
      </c>
      <c r="BV84" s="3">
        <f t="shared" si="885"/>
        <v>63.95</v>
      </c>
      <c r="BW84" s="3">
        <f t="shared" si="885"/>
        <v>63.95</v>
      </c>
      <c r="BX84" s="3">
        <f t="shared" si="885"/>
        <v>63.95</v>
      </c>
      <c r="BY84" s="3">
        <f t="shared" si="885"/>
        <v>63.95</v>
      </c>
      <c r="BZ84" s="3">
        <f t="shared" si="885"/>
        <v>63.95</v>
      </c>
      <c r="CA84" s="3">
        <f t="shared" si="885"/>
        <v>63.95</v>
      </c>
      <c r="CB84" s="3">
        <f t="shared" si="885"/>
        <v>63.95</v>
      </c>
      <c r="CC84" s="3">
        <f t="shared" si="885"/>
        <v>63.95</v>
      </c>
      <c r="CD84" s="3">
        <f t="shared" si="885"/>
        <v>63.95</v>
      </c>
      <c r="CE84" s="3">
        <f t="shared" ref="CE84:CF84" si="886">CE82/CE83</f>
        <v>63.95</v>
      </c>
      <c r="CF84" s="3">
        <f t="shared" si="886"/>
        <v>63.95</v>
      </c>
      <c r="CG84" s="3">
        <f t="shared" ref="CG84:CH84" si="887">CG82/CG83</f>
        <v>63.95</v>
      </c>
      <c r="CH84" s="3">
        <f t="shared" si="887"/>
        <v>63.95</v>
      </c>
      <c r="CI84" s="3">
        <f t="shared" ref="CI84:CJ84" si="888">CI82/CI83</f>
        <v>63.95</v>
      </c>
      <c r="CJ84" s="3">
        <f t="shared" si="888"/>
        <v>63.95</v>
      </c>
      <c r="CK84" s="3">
        <f t="shared" ref="CK84:CL84" si="889">CK82/CK83</f>
        <v>63.95</v>
      </c>
      <c r="CL84" s="3">
        <f t="shared" si="889"/>
        <v>63.95</v>
      </c>
      <c r="CM84" s="37">
        <f t="shared" ref="CM84:DB84" si="890">CM82/CM83</f>
        <v>63.95</v>
      </c>
      <c r="CN84" s="37">
        <f t="shared" si="890"/>
        <v>63.95</v>
      </c>
      <c r="CO84" s="37">
        <f t="shared" si="890"/>
        <v>63.95</v>
      </c>
      <c r="CP84" s="37">
        <f t="shared" si="890"/>
        <v>63.95</v>
      </c>
      <c r="CQ84" s="37">
        <f t="shared" si="890"/>
        <v>63.95</v>
      </c>
      <c r="CR84" s="37">
        <f t="shared" si="890"/>
        <v>63.95</v>
      </c>
      <c r="CS84" s="37">
        <f t="shared" si="890"/>
        <v>63.95</v>
      </c>
      <c r="CT84" s="37">
        <f t="shared" si="890"/>
        <v>63.95</v>
      </c>
      <c r="CU84" s="37">
        <f t="shared" si="890"/>
        <v>63.95</v>
      </c>
      <c r="CV84" s="37">
        <f t="shared" si="890"/>
        <v>63.95</v>
      </c>
      <c r="CW84" s="37">
        <f t="shared" si="890"/>
        <v>63.95</v>
      </c>
      <c r="CX84" s="37">
        <f t="shared" si="890"/>
        <v>63.95</v>
      </c>
      <c r="CY84" s="37">
        <f t="shared" si="890"/>
        <v>63.95</v>
      </c>
      <c r="CZ84" s="37">
        <f t="shared" si="890"/>
        <v>63.95</v>
      </c>
      <c r="DA84" s="37">
        <f t="shared" si="890"/>
        <v>63.95</v>
      </c>
      <c r="DB84" s="37">
        <f t="shared" si="890"/>
        <v>63.95</v>
      </c>
      <c r="DE84" s="134"/>
      <c r="DF84" s="3">
        <v>63.95</v>
      </c>
    </row>
    <row r="85" spans="1:110" s="53" customFormat="1" x14ac:dyDescent="0.2">
      <c r="A85" s="53" t="s">
        <v>30</v>
      </c>
      <c r="B85" s="53" t="e">
        <f t="shared" ref="B85:AE85" si="891">(B67-B66)/B84</f>
        <v>#DIV/0!</v>
      </c>
      <c r="C85" s="53" t="e">
        <f t="shared" si="891"/>
        <v>#DIV/0!</v>
      </c>
      <c r="D85" s="53" t="e">
        <f t="shared" si="891"/>
        <v>#DIV/0!</v>
      </c>
      <c r="E85" s="53">
        <f t="shared" ca="1" si="891"/>
        <v>0</v>
      </c>
      <c r="F85" s="53">
        <f t="shared" ca="1" si="891"/>
        <v>0</v>
      </c>
      <c r="G85" s="53">
        <f t="shared" ca="1" si="891"/>
        <v>0</v>
      </c>
      <c r="H85" s="53">
        <f t="shared" ca="1" si="891"/>
        <v>0</v>
      </c>
      <c r="I85" s="53">
        <f t="shared" ca="1" si="891"/>
        <v>0</v>
      </c>
      <c r="J85" s="53">
        <f t="shared" ca="1" si="891"/>
        <v>0</v>
      </c>
      <c r="K85" s="53">
        <f t="shared" ca="1" si="891"/>
        <v>10.629085222830339</v>
      </c>
      <c r="L85" s="53">
        <f t="shared" ca="1" si="891"/>
        <v>6.9531931196247188</v>
      </c>
      <c r="M85" s="53">
        <f t="shared" ca="1" si="891"/>
        <v>5.1589319781079057</v>
      </c>
      <c r="N85" s="53">
        <f t="shared" ca="1" si="891"/>
        <v>2.8395199374511297</v>
      </c>
      <c r="O85" s="53">
        <f t="shared" ca="1" si="891"/>
        <v>-0.27843002345581702</v>
      </c>
      <c r="P85" s="53">
        <f t="shared" ca="1" si="891"/>
        <v>-0.47704612978886823</v>
      </c>
      <c r="Q85" s="53">
        <f t="shared" ca="1" si="891"/>
        <v>0.69558561376077299</v>
      </c>
      <c r="R85" s="53">
        <f t="shared" ca="1" si="891"/>
        <v>1.7150914777169701</v>
      </c>
      <c r="S85" s="53">
        <f t="shared" ca="1" si="891"/>
        <v>4.3924706802189322</v>
      </c>
      <c r="T85" s="53">
        <f t="shared" ca="1" si="891"/>
        <v>7.5767412040656552</v>
      </c>
      <c r="U85" s="53">
        <f t="shared" ca="1" si="891"/>
        <v>10.426853792025017</v>
      </c>
      <c r="V85" s="53">
        <f t="shared" ca="1" si="891"/>
        <v>4.9856231430805211</v>
      </c>
      <c r="W85" s="53">
        <f t="shared" ca="1" si="891"/>
        <v>6.4386098514464232</v>
      </c>
      <c r="X85" s="53">
        <f t="shared" ca="1" si="891"/>
        <v>10.46116966379981</v>
      </c>
      <c r="Y85" s="53">
        <f t="shared" ca="1" si="891"/>
        <v>26.224121970289321</v>
      </c>
      <c r="Z85" s="53">
        <f t="shared" ca="1" si="891"/>
        <v>27.183211884284585</v>
      </c>
      <c r="AA85" s="53">
        <f t="shared" ref="AA85" ca="1" si="892">(AA67-AA66)/AA84</f>
        <v>27.183211884284585</v>
      </c>
      <c r="AB85" s="54">
        <f t="shared" ca="1" si="891"/>
        <v>17.3173883907169</v>
      </c>
      <c r="AC85" s="54">
        <f t="shared" ca="1" si="891"/>
        <v>21.244452737842913</v>
      </c>
      <c r="AD85" s="54">
        <f t="shared" ca="1" si="891"/>
        <v>24.591437795727721</v>
      </c>
      <c r="AE85" s="54">
        <f t="shared" ca="1" si="891"/>
        <v>28.598267796999732</v>
      </c>
      <c r="AI85" s="53">
        <f t="shared" ref="AI85:BN85" si="893">(AI67-AI66)/AI84</f>
        <v>1.4359655981235306</v>
      </c>
      <c r="AJ85" s="53">
        <f t="shared" si="893"/>
        <v>1.8584831899921834</v>
      </c>
      <c r="AK85" s="53">
        <f t="shared" si="893"/>
        <v>1.1870211102423778</v>
      </c>
      <c r="AL85" s="53">
        <f t="shared" si="893"/>
        <v>0.59249413604378298</v>
      </c>
      <c r="AM85" s="53">
        <f t="shared" si="893"/>
        <v>1.0525410476935111</v>
      </c>
      <c r="AN85" s="53">
        <f t="shared" si="893"/>
        <v>0.86067240031274328</v>
      </c>
      <c r="AO85" s="53">
        <f t="shared" si="893"/>
        <v>0.73870211102423877</v>
      </c>
      <c r="AP85" s="53">
        <f t="shared" si="893"/>
        <v>0.75996872556685324</v>
      </c>
      <c r="AQ85" s="53">
        <f t="shared" si="893"/>
        <v>0.69366692728694357</v>
      </c>
      <c r="AR85" s="53">
        <f t="shared" si="893"/>
        <v>1.244409695074276</v>
      </c>
      <c r="AS85" s="53">
        <f t="shared" si="893"/>
        <v>1.5934323690383092</v>
      </c>
      <c r="AT85" s="53">
        <f t="shared" si="893"/>
        <v>1.507114933541829</v>
      </c>
      <c r="AU85" s="53">
        <f t="shared" si="893"/>
        <v>1.5199374511336976</v>
      </c>
      <c r="AV85" s="53">
        <f t="shared" si="893"/>
        <v>1.1369820172009386</v>
      </c>
      <c r="AW85" s="53">
        <f t="shared" si="893"/>
        <v>0.66458170445660503</v>
      </c>
      <c r="AX85" s="53">
        <f t="shared" si="893"/>
        <v>2.2225175918686477</v>
      </c>
      <c r="AY85" s="53">
        <f t="shared" si="893"/>
        <v>1.0286161063330745</v>
      </c>
      <c r="AZ85" s="53">
        <f t="shared" si="893"/>
        <v>1.2817826426896022</v>
      </c>
      <c r="BA85" s="53">
        <f t="shared" si="893"/>
        <v>1.2614542611415178</v>
      </c>
      <c r="BB85" s="53">
        <f t="shared" si="893"/>
        <v>2.4555121188428446</v>
      </c>
      <c r="BC85" s="53">
        <f t="shared" si="893"/>
        <v>0.99437060203284211</v>
      </c>
      <c r="BD85" s="53">
        <f t="shared" si="893"/>
        <v>0.97419859265050945</v>
      </c>
      <c r="BE85" s="53">
        <f t="shared" si="893"/>
        <v>1.7208756841282236</v>
      </c>
      <c r="BF85" s="53">
        <f t="shared" si="893"/>
        <v>2.4761532447224375</v>
      </c>
      <c r="BG85" s="53">
        <f t="shared" si="893"/>
        <v>1.4786551993745094</v>
      </c>
      <c r="BH85" s="53">
        <f t="shared" si="893"/>
        <v>1.5318217357310393</v>
      </c>
      <c r="BI85" s="53">
        <f t="shared" si="893"/>
        <v>2.1760750586395581</v>
      </c>
      <c r="BJ85" s="53">
        <f t="shared" si="893"/>
        <v>2.3903049257232185</v>
      </c>
      <c r="BK85" s="53">
        <f t="shared" si="893"/>
        <v>2.0780297107114918</v>
      </c>
      <c r="BL85" s="53">
        <f t="shared" si="893"/>
        <v>5.109460516028145</v>
      </c>
      <c r="BM85" s="53">
        <f t="shared" si="893"/>
        <v>1.9932759968725584</v>
      </c>
      <c r="BN85" s="53">
        <f t="shared" si="893"/>
        <v>1.2747458952306463</v>
      </c>
      <c r="BO85" s="53">
        <f t="shared" ref="BO85:CT85" si="894">(BO67-BO66)/BO84</f>
        <v>-0.14448788115715516</v>
      </c>
      <c r="BP85" s="53">
        <f t="shared" si="894"/>
        <v>1.2228303362001594</v>
      </c>
      <c r="BQ85" s="53">
        <f t="shared" si="894"/>
        <v>1.0284597341673134</v>
      </c>
      <c r="BR85" s="53">
        <f t="shared" si="894"/>
        <v>2.8788115715402594</v>
      </c>
      <c r="BS85" s="53">
        <f t="shared" si="894"/>
        <v>2.3784206411258784</v>
      </c>
      <c r="BT85" s="53">
        <f t="shared" si="894"/>
        <v>1.8777169663799822</v>
      </c>
      <c r="BU85" s="53">
        <f t="shared" si="894"/>
        <v>0.19765441751368457</v>
      </c>
      <c r="BV85" s="53">
        <f t="shared" si="894"/>
        <v>1.9848318999218089</v>
      </c>
      <c r="BW85" s="53">
        <f t="shared" si="894"/>
        <v>7.5840500390931431E-2</v>
      </c>
      <c r="BX85" s="53">
        <f t="shared" si="894"/>
        <v>1.3207193119624732</v>
      </c>
      <c r="BY85" s="53">
        <f t="shared" si="894"/>
        <v>3.353244722439396</v>
      </c>
      <c r="BZ85" s="53">
        <f t="shared" si="894"/>
        <v>5.5849882720875685</v>
      </c>
      <c r="CA85" s="53">
        <f t="shared" si="894"/>
        <v>4.1376075058639614</v>
      </c>
      <c r="CB85" s="53">
        <f t="shared" si="894"/>
        <v>5.8956997654417469</v>
      </c>
      <c r="CC85" s="53">
        <f t="shared" si="894"/>
        <v>8.3379202501954701</v>
      </c>
      <c r="CD85" s="53">
        <f t="shared" si="894"/>
        <v>7.8526974198592674</v>
      </c>
      <c r="CE85" s="53">
        <f t="shared" si="894"/>
        <v>6.8969507427677801</v>
      </c>
      <c r="CF85" s="53">
        <f t="shared" si="894"/>
        <v>7.8125097732603646</v>
      </c>
      <c r="CG85" s="53">
        <f t="shared" si="894"/>
        <v>7.91899921813918</v>
      </c>
      <c r="CH85" s="53">
        <f t="shared" si="894"/>
        <v>8.7639562157935877</v>
      </c>
      <c r="CI85" s="53">
        <f t="shared" si="894"/>
        <v>4.5643862392494174</v>
      </c>
      <c r="CJ85" s="53">
        <f t="shared" si="894"/>
        <v>2.3751368256450411</v>
      </c>
      <c r="CK85" s="53">
        <f t="shared" ref="CK85:CL85" si="895">(CK67-CK66)/CK84</f>
        <v>4.0342455043002445</v>
      </c>
      <c r="CL85" s="53">
        <f t="shared" si="895"/>
        <v>2.1802971071149284</v>
      </c>
      <c r="CM85" s="54">
        <f t="shared" si="894"/>
        <v>2.8386851237427049</v>
      </c>
      <c r="CN85" s="54">
        <f t="shared" si="894"/>
        <v>3.6797094586045414</v>
      </c>
      <c r="CO85" s="54">
        <f t="shared" si="894"/>
        <v>5.3166075174179683</v>
      </c>
      <c r="CP85" s="54">
        <f t="shared" si="894"/>
        <v>5.4823862909516841</v>
      </c>
      <c r="CQ85" s="54">
        <f t="shared" si="894"/>
        <v>4.6447522705972011</v>
      </c>
      <c r="CR85" s="54">
        <f t="shared" si="894"/>
        <v>4.2254848619992282</v>
      </c>
      <c r="CS85" s="54">
        <f t="shared" si="894"/>
        <v>6.0864947704071568</v>
      </c>
      <c r="CT85" s="54">
        <f t="shared" si="894"/>
        <v>6.2877208348393001</v>
      </c>
      <c r="CU85" s="54">
        <f t="shared" ref="CU85:DB85" si="896">(CU67-CU66)/CU84</f>
        <v>5.3854574868816529</v>
      </c>
      <c r="CV85" s="54">
        <f t="shared" si="896"/>
        <v>4.9436732373343144</v>
      </c>
      <c r="CW85" s="54">
        <f t="shared" si="896"/>
        <v>7.0104812425280469</v>
      </c>
      <c r="CX85" s="54">
        <f t="shared" si="896"/>
        <v>7.2518258289837467</v>
      </c>
      <c r="CY85" s="54">
        <f t="shared" si="896"/>
        <v>6.2796427053299659</v>
      </c>
      <c r="CZ85" s="54">
        <f t="shared" si="896"/>
        <v>5.8143093050175594</v>
      </c>
      <c r="DA85" s="54">
        <f t="shared" si="896"/>
        <v>8.1087624168409835</v>
      </c>
      <c r="DB85" s="54">
        <f t="shared" si="896"/>
        <v>8.395553369811223</v>
      </c>
      <c r="DE85" s="132"/>
      <c r="DF85" s="53">
        <v>27.183211884284585</v>
      </c>
    </row>
    <row r="86" spans="1:110" s="3" customFormat="1" x14ac:dyDescent="0.2">
      <c r="A86" s="3" t="s">
        <v>31</v>
      </c>
      <c r="B86" s="3">
        <f>'Annual Raw'!C110</f>
        <v>0</v>
      </c>
      <c r="C86" s="3">
        <f>'Annual Raw'!D110</f>
        <v>0</v>
      </c>
      <c r="D86" s="3">
        <f>'Annual Raw'!E110</f>
        <v>0</v>
      </c>
      <c r="E86" s="3">
        <f>'Annual Raw'!F110</f>
        <v>0</v>
      </c>
      <c r="F86" s="3">
        <f>'Annual Raw'!G110</f>
        <v>0</v>
      </c>
      <c r="G86" s="3">
        <f>'Annual Raw'!H110</f>
        <v>0</v>
      </c>
      <c r="H86" s="3">
        <f>'Annual Raw'!I110</f>
        <v>0</v>
      </c>
      <c r="I86" s="3">
        <f>'Annual Raw'!J110</f>
        <v>0</v>
      </c>
      <c r="J86" s="3">
        <f>'Annual Raw'!K110</f>
        <v>0</v>
      </c>
      <c r="K86" s="3">
        <f>'Annual Raw'!L110</f>
        <v>0.625</v>
      </c>
      <c r="L86" s="3">
        <f>'Annual Raw'!M110</f>
        <v>0.5</v>
      </c>
      <c r="M86" s="3">
        <f>'Annual Raw'!N110</f>
        <v>0.5</v>
      </c>
      <c r="N86" s="3">
        <f>'Annual Raw'!O110</f>
        <v>0.5</v>
      </c>
      <c r="O86" s="3">
        <f>'Annual Raw'!P110</f>
        <v>0.5</v>
      </c>
      <c r="P86" s="3">
        <f>'Annual Raw'!Q110</f>
        <v>0.5</v>
      </c>
      <c r="Q86" s="3">
        <f>'Annual Raw'!R110</f>
        <v>0.5</v>
      </c>
      <c r="R86" s="3">
        <f>'Annual Raw'!S110</f>
        <v>0.5</v>
      </c>
      <c r="S86" s="3">
        <f>'Annual Raw'!T110</f>
        <v>0.6</v>
      </c>
      <c r="T86" s="3">
        <f>'Annual Raw'!U110</f>
        <v>1</v>
      </c>
      <c r="U86" s="3">
        <f>'Annual Raw'!V110</f>
        <v>1</v>
      </c>
      <c r="V86" s="3">
        <f>'Annual Raw'!W110</f>
        <v>1</v>
      </c>
      <c r="W86" s="3">
        <f>'Annual Raw'!X110</f>
        <v>1</v>
      </c>
      <c r="X86" s="3">
        <f>'Annual Raw'!Y110</f>
        <v>1.5</v>
      </c>
      <c r="Y86" s="3">
        <f>'Annual Raw'!Z110</f>
        <v>2</v>
      </c>
      <c r="Z86" s="3">
        <f>'Annual Raw'!AA110</f>
        <v>2</v>
      </c>
      <c r="AA86" s="3">
        <f>'Annual Raw'!AB110</f>
        <v>2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2</v>
      </c>
    </row>
    <row r="87" spans="1:110" s="3" customFormat="1" x14ac:dyDescent="0.2">
      <c r="A87" s="3" t="s">
        <v>32</v>
      </c>
      <c r="B87" s="3" t="e">
        <f>B86/B85</f>
        <v>#DIV/0!</v>
      </c>
      <c r="C87" s="3" t="e">
        <f t="shared" ref="C87:U87" si="897">C86/C85</f>
        <v>#DIV/0!</v>
      </c>
      <c r="D87" s="3" t="e">
        <f t="shared" si="897"/>
        <v>#DIV/0!</v>
      </c>
      <c r="E87" s="3" t="e">
        <f t="shared" ca="1" si="897"/>
        <v>#DIV/0!</v>
      </c>
      <c r="F87" s="3" t="e">
        <f t="shared" ca="1" si="897"/>
        <v>#DIV/0!</v>
      </c>
      <c r="G87" s="3" t="e">
        <f t="shared" ca="1" si="897"/>
        <v>#DIV/0!</v>
      </c>
      <c r="H87" s="3" t="e">
        <f t="shared" ca="1" si="897"/>
        <v>#DIV/0!</v>
      </c>
      <c r="I87" s="3" t="e">
        <f t="shared" ca="1" si="897"/>
        <v>#DIV/0!</v>
      </c>
      <c r="J87" s="3" t="e">
        <f t="shared" ca="1" si="897"/>
        <v>#DIV/0!</v>
      </c>
      <c r="K87" s="3">
        <f t="shared" ca="1" si="897"/>
        <v>5.8800920953908153E-2</v>
      </c>
      <c r="L87" s="3">
        <f t="shared" ca="1" si="897"/>
        <v>7.1909407864538963E-2</v>
      </c>
      <c r="M87" s="3">
        <f t="shared" ca="1" si="897"/>
        <v>9.6919285255507567E-2</v>
      </c>
      <c r="N87" s="3">
        <f t="shared" ca="1" si="897"/>
        <v>0.17608610293781582</v>
      </c>
      <c r="O87" s="3">
        <f t="shared" ca="1" si="897"/>
        <v>-1.7957833490587736</v>
      </c>
      <c r="P87" s="3">
        <f t="shared" ca="1" si="897"/>
        <v>-1.0481166679232692</v>
      </c>
      <c r="Q87" s="3">
        <f t="shared" ca="1" si="897"/>
        <v>0.71881877673789973</v>
      </c>
      <c r="R87" s="3">
        <f t="shared" ca="1" si="897"/>
        <v>0.29152963937851928</v>
      </c>
      <c r="S87" s="3">
        <f t="shared" ca="1" si="897"/>
        <v>0.13659738304049293</v>
      </c>
      <c r="T87" s="3">
        <f t="shared" ca="1" si="897"/>
        <v>0.13198286348534685</v>
      </c>
      <c r="U87" s="3">
        <f t="shared" ca="1" si="897"/>
        <v>9.5906207178703351E-2</v>
      </c>
      <c r="V87" s="3">
        <f ca="1">V86/V85</f>
        <v>0.20057673259718525</v>
      </c>
      <c r="W87" s="3">
        <f t="shared" ref="W87" ca="1" si="898">W86/W85</f>
        <v>0.1553130292209508</v>
      </c>
      <c r="X87" s="3">
        <f t="shared" ref="X87:Y87" ca="1" si="899">X86/X85</f>
        <v>0.14338740773803252</v>
      </c>
      <c r="Y87" s="3">
        <f t="shared" ca="1" si="899"/>
        <v>7.6265661144571575E-2</v>
      </c>
      <c r="Z87" s="3">
        <f t="shared" ref="Z87:AA87" ca="1" si="900">Z86/Z85</f>
        <v>7.357482289119259E-2</v>
      </c>
      <c r="AA87" s="3">
        <f t="shared" ca="1" si="900"/>
        <v>7.357482289119259E-2</v>
      </c>
      <c r="AB87" s="37">
        <f t="shared" ref="AB87:AD87" ca="1" si="901">AB86/AB85</f>
        <v>0</v>
      </c>
      <c r="AC87" s="37">
        <f t="shared" ca="1" si="901"/>
        <v>0</v>
      </c>
      <c r="AD87" s="37">
        <f t="shared" ca="1" si="901"/>
        <v>0</v>
      </c>
      <c r="AE87" s="37">
        <f t="shared" ref="AE87" ca="1" si="902">AE86/AE85</f>
        <v>0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7.357482289119259E-2</v>
      </c>
    </row>
    <row r="88" spans="1:110" s="3" customFormat="1" x14ac:dyDescent="0.2">
      <c r="A88" s="3" t="s">
        <v>33</v>
      </c>
      <c r="B88" s="3" t="e">
        <f>+B85</f>
        <v>#DIV/0!</v>
      </c>
      <c r="C88" s="3" t="e">
        <f t="shared" ref="C88:U88" si="903">+C85</f>
        <v>#DIV/0!</v>
      </c>
      <c r="D88" s="3" t="e">
        <f t="shared" si="903"/>
        <v>#DIV/0!</v>
      </c>
      <c r="E88" s="3">
        <f t="shared" ca="1" si="903"/>
        <v>0</v>
      </c>
      <c r="F88" s="3">
        <f t="shared" ca="1" si="903"/>
        <v>0</v>
      </c>
      <c r="G88" s="3">
        <f t="shared" ca="1" si="903"/>
        <v>0</v>
      </c>
      <c r="H88" s="3">
        <f t="shared" ca="1" si="903"/>
        <v>0</v>
      </c>
      <c r="I88" s="3">
        <f t="shared" ca="1" si="903"/>
        <v>0</v>
      </c>
      <c r="J88" s="3">
        <f t="shared" ca="1" si="903"/>
        <v>0</v>
      </c>
      <c r="K88" s="3">
        <f t="shared" ca="1" si="903"/>
        <v>10.629085222830339</v>
      </c>
      <c r="L88" s="3">
        <f t="shared" ca="1" si="903"/>
        <v>6.9531931196247188</v>
      </c>
      <c r="M88" s="3">
        <f t="shared" ca="1" si="903"/>
        <v>5.1589319781079057</v>
      </c>
      <c r="N88" s="3">
        <f t="shared" ca="1" si="903"/>
        <v>2.8395199374511297</v>
      </c>
      <c r="O88" s="3">
        <f t="shared" ca="1" si="903"/>
        <v>-0.27843002345581702</v>
      </c>
      <c r="P88" s="3">
        <f t="shared" ca="1" si="903"/>
        <v>-0.47704612978886823</v>
      </c>
      <c r="Q88" s="3">
        <f t="shared" ca="1" si="903"/>
        <v>0.69558561376077299</v>
      </c>
      <c r="R88" s="3">
        <f t="shared" ca="1" si="903"/>
        <v>1.7150914777169701</v>
      </c>
      <c r="S88" s="3">
        <f t="shared" ca="1" si="903"/>
        <v>4.3924706802189322</v>
      </c>
      <c r="T88" s="3">
        <f ca="1">+T85</f>
        <v>7.5767412040656552</v>
      </c>
      <c r="U88" s="3">
        <f t="shared" ca="1" si="903"/>
        <v>10.426853792025017</v>
      </c>
      <c r="V88" s="3">
        <f ca="1">+V85</f>
        <v>4.9856231430805211</v>
      </c>
      <c r="W88" s="3">
        <f t="shared" ref="W88" ca="1" si="904">+W85</f>
        <v>6.4386098514464232</v>
      </c>
      <c r="X88" s="3">
        <f t="shared" ref="X88:Y88" ca="1" si="905">+X85</f>
        <v>10.46116966379981</v>
      </c>
      <c r="Y88" s="3">
        <f t="shared" ca="1" si="905"/>
        <v>26.224121970289321</v>
      </c>
      <c r="Z88" s="3">
        <f t="shared" ref="Z88:AA88" ca="1" si="906">+Z85</f>
        <v>27.183211884284585</v>
      </c>
      <c r="AA88" s="3">
        <f t="shared" ca="1" si="906"/>
        <v>27.183211884284585</v>
      </c>
      <c r="AB88" s="37">
        <f t="shared" ref="AB88:AD88" ca="1" si="907">+AB85</f>
        <v>17.3173883907169</v>
      </c>
      <c r="AC88" s="37">
        <f t="shared" ca="1" si="907"/>
        <v>21.244452737842913</v>
      </c>
      <c r="AD88" s="37">
        <f t="shared" ca="1" si="907"/>
        <v>24.591437795727721</v>
      </c>
      <c r="AE88" s="37">
        <f t="shared" ref="AE88" ca="1" si="908">+AE85</f>
        <v>28.598267796999732</v>
      </c>
      <c r="AL88" s="3">
        <f>SUM(AI85:AL85)</f>
        <v>5.0739640344018744</v>
      </c>
      <c r="AM88" s="3">
        <f t="shared" ref="AM88" si="909">SUM(AJ85:AM85)</f>
        <v>4.6905394839718548</v>
      </c>
      <c r="AN88" s="3">
        <f t="shared" ref="AN88" si="910">SUM(AK85:AN85)</f>
        <v>3.6927286942924153</v>
      </c>
      <c r="AO88" s="3">
        <f t="shared" ref="AO88" si="911">SUM(AL85:AO85)</f>
        <v>3.244409695074276</v>
      </c>
      <c r="AP88" s="3">
        <f t="shared" ref="AP88" si="912">SUM(AM85:AP85)</f>
        <v>3.4118842845973463</v>
      </c>
      <c r="AQ88" s="3">
        <f t="shared" ref="AQ88" si="913">SUM(AN85:AQ85)</f>
        <v>3.0530101641907788</v>
      </c>
      <c r="AR88" s="3">
        <f t="shared" ref="AR88" si="914">SUM(AO85:AR85)</f>
        <v>3.4367474589523117</v>
      </c>
      <c r="AS88" s="3">
        <f t="shared" ref="AS88" si="915">SUM(AP85:AS85)</f>
        <v>4.2914777169663818</v>
      </c>
      <c r="AT88" s="3">
        <f t="shared" ref="AT88" si="916">SUM(AQ85:AT85)</f>
        <v>5.0386239249413576</v>
      </c>
      <c r="AU88" s="3">
        <f t="shared" ref="AU88" si="917">SUM(AR85:AU85)</f>
        <v>5.8648944487881121</v>
      </c>
      <c r="AV88" s="3">
        <f t="shared" ref="AV88" si="918">SUM(AS85:AV85)</f>
        <v>5.7574667709147747</v>
      </c>
      <c r="AW88" s="3">
        <f t="shared" ref="AW88" si="919">SUM(AT85:AW85)</f>
        <v>4.8286161063330706</v>
      </c>
      <c r="AX88" s="3">
        <f t="shared" ref="AX88" si="920">SUM(AU85:AX85)</f>
        <v>5.5440187646598886</v>
      </c>
      <c r="AY88" s="3">
        <f t="shared" ref="AY88" si="921">SUM(AV85:AY85)</f>
        <v>5.0526974198592658</v>
      </c>
      <c r="AZ88" s="3">
        <f t="shared" ref="AZ88" si="922">SUM(AW85:AZ85)</f>
        <v>5.1974980453479294</v>
      </c>
      <c r="BA88" s="3">
        <f t="shared" ref="BA88" si="923">SUM(AX85:BA85)</f>
        <v>5.794370602032842</v>
      </c>
      <c r="BB88" s="3">
        <f t="shared" ref="BB88" si="924">SUM(AY85:BB85)</f>
        <v>6.0273651290070394</v>
      </c>
      <c r="BC88" s="3">
        <f t="shared" ref="BC88" si="925">SUM(AZ85:BC85)</f>
        <v>5.9931196247068064</v>
      </c>
      <c r="BD88" s="3">
        <f t="shared" ref="BD88" si="926">SUM(BA85:BD85)</f>
        <v>5.6855355746677141</v>
      </c>
      <c r="BE88" s="3">
        <f t="shared" ref="BE88" si="927">SUM(BB85:BE85)</f>
        <v>6.1449569976544201</v>
      </c>
      <c r="BF88" s="3">
        <f t="shared" ref="BF88" si="928">SUM(BC85:BF85)</f>
        <v>6.1655981235340125</v>
      </c>
      <c r="BG88" s="3">
        <f t="shared" ref="BG88" si="929">SUM(BD85:BG85)</f>
        <v>6.6498827208756808</v>
      </c>
      <c r="BH88" s="3">
        <f t="shared" ref="BH88" si="930">SUM(BE85:BH85)</f>
        <v>7.20750586395621</v>
      </c>
      <c r="BI88" s="3">
        <f t="shared" ref="BI88" si="931">SUM(BF85:BI85)</f>
        <v>7.6627052384675443</v>
      </c>
      <c r="BJ88" s="3">
        <f t="shared" ref="BJ88" si="932">SUM(BG85:BJ85)</f>
        <v>7.5768569194683257</v>
      </c>
      <c r="BK88" s="3">
        <f t="shared" ref="BK88" si="933">SUM(BH85:BK85)</f>
        <v>8.1762314308053075</v>
      </c>
      <c r="BL88" s="3">
        <f t="shared" ref="BL88" si="934">SUM(BI85:BL85)</f>
        <v>11.753870211102413</v>
      </c>
      <c r="BM88" s="3">
        <f t="shared" ref="BM88" si="935">SUM(BJ85:BM85)</f>
        <v>11.571071149335413</v>
      </c>
      <c r="BN88" s="3">
        <f t="shared" ref="BN88" si="936">SUM(BK85:BN85)</f>
        <v>10.455512118842842</v>
      </c>
      <c r="BO88" s="3">
        <f t="shared" ref="BO88" si="937">SUM(BL85:BO85)</f>
        <v>8.2329945269741938</v>
      </c>
      <c r="BP88" s="3">
        <f t="shared" ref="BP88" si="938">SUM(BM85:BP85)</f>
        <v>4.346364347146209</v>
      </c>
      <c r="BQ88" s="3">
        <f t="shared" ref="BQ88" si="939">SUM(BN85:BQ85)</f>
        <v>3.381548084440964</v>
      </c>
      <c r="BR88" s="3">
        <f t="shared" ref="BR88" si="940">SUM(BO85:BR85)</f>
        <v>4.9856137607505771</v>
      </c>
      <c r="BS88" s="3">
        <f t="shared" ref="BS88" si="941">SUM(BP85:BS85)</f>
        <v>7.50852228303361</v>
      </c>
      <c r="BT88" s="3">
        <f t="shared" ref="BT88" si="942">SUM(BQ85:BT85)</f>
        <v>8.1634089132134324</v>
      </c>
      <c r="BU88" s="3">
        <f t="shared" ref="BU88" si="943">SUM(BR85:BU85)</f>
        <v>7.332603596559804</v>
      </c>
      <c r="BV88" s="3">
        <f t="shared" ref="BV88" si="944">SUM(BS85:BV85)</f>
        <v>6.4386239249413544</v>
      </c>
      <c r="BW88" s="3">
        <f t="shared" ref="BW88" si="945">SUM(BT85:BW85)</f>
        <v>4.1360437842064073</v>
      </c>
      <c r="BX88" s="3">
        <f t="shared" ref="BX88" si="946">SUM(BU85:BX85)</f>
        <v>3.5790461297888978</v>
      </c>
      <c r="BY88" s="3">
        <f t="shared" ref="BY88" si="947">SUM(BV85:BY85)</f>
        <v>6.7346364347146093</v>
      </c>
      <c r="BZ88" s="3">
        <f t="shared" ref="BZ88" si="948">SUM(BW85:BZ85)</f>
        <v>10.334792806880369</v>
      </c>
      <c r="CA88" s="3">
        <f t="shared" ref="CA88" si="949">SUM(BX85:CA85)</f>
        <v>14.396559812353399</v>
      </c>
      <c r="CB88" s="3">
        <f t="shared" ref="CB88" si="950">SUM(BY85:CB85)</f>
        <v>18.971540265832672</v>
      </c>
      <c r="CC88" s="3">
        <f t="shared" ref="CC88" si="951">SUM(BZ85:CC85)</f>
        <v>23.956215793588747</v>
      </c>
      <c r="CD88" s="3">
        <f t="shared" ref="CD88" si="952">SUM(CA85:CD85)</f>
        <v>26.223924941360448</v>
      </c>
      <c r="CE88" s="3">
        <f t="shared" ref="CE88" si="953">SUM(CB85:CE85)</f>
        <v>28.983268178264268</v>
      </c>
      <c r="CF88" s="3">
        <f t="shared" ref="CF88" si="954">SUM(CC85:CF85)</f>
        <v>30.900078186082887</v>
      </c>
      <c r="CG88" s="3">
        <f t="shared" ref="CG88" si="955">SUM(CD85:CG85)</f>
        <v>30.481157154026594</v>
      </c>
      <c r="CH88" s="3">
        <f t="shared" ref="CH88:CL88" si="956">SUM(CE85:CH85)</f>
        <v>31.392415949960913</v>
      </c>
      <c r="CI88" s="3">
        <f t="shared" si="956"/>
        <v>29.059851446442551</v>
      </c>
      <c r="CJ88" s="3">
        <f t="shared" si="956"/>
        <v>23.622478498827224</v>
      </c>
      <c r="CK88" s="3">
        <f t="shared" si="956"/>
        <v>19.737724784988291</v>
      </c>
      <c r="CL88" s="3">
        <f t="shared" si="956"/>
        <v>13.154065676309632</v>
      </c>
      <c r="CM88" s="37">
        <f t="shared" ref="CM88" si="957">SUM(CJ85:CM85)</f>
        <v>11.428364560802919</v>
      </c>
      <c r="CN88" s="37">
        <f t="shared" ref="CN88" si="958">SUM(CK85:CN85)</f>
        <v>12.732937193762419</v>
      </c>
      <c r="CO88" s="37">
        <f t="shared" ref="CO88" si="959">SUM(CL85:CO85)</f>
        <v>14.015299206880144</v>
      </c>
      <c r="CP88" s="37">
        <f t="shared" ref="CP88" si="960">SUM(CM85:CP85)</f>
        <v>17.3173883907169</v>
      </c>
      <c r="CQ88" s="37">
        <f t="shared" ref="CQ88" si="961">SUM(CN85:CQ85)</f>
        <v>19.123455537571395</v>
      </c>
      <c r="CR88" s="37">
        <f t="shared" ref="CR88" si="962">SUM(CO85:CR85)</f>
        <v>19.669230940966081</v>
      </c>
      <c r="CS88" s="37">
        <f t="shared" ref="CS88" si="963">SUM(CP85:CS85)</f>
        <v>20.43911819395527</v>
      </c>
      <c r="CT88" s="37">
        <f t="shared" ref="CT88" si="964">SUM(CQ85:CT85)</f>
        <v>21.244452737842884</v>
      </c>
      <c r="CU88" s="37">
        <f t="shared" ref="CU88" si="965">SUM(CR85:CU85)</f>
        <v>21.985157954127335</v>
      </c>
      <c r="CV88" s="37">
        <f t="shared" ref="CV88" si="966">SUM(CS85:CV85)</f>
        <v>22.703346329462427</v>
      </c>
      <c r="CW88" s="37">
        <f t="shared" ref="CW88" si="967">SUM(CT85:CW85)</f>
        <v>23.627332801583318</v>
      </c>
      <c r="CX88" s="37">
        <f t="shared" ref="CX88" si="968">SUM(CU85:CX85)</f>
        <v>24.591437795727764</v>
      </c>
      <c r="CY88" s="37">
        <f t="shared" ref="CY88" si="969">SUM(CV85:CY85)</f>
        <v>25.485623014176074</v>
      </c>
      <c r="CZ88" s="37">
        <f t="shared" ref="CZ88" si="970">SUM(CW85:CZ85)</f>
        <v>26.356259081859321</v>
      </c>
      <c r="DA88" s="37">
        <f t="shared" ref="DA88" si="971">SUM(CX85:DA85)</f>
        <v>27.454540256172258</v>
      </c>
      <c r="DB88" s="37">
        <f t="shared" ref="DB88" si="972">SUM(CY85:DB85)</f>
        <v>28.598267796999735</v>
      </c>
      <c r="DE88" s="134"/>
      <c r="DF88" s="3">
        <v>27.183211884284585</v>
      </c>
    </row>
    <row r="89" spans="1:110" s="97" customFormat="1" x14ac:dyDescent="0.2">
      <c r="A89" s="97" t="s">
        <v>425</v>
      </c>
      <c r="C89" s="101" t="e">
        <f t="shared" ref="C89:AA89" si="973">+C88/B88-1</f>
        <v>#DIV/0!</v>
      </c>
      <c r="D89" s="101" t="e">
        <f t="shared" si="973"/>
        <v>#DIV/0!</v>
      </c>
      <c r="E89" s="101" t="e">
        <f t="shared" ca="1" si="973"/>
        <v>#DIV/0!</v>
      </c>
      <c r="F89" s="101" t="e">
        <f t="shared" ca="1" si="973"/>
        <v>#DIV/0!</v>
      </c>
      <c r="G89" s="101" t="e">
        <f t="shared" ca="1" si="973"/>
        <v>#DIV/0!</v>
      </c>
      <c r="H89" s="101" t="e">
        <f t="shared" ca="1" si="973"/>
        <v>#DIV/0!</v>
      </c>
      <c r="I89" s="101" t="e">
        <f t="shared" ca="1" si="973"/>
        <v>#DIV/0!</v>
      </c>
      <c r="J89" s="101" t="e">
        <f t="shared" ca="1" si="973"/>
        <v>#DIV/0!</v>
      </c>
      <c r="K89" s="101" t="e">
        <f t="shared" ca="1" si="973"/>
        <v>#DIV/0!</v>
      </c>
      <c r="L89" s="101">
        <f t="shared" ca="1" si="973"/>
        <v>-0.34583334559310219</v>
      </c>
      <c r="M89" s="101">
        <f t="shared" ca="1" si="973"/>
        <v>-0.25804851248165162</v>
      </c>
      <c r="N89" s="101">
        <f t="shared" ca="1" si="973"/>
        <v>-0.44959151438694589</v>
      </c>
      <c r="O89" s="101">
        <f t="shared" ca="1" si="973"/>
        <v>-1.0980553155424388</v>
      </c>
      <c r="P89" s="101">
        <f t="shared" ca="1" si="973"/>
        <v>0.71334299321556038</v>
      </c>
      <c r="Q89" s="101">
        <f t="shared" ca="1" si="973"/>
        <v>-2.458109751500607</v>
      </c>
      <c r="R89" s="101">
        <f t="shared" ca="1" si="973"/>
        <v>1.4656799160122183</v>
      </c>
      <c r="S89" s="101">
        <f t="shared" ca="1" si="973"/>
        <v>1.5610707867698888</v>
      </c>
      <c r="T89" s="101">
        <f t="shared" ca="1" si="973"/>
        <v>0.72493836741740325</v>
      </c>
      <c r="U89" s="101">
        <f t="shared" ca="1" si="973"/>
        <v>0.37616602061450921</v>
      </c>
      <c r="V89" s="101">
        <f t="shared" ca="1" si="973"/>
        <v>-0.52184779392478142</v>
      </c>
      <c r="W89" s="101">
        <f t="shared" ca="1" si="973"/>
        <v>0.29143532647117198</v>
      </c>
      <c r="X89" s="101">
        <f t="shared" ca="1" si="973"/>
        <v>0.62475594967906378</v>
      </c>
      <c r="Y89" s="101">
        <f t="shared" ca="1" si="973"/>
        <v>1.5068059130171814</v>
      </c>
      <c r="Z89" s="101">
        <f t="shared" ca="1" si="973"/>
        <v>3.6572813193969544E-2</v>
      </c>
      <c r="AA89" s="101">
        <f t="shared" ca="1" si="973"/>
        <v>3.6572813193969544E-2</v>
      </c>
      <c r="AB89" s="173">
        <f t="shared" ref="AB89" ca="1" si="974">+AB88/AA88-1</f>
        <v>0.31650463186491629</v>
      </c>
      <c r="AC89" s="173">
        <f t="shared" ref="AC89" ca="1" si="975">+AC88/AB88-1</f>
        <v>0.22677001049599044</v>
      </c>
      <c r="AD89" s="173">
        <f t="shared" ref="AD89" ca="1" si="976">+AD88/AC88-1</f>
        <v>0.15754630628459521</v>
      </c>
      <c r="AE89" s="173">
        <f t="shared" ref="AE89" ca="1" si="977">+AE88/AD88-1</f>
        <v>0.16293597936628657</v>
      </c>
      <c r="AL89" s="175"/>
      <c r="AM89" s="175"/>
      <c r="AN89" s="175"/>
      <c r="AO89" s="175"/>
      <c r="AP89" s="175">
        <f t="shared" ref="AP89:CL89" si="978">+IF(AL88&lt;0,1-AP88/AL88,AP88/AL88-1)</f>
        <v>-0.32757026627218822</v>
      </c>
      <c r="AQ89" s="175">
        <f t="shared" si="978"/>
        <v>-0.34911321509534532</v>
      </c>
      <c r="AR89" s="175">
        <f t="shared" si="978"/>
        <v>-6.9320347236924151E-2</v>
      </c>
      <c r="AS89" s="175">
        <f t="shared" si="978"/>
        <v>0.32272990167727089</v>
      </c>
      <c r="AT89" s="175">
        <f t="shared" si="978"/>
        <v>0.47678628718089455</v>
      </c>
      <c r="AU89" s="175">
        <f t="shared" si="978"/>
        <v>0.92102028272894487</v>
      </c>
      <c r="AV89" s="175">
        <f t="shared" si="978"/>
        <v>0.67526617526617194</v>
      </c>
      <c r="AW89" s="175">
        <f t="shared" si="978"/>
        <v>0.12516397026672399</v>
      </c>
      <c r="AX89" s="175">
        <f t="shared" si="978"/>
        <v>0.10030414002855226</v>
      </c>
      <c r="AY89" s="175">
        <f t="shared" si="978"/>
        <v>-0.13848450914520272</v>
      </c>
      <c r="AZ89" s="175">
        <f t="shared" si="978"/>
        <v>-9.7259567071348418E-2</v>
      </c>
      <c r="BA89" s="175">
        <f t="shared" si="978"/>
        <v>0.20000647689368312</v>
      </c>
      <c r="BB89" s="175">
        <f t="shared" si="978"/>
        <v>8.7183392565014728E-2</v>
      </c>
      <c r="BC89" s="175">
        <f t="shared" si="978"/>
        <v>0.18612280267392989</v>
      </c>
      <c r="BD89" s="175">
        <f t="shared" si="978"/>
        <v>9.3898549852579061E-2</v>
      </c>
      <c r="BE89" s="175">
        <f t="shared" si="978"/>
        <v>6.0504655242207273E-2</v>
      </c>
      <c r="BF89" s="175">
        <f t="shared" si="978"/>
        <v>2.2934232715008163E-2</v>
      </c>
      <c r="BG89" s="175">
        <f t="shared" si="978"/>
        <v>0.10958618170432466</v>
      </c>
      <c r="BH89" s="175">
        <f t="shared" si="978"/>
        <v>0.26769163068291002</v>
      </c>
      <c r="BI89" s="175">
        <f t="shared" si="978"/>
        <v>0.24699086444257645</v>
      </c>
      <c r="BJ89" s="175">
        <f t="shared" si="978"/>
        <v>0.22889243957493033</v>
      </c>
      <c r="BK89" s="175">
        <f t="shared" si="978"/>
        <v>0.22953016977848772</v>
      </c>
      <c r="BL89" s="175">
        <f t="shared" si="978"/>
        <v>0.63078191443200526</v>
      </c>
      <c r="BM89" s="175">
        <f t="shared" si="978"/>
        <v>0.5100504050772412</v>
      </c>
      <c r="BN89" s="175">
        <f t="shared" si="978"/>
        <v>0.37992735377884279</v>
      </c>
      <c r="BO89" s="175">
        <f t="shared" si="978"/>
        <v>6.9424522347816264E-3</v>
      </c>
      <c r="BP89" s="175">
        <f t="shared" si="978"/>
        <v>-0.63021844983104014</v>
      </c>
      <c r="BQ89" s="175">
        <f t="shared" si="978"/>
        <v>-0.70775842263875599</v>
      </c>
      <c r="BR89" s="175">
        <f t="shared" si="978"/>
        <v>-0.52315929587365284</v>
      </c>
      <c r="BS89" s="175">
        <f t="shared" si="978"/>
        <v>-8.799620132953534E-2</v>
      </c>
      <c r="BT89" s="175">
        <f t="shared" si="978"/>
        <v>0.87821550638603663</v>
      </c>
      <c r="BU89" s="175">
        <f t="shared" si="978"/>
        <v>1.1684161849710994</v>
      </c>
      <c r="BV89" s="175">
        <f t="shared" si="978"/>
        <v>0.29144057961923409</v>
      </c>
      <c r="BW89" s="175">
        <f t="shared" si="978"/>
        <v>-0.44915342482870635</v>
      </c>
      <c r="BX89" s="175">
        <f t="shared" si="978"/>
        <v>-0.56157456182357923</v>
      </c>
      <c r="BY89" s="175">
        <f t="shared" si="978"/>
        <v>-8.1549091529472539E-2</v>
      </c>
      <c r="BZ89" s="175">
        <f t="shared" si="978"/>
        <v>0.60512446873102665</v>
      </c>
      <c r="CA89" s="175">
        <f t="shared" si="978"/>
        <v>2.4807561436672994</v>
      </c>
      <c r="CB89" s="175">
        <f t="shared" si="978"/>
        <v>4.3007252708843033</v>
      </c>
      <c r="CC89" s="175">
        <f t="shared" si="978"/>
        <v>2.557165412835523</v>
      </c>
      <c r="CD89" s="175">
        <f t="shared" si="978"/>
        <v>1.5374408013193954</v>
      </c>
      <c r="CE89" s="175">
        <f t="shared" si="978"/>
        <v>1.0132079160602179</v>
      </c>
      <c r="CF89" s="175">
        <f t="shared" si="978"/>
        <v>0.6287595921630702</v>
      </c>
      <c r="CG89" s="175">
        <f t="shared" si="978"/>
        <v>0.27236945169712801</v>
      </c>
      <c r="CH89" s="175">
        <f t="shared" si="978"/>
        <v>0.19709067274093317</v>
      </c>
      <c r="CI89" s="175">
        <f t="shared" si="978"/>
        <v>2.6423268662199018E-3</v>
      </c>
      <c r="CJ89" s="175">
        <f t="shared" si="978"/>
        <v>-0.2355204295416129</v>
      </c>
      <c r="CK89" s="175">
        <f t="shared" si="978"/>
        <v>-0.35246143428052512</v>
      </c>
      <c r="CL89" s="175">
        <f t="shared" si="978"/>
        <v>-0.58097950481807348</v>
      </c>
      <c r="CM89" s="102">
        <f t="shared" ref="CM89:DB89" si="979">+IF(CI88&lt;0,1-CM88/CI88,CM88/CI88-1)</f>
        <v>-0.60673011072112837</v>
      </c>
      <c r="CN89" s="102">
        <f t="shared" si="979"/>
        <v>-0.46098216601638287</v>
      </c>
      <c r="CO89" s="102">
        <f t="shared" si="979"/>
        <v>-0.28992326321524109</v>
      </c>
      <c r="CP89" s="102">
        <f t="shared" si="979"/>
        <v>0.31650463186491296</v>
      </c>
      <c r="CQ89" s="102">
        <f t="shared" si="979"/>
        <v>0.67333264841420526</v>
      </c>
      <c r="CR89" s="102">
        <f t="shared" si="979"/>
        <v>0.54475205851180952</v>
      </c>
      <c r="CS89" s="102">
        <f t="shared" si="979"/>
        <v>0.45834333554018292</v>
      </c>
      <c r="CT89" s="102">
        <f t="shared" si="979"/>
        <v>0.22677001049598866</v>
      </c>
      <c r="CU89" s="102">
        <f t="shared" si="979"/>
        <v>0.14964358355285845</v>
      </c>
      <c r="CV89" s="102">
        <f t="shared" si="979"/>
        <v>0.15425694057905659</v>
      </c>
      <c r="CW89" s="102">
        <f t="shared" si="979"/>
        <v>0.15598591765915515</v>
      </c>
      <c r="CX89" s="102">
        <f t="shared" si="979"/>
        <v>0.15754630628459876</v>
      </c>
      <c r="CY89" s="102">
        <f t="shared" si="979"/>
        <v>0.15921946375607399</v>
      </c>
      <c r="CZ89" s="102">
        <f t="shared" si="979"/>
        <v>0.16089754784987198</v>
      </c>
      <c r="DA89" s="102">
        <f t="shared" si="979"/>
        <v>0.16198220453950141</v>
      </c>
      <c r="DB89" s="102">
        <f t="shared" si="979"/>
        <v>0.16293597936628457</v>
      </c>
      <c r="DE89" s="135"/>
      <c r="DF89" s="97">
        <v>3.6572813193969544E-2</v>
      </c>
    </row>
    <row r="90" spans="1:110" s="144" customFormat="1" x14ac:dyDescent="0.2">
      <c r="A90" s="144" t="s">
        <v>424</v>
      </c>
      <c r="AB90" s="145"/>
      <c r="AC90" s="145"/>
      <c r="AD90" s="145"/>
      <c r="AE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144" customFormat="1" x14ac:dyDescent="0.2">
      <c r="A91" s="144" t="s">
        <v>436</v>
      </c>
      <c r="AB91" s="145"/>
      <c r="AC91" s="145"/>
      <c r="AD91" s="145"/>
      <c r="AE91" s="145"/>
      <c r="CM91" s="145"/>
      <c r="CN91" s="145"/>
      <c r="CO91" s="145"/>
      <c r="CP91" s="145"/>
      <c r="CQ91" s="145"/>
      <c r="CR91" s="145"/>
      <c r="CS91" s="145"/>
      <c r="CT91" s="145"/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3" customFormat="1" x14ac:dyDescent="0.2">
      <c r="A92" s="3" t="s">
        <v>34</v>
      </c>
      <c r="B92" s="3">
        <f>'Annual Raw'!C112</f>
        <v>0</v>
      </c>
      <c r="C92" s="3">
        <f>'Annual Raw'!D112</f>
        <v>0</v>
      </c>
      <c r="D92" s="3">
        <f>'Annual Raw'!E112</f>
        <v>0</v>
      </c>
      <c r="E92" s="3">
        <f>'Annual Raw'!F112</f>
        <v>0</v>
      </c>
      <c r="F92" s="3">
        <f>'Annual Raw'!G112</f>
        <v>0</v>
      </c>
      <c r="G92" s="3">
        <f>'Annual Raw'!H112</f>
        <v>0</v>
      </c>
      <c r="H92" s="3">
        <f>'Annual Raw'!I112</f>
        <v>0</v>
      </c>
      <c r="I92" s="3">
        <f>'Annual Raw'!J112</f>
        <v>0</v>
      </c>
      <c r="J92" s="3">
        <f>'Annual Raw'!K112</f>
        <v>0</v>
      </c>
      <c r="K92" s="3">
        <f>'Annual Raw'!L112</f>
        <v>46.44</v>
      </c>
      <c r="L92" s="3">
        <f>'Annual Raw'!M112</f>
        <v>46</v>
      </c>
      <c r="M92" s="3">
        <f>'Annual Raw'!N112</f>
        <v>46</v>
      </c>
      <c r="N92" s="3">
        <f>'Annual Raw'!O112</f>
        <v>46</v>
      </c>
      <c r="O92" s="3">
        <f>'Annual Raw'!P112</f>
        <v>46.27</v>
      </c>
      <c r="P92" s="3">
        <f>'Annual Raw'!Q112</f>
        <v>48.83</v>
      </c>
      <c r="Q92" s="3">
        <f>'Annual Raw'!R112</f>
        <v>51.27</v>
      </c>
      <c r="R92" s="3">
        <f>'Annual Raw'!S112</f>
        <v>53.59</v>
      </c>
      <c r="S92" s="3">
        <f>'Annual Raw'!T112</f>
        <v>53.59</v>
      </c>
      <c r="T92" s="3">
        <f>'Annual Raw'!U112</f>
        <v>63.01</v>
      </c>
      <c r="U92" s="3">
        <f>'Annual Raw'!V112</f>
        <v>63.02</v>
      </c>
      <c r="V92" s="3">
        <f>'Annual Raw'!W112</f>
        <v>63.02</v>
      </c>
      <c r="W92" s="3">
        <f>'Annual Raw'!X112</f>
        <v>63.02</v>
      </c>
      <c r="X92" s="3">
        <f>'Annual Raw'!Y112</f>
        <v>63.25</v>
      </c>
      <c r="Y92" s="3">
        <f>'Annual Raw'!Z112</f>
        <v>63.27</v>
      </c>
      <c r="Z92" s="3">
        <f>'Annual Raw'!AA112</f>
        <v>63.28</v>
      </c>
      <c r="AA92" s="3">
        <f>'Annual Raw'!AB112</f>
        <v>63.25</v>
      </c>
      <c r="AB92" s="37"/>
      <c r="AC92" s="37"/>
      <c r="AD92" s="37"/>
      <c r="AE92" s="37"/>
      <c r="AI92" s="3">
        <f>'QTR Raw'!C49</f>
        <v>46</v>
      </c>
      <c r="AJ92" s="3">
        <f>'QTR Raw'!D49</f>
        <v>45.99</v>
      </c>
      <c r="AK92" s="3">
        <f>'QTR Raw'!E49</f>
        <v>46</v>
      </c>
      <c r="AL92" s="3">
        <f>'QTR Raw'!F49</f>
        <v>46</v>
      </c>
      <c r="AM92" s="3">
        <f>'QTR Raw'!G49</f>
        <v>46</v>
      </c>
      <c r="AN92" s="3">
        <f>'QTR Raw'!H49</f>
        <v>46.27</v>
      </c>
      <c r="AO92" s="3">
        <f>'QTR Raw'!I49</f>
        <v>46.27</v>
      </c>
      <c r="AP92" s="3">
        <f>'QTR Raw'!J49</f>
        <v>46.27</v>
      </c>
      <c r="AQ92" s="3">
        <f>'QTR Raw'!K49</f>
        <v>46.27</v>
      </c>
      <c r="AR92" s="3">
        <f>'QTR Raw'!L49</f>
        <v>46.27</v>
      </c>
      <c r="AS92" s="3">
        <f>'QTR Raw'!M49</f>
        <v>46.27</v>
      </c>
      <c r="AT92" s="3">
        <f>'QTR Raw'!N49</f>
        <v>48.83</v>
      </c>
      <c r="AU92" s="3">
        <f>'QTR Raw'!O49</f>
        <v>51.27</v>
      </c>
      <c r="AV92" s="3">
        <f>'QTR Raw'!P49</f>
        <v>51.27</v>
      </c>
      <c r="AW92" s="3">
        <f>'QTR Raw'!Q49</f>
        <v>51.27</v>
      </c>
      <c r="AX92" s="3">
        <f>'QTR Raw'!R49</f>
        <v>51.27</v>
      </c>
      <c r="AY92" s="3">
        <f>'QTR Raw'!S49</f>
        <v>53.59</v>
      </c>
      <c r="AZ92" s="3">
        <f>'QTR Raw'!T49</f>
        <v>53.59</v>
      </c>
      <c r="BA92" s="3">
        <f>'QTR Raw'!U49</f>
        <v>53.59</v>
      </c>
      <c r="BB92" s="3">
        <f>'QTR Raw'!V49</f>
        <v>53.59</v>
      </c>
      <c r="BC92" s="3">
        <f>'QTR Raw'!W49</f>
        <v>53.59</v>
      </c>
      <c r="BD92" s="3">
        <f>'QTR Raw'!X49</f>
        <v>53.59</v>
      </c>
      <c r="BE92" s="3">
        <f>'QTR Raw'!Y49</f>
        <v>53.59</v>
      </c>
      <c r="BF92" s="3">
        <f>'QTR Raw'!Z49</f>
        <v>53.59</v>
      </c>
      <c r="BG92" s="3">
        <f>'QTR Raw'!AA49</f>
        <v>53.59</v>
      </c>
      <c r="BH92" s="3">
        <f>'QTR Raw'!AB49</f>
        <v>63.01</v>
      </c>
      <c r="BI92" s="3">
        <f>'QTR Raw'!AC49</f>
        <v>63.01</v>
      </c>
      <c r="BJ92" s="3">
        <f>'QTR Raw'!AD49</f>
        <v>63.01</v>
      </c>
      <c r="BK92" s="3">
        <f>'QTR Raw'!AE49</f>
        <v>63.01</v>
      </c>
      <c r="BL92" s="3">
        <f>'QTR Raw'!AF49</f>
        <v>63.02</v>
      </c>
      <c r="BM92" s="3">
        <f>'QTR Raw'!AG49</f>
        <v>63.02</v>
      </c>
      <c r="BN92" s="3">
        <f>'QTR Raw'!AH49</f>
        <v>63.02</v>
      </c>
      <c r="BO92" s="3">
        <f>'QTR Raw'!AI49</f>
        <v>63.02</v>
      </c>
      <c r="BP92" s="3">
        <f>'QTR Raw'!AJ49</f>
        <v>63.02</v>
      </c>
      <c r="BQ92" s="3">
        <f>'QTR Raw'!AK49</f>
        <v>63.02</v>
      </c>
      <c r="BR92" s="3">
        <f>'QTR Raw'!AL49</f>
        <v>63.02</v>
      </c>
      <c r="BS92" s="3">
        <f>'QTR Raw'!AM49</f>
        <v>63.02</v>
      </c>
      <c r="BT92" s="3">
        <f>'QTR Raw'!AN49</f>
        <v>63.02</v>
      </c>
      <c r="BU92" s="3">
        <f>'QTR Raw'!AO49</f>
        <v>63.02</v>
      </c>
      <c r="BV92" s="3">
        <f>'QTR Raw'!AP49</f>
        <v>63.02</v>
      </c>
      <c r="BW92" s="3">
        <f>'QTR Raw'!AQ49</f>
        <v>63.02</v>
      </c>
      <c r="BX92" s="3">
        <f>'QTR Raw'!AR49</f>
        <v>63.02</v>
      </c>
      <c r="BY92" s="3">
        <f>'QTR Raw'!AS49</f>
        <v>63.02</v>
      </c>
      <c r="BZ92" s="3">
        <f>'QTR Raw'!AT49</f>
        <v>63.25</v>
      </c>
      <c r="CA92" s="3">
        <f>'QTR Raw'!AU49</f>
        <v>63.26</v>
      </c>
      <c r="CB92" s="3">
        <f>'QTR Raw'!AV49</f>
        <v>63.26</v>
      </c>
      <c r="CC92" s="3">
        <f>'QTR Raw'!AW49</f>
        <v>63.26</v>
      </c>
      <c r="CD92" s="3">
        <f>'QTR Raw'!AX49</f>
        <v>63.27</v>
      </c>
      <c r="CE92" s="3">
        <f>'QTR Raw'!AY49</f>
        <v>63.28</v>
      </c>
      <c r="CF92" s="3">
        <f>'QTR Raw'!AZ49</f>
        <v>63.28</v>
      </c>
      <c r="CG92" s="3">
        <f>'QTR Raw'!BA49</f>
        <v>63.28</v>
      </c>
      <c r="CH92" s="3">
        <f>'QTR Raw'!BB49</f>
        <v>63.28</v>
      </c>
      <c r="CI92" s="3">
        <f>'QTR Raw'!BC49</f>
        <v>63.26</v>
      </c>
      <c r="CJ92" s="3">
        <f>'QTR Raw'!BD49</f>
        <v>63.25</v>
      </c>
      <c r="CK92" s="3">
        <f>'QTR Raw'!BE49</f>
        <v>63.25</v>
      </c>
      <c r="CL92" s="3">
        <f>'QTR Raw'!BF49</f>
        <v>63.25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3">
        <v>63.25</v>
      </c>
    </row>
    <row r="93" spans="1:110" s="3" customFormat="1" x14ac:dyDescent="0.2">
      <c r="A93" s="3" t="s">
        <v>35</v>
      </c>
      <c r="B93" s="3">
        <f>'Annual Raw'!C113</f>
        <v>0</v>
      </c>
      <c r="C93" s="3">
        <f>'Annual Raw'!D113</f>
        <v>0</v>
      </c>
      <c r="D93" s="3">
        <f>'Annual Raw'!E113</f>
        <v>0</v>
      </c>
      <c r="E93" s="3">
        <f>'Annual Raw'!F113</f>
        <v>0</v>
      </c>
      <c r="F93" s="3">
        <f>'Annual Raw'!G113</f>
        <v>0</v>
      </c>
      <c r="G93" s="3">
        <f>'Annual Raw'!H113</f>
        <v>0</v>
      </c>
      <c r="H93" s="3">
        <f>'Annual Raw'!I113</f>
        <v>0</v>
      </c>
      <c r="I93" s="3">
        <f>'Annual Raw'!J113</f>
        <v>0</v>
      </c>
      <c r="J93" s="3">
        <f>'Annual Raw'!K113</f>
        <v>0</v>
      </c>
      <c r="K93" s="3">
        <f>'Annual Raw'!L113</f>
        <v>0.47</v>
      </c>
      <c r="L93" s="3">
        <f>'Annual Raw'!M113</f>
        <v>0.08</v>
      </c>
      <c r="M93" s="3">
        <f>'Annual Raw'!N113</f>
        <v>0</v>
      </c>
      <c r="N93" s="3">
        <f>'Annual Raw'!O113</f>
        <v>0</v>
      </c>
      <c r="O93" s="3">
        <f>'Annual Raw'!P113</f>
        <v>0</v>
      </c>
      <c r="P93" s="3">
        <f>'Annual Raw'!Q113</f>
        <v>0</v>
      </c>
      <c r="Q93" s="3">
        <f>'Annual Raw'!R113</f>
        <v>4.08</v>
      </c>
      <c r="R93" s="3">
        <f>'Annual Raw'!S113</f>
        <v>4.49</v>
      </c>
      <c r="S93" s="3">
        <f>'Annual Raw'!T113</f>
        <v>4.49</v>
      </c>
      <c r="T93" s="3">
        <f>'Annual Raw'!U113</f>
        <v>3.82</v>
      </c>
      <c r="U93" s="3">
        <f>'Annual Raw'!V113</f>
        <v>3.82</v>
      </c>
      <c r="V93" s="3">
        <f>'Annual Raw'!W113</f>
        <v>0</v>
      </c>
      <c r="W93" s="3">
        <f>'Annual Raw'!X113</f>
        <v>3.2</v>
      </c>
      <c r="X93" s="3">
        <f>'Annual Raw'!Y113</f>
        <v>0</v>
      </c>
      <c r="Y93" s="3">
        <f>'Annual Raw'!Z113</f>
        <v>0</v>
      </c>
      <c r="Z93" s="3">
        <f>'Annual Raw'!AA113</f>
        <v>0</v>
      </c>
      <c r="AA93" s="3">
        <f>'Annual Raw'!AB113</f>
        <v>0</v>
      </c>
      <c r="AB93" s="37"/>
      <c r="AC93" s="37"/>
      <c r="AD93" s="37"/>
      <c r="AE93" s="37"/>
      <c r="AI93" s="3">
        <f>'QTR Raw'!C50</f>
        <v>0</v>
      </c>
      <c r="AJ93" s="3">
        <f>'QTR Raw'!D50</f>
        <v>0</v>
      </c>
      <c r="AK93" s="3">
        <f>'QTR Raw'!E50</f>
        <v>0</v>
      </c>
      <c r="AL93" s="3">
        <f>'QTR Raw'!F50</f>
        <v>0</v>
      </c>
      <c r="AM93" s="3">
        <f>'QTR Raw'!G50</f>
        <v>0</v>
      </c>
      <c r="AN93" s="3">
        <f>'QTR Raw'!H50</f>
        <v>0</v>
      </c>
      <c r="AO93" s="3">
        <f>'QTR Raw'!I50</f>
        <v>0</v>
      </c>
      <c r="AP93" s="3">
        <f>'QTR Raw'!J50</f>
        <v>0</v>
      </c>
      <c r="AQ93" s="3">
        <f>'QTR Raw'!K50</f>
        <v>0</v>
      </c>
      <c r="AR93" s="3">
        <f>'QTR Raw'!L50</f>
        <v>0</v>
      </c>
      <c r="AS93" s="3">
        <f>'QTR Raw'!M50</f>
        <v>0</v>
      </c>
      <c r="AT93" s="3">
        <f>'QTR Raw'!N50</f>
        <v>0</v>
      </c>
      <c r="AU93" s="3">
        <f>'QTR Raw'!O50</f>
        <v>0</v>
      </c>
      <c r="AV93" s="3">
        <f>'QTR Raw'!P50</f>
        <v>0</v>
      </c>
      <c r="AW93" s="3">
        <f>'QTR Raw'!Q50</f>
        <v>4.08</v>
      </c>
      <c r="AX93" s="3">
        <f>'QTR Raw'!R50</f>
        <v>4.08</v>
      </c>
      <c r="AY93" s="3">
        <f>'QTR Raw'!S50</f>
        <v>8.2100000000000009</v>
      </c>
      <c r="AZ93" s="3">
        <f>'QTR Raw'!T50</f>
        <v>4.49</v>
      </c>
      <c r="BA93" s="3">
        <f>'QTR Raw'!U50</f>
        <v>4.49</v>
      </c>
      <c r="BB93" s="3">
        <f>'QTR Raw'!V50</f>
        <v>4.49</v>
      </c>
      <c r="BC93" s="3">
        <f>'QTR Raw'!W50</f>
        <v>4.49</v>
      </c>
      <c r="BD93" s="3">
        <f>'QTR Raw'!X50</f>
        <v>4.49</v>
      </c>
      <c r="BE93" s="3">
        <f>'QTR Raw'!Y50</f>
        <v>4.49</v>
      </c>
      <c r="BF93" s="3">
        <f>'QTR Raw'!Z50</f>
        <v>4.49</v>
      </c>
      <c r="BG93" s="3">
        <f>'QTR Raw'!AA50</f>
        <v>4.49</v>
      </c>
      <c r="BH93" s="3">
        <f>'QTR Raw'!AB50</f>
        <v>3.82</v>
      </c>
      <c r="BI93" s="3">
        <f>'QTR Raw'!AC50</f>
        <v>3.82</v>
      </c>
      <c r="BJ93" s="3">
        <f>'QTR Raw'!AD50</f>
        <v>3.82</v>
      </c>
      <c r="BK93" s="3">
        <f>'QTR Raw'!AE50</f>
        <v>3.82</v>
      </c>
      <c r="BL93" s="3">
        <f>'QTR Raw'!AF50</f>
        <v>3.82</v>
      </c>
      <c r="BM93" s="3">
        <f>'QTR Raw'!AG50</f>
        <v>3.82</v>
      </c>
      <c r="BN93" s="3">
        <f>'QTR Raw'!AH50</f>
        <v>3.82</v>
      </c>
      <c r="BO93" s="3">
        <f>'QTR Raw'!AI50</f>
        <v>0</v>
      </c>
      <c r="BP93" s="3">
        <f>'QTR Raw'!AJ50</f>
        <v>0</v>
      </c>
      <c r="BQ93" s="3">
        <f>'QTR Raw'!AK50</f>
        <v>0</v>
      </c>
      <c r="BR93" s="3">
        <f>'QTR Raw'!AL50</f>
        <v>0</v>
      </c>
      <c r="BS93" s="3">
        <f>'QTR Raw'!AM50</f>
        <v>0</v>
      </c>
      <c r="BT93" s="3">
        <f>'QTR Raw'!AN50</f>
        <v>3.82</v>
      </c>
      <c r="BU93" s="3">
        <f>'QTR Raw'!AO50</f>
        <v>3.82</v>
      </c>
      <c r="BV93" s="3">
        <f>'QTR Raw'!AP50</f>
        <v>3.2</v>
      </c>
      <c r="BW93" s="3">
        <f>'QTR Raw'!AQ50</f>
        <v>3.2</v>
      </c>
      <c r="BX93" s="3">
        <f>'QTR Raw'!AR50</f>
        <v>0.87</v>
      </c>
      <c r="BY93" s="3">
        <f>'QTR Raw'!AS50</f>
        <v>0.87</v>
      </c>
      <c r="BZ93" s="3">
        <f>'QTR Raw'!AT50</f>
        <v>0</v>
      </c>
      <c r="CA93" s="3">
        <f>'QTR Raw'!AU50</f>
        <v>0</v>
      </c>
      <c r="CB93" s="3">
        <f>'QTR Raw'!AV50</f>
        <v>0</v>
      </c>
      <c r="CC93" s="3">
        <f>'QTR Raw'!AW50</f>
        <v>0</v>
      </c>
      <c r="CD93" s="3">
        <f>'QTR Raw'!AX50</f>
        <v>0</v>
      </c>
      <c r="CE93" s="3">
        <f>'QTR Raw'!AY50</f>
        <v>0</v>
      </c>
      <c r="CF93" s="3">
        <f>'QTR Raw'!AZ50</f>
        <v>0</v>
      </c>
      <c r="CG93" s="3">
        <f>'QTR Raw'!BA50</f>
        <v>0</v>
      </c>
      <c r="CH93" s="3">
        <f>'QTR Raw'!BB50</f>
        <v>0</v>
      </c>
      <c r="CI93" s="3">
        <f>'QTR Raw'!BC50</f>
        <v>0</v>
      </c>
      <c r="CJ93" s="3">
        <f>'QTR Raw'!BD50</f>
        <v>0</v>
      </c>
      <c r="CK93" s="3">
        <f>'QTR Raw'!BE50</f>
        <v>0</v>
      </c>
      <c r="CL93" s="3">
        <f>'QTR Raw'!BF50</f>
        <v>0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  <c r="DF93" s="3">
        <v>0</v>
      </c>
    </row>
    <row r="94" spans="1:110" s="3" customFormat="1" x14ac:dyDescent="0.2"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36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457</v>
      </c>
      <c r="B96" s="13">
        <f>'Annual Raw'!C106</f>
        <v>0</v>
      </c>
      <c r="C96" s="13">
        <f>'Annual Raw'!D106</f>
        <v>0</v>
      </c>
      <c r="D96" s="13">
        <f>'Annual Raw'!E106</f>
        <v>0</v>
      </c>
      <c r="E96" s="13">
        <f>'Annual Raw'!F106</f>
        <v>0</v>
      </c>
      <c r="F96" s="13">
        <f>'Annual Raw'!G106</f>
        <v>0</v>
      </c>
      <c r="G96" s="13">
        <f>'Annual Raw'!H106</f>
        <v>0</v>
      </c>
      <c r="H96" s="13">
        <f>'Annual Raw'!I106</f>
        <v>0</v>
      </c>
      <c r="I96" s="13">
        <f>'Annual Raw'!J106</f>
        <v>0</v>
      </c>
      <c r="J96" s="13">
        <f>'Annual Raw'!K106</f>
        <v>0</v>
      </c>
      <c r="K96" s="13">
        <f>'Annual Raw'!L106</f>
        <v>106.15</v>
      </c>
      <c r="L96" s="13">
        <f>'Annual Raw'!M106</f>
        <v>102.1</v>
      </c>
      <c r="M96" s="13">
        <f>'Annual Raw'!N106</f>
        <v>87.05</v>
      </c>
      <c r="N96" s="13">
        <f>'Annual Raw'!O106</f>
        <v>41.05</v>
      </c>
      <c r="O96" s="13">
        <f>'Annual Raw'!P106</f>
        <v>28.3</v>
      </c>
      <c r="P96" s="13">
        <f>'Annual Raw'!Q106</f>
        <v>32.85</v>
      </c>
      <c r="Q96" s="13">
        <f>'Annual Raw'!R106</f>
        <v>19.274999999999999</v>
      </c>
      <c r="R96" s="13">
        <f>'Annual Raw'!S106</f>
        <v>41.7</v>
      </c>
      <c r="S96" s="13">
        <f>'Annual Raw'!T106</f>
        <v>59.5</v>
      </c>
      <c r="T96" s="13">
        <f>'Annual Raw'!U106</f>
        <v>43.274999999999999</v>
      </c>
      <c r="U96" s="13">
        <f>'Annual Raw'!V106</f>
        <v>22.9</v>
      </c>
      <c r="V96" s="13">
        <f>'Annual Raw'!W106</f>
        <v>37.075000000000003</v>
      </c>
      <c r="W96" s="13">
        <f>'Annual Raw'!X106</f>
        <v>45.024999999999999</v>
      </c>
      <c r="X96" s="13">
        <f>'Annual Raw'!Y106</f>
        <v>72.775000000000006</v>
      </c>
      <c r="Y96" s="13">
        <f>'Annual Raw'!Z106</f>
        <v>216.05</v>
      </c>
      <c r="Z96" s="13">
        <f>'Annual Raw'!AA106</f>
        <v>270.10000000000002</v>
      </c>
      <c r="AA96" s="13">
        <f>'Annual Raw'!AB106</f>
        <v>183.25</v>
      </c>
      <c r="AB96" s="37">
        <f>+CP96</f>
        <v>245</v>
      </c>
      <c r="AC96" s="37">
        <f>+CT96</f>
        <v>245</v>
      </c>
      <c r="AD96" s="37">
        <f>+CX96</f>
        <v>245</v>
      </c>
      <c r="AE96" s="37">
        <f>+DB96</f>
        <v>245</v>
      </c>
      <c r="AJ96" s="13">
        <f>'QTR Share Price'!HP21</f>
        <v>59.25</v>
      </c>
      <c r="AK96" s="13">
        <f>'QTR Share Price'!HQ21</f>
        <v>64.3</v>
      </c>
      <c r="AL96" s="13">
        <f>'QTR Share Price'!HR21</f>
        <v>41.05</v>
      </c>
      <c r="AM96" s="13">
        <f>'QTR Share Price'!HS21</f>
        <v>28.65</v>
      </c>
      <c r="AN96" s="13">
        <f>'QTR Share Price'!HT21</f>
        <v>22.175000000000001</v>
      </c>
      <c r="AO96" s="13">
        <f>'QTR Share Price'!HU21</f>
        <v>24.524999999999999</v>
      </c>
      <c r="AP96" s="13">
        <f>'QTR Share Price'!HV21</f>
        <v>28.3</v>
      </c>
      <c r="AQ96" s="13">
        <f>'QTR Share Price'!HW21</f>
        <v>41.674999999999997</v>
      </c>
      <c r="AR96" s="13">
        <f>'QTR Share Price'!HX21</f>
        <v>40.35</v>
      </c>
      <c r="AS96" s="13">
        <f>'QTR Share Price'!HY21</f>
        <v>46.7</v>
      </c>
      <c r="AT96" s="13">
        <f>'QTR Share Price'!HZ21</f>
        <v>32.85</v>
      </c>
      <c r="AU96" s="13">
        <f>'QTR Share Price'!IA21</f>
        <v>29.3</v>
      </c>
      <c r="AV96" s="13">
        <f>'QTR Share Price'!IB21</f>
        <v>31.85</v>
      </c>
      <c r="AW96" s="13">
        <f>'QTR Share Price'!IC21</f>
        <v>31.25</v>
      </c>
      <c r="AX96" s="13">
        <f>'QTR Share Price'!ID21</f>
        <v>19.274999999999999</v>
      </c>
      <c r="AY96" s="13">
        <f>'QTR Share Price'!IE21</f>
        <v>26.65</v>
      </c>
      <c r="AZ96" s="13">
        <f>'QTR Share Price'!IF21</f>
        <v>27.35</v>
      </c>
      <c r="BA96" s="13">
        <f>'QTR Share Price'!IG21</f>
        <v>27.6</v>
      </c>
      <c r="BB96" s="13">
        <f>'QTR Share Price'!IH21</f>
        <v>41.7</v>
      </c>
      <c r="BC96" s="13">
        <f>'QTR Share Price'!II21</f>
        <v>41.975000000000001</v>
      </c>
      <c r="BD96" s="13">
        <f>'QTR Share Price'!IJ21</f>
        <v>56.3</v>
      </c>
      <c r="BE96" s="13">
        <f>'QTR Share Price'!IK21</f>
        <v>70</v>
      </c>
      <c r="BF96" s="13">
        <f>'QTR Share Price'!IL21</f>
        <v>59.5</v>
      </c>
      <c r="BG96" s="13">
        <f>'QTR Share Price'!IM21</f>
        <v>39.700000000000003</v>
      </c>
      <c r="BH96" s="13">
        <f>'QTR Share Price'!IN21</f>
        <v>36.4</v>
      </c>
      <c r="BI96" s="13">
        <f>'QTR Share Price'!IO21</f>
        <v>42.35</v>
      </c>
      <c r="BJ96" s="13">
        <f>'QTR Share Price'!IP21</f>
        <v>43.274999999999999</v>
      </c>
      <c r="BK96" s="13">
        <f>'QTR Share Price'!IQ21</f>
        <v>41.625</v>
      </c>
      <c r="BL96" s="13">
        <f>'QTR Share Price'!IR21</f>
        <v>42.8</v>
      </c>
      <c r="BM96" s="13">
        <f>'QTR Share Price'!IS21</f>
        <v>36.549999999999997</v>
      </c>
      <c r="BN96" s="13">
        <f>'QTR Share Price'!IT21</f>
        <v>22.9</v>
      </c>
      <c r="BO96" s="13">
        <f>'QTR Share Price'!IU21</f>
        <v>28.95</v>
      </c>
      <c r="BP96" s="13">
        <f>'QTR Share Price'!IV21</f>
        <v>31.475000000000001</v>
      </c>
      <c r="BQ96" s="13">
        <f>'QTR Share Price'!IW21</f>
        <v>37.924999999999997</v>
      </c>
      <c r="BR96" s="13">
        <f>'QTR Share Price'!IX21</f>
        <v>37.075000000000003</v>
      </c>
      <c r="BS96" s="13">
        <f>'QTR Share Price'!IY21</f>
        <v>58.475000000000001</v>
      </c>
      <c r="BT96" s="13">
        <f>'QTR Share Price'!IZ21</f>
        <v>57.024999999999999</v>
      </c>
      <c r="BU96" s="13">
        <f>'QTR Share Price'!JA21</f>
        <v>49.45</v>
      </c>
      <c r="BV96" s="13">
        <f>'QTR Share Price'!JB21</f>
        <v>45.024999999999999</v>
      </c>
      <c r="BW96" s="13">
        <f>'QTR Share Price'!JC21</f>
        <v>39.375</v>
      </c>
      <c r="BX96" s="13">
        <f>'QTR Share Price'!JD21</f>
        <v>41.274999999999999</v>
      </c>
      <c r="BY96" s="13">
        <f>'QTR Share Price'!JE21</f>
        <v>51.8</v>
      </c>
      <c r="BZ96" s="13">
        <f>'QTR Share Price'!JF21</f>
        <v>72.775000000000006</v>
      </c>
      <c r="CA96" s="13">
        <f>'QTR Share Price'!JG21</f>
        <v>127.77500000000001</v>
      </c>
      <c r="CB96" s="13">
        <f>'QTR Share Price'!JH21</f>
        <v>173.25</v>
      </c>
      <c r="CC96" s="13">
        <f>'QTR Share Price'!JI21</f>
        <v>206</v>
      </c>
      <c r="CD96" s="13">
        <f>'QTR Share Price'!JJ21</f>
        <v>216.05</v>
      </c>
      <c r="CE96" s="13">
        <f>'QTR Share Price'!JK21</f>
        <v>271.72500000000002</v>
      </c>
      <c r="CF96" s="13">
        <f>'QTR Share Price'!JL21</f>
        <v>371.75</v>
      </c>
      <c r="CG96" s="13">
        <f>'QTR Share Price'!JM21</f>
        <v>291.25</v>
      </c>
      <c r="CH96" s="13">
        <f>'QTR Share Price'!JN21</f>
        <v>270.10000000000002</v>
      </c>
      <c r="CI96" s="13">
        <f>'QTR Share Price'!JO21</f>
        <v>240.75</v>
      </c>
      <c r="CJ96" s="13">
        <f>'QTR Share Price'!JP21</f>
        <v>202.6</v>
      </c>
      <c r="CK96" s="13">
        <f>'QTR Share Price'!JQ21</f>
        <v>168</v>
      </c>
      <c r="CL96" s="13">
        <f>'QTR Share Price'!JR21</f>
        <v>183.25</v>
      </c>
      <c r="CM96" s="37">
        <v>245</v>
      </c>
      <c r="CN96" s="37">
        <f t="shared" ref="CN96" si="980">+CM96</f>
        <v>245</v>
      </c>
      <c r="CO96" s="37">
        <f t="shared" ref="CO96" si="981">+CN96</f>
        <v>245</v>
      </c>
      <c r="CP96" s="37">
        <f t="shared" ref="CP96" si="982">+CO96</f>
        <v>245</v>
      </c>
      <c r="CQ96" s="37">
        <f t="shared" ref="CQ96" si="983">+CP96</f>
        <v>245</v>
      </c>
      <c r="CR96" s="37">
        <f t="shared" ref="CR96" si="984">+CQ96</f>
        <v>245</v>
      </c>
      <c r="CS96" s="37">
        <f t="shared" ref="CS96" si="985">+CR96</f>
        <v>245</v>
      </c>
      <c r="CT96" s="37">
        <f t="shared" ref="CT96" si="986">+CS96</f>
        <v>245</v>
      </c>
      <c r="CU96" s="37">
        <f t="shared" ref="CU96" si="987">+CT96</f>
        <v>245</v>
      </c>
      <c r="CV96" s="37">
        <f t="shared" ref="CV96" si="988">+CU96</f>
        <v>245</v>
      </c>
      <c r="CW96" s="37">
        <f t="shared" ref="CW96" si="989">+CV96</f>
        <v>245</v>
      </c>
      <c r="CX96" s="37">
        <f t="shared" ref="CX96" si="990">+CW96</f>
        <v>245</v>
      </c>
      <c r="CY96" s="37">
        <f t="shared" ref="CY96" si="991">+CX96</f>
        <v>245</v>
      </c>
      <c r="CZ96" s="37">
        <f t="shared" ref="CZ96" si="992">+CY96</f>
        <v>245</v>
      </c>
      <c r="DA96" s="37">
        <f t="shared" ref="DA96" si="993">+CZ96</f>
        <v>245</v>
      </c>
      <c r="DB96" s="37">
        <f t="shared" ref="DB96" si="994">+DA96</f>
        <v>245</v>
      </c>
      <c r="DE96" s="134"/>
      <c r="DF96" s="13">
        <v>183.25</v>
      </c>
    </row>
    <row r="97" spans="1:110" s="13" customFormat="1" x14ac:dyDescent="0.2">
      <c r="A97" s="13" t="s">
        <v>458</v>
      </c>
      <c r="B97" s="13">
        <f>'Annual Raw'!C107</f>
        <v>0</v>
      </c>
      <c r="C97" s="13">
        <f>'Annual Raw'!D107</f>
        <v>0</v>
      </c>
      <c r="D97" s="13">
        <f>'Annual Raw'!E107</f>
        <v>0</v>
      </c>
      <c r="E97" s="13">
        <f>'Annual Raw'!F107</f>
        <v>0</v>
      </c>
      <c r="F97" s="13">
        <f>'Annual Raw'!G107</f>
        <v>0</v>
      </c>
      <c r="G97" s="13">
        <f>'Annual Raw'!H107</f>
        <v>0</v>
      </c>
      <c r="H97" s="13">
        <f>'Annual Raw'!I107</f>
        <v>0</v>
      </c>
      <c r="I97" s="13">
        <f>'Annual Raw'!J107</f>
        <v>0</v>
      </c>
      <c r="J97" s="13">
        <f>'Annual Raw'!K107</f>
        <v>0</v>
      </c>
      <c r="K97" s="13">
        <f>'Annual Raw'!L107</f>
        <v>112.4</v>
      </c>
      <c r="L97" s="13">
        <f>'Annual Raw'!M107</f>
        <v>117.2</v>
      </c>
      <c r="M97" s="13">
        <f>'Annual Raw'!N107</f>
        <v>105.425</v>
      </c>
      <c r="N97" s="13">
        <f>'Annual Raw'!O107</f>
        <v>87.075000000000003</v>
      </c>
      <c r="O97" s="13">
        <f>'Annual Raw'!P107</f>
        <v>46.45</v>
      </c>
      <c r="P97" s="13">
        <f>'Annual Raw'!Q107</f>
        <v>57.9</v>
      </c>
      <c r="Q97" s="13">
        <f>'Annual Raw'!R107</f>
        <v>42.7</v>
      </c>
      <c r="R97" s="13">
        <f>'Annual Raw'!S107</f>
        <v>43.725000000000001</v>
      </c>
      <c r="S97" s="13">
        <f>'Annual Raw'!T107</f>
        <v>91</v>
      </c>
      <c r="T97" s="13">
        <f>'Annual Raw'!U107</f>
        <v>68.349999999999994</v>
      </c>
      <c r="U97" s="13">
        <f>'Annual Raw'!V107</f>
        <v>51.35</v>
      </c>
      <c r="V97" s="13">
        <f>'Annual Raw'!W107</f>
        <v>43.8</v>
      </c>
      <c r="W97" s="13">
        <f>'Annual Raw'!X107</f>
        <v>73.825000000000003</v>
      </c>
      <c r="X97" s="13">
        <f>'Annual Raw'!Y107</f>
        <v>89.825000000000003</v>
      </c>
      <c r="Y97" s="13">
        <f>'Annual Raw'!Z107</f>
        <v>279.14999999999998</v>
      </c>
      <c r="Z97" s="13">
        <f>'Annual Raw'!AA107</f>
        <v>383.85</v>
      </c>
      <c r="AA97" s="13">
        <f>'Annual Raw'!AB107</f>
        <v>277.39999999999998</v>
      </c>
      <c r="AB97" s="37">
        <f>+MAX(CM97:CP97)</f>
        <v>277.97995301827638</v>
      </c>
      <c r="AC97" s="37">
        <f>+MAX(CQ97:CT97)</f>
        <v>341.01746988190541</v>
      </c>
      <c r="AD97" s="37">
        <f>+MAX(CU97:CX97)</f>
        <v>394.74351264031901</v>
      </c>
      <c r="AE97" s="37">
        <f>+MAX(CY97:DB97)</f>
        <v>459.06143347085674</v>
      </c>
      <c r="AJ97" s="13">
        <f>'QTR Share Price'!HP19</f>
        <v>69.325000000000003</v>
      </c>
      <c r="AK97" s="13">
        <f>'QTR Share Price'!HQ19</f>
        <v>68.75</v>
      </c>
      <c r="AL97" s="13">
        <f>'QTR Share Price'!HR19</f>
        <v>68.400000000000006</v>
      </c>
      <c r="AM97" s="13">
        <f>'QTR Share Price'!HS19</f>
        <v>46.45</v>
      </c>
      <c r="AN97" s="13">
        <f>'QTR Share Price'!HT19</f>
        <v>31.875</v>
      </c>
      <c r="AO97" s="13">
        <f>'QTR Share Price'!HU19</f>
        <v>27.074999999999999</v>
      </c>
      <c r="AP97" s="13">
        <f>'QTR Share Price'!HV19</f>
        <v>31.65</v>
      </c>
      <c r="AQ97" s="13">
        <f>'QTR Share Price'!HW19</f>
        <v>47.95</v>
      </c>
      <c r="AR97" s="13">
        <f>'QTR Share Price'!HX19</f>
        <v>49.174999999999997</v>
      </c>
      <c r="AS97" s="13">
        <f>'QTR Share Price'!HY19</f>
        <v>57.9</v>
      </c>
      <c r="AT97" s="13">
        <f>'QTR Share Price'!HZ19</f>
        <v>48.6</v>
      </c>
      <c r="AU97" s="13">
        <f>'QTR Share Price'!IA19</f>
        <v>37.299999999999997</v>
      </c>
      <c r="AV97" s="13">
        <f>'QTR Share Price'!IB19</f>
        <v>42.7</v>
      </c>
      <c r="AW97" s="13">
        <f>'QTR Share Price'!IC19</f>
        <v>36.825000000000003</v>
      </c>
      <c r="AX97" s="13">
        <f>'QTR Share Price'!ID19</f>
        <v>32.825000000000003</v>
      </c>
      <c r="AY97" s="13">
        <f>'QTR Share Price'!IE19</f>
        <v>27.8</v>
      </c>
      <c r="AZ97" s="13">
        <f>'QTR Share Price'!IF19</f>
        <v>29.9</v>
      </c>
      <c r="BA97" s="13">
        <f>'QTR Share Price'!IG19</f>
        <v>33.799999999999997</v>
      </c>
      <c r="BB97" s="13">
        <f>'QTR Share Price'!IH19</f>
        <v>43.725000000000001</v>
      </c>
      <c r="BC97" s="13">
        <f>'QTR Share Price'!II19</f>
        <v>46.174999999999997</v>
      </c>
      <c r="BD97" s="13">
        <f>'QTR Share Price'!IJ19</f>
        <v>61.45</v>
      </c>
      <c r="BE97" s="13">
        <f>'QTR Share Price'!IK19</f>
        <v>71.900000000000006</v>
      </c>
      <c r="BF97" s="13">
        <f>'QTR Share Price'!IL19</f>
        <v>91</v>
      </c>
      <c r="BG97" s="13">
        <f>'QTR Share Price'!IM19</f>
        <v>68.349999999999994</v>
      </c>
      <c r="BH97" s="13">
        <f>'QTR Share Price'!IN19</f>
        <v>51</v>
      </c>
      <c r="BI97" s="13">
        <f>'QTR Share Price'!IO19</f>
        <v>45.274999999999999</v>
      </c>
      <c r="BJ97" s="13">
        <f>'QTR Share Price'!IP19</f>
        <v>48.625</v>
      </c>
      <c r="BK97" s="13">
        <f>'QTR Share Price'!IQ19</f>
        <v>46.35</v>
      </c>
      <c r="BL97" s="13">
        <f>'QTR Share Price'!IR19</f>
        <v>44.25</v>
      </c>
      <c r="BM97" s="13">
        <f>'QTR Share Price'!IS19</f>
        <v>46.45</v>
      </c>
      <c r="BN97" s="13">
        <f>'QTR Share Price'!IT19</f>
        <v>51.35</v>
      </c>
      <c r="BO97" s="13">
        <f>'QTR Share Price'!IU19</f>
        <v>31.9</v>
      </c>
      <c r="BP97" s="13">
        <f>'QTR Share Price'!IV19</f>
        <v>37.450000000000003</v>
      </c>
      <c r="BQ97" s="13">
        <f>'QTR Share Price'!IW19</f>
        <v>40.950000000000003</v>
      </c>
      <c r="BR97" s="13">
        <f>'QTR Share Price'!IX19</f>
        <v>43.8</v>
      </c>
      <c r="BS97" s="13">
        <f>'QTR Share Price'!IY19</f>
        <v>59.85</v>
      </c>
      <c r="BT97" s="13">
        <f>'QTR Share Price'!IZ19</f>
        <v>73.825000000000003</v>
      </c>
      <c r="BU97" s="13">
        <f>'QTR Share Price'!JA19</f>
        <v>63.975000000000001</v>
      </c>
      <c r="BV97" s="13">
        <f>'QTR Share Price'!JB19</f>
        <v>59.674999999999997</v>
      </c>
      <c r="BW97" s="13">
        <f>'QTR Share Price'!JC19</f>
        <v>51.1</v>
      </c>
      <c r="BX97" s="13">
        <f>'QTR Share Price'!JD19</f>
        <v>46.55</v>
      </c>
      <c r="BY97" s="13">
        <f>'QTR Share Price'!JE19</f>
        <v>53.9</v>
      </c>
      <c r="BZ97" s="13">
        <f>'QTR Share Price'!JF19</f>
        <v>89.825000000000003</v>
      </c>
      <c r="CA97" s="13">
        <f>'QTR Share Price'!JG19</f>
        <v>132.19999999999999</v>
      </c>
      <c r="CB97" s="13">
        <f>'QTR Share Price'!JH19</f>
        <v>195.47499999999999</v>
      </c>
      <c r="CC97" s="13">
        <f>'QTR Share Price'!JI19</f>
        <v>257.47500000000002</v>
      </c>
      <c r="CD97" s="13">
        <f>'QTR Share Price'!JJ19</f>
        <v>279.14999999999998</v>
      </c>
      <c r="CE97" s="13">
        <f>'QTR Share Price'!JK19</f>
        <v>299.02499999999998</v>
      </c>
      <c r="CF97" s="13">
        <f>'QTR Share Price'!JL19</f>
        <v>380</v>
      </c>
      <c r="CG97" s="13">
        <f>'QTR Share Price'!JM19</f>
        <v>383.85</v>
      </c>
      <c r="CH97" s="13">
        <f>'QTR Share Price'!JN19</f>
        <v>288.35000000000002</v>
      </c>
      <c r="CI97" s="13">
        <f>'QTR Share Price'!JO19</f>
        <v>277.39999999999998</v>
      </c>
      <c r="CJ97" s="13">
        <f>'QTR Share Price'!JP19</f>
        <v>244.9</v>
      </c>
      <c r="CK97" s="13">
        <f>'QTR Share Price'!JQ19</f>
        <v>213.5</v>
      </c>
      <c r="CL97" s="13">
        <f>'QTR Share Price'!JR19</f>
        <v>211.15</v>
      </c>
      <c r="CM97" s="37">
        <f t="shared" ref="CM97:DB97" si="995">+CM88*CM105</f>
        <v>183.44892266727155</v>
      </c>
      <c r="CN97" s="37">
        <f t="shared" si="995"/>
        <v>204.39001557556534</v>
      </c>
      <c r="CO97" s="37">
        <f t="shared" si="995"/>
        <v>224.97458203074606</v>
      </c>
      <c r="CP97" s="37">
        <f t="shared" si="995"/>
        <v>277.97995301827638</v>
      </c>
      <c r="CQ97" s="37">
        <f t="shared" si="995"/>
        <v>306.97107161555823</v>
      </c>
      <c r="CR97" s="37">
        <f t="shared" si="995"/>
        <v>315.73189729961535</v>
      </c>
      <c r="CS97" s="37">
        <f t="shared" si="995"/>
        <v>328.09018237047673</v>
      </c>
      <c r="CT97" s="37">
        <f t="shared" si="995"/>
        <v>341.01746988190541</v>
      </c>
      <c r="CU97" s="37">
        <f t="shared" si="995"/>
        <v>352.9073228191715</v>
      </c>
      <c r="CV97" s="37">
        <f t="shared" si="995"/>
        <v>364.43573382027495</v>
      </c>
      <c r="CW97" s="37">
        <f t="shared" si="995"/>
        <v>379.26763054249511</v>
      </c>
      <c r="CX97" s="37">
        <f t="shared" si="995"/>
        <v>394.74351264031901</v>
      </c>
      <c r="CY97" s="37">
        <f t="shared" si="995"/>
        <v>409.09703751403174</v>
      </c>
      <c r="CZ97" s="37">
        <f t="shared" si="995"/>
        <v>423.07254974082576</v>
      </c>
      <c r="DA97" s="37">
        <f t="shared" si="995"/>
        <v>440.70223744824165</v>
      </c>
      <c r="DB97" s="37">
        <f t="shared" si="995"/>
        <v>459.06143347085674</v>
      </c>
      <c r="DE97" s="134"/>
      <c r="DF97" s="13">
        <v>277.39999999999998</v>
      </c>
    </row>
    <row r="98" spans="1:110" s="13" customFormat="1" x14ac:dyDescent="0.2">
      <c r="A98" s="13" t="s">
        <v>459</v>
      </c>
      <c r="B98" s="13">
        <f>'Annual Raw'!C108</f>
        <v>0</v>
      </c>
      <c r="C98" s="13">
        <f>'Annual Raw'!D108</f>
        <v>0</v>
      </c>
      <c r="D98" s="13">
        <f>'Annual Raw'!E108</f>
        <v>0</v>
      </c>
      <c r="E98" s="13">
        <f>'Annual Raw'!F108</f>
        <v>0</v>
      </c>
      <c r="F98" s="13">
        <f>'Annual Raw'!G108</f>
        <v>0</v>
      </c>
      <c r="G98" s="13">
        <f>'Annual Raw'!H108</f>
        <v>0</v>
      </c>
      <c r="H98" s="13">
        <f>'Annual Raw'!I108</f>
        <v>0</v>
      </c>
      <c r="I98" s="13">
        <f>'Annual Raw'!J108</f>
        <v>0</v>
      </c>
      <c r="J98" s="13">
        <f>'Annual Raw'!K108</f>
        <v>0</v>
      </c>
      <c r="K98" s="13">
        <f>'Annual Raw'!L108</f>
        <v>17.760000000000002</v>
      </c>
      <c r="L98" s="13">
        <f>'Annual Raw'!M108</f>
        <v>85</v>
      </c>
      <c r="M98" s="13">
        <f>'Annual Raw'!N108</f>
        <v>54.5</v>
      </c>
      <c r="N98" s="13">
        <f>'Annual Raw'!O108</f>
        <v>39</v>
      </c>
      <c r="O98" s="13">
        <f>'Annual Raw'!P108</f>
        <v>18.95</v>
      </c>
      <c r="P98" s="13">
        <f>'Annual Raw'!Q108</f>
        <v>26.55</v>
      </c>
      <c r="Q98" s="13">
        <f>'Annual Raw'!R108</f>
        <v>17.824999999999999</v>
      </c>
      <c r="R98" s="13">
        <f>'Annual Raw'!S108</f>
        <v>19.25</v>
      </c>
      <c r="S98" s="13">
        <f>'Annual Raw'!T108</f>
        <v>36.15</v>
      </c>
      <c r="T98" s="13">
        <f>'Annual Raw'!U108</f>
        <v>33.799999999999997</v>
      </c>
      <c r="U98" s="13">
        <f>'Annual Raw'!V108</f>
        <v>20</v>
      </c>
      <c r="V98" s="13">
        <f>'Annual Raw'!W108</f>
        <v>21.9</v>
      </c>
      <c r="W98" s="13">
        <f>'Annual Raw'!X108</f>
        <v>35.325000000000003</v>
      </c>
      <c r="X98" s="13">
        <f>'Annual Raw'!Y108</f>
        <v>37.549999999999997</v>
      </c>
      <c r="Y98" s="13">
        <f>'Annual Raw'!Z108</f>
        <v>72.575000000000003</v>
      </c>
      <c r="Z98" s="13">
        <f>'Annual Raw'!AA108</f>
        <v>217.65</v>
      </c>
      <c r="AA98" s="13">
        <f>'Annual Raw'!AB108</f>
        <v>153.19999999999999</v>
      </c>
      <c r="AB98" s="37">
        <f>+MIN(CM98:CP98)</f>
        <v>133.8833956098818</v>
      </c>
      <c r="AC98" s="37">
        <f>+MIN(CQ98:CT98)</f>
        <v>224.0314569545703</v>
      </c>
      <c r="AD98" s="37">
        <f>+MIN(CU98:CX98)</f>
        <v>257.55632700182014</v>
      </c>
      <c r="AE98" s="37">
        <f>+MIN(CY98:DB98)</f>
        <v>298.56430727403404</v>
      </c>
      <c r="AJ98" s="13">
        <f>+'QTR Share Price'!HP20</f>
        <v>55.524999999999999</v>
      </c>
      <c r="AK98" s="13">
        <f>+'QTR Share Price'!HQ20</f>
        <v>50.85</v>
      </c>
      <c r="AL98" s="13">
        <f>+'QTR Share Price'!HR20</f>
        <v>39</v>
      </c>
      <c r="AM98" s="13">
        <f>+'QTR Share Price'!HS20</f>
        <v>24.35</v>
      </c>
      <c r="AN98" s="13">
        <f>+'QTR Share Price'!HT20</f>
        <v>18.95</v>
      </c>
      <c r="AO98" s="13">
        <f>+'QTR Share Price'!HU20</f>
        <v>21.35</v>
      </c>
      <c r="AP98" s="13">
        <f>+'QTR Share Price'!HV20</f>
        <v>23.125</v>
      </c>
      <c r="AQ98" s="13">
        <f>+'QTR Share Price'!HW20</f>
        <v>26.55</v>
      </c>
      <c r="AR98" s="13">
        <f>+'QTR Share Price'!HX20</f>
        <v>35.85</v>
      </c>
      <c r="AS98" s="13">
        <f>+'QTR Share Price'!HY20</f>
        <v>37.25</v>
      </c>
      <c r="AT98" s="13">
        <f>+'QTR Share Price'!HZ20</f>
        <v>28.125</v>
      </c>
      <c r="AU98" s="13">
        <f>+'QTR Share Price'!IA20</f>
        <v>25.55</v>
      </c>
      <c r="AV98" s="13">
        <f>+'QTR Share Price'!IB20</f>
        <v>29.25</v>
      </c>
      <c r="AW98" s="13">
        <f>+'QTR Share Price'!IC20</f>
        <v>29.875</v>
      </c>
      <c r="AX98" s="13">
        <f>+'QTR Share Price'!ID20</f>
        <v>17.824999999999999</v>
      </c>
      <c r="AY98" s="13">
        <f>+'QTR Share Price'!IE20</f>
        <v>19.25</v>
      </c>
      <c r="AZ98" s="13">
        <f>+'QTR Share Price'!IF20</f>
        <v>22.524999999999999</v>
      </c>
      <c r="BA98" s="13">
        <f>+'QTR Share Price'!IG20</f>
        <v>23.274999999999999</v>
      </c>
      <c r="BB98" s="13">
        <f>+'QTR Share Price'!IH20</f>
        <v>27.65</v>
      </c>
      <c r="BC98" s="13">
        <f>+'QTR Share Price'!II20</f>
        <v>36.15</v>
      </c>
      <c r="BD98" s="13">
        <f>+'QTR Share Price'!IJ20</f>
        <v>41.1</v>
      </c>
      <c r="BE98" s="13">
        <f>+'QTR Share Price'!IK20</f>
        <v>54.35</v>
      </c>
      <c r="BF98" s="13">
        <f>+'QTR Share Price'!IL20</f>
        <v>56.8</v>
      </c>
      <c r="BG98" s="13">
        <f>+'QTR Share Price'!IM20</f>
        <v>34.125</v>
      </c>
      <c r="BH98" s="13">
        <f>+'QTR Share Price'!IN20</f>
        <v>35</v>
      </c>
      <c r="BI98" s="13">
        <f>+'QTR Share Price'!IO20</f>
        <v>33.799999999999997</v>
      </c>
      <c r="BJ98" s="13">
        <f>+'QTR Share Price'!IP20</f>
        <v>37.049999999999997</v>
      </c>
      <c r="BK98" s="13">
        <f>+'QTR Share Price'!IQ20</f>
        <v>36.15</v>
      </c>
      <c r="BL98" s="13">
        <f>+'QTR Share Price'!IR20</f>
        <v>31.55</v>
      </c>
      <c r="BM98" s="13">
        <f>+'QTR Share Price'!IS20</f>
        <v>35.075000000000003</v>
      </c>
      <c r="BN98" s="13">
        <f>+'QTR Share Price'!IT20</f>
        <v>20</v>
      </c>
      <c r="BO98" s="13">
        <f>+'QTR Share Price'!IU20</f>
        <v>21.9</v>
      </c>
      <c r="BP98" s="13">
        <f>+'QTR Share Price'!IV20</f>
        <v>27.175000000000001</v>
      </c>
      <c r="BQ98" s="13">
        <f>+'QTR Share Price'!IW20</f>
        <v>29.1</v>
      </c>
      <c r="BR98" s="13">
        <f>+'QTR Share Price'!IX20</f>
        <v>34.375</v>
      </c>
      <c r="BS98" s="13">
        <f>+'QTR Share Price'!IY20</f>
        <v>35.325000000000003</v>
      </c>
      <c r="BT98" s="13">
        <f>+'QTR Share Price'!IZ20</f>
        <v>55.15</v>
      </c>
      <c r="BU98" s="13">
        <f>+'QTR Share Price'!JA20</f>
        <v>46.75</v>
      </c>
      <c r="BV98" s="13">
        <f>+'QTR Share Price'!JB20</f>
        <v>40.125</v>
      </c>
      <c r="BW98" s="13">
        <f>+'QTR Share Price'!JC20</f>
        <v>37.549999999999997</v>
      </c>
      <c r="BX98" s="13">
        <f>+'QTR Share Price'!JD20</f>
        <v>38.450000000000003</v>
      </c>
      <c r="BY98" s="13">
        <f>+'QTR Share Price'!JE20</f>
        <v>38.700000000000003</v>
      </c>
      <c r="BZ98" s="13">
        <f>+'QTR Share Price'!JF20</f>
        <v>51.9</v>
      </c>
      <c r="CA98" s="13">
        <f>+'QTR Share Price'!JG20</f>
        <v>72.575000000000003</v>
      </c>
      <c r="CB98" s="13">
        <f>+'QTR Share Price'!JH20</f>
        <v>128.6</v>
      </c>
      <c r="CC98" s="13">
        <f>+'QTR Share Price'!JI20</f>
        <v>164.875</v>
      </c>
      <c r="CD98" s="13">
        <f>+'QTR Share Price'!JJ20</f>
        <v>189.4</v>
      </c>
      <c r="CE98" s="13">
        <f>+'QTR Share Price'!JK20</f>
        <v>220.02500000000001</v>
      </c>
      <c r="CF98" s="13">
        <f>+'QTR Share Price'!JL20</f>
        <v>263</v>
      </c>
      <c r="CG98" s="13">
        <f>+'QTR Share Price'!JM20</f>
        <v>280.14999999999998</v>
      </c>
      <c r="CH98" s="13">
        <f>+'QTR Share Price'!JN20</f>
        <v>217.65</v>
      </c>
      <c r="CI98" s="13">
        <f>+'QTR Share Price'!JO20</f>
        <v>199.75</v>
      </c>
      <c r="CJ98" s="13">
        <f>+'QTR Share Price'!JP20</f>
        <v>196.1</v>
      </c>
      <c r="CK98" s="13">
        <f>+'QTR Share Price'!JQ20</f>
        <v>153.19999999999999</v>
      </c>
      <c r="CL98" s="13">
        <f>+'QTR Share Price'!JR20</f>
        <v>154.1</v>
      </c>
      <c r="CM98" s="37">
        <f t="shared" ref="CM98:DB98" si="996">+CM106*CM88</f>
        <v>133.8833956098818</v>
      </c>
      <c r="CN98" s="37">
        <f t="shared" si="996"/>
        <v>149.16647596587552</v>
      </c>
      <c r="CO98" s="37">
        <f t="shared" si="996"/>
        <v>164.18935870678649</v>
      </c>
      <c r="CP98" s="37">
        <f t="shared" si="996"/>
        <v>202.87336377038309</v>
      </c>
      <c r="CQ98" s="37">
        <f t="shared" si="996"/>
        <v>224.0314569545703</v>
      </c>
      <c r="CR98" s="37">
        <f t="shared" si="996"/>
        <v>230.42522080923857</v>
      </c>
      <c r="CS98" s="37">
        <f t="shared" si="996"/>
        <v>239.4444570366586</v>
      </c>
      <c r="CT98" s="37">
        <f t="shared" si="996"/>
        <v>248.87895860194939</v>
      </c>
      <c r="CU98" s="37">
        <f t="shared" si="996"/>
        <v>257.55632700182014</v>
      </c>
      <c r="CV98" s="37">
        <f t="shared" si="996"/>
        <v>265.96991040352526</v>
      </c>
      <c r="CW98" s="37">
        <f t="shared" si="996"/>
        <v>276.79442039591993</v>
      </c>
      <c r="CX98" s="37">
        <f t="shared" si="996"/>
        <v>288.08891924164413</v>
      </c>
      <c r="CY98" s="37">
        <f t="shared" si="996"/>
        <v>298.56430727403404</v>
      </c>
      <c r="CZ98" s="37">
        <f t="shared" si="996"/>
        <v>308.76381678930261</v>
      </c>
      <c r="DA98" s="37">
        <f t="shared" si="996"/>
        <v>321.63019081588459</v>
      </c>
      <c r="DB98" s="37">
        <f t="shared" si="996"/>
        <v>335.0289694428559</v>
      </c>
      <c r="DE98" s="134"/>
      <c r="DF98" s="13">
        <v>153.19999999999999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51" customFormat="1" x14ac:dyDescent="0.2">
      <c r="A100" s="51" t="s">
        <v>346</v>
      </c>
      <c r="AB100" s="48">
        <f t="shared" ref="AB100:AD100" si="997">+AB97/AB96-1</f>
        <v>0.13461205313582192</v>
      </c>
      <c r="AC100" s="48">
        <f t="shared" si="997"/>
        <v>0.39190804033430782</v>
      </c>
      <c r="AD100" s="48">
        <f t="shared" si="997"/>
        <v>0.61119801077681224</v>
      </c>
      <c r="AE100" s="48">
        <f t="shared" ref="AE100" si="998">+AE97/AE96-1</f>
        <v>0.87372013661574188</v>
      </c>
      <c r="CM100" s="48">
        <f t="shared" ref="CM100:DB100" si="999">+CM97/CM96-1</f>
        <v>-0.25122888707236102</v>
      </c>
      <c r="CN100" s="48">
        <f t="shared" si="999"/>
        <v>-0.16575503846708028</v>
      </c>
      <c r="CO100" s="48">
        <f t="shared" si="999"/>
        <v>-8.1736399874505872E-2</v>
      </c>
      <c r="CP100" s="48">
        <f t="shared" si="999"/>
        <v>0.13461205313582192</v>
      </c>
      <c r="CQ100" s="48">
        <f t="shared" si="999"/>
        <v>0.25294314945125818</v>
      </c>
      <c r="CR100" s="48">
        <f t="shared" si="999"/>
        <v>0.28870162163108315</v>
      </c>
      <c r="CS100" s="48">
        <f t="shared" si="999"/>
        <v>0.33914360151214984</v>
      </c>
      <c r="CT100" s="48">
        <f t="shared" si="999"/>
        <v>0.39190804033430782</v>
      </c>
      <c r="CU100" s="48">
        <f t="shared" si="999"/>
        <v>0.44043805232314903</v>
      </c>
      <c r="CV100" s="48">
        <f t="shared" si="999"/>
        <v>0.48749279110316301</v>
      </c>
      <c r="CW100" s="48">
        <f t="shared" si="999"/>
        <v>0.5480311450714086</v>
      </c>
      <c r="CX100" s="48">
        <f t="shared" si="999"/>
        <v>0.61119801077681224</v>
      </c>
      <c r="CY100" s="48">
        <f t="shared" si="999"/>
        <v>0.6697838265878846</v>
      </c>
      <c r="CZ100" s="48">
        <f t="shared" si="999"/>
        <v>0.72682673363602346</v>
      </c>
      <c r="DA100" s="48">
        <f t="shared" si="999"/>
        <v>0.79878464264588422</v>
      </c>
      <c r="DB100" s="48">
        <f t="shared" si="999"/>
        <v>0.87372013661574188</v>
      </c>
      <c r="DE100" s="129"/>
    </row>
    <row r="101" spans="1:110" s="51" customFormat="1" x14ac:dyDescent="0.2">
      <c r="A101" s="51" t="s">
        <v>347</v>
      </c>
      <c r="AB101" s="48">
        <f t="shared" ref="AB101:AD101" si="1000">+AB98/AB96-1</f>
        <v>-0.4535371607759926</v>
      </c>
      <c r="AC101" s="48">
        <f t="shared" si="1000"/>
        <v>-8.5585889981345753E-2</v>
      </c>
      <c r="AD101" s="48">
        <f t="shared" si="1000"/>
        <v>5.1250314293143306E-2</v>
      </c>
      <c r="AE101" s="48">
        <f t="shared" ref="AE101" si="1001">+AE98/AE96-1</f>
        <v>0.21862982560830213</v>
      </c>
      <c r="CM101" s="48">
        <f t="shared" ref="CM101:DB101" si="1002">+CM98/CM96-1</f>
        <v>-0.4535371607759926</v>
      </c>
      <c r="CN101" s="48">
        <f t="shared" si="1002"/>
        <v>-0.39115724095561011</v>
      </c>
      <c r="CO101" s="48">
        <f t="shared" si="1002"/>
        <v>-0.32983935221719796</v>
      </c>
      <c r="CP101" s="48">
        <f t="shared" si="1002"/>
        <v>-0.1719454539984363</v>
      </c>
      <c r="CQ101" s="48">
        <f t="shared" si="1002"/>
        <v>-8.5585889981345753E-2</v>
      </c>
      <c r="CR101" s="48">
        <f t="shared" si="1002"/>
        <v>-5.9488894656169133E-2</v>
      </c>
      <c r="CS101" s="48">
        <f t="shared" si="1002"/>
        <v>-2.267568556465871E-2</v>
      </c>
      <c r="CT101" s="48">
        <f t="shared" si="1002"/>
        <v>1.5832484089589371E-2</v>
      </c>
      <c r="CU101" s="48">
        <f t="shared" si="1002"/>
        <v>5.1250314293143306E-2</v>
      </c>
      <c r="CV101" s="48">
        <f t="shared" si="1002"/>
        <v>8.5591471034796918E-2</v>
      </c>
      <c r="CW101" s="48">
        <f t="shared" si="1002"/>
        <v>0.12977314447314248</v>
      </c>
      <c r="CX101" s="48">
        <f t="shared" si="1002"/>
        <v>0.17587313976181274</v>
      </c>
      <c r="CY101" s="48">
        <f t="shared" si="1002"/>
        <v>0.21862982560830213</v>
      </c>
      <c r="CZ101" s="48">
        <f t="shared" si="1002"/>
        <v>0.26026047669103103</v>
      </c>
      <c r="DA101" s="48">
        <f t="shared" si="1002"/>
        <v>0.312776289044427</v>
      </c>
      <c r="DB101" s="48">
        <f t="shared" si="1002"/>
        <v>0.36746518139941187</v>
      </c>
      <c r="DE101" s="129"/>
    </row>
    <row r="102" spans="1:110" s="14" customFormat="1" x14ac:dyDescent="0.2">
      <c r="AB102" s="16"/>
      <c r="AC102" s="16"/>
      <c r="AD102" s="16"/>
      <c r="AE102" s="16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40</v>
      </c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460</v>
      </c>
      <c r="B104" s="13" t="e">
        <f t="shared" ref="B104:D104" si="1003">+B96/B88</f>
        <v>#DIV/0!</v>
      </c>
      <c r="C104" s="13" t="e">
        <f t="shared" si="1003"/>
        <v>#DIV/0!</v>
      </c>
      <c r="D104" s="13" t="e">
        <f t="shared" si="1003"/>
        <v>#DIV/0!</v>
      </c>
      <c r="E104" s="13" t="e">
        <f t="shared" ref="E104:AE104" ca="1" si="1004">+E96/E88</f>
        <v>#DIV/0!</v>
      </c>
      <c r="F104" s="13" t="e">
        <f t="shared" ca="1" si="1004"/>
        <v>#DIV/0!</v>
      </c>
      <c r="G104" s="13" t="e">
        <f t="shared" ca="1" si="1004"/>
        <v>#DIV/0!</v>
      </c>
      <c r="H104" s="13" t="e">
        <f t="shared" ca="1" si="1004"/>
        <v>#DIV/0!</v>
      </c>
      <c r="I104" s="13" t="e">
        <f t="shared" ca="1" si="1004"/>
        <v>#DIV/0!</v>
      </c>
      <c r="J104" s="13" t="e">
        <f t="shared" ca="1" si="1004"/>
        <v>#DIV/0!</v>
      </c>
      <c r="K104" s="13">
        <f t="shared" ca="1" si="1004"/>
        <v>9.9867484148117622</v>
      </c>
      <c r="L104" s="13">
        <f t="shared" ca="1" si="1004"/>
        <v>14.683901085938857</v>
      </c>
      <c r="M104" s="13">
        <f t="shared" ca="1" si="1004"/>
        <v>16.873647562983866</v>
      </c>
      <c r="N104" s="13">
        <f t="shared" ca="1" si="1004"/>
        <v>14.456669051194678</v>
      </c>
      <c r="O104" s="13">
        <f t="shared" ca="1" si="1004"/>
        <v>-101.6413375567266</v>
      </c>
      <c r="P104" s="13">
        <f t="shared" ca="1" si="1004"/>
        <v>-68.861265082558788</v>
      </c>
      <c r="Q104" s="13">
        <f t="shared" ca="1" si="1004"/>
        <v>27.710463843246032</v>
      </c>
      <c r="R104" s="13">
        <f t="shared" ca="1" si="1004"/>
        <v>24.313571924168507</v>
      </c>
      <c r="S104" s="13">
        <f t="shared" ca="1" si="1004"/>
        <v>13.545907151515548</v>
      </c>
      <c r="T104" s="13">
        <f t="shared" ca="1" si="1004"/>
        <v>5.7115584173283853</v>
      </c>
      <c r="U104" s="13">
        <f t="shared" ca="1" si="1004"/>
        <v>2.1962521443923064</v>
      </c>
      <c r="V104" s="13">
        <f t="shared" ca="1" si="1004"/>
        <v>7.4363823610406445</v>
      </c>
      <c r="W104" s="13">
        <f t="shared" ca="1" si="1004"/>
        <v>6.9929691406733099</v>
      </c>
      <c r="X104" s="13">
        <f t="shared" ca="1" si="1004"/>
        <v>6.9566790654235451</v>
      </c>
      <c r="Y104" s="13">
        <f t="shared" ca="1" si="1004"/>
        <v>8.2385980451423446</v>
      </c>
      <c r="Z104" s="13">
        <f t="shared" ref="Z104:AA104" ca="1" si="1005">+Z96/Z88</f>
        <v>9.9362798314555612</v>
      </c>
      <c r="AA104" s="13">
        <f t="shared" ca="1" si="1005"/>
        <v>9.9362798314555612</v>
      </c>
      <c r="AB104" s="37">
        <f t="shared" ca="1" si="1004"/>
        <v>14.147629796842454</v>
      </c>
      <c r="AC104" s="37">
        <f t="shared" ca="1" si="1004"/>
        <v>11.532422276219879</v>
      </c>
      <c r="AD104" s="37">
        <f t="shared" ca="1" si="1004"/>
        <v>9.9628172226092424</v>
      </c>
      <c r="AE104" s="37">
        <f t="shared" ca="1" si="1004"/>
        <v>8.5669524370879255</v>
      </c>
      <c r="AL104" s="13">
        <f t="shared" ref="AL104:BQ104" si="1006">+AL96/AL88</f>
        <v>8.090321437376728</v>
      </c>
      <c r="AM104" s="13">
        <f t="shared" si="1006"/>
        <v>6.108039405254031</v>
      </c>
      <c r="AN104" s="13">
        <f t="shared" si="1006"/>
        <v>6.0050444632648752</v>
      </c>
      <c r="AO104" s="13">
        <f t="shared" si="1006"/>
        <v>7.5591563042220953</v>
      </c>
      <c r="AP104" s="13">
        <f t="shared" si="1006"/>
        <v>8.2945368715339729</v>
      </c>
      <c r="AQ104" s="13">
        <f t="shared" si="1006"/>
        <v>13.650462251587767</v>
      </c>
      <c r="AR104" s="13">
        <f t="shared" si="1006"/>
        <v>11.740752115752098</v>
      </c>
      <c r="AS104" s="13">
        <f t="shared" si="1006"/>
        <v>10.882032502550645</v>
      </c>
      <c r="AT104" s="13">
        <f t="shared" si="1006"/>
        <v>6.5196372043945168</v>
      </c>
      <c r="AU104" s="13">
        <f t="shared" si="1006"/>
        <v>4.9958273342931827</v>
      </c>
      <c r="AV104" s="13">
        <f t="shared" si="1006"/>
        <v>5.5319468209348459</v>
      </c>
      <c r="AW104" s="13">
        <f t="shared" si="1006"/>
        <v>6.471833608601318</v>
      </c>
      <c r="AX104" s="13">
        <f t="shared" si="1006"/>
        <v>3.4767198341512957</v>
      </c>
      <c r="AY104" s="13">
        <f t="shared" si="1006"/>
        <v>5.274410435751423</v>
      </c>
      <c r="AZ104" s="13">
        <f t="shared" si="1006"/>
        <v>5.262147241109572</v>
      </c>
      <c r="BA104" s="13">
        <f t="shared" si="1006"/>
        <v>4.7632438267440262</v>
      </c>
      <c r="BB104" s="13">
        <f t="shared" si="1006"/>
        <v>6.9184459722402361</v>
      </c>
      <c r="BC104" s="13">
        <f t="shared" si="1006"/>
        <v>7.0038648698011743</v>
      </c>
      <c r="BD104" s="13">
        <f t="shared" si="1006"/>
        <v>9.9023212959652263</v>
      </c>
      <c r="BE104" s="13">
        <f t="shared" si="1006"/>
        <v>11.391454818433973</v>
      </c>
      <c r="BF104" s="13">
        <f t="shared" si="1006"/>
        <v>9.6503208298460503</v>
      </c>
      <c r="BG104" s="13">
        <f t="shared" si="1006"/>
        <v>5.9700300992334139</v>
      </c>
      <c r="BH104" s="13">
        <f t="shared" si="1006"/>
        <v>5.0502907229020257</v>
      </c>
      <c r="BI104" s="13">
        <f t="shared" si="1006"/>
        <v>5.5267687692590313</v>
      </c>
      <c r="BJ104" s="13">
        <f t="shared" si="1006"/>
        <v>5.7114711891691154</v>
      </c>
      <c r="BK104" s="13">
        <f t="shared" si="1006"/>
        <v>5.0909762464857478</v>
      </c>
      <c r="BL104" s="13">
        <f t="shared" si="1006"/>
        <v>3.6413538035814095</v>
      </c>
      <c r="BM104" s="13">
        <f t="shared" si="1006"/>
        <v>3.1587395434950079</v>
      </c>
      <c r="BN104" s="13">
        <f t="shared" si="1006"/>
        <v>2.1902322659766993</v>
      </c>
      <c r="BO104" s="13">
        <f t="shared" si="1006"/>
        <v>3.5163390313390335</v>
      </c>
      <c r="BP104" s="13">
        <f t="shared" si="1006"/>
        <v>7.2416846555135805</v>
      </c>
      <c r="BQ104" s="13">
        <f t="shared" si="1006"/>
        <v>11.215277456647417</v>
      </c>
      <c r="BR104" s="13">
        <f t="shared" ref="BR104:DB104" si="1007">+BR96/BR88</f>
        <v>7.4363963554245354</v>
      </c>
      <c r="BS104" s="13">
        <f t="shared" si="1007"/>
        <v>7.7878173355270111</v>
      </c>
      <c r="BT104" s="13">
        <f t="shared" si="1007"/>
        <v>6.985439613063896</v>
      </c>
      <c r="BU104" s="13">
        <f t="shared" si="1007"/>
        <v>6.7438528960163859</v>
      </c>
      <c r="BV104" s="13">
        <f t="shared" si="1007"/>
        <v>6.9929538554948456</v>
      </c>
      <c r="BW104" s="13">
        <f t="shared" si="1007"/>
        <v>9.5199669187145641</v>
      </c>
      <c r="BX104" s="13">
        <f t="shared" si="1007"/>
        <v>11.532402350576721</v>
      </c>
      <c r="BY104" s="13">
        <f t="shared" si="1007"/>
        <v>7.6915807560137583</v>
      </c>
      <c r="BZ104" s="13">
        <f t="shared" si="1007"/>
        <v>7.0417473634836867</v>
      </c>
      <c r="CA104" s="13">
        <f t="shared" si="1007"/>
        <v>8.87538423522256</v>
      </c>
      <c r="CB104" s="13">
        <f t="shared" si="1007"/>
        <v>9.1320998491629819</v>
      </c>
      <c r="CC104" s="13">
        <f t="shared" si="1007"/>
        <v>8.5990208877284573</v>
      </c>
      <c r="CD104" s="13">
        <f t="shared" si="1007"/>
        <v>8.238659944425228</v>
      </c>
      <c r="CE104" s="13">
        <f t="shared" si="1007"/>
        <v>9.375236716878522</v>
      </c>
      <c r="CF104" s="13">
        <f t="shared" si="1007"/>
        <v>12.030713895327061</v>
      </c>
      <c r="CG104" s="13">
        <f t="shared" si="1007"/>
        <v>9.5550834414934798</v>
      </c>
      <c r="CH104" s="13">
        <f t="shared" si="1007"/>
        <v>8.6039889516797867</v>
      </c>
      <c r="CI104" s="13">
        <f t="shared" ref="CI104:CJ104" si="1008">+CI96/CI88</f>
        <v>8.2846259707728862</v>
      </c>
      <c r="CJ104" s="13">
        <f t="shared" si="1008"/>
        <v>8.5765767554856023</v>
      </c>
      <c r="CK104" s="13">
        <f t="shared" ref="CK104:CL104" si="1009">+CK96/CK88</f>
        <v>8.5116193396198305</v>
      </c>
      <c r="CL104" s="13">
        <f t="shared" si="1009"/>
        <v>13.931054056544038</v>
      </c>
      <c r="CM104" s="37">
        <f t="shared" si="1007"/>
        <v>21.437888045705389</v>
      </c>
      <c r="CN104" s="37">
        <f t="shared" si="1007"/>
        <v>19.241436305836803</v>
      </c>
      <c r="CO104" s="37">
        <f t="shared" si="1007"/>
        <v>17.480896867312609</v>
      </c>
      <c r="CP104" s="37">
        <f t="shared" si="1007"/>
        <v>14.147629796842454</v>
      </c>
      <c r="CQ104" s="37">
        <f t="shared" si="1007"/>
        <v>12.811492123829522</v>
      </c>
      <c r="CR104" s="37">
        <f t="shared" si="1007"/>
        <v>12.45600301991098</v>
      </c>
      <c r="CS104" s="37">
        <f t="shared" si="1007"/>
        <v>11.986818495548262</v>
      </c>
      <c r="CT104" s="37">
        <f t="shared" si="1007"/>
        <v>11.532422276219894</v>
      </c>
      <c r="CU104" s="37">
        <f t="shared" si="1007"/>
        <v>11.143881727445377</v>
      </c>
      <c r="CV104" s="37">
        <f t="shared" si="1007"/>
        <v>10.791360729147682</v>
      </c>
      <c r="CW104" s="37">
        <f t="shared" si="1007"/>
        <v>10.369346470778201</v>
      </c>
      <c r="CX104" s="37">
        <f t="shared" si="1007"/>
        <v>9.9628172226092246</v>
      </c>
      <c r="CY104" s="37">
        <f t="shared" si="1007"/>
        <v>9.6132631273609306</v>
      </c>
      <c r="CZ104" s="37">
        <f t="shared" si="1007"/>
        <v>9.2957046460599706</v>
      </c>
      <c r="DA104" s="37">
        <f t="shared" si="1007"/>
        <v>8.9238427492851482</v>
      </c>
      <c r="DB104" s="37">
        <f t="shared" si="1007"/>
        <v>8.5669524370879255</v>
      </c>
      <c r="DE104" s="134"/>
      <c r="DF104" s="13">
        <v>9.9362798314555612</v>
      </c>
    </row>
    <row r="105" spans="1:110" s="13" customFormat="1" x14ac:dyDescent="0.2">
      <c r="A105" s="13" t="s">
        <v>461</v>
      </c>
      <c r="B105" s="13" t="e">
        <f t="shared" ref="B105:D105" si="1010">+B97/B88</f>
        <v>#DIV/0!</v>
      </c>
      <c r="C105" s="13" t="e">
        <f t="shared" si="1010"/>
        <v>#DIV/0!</v>
      </c>
      <c r="D105" s="13" t="e">
        <f t="shared" si="1010"/>
        <v>#DIV/0!</v>
      </c>
      <c r="E105" s="13" t="e">
        <f t="shared" ref="E105:AE105" ca="1" si="1011">+E97/E88</f>
        <v>#DIV/0!</v>
      </c>
      <c r="F105" s="13" t="e">
        <f t="shared" ca="1" si="1011"/>
        <v>#DIV/0!</v>
      </c>
      <c r="G105" s="13" t="e">
        <f t="shared" ca="1" si="1011"/>
        <v>#DIV/0!</v>
      </c>
      <c r="H105" s="13" t="e">
        <f t="shared" ca="1" si="1011"/>
        <v>#DIV/0!</v>
      </c>
      <c r="I105" s="13" t="e">
        <f t="shared" ca="1" si="1011"/>
        <v>#DIV/0!</v>
      </c>
      <c r="J105" s="13" t="e">
        <f t="shared" ca="1" si="1011"/>
        <v>#DIV/0!</v>
      </c>
      <c r="K105" s="13">
        <f t="shared" ca="1" si="1011"/>
        <v>10.574757624350843</v>
      </c>
      <c r="L105" s="13">
        <f t="shared" ca="1" si="1011"/>
        <v>16.855565203447934</v>
      </c>
      <c r="M105" s="13">
        <f t="shared" ca="1" si="1011"/>
        <v>20.43543129612377</v>
      </c>
      <c r="N105" s="13">
        <f t="shared" ca="1" si="1011"/>
        <v>30.665394826620627</v>
      </c>
      <c r="O105" s="13">
        <f t="shared" ca="1" si="1011"/>
        <v>-166.8282731275601</v>
      </c>
      <c r="P105" s="13">
        <f t="shared" ca="1" si="1011"/>
        <v>-121.37191014551458</v>
      </c>
      <c r="Q105" s="13">
        <f t="shared" ca="1" si="1011"/>
        <v>61.387123533416634</v>
      </c>
      <c r="R105" s="13">
        <f t="shared" ca="1" si="1011"/>
        <v>25.494266963651508</v>
      </c>
      <c r="S105" s="13">
        <f t="shared" ca="1" si="1011"/>
        <v>20.717269761141427</v>
      </c>
      <c r="T105" s="13">
        <f t="shared" ca="1" si="1011"/>
        <v>9.0210287192234571</v>
      </c>
      <c r="U105" s="13">
        <f t="shared" ca="1" si="1011"/>
        <v>4.9247837386264175</v>
      </c>
      <c r="V105" s="13">
        <f t="shared" ca="1" si="1011"/>
        <v>8.7852608877567135</v>
      </c>
      <c r="W105" s="13">
        <f t="shared" ca="1" si="1011"/>
        <v>11.465984382236693</v>
      </c>
      <c r="X105" s="13">
        <f t="shared" ca="1" si="1011"/>
        <v>8.5865159333791823</v>
      </c>
      <c r="Y105" s="13">
        <f t="shared" ca="1" si="1011"/>
        <v>10.644779654253577</v>
      </c>
      <c r="Z105" s="13">
        <f t="shared" ref="Z105:AA105" ca="1" si="1012">+Z97/Z88</f>
        <v>14.120847883392139</v>
      </c>
      <c r="AA105" s="13">
        <f t="shared" ca="1" si="1012"/>
        <v>14.120847883392139</v>
      </c>
      <c r="AB105" s="60">
        <f t="shared" ca="1" si="1011"/>
        <v>16.052071290800949</v>
      </c>
      <c r="AC105" s="60">
        <f t="shared" ca="1" si="1011"/>
        <v>16.052071290800928</v>
      </c>
      <c r="AD105" s="60">
        <f t="shared" ca="1" si="1011"/>
        <v>16.052071290800978</v>
      </c>
      <c r="AE105" s="60">
        <f t="shared" ca="1" si="1011"/>
        <v>16.052071290800949</v>
      </c>
      <c r="AL105" s="13">
        <f t="shared" ref="AL105:BQ105" si="1013">+AL97/AL88</f>
        <v>13.480584319526633</v>
      </c>
      <c r="AM105" s="13">
        <f t="shared" si="1013"/>
        <v>9.9029120549406553</v>
      </c>
      <c r="AN105" s="13">
        <f t="shared" si="1013"/>
        <v>8.6318282871056553</v>
      </c>
      <c r="AO105" s="13">
        <f t="shared" si="1013"/>
        <v>8.3451236263736277</v>
      </c>
      <c r="AP105" s="13">
        <f t="shared" si="1013"/>
        <v>9.2763990100371103</v>
      </c>
      <c r="AQ105" s="13">
        <f t="shared" si="1013"/>
        <v>15.70581079696781</v>
      </c>
      <c r="AR105" s="13">
        <f t="shared" si="1013"/>
        <v>14.308586996086973</v>
      </c>
      <c r="AS105" s="13">
        <f t="shared" si="1013"/>
        <v>13.491856143419321</v>
      </c>
      <c r="AT105" s="13">
        <f t="shared" si="1013"/>
        <v>9.6454906585562714</v>
      </c>
      <c r="AU105" s="13">
        <f t="shared" si="1013"/>
        <v>6.3598757532128225</v>
      </c>
      <c r="AV105" s="13">
        <f t="shared" si="1013"/>
        <v>7.4164561775170466</v>
      </c>
      <c r="AW105" s="13">
        <f t="shared" si="1013"/>
        <v>7.6264087243757936</v>
      </c>
      <c r="AX105" s="13">
        <f t="shared" si="1013"/>
        <v>5.9207952558244514</v>
      </c>
      <c r="AY105" s="13">
        <f t="shared" si="1013"/>
        <v>5.5020116365436982</v>
      </c>
      <c r="AZ105" s="13">
        <f t="shared" si="1013"/>
        <v>5.7527679162404457</v>
      </c>
      <c r="BA105" s="13">
        <f t="shared" si="1013"/>
        <v>5.833247874780727</v>
      </c>
      <c r="BB105" s="13">
        <f t="shared" si="1013"/>
        <v>7.2544136723310384</v>
      </c>
      <c r="BC105" s="13">
        <f t="shared" si="1013"/>
        <v>7.7046685018003389</v>
      </c>
      <c r="BD105" s="13">
        <f t="shared" si="1013"/>
        <v>10.80812866140432</v>
      </c>
      <c r="BE105" s="13">
        <f t="shared" si="1013"/>
        <v>11.700651449220038</v>
      </c>
      <c r="BF105" s="13">
        <f t="shared" si="1013"/>
        <v>14.759314210352782</v>
      </c>
      <c r="BG105" s="13">
        <f t="shared" si="1013"/>
        <v>10.278376757748205</v>
      </c>
      <c r="BH105" s="13">
        <f t="shared" si="1013"/>
        <v>7.0759567820880038</v>
      </c>
      <c r="BI105" s="13">
        <f t="shared" si="1013"/>
        <v>5.9084877456482321</v>
      </c>
      <c r="BJ105" s="13">
        <f t="shared" si="1013"/>
        <v>6.4175687249762738</v>
      </c>
      <c r="BK105" s="13">
        <f t="shared" si="1013"/>
        <v>5.6688708474381846</v>
      </c>
      <c r="BL105" s="13">
        <f t="shared" si="1013"/>
        <v>3.7647174254317148</v>
      </c>
      <c r="BM105" s="13">
        <f t="shared" si="1013"/>
        <v>4.0143215265483754</v>
      </c>
      <c r="BN105" s="13">
        <f t="shared" si="1013"/>
        <v>4.9112850156289749</v>
      </c>
      <c r="BO105" s="13">
        <f t="shared" si="1013"/>
        <v>3.87465337132004</v>
      </c>
      <c r="BP105" s="13">
        <f t="shared" si="1013"/>
        <v>8.6163968339629413</v>
      </c>
      <c r="BQ105" s="13">
        <f t="shared" si="1013"/>
        <v>12.109838150289038</v>
      </c>
      <c r="BR105" s="13">
        <f t="shared" ref="BR105:CH105" si="1014">+BR97/BR88</f>
        <v>8.7852774205689705</v>
      </c>
      <c r="BS105" s="13">
        <f t="shared" si="1014"/>
        <v>7.9709425828352565</v>
      </c>
      <c r="BT105" s="13">
        <f t="shared" si="1014"/>
        <v>9.0434034096351095</v>
      </c>
      <c r="BU105" s="13">
        <f t="shared" si="1014"/>
        <v>8.7247318305894499</v>
      </c>
      <c r="BV105" s="13">
        <f t="shared" si="1014"/>
        <v>9.2682847601700136</v>
      </c>
      <c r="BW105" s="13">
        <f t="shared" si="1014"/>
        <v>12.354801512287347</v>
      </c>
      <c r="BX105" s="13">
        <f t="shared" si="1014"/>
        <v>13.006258738203424</v>
      </c>
      <c r="BY105" s="13">
        <f t="shared" si="1014"/>
        <v>8.0034015974737756</v>
      </c>
      <c r="BZ105" s="13">
        <f t="shared" si="1014"/>
        <v>8.6915143514245568</v>
      </c>
      <c r="CA105" s="13">
        <f t="shared" si="1014"/>
        <v>9.1827493320009559</v>
      </c>
      <c r="CB105" s="13">
        <f t="shared" si="1014"/>
        <v>10.303591445974799</v>
      </c>
      <c r="CC105" s="13">
        <f t="shared" si="1014"/>
        <v>10.74773253916449</v>
      </c>
      <c r="CD105" s="13">
        <f t="shared" si="1014"/>
        <v>10.64485963196622</v>
      </c>
      <c r="CE105" s="13">
        <f t="shared" si="1014"/>
        <v>10.317159478386602</v>
      </c>
      <c r="CF105" s="13">
        <f t="shared" si="1014"/>
        <v>12.29770351102699</v>
      </c>
      <c r="CG105" s="13">
        <f t="shared" si="1014"/>
        <v>12.59302585070308</v>
      </c>
      <c r="CH105" s="13">
        <f t="shared" si="1014"/>
        <v>9.1853395565230151</v>
      </c>
      <c r="CI105" s="13">
        <f t="shared" ref="CI105:CJ105" si="1015">+CI97/CI88</f>
        <v>9.5458161756693602</v>
      </c>
      <c r="CJ105" s="13">
        <f t="shared" si="1015"/>
        <v>10.367244064256782</v>
      </c>
      <c r="CK105" s="13">
        <f t="shared" ref="CK105:CL105" si="1016">+CK97/CK88</f>
        <v>10.816849577433535</v>
      </c>
      <c r="CL105" s="13">
        <f t="shared" si="1016"/>
        <v>16.052071290800949</v>
      </c>
      <c r="CM105" s="60">
        <f t="shared" ref="CM105:CM106" si="1017">+CL105</f>
        <v>16.052071290800949</v>
      </c>
      <c r="CN105" s="60">
        <f t="shared" ref="CN105:CN106" si="1018">+CM105</f>
        <v>16.052071290800949</v>
      </c>
      <c r="CO105" s="60">
        <f t="shared" ref="CO105:CO106" si="1019">+CN105</f>
        <v>16.052071290800949</v>
      </c>
      <c r="CP105" s="60">
        <f t="shared" ref="CP105:CP106" si="1020">+CO105</f>
        <v>16.052071290800949</v>
      </c>
      <c r="CQ105" s="60">
        <f t="shared" ref="CQ105:CQ106" si="1021">+CP105</f>
        <v>16.052071290800949</v>
      </c>
      <c r="CR105" s="60">
        <f t="shared" ref="CR105:CR106" si="1022">+CQ105</f>
        <v>16.052071290800949</v>
      </c>
      <c r="CS105" s="60">
        <f t="shared" ref="CS105:CS106" si="1023">+CR105</f>
        <v>16.052071290800949</v>
      </c>
      <c r="CT105" s="60">
        <f t="shared" ref="CT105:CT106" si="1024">+CS105</f>
        <v>16.052071290800949</v>
      </c>
      <c r="CU105" s="60">
        <f t="shared" ref="CU105:CU106" si="1025">+CT105</f>
        <v>16.052071290800949</v>
      </c>
      <c r="CV105" s="60">
        <f t="shared" ref="CV105:CV106" si="1026">+CU105</f>
        <v>16.052071290800949</v>
      </c>
      <c r="CW105" s="60">
        <f t="shared" ref="CW105:CW106" si="1027">+CV105</f>
        <v>16.052071290800949</v>
      </c>
      <c r="CX105" s="60">
        <f t="shared" ref="CX105:CX106" si="1028">+CW105</f>
        <v>16.052071290800949</v>
      </c>
      <c r="CY105" s="60">
        <f t="shared" ref="CY105:CY106" si="1029">+CX105</f>
        <v>16.052071290800949</v>
      </c>
      <c r="CZ105" s="60">
        <f t="shared" ref="CZ105:CZ106" si="1030">+CY105</f>
        <v>16.052071290800949</v>
      </c>
      <c r="DA105" s="60">
        <f t="shared" ref="DA105:DA106" si="1031">+CZ105</f>
        <v>16.052071290800949</v>
      </c>
      <c r="DB105" s="60">
        <f t="shared" ref="DB105:DB106" si="1032">+DA105</f>
        <v>16.052071290800949</v>
      </c>
      <c r="DE105" s="136"/>
      <c r="DF105" s="13">
        <v>14.120847883392139</v>
      </c>
    </row>
    <row r="106" spans="1:110" s="13" customFormat="1" x14ac:dyDescent="0.2">
      <c r="A106" s="13" t="s">
        <v>462</v>
      </c>
      <c r="B106" s="13" t="e">
        <f t="shared" ref="B106:D106" si="1033">+B98/B88</f>
        <v>#DIV/0!</v>
      </c>
      <c r="C106" s="13" t="e">
        <f t="shared" si="1033"/>
        <v>#DIV/0!</v>
      </c>
      <c r="D106" s="13" t="e">
        <f t="shared" si="1033"/>
        <v>#DIV/0!</v>
      </c>
      <c r="E106" s="13" t="e">
        <f t="shared" ref="E106:AE106" ca="1" si="1034">+E98/E88</f>
        <v>#DIV/0!</v>
      </c>
      <c r="F106" s="13" t="e">
        <f t="shared" ca="1" si="1034"/>
        <v>#DIV/0!</v>
      </c>
      <c r="G106" s="13" t="e">
        <f t="shared" ca="1" si="1034"/>
        <v>#DIV/0!</v>
      </c>
      <c r="H106" s="13" t="e">
        <f t="shared" ca="1" si="1034"/>
        <v>#DIV/0!</v>
      </c>
      <c r="I106" s="13" t="e">
        <f t="shared" ca="1" si="1034"/>
        <v>#DIV/0!</v>
      </c>
      <c r="J106" s="13" t="e">
        <f t="shared" ca="1" si="1034"/>
        <v>#DIV/0!</v>
      </c>
      <c r="K106" s="13">
        <f t="shared" ca="1" si="1034"/>
        <v>1.6708869698262543</v>
      </c>
      <c r="L106" s="13">
        <f t="shared" ca="1" si="1034"/>
        <v>12.224599336971625</v>
      </c>
      <c r="M106" s="13">
        <f t="shared" ca="1" si="1034"/>
        <v>10.564202092850325</v>
      </c>
      <c r="N106" s="13">
        <f t="shared" ca="1" si="1034"/>
        <v>13.734716029149634</v>
      </c>
      <c r="O106" s="13">
        <f t="shared" ca="1" si="1034"/>
        <v>-68.060188929327524</v>
      </c>
      <c r="P106" s="13">
        <f t="shared" ca="1" si="1034"/>
        <v>-55.654995066725597</v>
      </c>
      <c r="Q106" s="13">
        <f t="shared" ca="1" si="1034"/>
        <v>25.625889390706124</v>
      </c>
      <c r="R106" s="13">
        <f t="shared" ca="1" si="1034"/>
        <v>11.223891116072991</v>
      </c>
      <c r="S106" s="13">
        <f t="shared" ca="1" si="1034"/>
        <v>8.2299923281896987</v>
      </c>
      <c r="T106" s="13">
        <f t="shared" ca="1" si="1034"/>
        <v>4.4610207858047239</v>
      </c>
      <c r="U106" s="13">
        <f t="shared" ca="1" si="1034"/>
        <v>1.918124143574067</v>
      </c>
      <c r="V106" s="13">
        <f t="shared" ca="1" si="1034"/>
        <v>4.3926304438783568</v>
      </c>
      <c r="W106" s="13">
        <f t="shared" ca="1" si="1034"/>
        <v>5.4864327572300873</v>
      </c>
      <c r="X106" s="13">
        <f t="shared" ca="1" si="1034"/>
        <v>3.5894647737087473</v>
      </c>
      <c r="Y106" s="13">
        <f t="shared" ca="1" si="1034"/>
        <v>2.7674901787836412</v>
      </c>
      <c r="Z106" s="13">
        <f t="shared" ref="Z106:AA106" ca="1" si="1035">+Z98/Z88</f>
        <v>8.0067801011340336</v>
      </c>
      <c r="AA106" s="13">
        <f t="shared" ca="1" si="1035"/>
        <v>8.0067801011340336</v>
      </c>
      <c r="AB106" s="60">
        <f t="shared" ca="1" si="1034"/>
        <v>7.731153947072694</v>
      </c>
      <c r="AC106" s="60">
        <f t="shared" ca="1" si="1034"/>
        <v>10.545409652068903</v>
      </c>
      <c r="AD106" s="60">
        <f t="shared" ca="1" si="1034"/>
        <v>10.473414736513108</v>
      </c>
      <c r="AE106" s="60">
        <f t="shared" ca="1" si="1034"/>
        <v>10.439943754403078</v>
      </c>
      <c r="AL106" s="13">
        <f t="shared" ref="AL106:BQ106" si="1036">+AL98/AL88</f>
        <v>7.6862980769230802</v>
      </c>
      <c r="AM106" s="13">
        <f t="shared" si="1036"/>
        <v>5.1913005067342297</v>
      </c>
      <c r="AN106" s="13">
        <f t="shared" si="1036"/>
        <v>5.1317065424518322</v>
      </c>
      <c r="AO106" s="13">
        <f t="shared" si="1036"/>
        <v>6.5805499325236188</v>
      </c>
      <c r="AP106" s="13">
        <f t="shared" si="1036"/>
        <v>6.7777796874283789</v>
      </c>
      <c r="AQ106" s="13">
        <f t="shared" si="1036"/>
        <v>8.6963352796557949</v>
      </c>
      <c r="AR106" s="13">
        <f t="shared" si="1036"/>
        <v>10.431374556374541</v>
      </c>
      <c r="AS106" s="13">
        <f t="shared" si="1036"/>
        <v>8.6799938055676975</v>
      </c>
      <c r="AT106" s="13">
        <f t="shared" si="1036"/>
        <v>5.5818811681459906</v>
      </c>
      <c r="AU106" s="13">
        <f t="shared" si="1036"/>
        <v>4.3564296379246015</v>
      </c>
      <c r="AV106" s="13">
        <f t="shared" si="1036"/>
        <v>5.0803593253483275</v>
      </c>
      <c r="AW106" s="13">
        <f t="shared" si="1036"/>
        <v>6.1870729298228593</v>
      </c>
      <c r="AX106" s="13">
        <f t="shared" si="1036"/>
        <v>3.2151767078467883</v>
      </c>
      <c r="AY106" s="13">
        <f t="shared" si="1036"/>
        <v>3.8098461871750429</v>
      </c>
      <c r="AZ106" s="13">
        <f t="shared" si="1036"/>
        <v>4.3338159636560549</v>
      </c>
      <c r="BA106" s="13">
        <f t="shared" si="1036"/>
        <v>4.0168297125893915</v>
      </c>
      <c r="BB106" s="13">
        <f t="shared" si="1036"/>
        <v>4.5874108185238009</v>
      </c>
      <c r="BC106" s="13">
        <f t="shared" si="1036"/>
        <v>6.0319169754213808</v>
      </c>
      <c r="BD106" s="13">
        <f t="shared" si="1036"/>
        <v>7.2288704309799439</v>
      </c>
      <c r="BE106" s="13">
        <f t="shared" si="1036"/>
        <v>8.8446509911698055</v>
      </c>
      <c r="BF106" s="13">
        <f t="shared" si="1036"/>
        <v>9.2124071115169013</v>
      </c>
      <c r="BG106" s="13">
        <f t="shared" si="1036"/>
        <v>5.1316694492780917</v>
      </c>
      <c r="BH106" s="13">
        <f t="shared" si="1036"/>
        <v>4.8560487720211789</v>
      </c>
      <c r="BI106" s="13">
        <f t="shared" si="1036"/>
        <v>4.4109748382752123</v>
      </c>
      <c r="BJ106" s="13">
        <f t="shared" si="1036"/>
        <v>4.8898904115243376</v>
      </c>
      <c r="BK106" s="13">
        <f t="shared" si="1036"/>
        <v>4.4213523437948297</v>
      </c>
      <c r="BL106" s="13">
        <f t="shared" si="1036"/>
        <v>2.6842222547428385</v>
      </c>
      <c r="BM106" s="13">
        <f t="shared" si="1036"/>
        <v>3.0312664702623096</v>
      </c>
      <c r="BN106" s="13">
        <f t="shared" si="1036"/>
        <v>1.9128666078399121</v>
      </c>
      <c r="BO106" s="13">
        <f t="shared" si="1036"/>
        <v>2.6600284900284916</v>
      </c>
      <c r="BP106" s="13">
        <f t="shared" si="1036"/>
        <v>6.2523520417341238</v>
      </c>
      <c r="BQ106" s="13">
        <f t="shared" si="1036"/>
        <v>8.6055260115607073</v>
      </c>
      <c r="BR106" s="13">
        <f t="shared" ref="BR106:CH106" si="1037">+BR98/BR88</f>
        <v>6.8948381582661735</v>
      </c>
      <c r="BS106" s="13">
        <f t="shared" si="1037"/>
        <v>4.7046540808463737</v>
      </c>
      <c r="BT106" s="13">
        <f t="shared" si="1037"/>
        <v>6.7557561536251445</v>
      </c>
      <c r="BU106" s="13">
        <f t="shared" si="1037"/>
        <v>6.3756344365776751</v>
      </c>
      <c r="BV106" s="13">
        <f t="shared" si="1037"/>
        <v>6.2319216757741405</v>
      </c>
      <c r="BW106" s="13">
        <f t="shared" si="1037"/>
        <v>9.0787240075614442</v>
      </c>
      <c r="BX106" s="13">
        <f t="shared" si="1037"/>
        <v>10.743085896539672</v>
      </c>
      <c r="BY106" s="13">
        <f t="shared" si="1037"/>
        <v>5.7464126497631751</v>
      </c>
      <c r="BZ106" s="13">
        <f t="shared" si="1037"/>
        <v>5.0218713591865791</v>
      </c>
      <c r="CA106" s="13">
        <f t="shared" si="1037"/>
        <v>5.04113489235983</v>
      </c>
      <c r="CB106" s="13">
        <f t="shared" si="1037"/>
        <v>6.7785745489313678</v>
      </c>
      <c r="CC106" s="13">
        <f t="shared" si="1037"/>
        <v>6.8823474216710165</v>
      </c>
      <c r="CD106" s="13">
        <f t="shared" si="1037"/>
        <v>7.2224123743306556</v>
      </c>
      <c r="CE106" s="13">
        <f t="shared" si="1037"/>
        <v>7.591448923106805</v>
      </c>
      <c r="CF106" s="13">
        <f t="shared" si="1037"/>
        <v>8.5113053247371013</v>
      </c>
      <c r="CG106" s="13">
        <f t="shared" si="1037"/>
        <v>9.1909240382296922</v>
      </c>
      <c r="CH106" s="13">
        <f t="shared" si="1037"/>
        <v>6.9332032407741782</v>
      </c>
      <c r="CI106" s="13">
        <f t="shared" ref="CI106:CJ106" si="1038">+CI98/CI88</f>
        <v>6.8737447047222604</v>
      </c>
      <c r="CJ106" s="13">
        <f t="shared" si="1038"/>
        <v>8.3014151122938138</v>
      </c>
      <c r="CK106" s="13">
        <f t="shared" ref="CK106:CL106" si="1039">+CK98/CK88</f>
        <v>7.7617862073199877</v>
      </c>
      <c r="CL106" s="13">
        <f t="shared" si="1039"/>
        <v>11.715009168422572</v>
      </c>
      <c r="CM106" s="60">
        <f t="shared" si="1017"/>
        <v>11.715009168422572</v>
      </c>
      <c r="CN106" s="60">
        <f t="shared" si="1018"/>
        <v>11.715009168422572</v>
      </c>
      <c r="CO106" s="60">
        <f t="shared" si="1019"/>
        <v>11.715009168422572</v>
      </c>
      <c r="CP106" s="60">
        <f t="shared" si="1020"/>
        <v>11.715009168422572</v>
      </c>
      <c r="CQ106" s="60">
        <f t="shared" si="1021"/>
        <v>11.715009168422572</v>
      </c>
      <c r="CR106" s="60">
        <f t="shared" si="1022"/>
        <v>11.715009168422572</v>
      </c>
      <c r="CS106" s="60">
        <f t="shared" si="1023"/>
        <v>11.715009168422572</v>
      </c>
      <c r="CT106" s="60">
        <f t="shared" si="1024"/>
        <v>11.715009168422572</v>
      </c>
      <c r="CU106" s="60">
        <f t="shared" si="1025"/>
        <v>11.715009168422572</v>
      </c>
      <c r="CV106" s="60">
        <f t="shared" si="1026"/>
        <v>11.715009168422572</v>
      </c>
      <c r="CW106" s="60">
        <f t="shared" si="1027"/>
        <v>11.715009168422572</v>
      </c>
      <c r="CX106" s="60">
        <f t="shared" si="1028"/>
        <v>11.715009168422572</v>
      </c>
      <c r="CY106" s="60">
        <f t="shared" si="1029"/>
        <v>11.715009168422572</v>
      </c>
      <c r="CZ106" s="60">
        <f t="shared" si="1030"/>
        <v>11.715009168422572</v>
      </c>
      <c r="DA106" s="60">
        <f t="shared" si="1031"/>
        <v>11.715009168422572</v>
      </c>
      <c r="DB106" s="60">
        <f t="shared" si="1032"/>
        <v>11.715009168422572</v>
      </c>
      <c r="DE106" s="136"/>
      <c r="DF106" s="13">
        <v>8.0067801011340336</v>
      </c>
    </row>
    <row r="107" spans="1:110" s="13" customFormat="1" x14ac:dyDescent="0.2">
      <c r="AB107" s="60"/>
      <c r="AC107" s="60"/>
      <c r="AD107" s="60"/>
      <c r="AE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E107" s="136"/>
    </row>
    <row r="108" spans="1:110" s="13" customFormat="1" x14ac:dyDescent="0.2">
      <c r="A108" s="13" t="s">
        <v>463</v>
      </c>
      <c r="B108" s="13" t="e">
        <f t="shared" ref="B108:AD108" si="1040">+B97/C88</f>
        <v>#DIV/0!</v>
      </c>
      <c r="C108" s="13" t="e">
        <f t="shared" si="1040"/>
        <v>#DIV/0!</v>
      </c>
      <c r="D108" s="13" t="e">
        <f t="shared" ca="1" si="1040"/>
        <v>#DIV/0!</v>
      </c>
      <c r="E108" s="13" t="e">
        <f t="shared" ca="1" si="1040"/>
        <v>#DIV/0!</v>
      </c>
      <c r="F108" s="13" t="e">
        <f t="shared" ca="1" si="1040"/>
        <v>#DIV/0!</v>
      </c>
      <c r="G108" s="13" t="e">
        <f t="shared" ca="1" si="1040"/>
        <v>#DIV/0!</v>
      </c>
      <c r="H108" s="13" t="e">
        <f t="shared" ca="1" si="1040"/>
        <v>#DIV/0!</v>
      </c>
      <c r="I108" s="13" t="e">
        <f t="shared" ca="1" si="1040"/>
        <v>#DIV/0!</v>
      </c>
      <c r="J108" s="13">
        <f t="shared" ca="1" si="1040"/>
        <v>0</v>
      </c>
      <c r="K108" s="13">
        <f t="shared" ca="1" si="1040"/>
        <v>16.165234887948362</v>
      </c>
      <c r="L108" s="13">
        <f t="shared" ca="1" si="1040"/>
        <v>22.717880463890971</v>
      </c>
      <c r="M108" s="13">
        <f t="shared" ca="1" si="1040"/>
        <v>37.127754804438467</v>
      </c>
      <c r="N108" s="13">
        <f t="shared" ca="1" si="1040"/>
        <v>-312.73567023858544</v>
      </c>
      <c r="O108" s="13">
        <f t="shared" ca="1" si="1040"/>
        <v>-97.370038450071718</v>
      </c>
      <c r="P108" s="13">
        <f t="shared" ca="1" si="1040"/>
        <v>83.239214346248787</v>
      </c>
      <c r="Q108" s="13">
        <f t="shared" ca="1" si="1040"/>
        <v>24.896631202925548</v>
      </c>
      <c r="R108" s="13">
        <f t="shared" ca="1" si="1040"/>
        <v>9.954534289075923</v>
      </c>
      <c r="S108" s="13">
        <f t="shared" ca="1" si="1040"/>
        <v>12.010440577166564</v>
      </c>
      <c r="T108" s="13">
        <f t="shared" ca="1" si="1040"/>
        <v>6.5551892606643731</v>
      </c>
      <c r="U108" s="13">
        <f t="shared" ca="1" si="1040"/>
        <v>10.299615218865464</v>
      </c>
      <c r="V108" s="13">
        <f t="shared" ca="1" si="1040"/>
        <v>6.8027106798776442</v>
      </c>
      <c r="W108" s="13">
        <f t="shared" ca="1" si="1040"/>
        <v>7.0570502508401676</v>
      </c>
      <c r="X108" s="13">
        <f t="shared" ca="1" si="1040"/>
        <v>3.4252815061555708</v>
      </c>
      <c r="Y108" s="13">
        <f t="shared" ca="1" si="1040"/>
        <v>10.269205905038206</v>
      </c>
      <c r="Z108" s="13">
        <f t="shared" ref="Z108:AA108" ca="1" si="1041">+Z97/AA88</f>
        <v>29.181091948728199</v>
      </c>
      <c r="AA108" s="13">
        <f t="shared" ca="1" si="1041"/>
        <v>29.181091948728199</v>
      </c>
      <c r="AB108" s="37">
        <f t="shared" ca="1" si="1040"/>
        <v>13.084825316451125</v>
      </c>
      <c r="AC108" s="37">
        <f t="shared" ca="1" si="1040"/>
        <v>13.867325396530921</v>
      </c>
      <c r="AD108" s="37">
        <f t="shared" ca="1" si="1040"/>
        <v>13.80305672505563</v>
      </c>
      <c r="AE108" s="37"/>
      <c r="AL108" s="13">
        <f t="shared" ref="AL108:BQ108" si="1042">+AL97/AP88</f>
        <v>20.047573216004373</v>
      </c>
      <c r="AM108" s="13">
        <f t="shared" si="1042"/>
        <v>15.214492419586128</v>
      </c>
      <c r="AN108" s="13">
        <f t="shared" si="1042"/>
        <v>9.2747577122576974</v>
      </c>
      <c r="AO108" s="13">
        <f t="shared" si="1042"/>
        <v>6.309015631832092</v>
      </c>
      <c r="AP108" s="13">
        <f t="shared" si="1042"/>
        <v>6.281476941220288</v>
      </c>
      <c r="AQ108" s="13">
        <f t="shared" si="1042"/>
        <v>8.1757652108995948</v>
      </c>
      <c r="AR108" s="13">
        <f t="shared" si="1042"/>
        <v>8.5410827290257778</v>
      </c>
      <c r="AS108" s="13">
        <f t="shared" si="1042"/>
        <v>11.991013310016521</v>
      </c>
      <c r="AT108" s="13">
        <f t="shared" si="1042"/>
        <v>8.766204095447625</v>
      </c>
      <c r="AU108" s="13">
        <f t="shared" si="1042"/>
        <v>7.3821954691755369</v>
      </c>
      <c r="AV108" s="13">
        <f t="shared" si="1042"/>
        <v>8.2154913051326783</v>
      </c>
      <c r="AW108" s="13">
        <f t="shared" si="1042"/>
        <v>6.3553063014437958</v>
      </c>
      <c r="AX108" s="13">
        <f t="shared" si="1042"/>
        <v>5.4459949409780757</v>
      </c>
      <c r="AY108" s="13">
        <f t="shared" si="1042"/>
        <v>4.6386526118039946</v>
      </c>
      <c r="AZ108" s="13">
        <f t="shared" si="1042"/>
        <v>5.2589592673065768</v>
      </c>
      <c r="BA108" s="13">
        <f t="shared" si="1042"/>
        <v>5.5004453266152602</v>
      </c>
      <c r="BB108" s="13">
        <f t="shared" si="1042"/>
        <v>7.0917693829414885</v>
      </c>
      <c r="BC108" s="13">
        <f t="shared" si="1042"/>
        <v>6.9437314819169478</v>
      </c>
      <c r="BD108" s="13">
        <f t="shared" si="1042"/>
        <v>8.5258342011628994</v>
      </c>
      <c r="BE108" s="13">
        <f t="shared" si="1042"/>
        <v>9.3831091973960898</v>
      </c>
      <c r="BF108" s="13">
        <f t="shared" si="1042"/>
        <v>12.010257151112409</v>
      </c>
      <c r="BG108" s="13">
        <f t="shared" si="1042"/>
        <v>8.3595970317669863</v>
      </c>
      <c r="BH108" s="13">
        <f t="shared" si="1042"/>
        <v>4.3389963547348573</v>
      </c>
      <c r="BI108" s="13">
        <f t="shared" si="1042"/>
        <v>3.9127751800748696</v>
      </c>
      <c r="BJ108" s="13">
        <f t="shared" si="1042"/>
        <v>4.6506569403107862</v>
      </c>
      <c r="BK108" s="13">
        <f t="shared" si="1042"/>
        <v>5.6297863247863287</v>
      </c>
      <c r="BL108" s="13">
        <f t="shared" si="1042"/>
        <v>10.180922827846732</v>
      </c>
      <c r="BM108" s="13">
        <f t="shared" si="1042"/>
        <v>13.736312138728348</v>
      </c>
      <c r="BN108" s="13">
        <f t="shared" si="1042"/>
        <v>10.299634601511798</v>
      </c>
      <c r="BO108" s="13">
        <f t="shared" si="1042"/>
        <v>4.2485057375512891</v>
      </c>
      <c r="BP108" s="13">
        <f t="shared" si="1042"/>
        <v>4.5875442965233306</v>
      </c>
      <c r="BQ108" s="13">
        <f t="shared" si="1042"/>
        <v>5.5846466348204453</v>
      </c>
      <c r="BR108" s="13">
        <f t="shared" ref="BR108:CL108" si="1043">+BR97/BV88</f>
        <v>6.8026958105646687</v>
      </c>
      <c r="BS108" s="13">
        <f t="shared" si="1043"/>
        <v>14.470349716446139</v>
      </c>
      <c r="BT108" s="13">
        <f t="shared" si="1043"/>
        <v>20.627004325410695</v>
      </c>
      <c r="BU108" s="13">
        <f t="shared" si="1043"/>
        <v>9.4993992059069541</v>
      </c>
      <c r="BV108" s="13">
        <f t="shared" si="1043"/>
        <v>5.7741844577930461</v>
      </c>
      <c r="BW108" s="13">
        <f t="shared" si="1043"/>
        <v>3.5494590837008242</v>
      </c>
      <c r="BX108" s="13">
        <f t="shared" si="1043"/>
        <v>2.4536753130074276</v>
      </c>
      <c r="BY108" s="13">
        <f t="shared" si="1043"/>
        <v>2.2499379895561353</v>
      </c>
      <c r="BZ108" s="13">
        <f t="shared" si="1043"/>
        <v>3.4253072414163208</v>
      </c>
      <c r="CA108" s="13">
        <f t="shared" si="1043"/>
        <v>4.5612523469365733</v>
      </c>
      <c r="CB108" s="13">
        <f t="shared" si="1043"/>
        <v>6.3260357732052652</v>
      </c>
      <c r="CC108" s="13">
        <f t="shared" si="1043"/>
        <v>8.4470218338147074</v>
      </c>
      <c r="CD108" s="13">
        <f t="shared" si="1043"/>
        <v>8.8922751420267012</v>
      </c>
      <c r="CE108" s="13">
        <f t="shared" si="1043"/>
        <v>10.289970014165576</v>
      </c>
      <c r="CF108" s="13">
        <f t="shared" si="1043"/>
        <v>16.086372986596885</v>
      </c>
      <c r="CG108" s="13">
        <f t="shared" si="1043"/>
        <v>19.447530259006381</v>
      </c>
      <c r="CH108" s="13">
        <f t="shared" si="1043"/>
        <v>21.920979193475983</v>
      </c>
      <c r="CI108" s="13">
        <f t="shared" si="1043"/>
        <v>24.272939362770099</v>
      </c>
      <c r="CJ108" s="13">
        <f t="shared" si="1043"/>
        <v>19.233582658365034</v>
      </c>
      <c r="CK108" s="13">
        <f t="shared" si="1043"/>
        <v>15.233352984372416</v>
      </c>
      <c r="CL108" s="13">
        <f t="shared" si="1043"/>
        <v>12.192947067768507</v>
      </c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  <c r="DF108" s="13">
        <v>29.181091948728199</v>
      </c>
    </row>
    <row r="109" spans="1:110" s="98" customFormat="1" x14ac:dyDescent="0.2">
      <c r="A109" s="98" t="s">
        <v>426</v>
      </c>
      <c r="AB109" s="99"/>
      <c r="AC109" s="99"/>
      <c r="AD109" s="99"/>
      <c r="AE109" s="99"/>
      <c r="AL109" s="174"/>
      <c r="AM109" s="174"/>
      <c r="AN109" s="174"/>
      <c r="AO109" s="174">
        <f t="shared" ref="AO109:CI109" si="1044">+CORREL(AL88:AO88,AL105:AO105)</f>
        <v>0.87629916808492359</v>
      </c>
      <c r="AP109" s="174">
        <f t="shared" si="1044"/>
        <v>0.81939528961201646</v>
      </c>
      <c r="AQ109" s="174">
        <f t="shared" si="1044"/>
        <v>-0.714660717004722</v>
      </c>
      <c r="AR109" s="174">
        <f t="shared" si="1044"/>
        <v>-0.36388456563603294</v>
      </c>
      <c r="AS109" s="174">
        <f t="shared" si="1044"/>
        <v>-0.14036353524794562</v>
      </c>
      <c r="AT109" s="174">
        <f t="shared" si="1044"/>
        <v>-0.95233582538632711</v>
      </c>
      <c r="AU109" s="174">
        <f t="shared" si="1044"/>
        <v>-0.96810886528165141</v>
      </c>
      <c r="AV109" s="174">
        <f t="shared" si="1044"/>
        <v>-0.99262535106119654</v>
      </c>
      <c r="AW109" s="174">
        <f t="shared" si="1044"/>
        <v>-0.64917024533352308</v>
      </c>
      <c r="AX109" s="174">
        <f t="shared" si="1044"/>
        <v>-0.51789388173403272</v>
      </c>
      <c r="AY109" s="174">
        <f t="shared" si="1044"/>
        <v>-3.1098032465321965E-3</v>
      </c>
      <c r="AZ109" s="174">
        <f t="shared" si="1044"/>
        <v>-0.5999726076423143</v>
      </c>
      <c r="BA109" s="174">
        <f t="shared" si="1044"/>
        <v>0.78764158843298671</v>
      </c>
      <c r="BB109" s="174">
        <f t="shared" si="1044"/>
        <v>0.81420219903707347</v>
      </c>
      <c r="BC109" s="174">
        <f t="shared" si="1044"/>
        <v>0.77296047988288308</v>
      </c>
      <c r="BD109" s="174">
        <f t="shared" si="1044"/>
        <v>-0.49383933706260069</v>
      </c>
      <c r="BE109" s="174">
        <f t="shared" si="1044"/>
        <v>-0.12376118275040297</v>
      </c>
      <c r="BF109" s="174">
        <f t="shared" si="1044"/>
        <v>0.41953387740582465</v>
      </c>
      <c r="BG109" s="174">
        <f t="shared" si="1044"/>
        <v>-0.10870279919038471</v>
      </c>
      <c r="BH109" s="174">
        <f t="shared" si="1044"/>
        <v>-0.91346306552067946</v>
      </c>
      <c r="BI109" s="174">
        <f t="shared" si="1044"/>
        <v>-0.97337365781531981</v>
      </c>
      <c r="BJ109" s="174">
        <f t="shared" si="1044"/>
        <v>-0.97678760085658578</v>
      </c>
      <c r="BK109" s="174">
        <f t="shared" si="1044"/>
        <v>-0.92291123087494231</v>
      </c>
      <c r="BL109" s="174">
        <f t="shared" si="1044"/>
        <v>-0.98414988529517811</v>
      </c>
      <c r="BM109" s="174">
        <f t="shared" si="1044"/>
        <v>-0.990616218032215</v>
      </c>
      <c r="BN109" s="174">
        <f t="shared" si="1044"/>
        <v>-0.96980542198949837</v>
      </c>
      <c r="BO109" s="174">
        <f t="shared" si="1044"/>
        <v>-1.4931726089755083E-2</v>
      </c>
      <c r="BP109" s="174">
        <f t="shared" si="1044"/>
        <v>-0.85313341499636564</v>
      </c>
      <c r="BQ109" s="174">
        <f t="shared" si="1044"/>
        <v>-0.8905964487611181</v>
      </c>
      <c r="BR109" s="174">
        <f t="shared" si="1044"/>
        <v>-0.96975299451458918</v>
      </c>
      <c r="BS109" s="174">
        <f t="shared" si="1044"/>
        <v>-0.75666222942928874</v>
      </c>
      <c r="BT109" s="174">
        <f t="shared" si="1044"/>
        <v>-0.77699957957956678</v>
      </c>
      <c r="BU109" s="174">
        <f t="shared" si="1044"/>
        <v>-7.0517560769692747E-2</v>
      </c>
      <c r="BV109" s="174">
        <f t="shared" si="1044"/>
        <v>-0.29532258599912292</v>
      </c>
      <c r="BW109" s="174">
        <f t="shared" si="1044"/>
        <v>-0.92917993329722925</v>
      </c>
      <c r="BX109" s="174">
        <f t="shared" si="1044"/>
        <v>-0.99489420358125624</v>
      </c>
      <c r="BY109" s="174">
        <f t="shared" si="1044"/>
        <v>-0.98970866480175435</v>
      </c>
      <c r="BZ109" s="174">
        <f t="shared" si="1044"/>
        <v>-0.82049007781389571</v>
      </c>
      <c r="CA109" s="174">
        <f t="shared" si="1044"/>
        <v>-0.58011308763637925</v>
      </c>
      <c r="CB109" s="174">
        <f t="shared" si="1044"/>
        <v>0.99112292591888373</v>
      </c>
      <c r="CC109" s="174">
        <f t="shared" si="1044"/>
        <v>0.98296041260232569</v>
      </c>
      <c r="CD109" s="174">
        <f t="shared" si="1044"/>
        <v>0.92070139443177845</v>
      </c>
      <c r="CE109" s="174">
        <f t="shared" si="1044"/>
        <v>0.13196147434421149</v>
      </c>
      <c r="CF109" s="174">
        <f t="shared" si="1044"/>
        <v>0.58694612603416274</v>
      </c>
      <c r="CG109" s="174">
        <f t="shared" si="1044"/>
        <v>0.76158698453508455</v>
      </c>
      <c r="CH109" s="174">
        <f t="shared" si="1044"/>
        <v>-1.3928436973704331E-2</v>
      </c>
      <c r="CI109" s="174">
        <f t="shared" si="1044"/>
        <v>0.17605111584743216</v>
      </c>
      <c r="CJ109" s="174">
        <f>+CORREL(CG88:CJ88,CG105:CJ105)</f>
        <v>3.1346168829678986E-2</v>
      </c>
      <c r="CK109" s="174">
        <f>+CORREL(CH88:CK88,CH105:CK105)</f>
        <v>-0.99827253099727964</v>
      </c>
      <c r="CL109" s="174">
        <f>+CORREL(CI88:CL88,CI105:CL105)</f>
        <v>-0.90919985779935431</v>
      </c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E109" s="137"/>
    </row>
    <row r="110" spans="1:110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0" s="161" customFormat="1" x14ac:dyDescent="0.2">
      <c r="A111" s="49" t="s">
        <v>505</v>
      </c>
      <c r="E111" s="161">
        <f t="shared" ref="E111:AE111" ca="1" si="1045">+E$139/E$84</f>
        <v>0</v>
      </c>
      <c r="F111" s="161">
        <f t="shared" ca="1" si="1045"/>
        <v>0</v>
      </c>
      <c r="G111" s="161">
        <f t="shared" ca="1" si="1045"/>
        <v>0</v>
      </c>
      <c r="H111" s="161">
        <f t="shared" ca="1" si="1045"/>
        <v>0</v>
      </c>
      <c r="I111" s="161">
        <f t="shared" ca="1" si="1045"/>
        <v>0</v>
      </c>
      <c r="J111" s="161">
        <f t="shared" ca="1" si="1045"/>
        <v>0</v>
      </c>
      <c r="K111" s="161">
        <f t="shared" ca="1" si="1045"/>
        <v>57.655191555903045</v>
      </c>
      <c r="L111" s="161">
        <f t="shared" ca="1" si="1045"/>
        <v>63.634431587177481</v>
      </c>
      <c r="M111" s="161">
        <f t="shared" ca="1" si="1045"/>
        <v>58.211512118842847</v>
      </c>
      <c r="N111" s="161">
        <f t="shared" ca="1" si="1045"/>
        <v>57.349199374511336</v>
      </c>
      <c r="O111" s="161">
        <f t="shared" ca="1" si="1045"/>
        <v>55.799426114151679</v>
      </c>
      <c r="P111" s="161">
        <f t="shared" ca="1" si="1045"/>
        <v>84.286129788897583</v>
      </c>
      <c r="Q111" s="161">
        <f t="shared" ca="1" si="1045"/>
        <v>80.09949335418294</v>
      </c>
      <c r="R111" s="161">
        <f t="shared" ca="1" si="1045"/>
        <v>84.224198592650495</v>
      </c>
      <c r="S111" s="161">
        <f t="shared" ca="1" si="1045"/>
        <v>85.948350273651286</v>
      </c>
      <c r="T111" s="161">
        <f t="shared" ca="1" si="1045"/>
        <v>98.238678655199379</v>
      </c>
      <c r="U111" s="161">
        <f t="shared" ca="1" si="1045"/>
        <v>105.76228303362001</v>
      </c>
      <c r="V111" s="161">
        <f t="shared" ca="1" si="1045"/>
        <v>109.19522752150117</v>
      </c>
      <c r="W111" s="161">
        <f t="shared" ca="1" si="1045"/>
        <v>115.15532290852228</v>
      </c>
      <c r="X111" s="161">
        <f t="shared" ca="1" si="1045"/>
        <v>123.86110398749022</v>
      </c>
      <c r="Y111" s="161">
        <f t="shared" ca="1" si="1045"/>
        <v>157.83157466770913</v>
      </c>
      <c r="Z111" s="161">
        <f t="shared" ca="1" si="1045"/>
        <v>178.43564347146207</v>
      </c>
      <c r="AA111" s="161">
        <f t="shared" ca="1" si="1045"/>
        <v>178.43564347146207</v>
      </c>
      <c r="AB111" s="21">
        <f t="shared" ca="1" si="1045"/>
        <v>213.94350254239791</v>
      </c>
      <c r="AC111" s="21">
        <f t="shared" ca="1" si="1045"/>
        <v>235.1879552802408</v>
      </c>
      <c r="AD111" s="21">
        <f t="shared" ca="1" si="1045"/>
        <v>259.77939307596853</v>
      </c>
      <c r="AE111" s="21">
        <f t="shared" ca="1" si="1045"/>
        <v>288.37766087296831</v>
      </c>
      <c r="AL111" s="161">
        <f t="shared" ref="AL111:BQ111" si="1046">+AL$139/AL$84</f>
        <v>57.349335418295539</v>
      </c>
      <c r="AM111" s="161">
        <f t="shared" si="1046"/>
        <v>57.587177482408123</v>
      </c>
      <c r="AN111" s="161">
        <f t="shared" si="1046"/>
        <v>58.882251759186865</v>
      </c>
      <c r="AO111" s="161">
        <f t="shared" si="1046"/>
        <v>59.664738076622356</v>
      </c>
      <c r="AP111" s="161">
        <f t="shared" si="1046"/>
        <v>55.799530883502733</v>
      </c>
      <c r="AQ111" s="161">
        <f t="shared" si="1046"/>
        <v>56.658014073494918</v>
      </c>
      <c r="AR111" s="161">
        <f t="shared" si="1046"/>
        <v>62.621892103205624</v>
      </c>
      <c r="AS111" s="161">
        <f t="shared" si="1046"/>
        <v>63.590148553557469</v>
      </c>
      <c r="AT111" s="161">
        <f t="shared" si="1046"/>
        <v>84.929632525410469</v>
      </c>
      <c r="AU111" s="161">
        <f t="shared" si="1046"/>
        <v>86.449569976544169</v>
      </c>
      <c r="AV111" s="161">
        <f t="shared" si="1046"/>
        <v>71.279437060203279</v>
      </c>
      <c r="AW111" s="161">
        <f t="shared" si="1046"/>
        <v>71.032838154808431</v>
      </c>
      <c r="AX111" s="161">
        <f t="shared" si="1046"/>
        <v>80.099609069585611</v>
      </c>
      <c r="AY111" s="161">
        <f t="shared" si="1046"/>
        <v>81.128225175918672</v>
      </c>
      <c r="AZ111" s="161">
        <f t="shared" si="1046"/>
        <v>84.657388584831892</v>
      </c>
      <c r="BA111" s="161">
        <f t="shared" si="1046"/>
        <v>85.918842845973415</v>
      </c>
      <c r="BB111" s="161">
        <f t="shared" si="1046"/>
        <v>84.224237685691932</v>
      </c>
      <c r="BC111" s="161">
        <f t="shared" si="1046"/>
        <v>85.225645035183717</v>
      </c>
      <c r="BD111" s="161">
        <f t="shared" si="1046"/>
        <v>88.286317435496471</v>
      </c>
      <c r="BE111" s="161">
        <f t="shared" si="1046"/>
        <v>89.791086786551986</v>
      </c>
      <c r="BF111" s="161">
        <f t="shared" si="1046"/>
        <v>85.948397185301005</v>
      </c>
      <c r="BG111" s="161">
        <f t="shared" si="1046"/>
        <v>87.398749022673954</v>
      </c>
      <c r="BH111" s="161">
        <f t="shared" si="1046"/>
        <v>94.871618451915552</v>
      </c>
      <c r="BI111" s="161">
        <f t="shared" si="1046"/>
        <v>97.043784206411246</v>
      </c>
      <c r="BJ111" s="161">
        <f t="shared" si="1046"/>
        <v>98.238623924941351</v>
      </c>
      <c r="BK111" s="161">
        <f t="shared" si="1046"/>
        <v>100.29288506645815</v>
      </c>
      <c r="BL111" s="161">
        <f t="shared" si="1046"/>
        <v>103.77826426896011</v>
      </c>
      <c r="BM111" s="161">
        <f t="shared" si="1046"/>
        <v>105.17857701329163</v>
      </c>
      <c r="BN111" s="161">
        <f t="shared" si="1046"/>
        <v>105.76231430805316</v>
      </c>
      <c r="BO111" s="161">
        <f t="shared" si="1046"/>
        <v>105.61782642689602</v>
      </c>
      <c r="BP111" s="161">
        <f t="shared" si="1046"/>
        <v>105.51743549648162</v>
      </c>
      <c r="BQ111" s="161">
        <f t="shared" si="1046"/>
        <v>106.54589523064894</v>
      </c>
      <c r="BR111" s="161">
        <f t="shared" ref="BR111:DB111" si="1047">+BR$139/BR$84</f>
        <v>109.1951524628616</v>
      </c>
      <c r="BS111" s="161">
        <f t="shared" si="1047"/>
        <v>111.57357310398748</v>
      </c>
      <c r="BT111" s="161">
        <f t="shared" si="1047"/>
        <v>112.62736512900702</v>
      </c>
      <c r="BU111" s="161">
        <f t="shared" si="1047"/>
        <v>112.82501954652071</v>
      </c>
      <c r="BV111" s="161">
        <f t="shared" si="1047"/>
        <v>115.1552775605942</v>
      </c>
      <c r="BW111" s="161">
        <f t="shared" si="1047"/>
        <v>115.23111806098514</v>
      </c>
      <c r="BX111" s="161">
        <f t="shared" si="1047"/>
        <v>115.03737294761531</v>
      </c>
      <c r="BY111" s="161">
        <f t="shared" si="1047"/>
        <v>118.39061767005471</v>
      </c>
      <c r="BZ111" s="161">
        <f t="shared" si="1047"/>
        <v>123.86114151681001</v>
      </c>
      <c r="CA111" s="161">
        <f t="shared" si="1047"/>
        <v>127.99874902267396</v>
      </c>
      <c r="CB111" s="161">
        <f t="shared" si="1047"/>
        <v>141.22220484753714</v>
      </c>
      <c r="CC111" s="161">
        <f t="shared" si="1047"/>
        <v>149.56012509773262</v>
      </c>
      <c r="CD111" s="161">
        <f t="shared" si="1047"/>
        <v>157.83158717748239</v>
      </c>
      <c r="CE111" s="161">
        <f t="shared" si="1047"/>
        <v>164.72853792025018</v>
      </c>
      <c r="CF111" s="161">
        <f t="shared" si="1047"/>
        <v>170.60125097732603</v>
      </c>
      <c r="CG111" s="161">
        <f t="shared" si="1047"/>
        <v>178.52025019546522</v>
      </c>
      <c r="CH111" s="161">
        <f t="shared" si="1047"/>
        <v>178.43564347146207</v>
      </c>
      <c r="CI111" s="161">
        <f t="shared" si="1047"/>
        <v>185.06648788115714</v>
      </c>
      <c r="CJ111" s="161">
        <f t="shared" si="1047"/>
        <v>188.94308053166534</v>
      </c>
      <c r="CK111" s="161">
        <f t="shared" si="1047"/>
        <v>192.97732603596558</v>
      </c>
      <c r="CL111" s="161">
        <f t="shared" si="1047"/>
        <v>196.62611415168101</v>
      </c>
      <c r="CM111" s="21">
        <f t="shared" si="1047"/>
        <v>199.46479927542373</v>
      </c>
      <c r="CN111" s="21">
        <f t="shared" si="1047"/>
        <v>203.14450873402825</v>
      </c>
      <c r="CO111" s="21">
        <f t="shared" si="1047"/>
        <v>208.46111625144621</v>
      </c>
      <c r="CP111" s="21">
        <f t="shared" si="1047"/>
        <v>213.94350254239791</v>
      </c>
      <c r="CQ111" s="21">
        <f t="shared" si="1047"/>
        <v>218.5882548129951</v>
      </c>
      <c r="CR111" s="21">
        <f t="shared" si="1047"/>
        <v>222.81373967499434</v>
      </c>
      <c r="CS111" s="21">
        <f t="shared" si="1047"/>
        <v>228.90023444540151</v>
      </c>
      <c r="CT111" s="21">
        <f t="shared" si="1047"/>
        <v>235.1879552802408</v>
      </c>
      <c r="CU111" s="21">
        <f t="shared" si="1047"/>
        <v>240.57341276712245</v>
      </c>
      <c r="CV111" s="21">
        <f t="shared" si="1047"/>
        <v>245.51708600445676</v>
      </c>
      <c r="CW111" s="21">
        <f t="shared" si="1047"/>
        <v>252.5275672469848</v>
      </c>
      <c r="CX111" s="21">
        <f t="shared" si="1047"/>
        <v>259.77939307596853</v>
      </c>
      <c r="CY111" s="21">
        <f t="shared" si="1047"/>
        <v>266.05903578129852</v>
      </c>
      <c r="CZ111" s="21">
        <f t="shared" si="1047"/>
        <v>271.87334508631608</v>
      </c>
      <c r="DA111" s="21">
        <f t="shared" si="1047"/>
        <v>279.98210750315712</v>
      </c>
      <c r="DB111" s="21">
        <f t="shared" si="1047"/>
        <v>288.37766087296831</v>
      </c>
      <c r="DE111" s="22"/>
      <c r="DF111" s="161">
        <v>178.43564347146207</v>
      </c>
    </row>
    <row r="112" spans="1:110" s="161" customFormat="1" x14ac:dyDescent="0.2">
      <c r="A112" s="49" t="s">
        <v>501</v>
      </c>
      <c r="AB112" s="21"/>
      <c r="AC112" s="21"/>
      <c r="AD112" s="21"/>
      <c r="AE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E112" s="22"/>
    </row>
    <row r="113" spans="1:110" s="161" customFormat="1" x14ac:dyDescent="0.2">
      <c r="A113" s="49" t="s">
        <v>502</v>
      </c>
      <c r="E113" s="161" t="e">
        <f t="shared" ref="E113:AE115" ca="1" si="1048">+E96/E$111</f>
        <v>#DIV/0!</v>
      </c>
      <c r="F113" s="161" t="e">
        <f t="shared" ca="1" si="1048"/>
        <v>#DIV/0!</v>
      </c>
      <c r="G113" s="161" t="e">
        <f t="shared" ca="1" si="1048"/>
        <v>#DIV/0!</v>
      </c>
      <c r="H113" s="161" t="e">
        <f t="shared" ca="1" si="1048"/>
        <v>#DIV/0!</v>
      </c>
      <c r="I113" s="161" t="e">
        <f t="shared" ca="1" si="1048"/>
        <v>#DIV/0!</v>
      </c>
      <c r="J113" s="161" t="e">
        <f t="shared" ca="1" si="1048"/>
        <v>#DIV/0!</v>
      </c>
      <c r="K113" s="161">
        <f t="shared" ca="1" si="1048"/>
        <v>1.841117809782592</v>
      </c>
      <c r="L113" s="161">
        <f t="shared" ca="1" si="1048"/>
        <v>1.6044772845990729</v>
      </c>
      <c r="M113" s="161">
        <f t="shared" ca="1" si="1048"/>
        <v>1.4954086714373847</v>
      </c>
      <c r="N113" s="161">
        <f t="shared" ca="1" si="1048"/>
        <v>0.71579028910113318</v>
      </c>
      <c r="O113" s="161">
        <f t="shared" ca="1" si="1048"/>
        <v>0.5071736749067145</v>
      </c>
      <c r="P113" s="161">
        <f t="shared" ca="1" si="1048"/>
        <v>0.38974384139212309</v>
      </c>
      <c r="Q113" s="161">
        <f t="shared" ca="1" si="1048"/>
        <v>0.24063822619663827</v>
      </c>
      <c r="R113" s="161">
        <f t="shared" ca="1" si="1048"/>
        <v>0.49510711525652668</v>
      </c>
      <c r="S113" s="161">
        <f t="shared" ca="1" si="1048"/>
        <v>0.6922762311383257</v>
      </c>
      <c r="T113" s="161">
        <f t="shared" ca="1" si="1048"/>
        <v>0.44050877508122538</v>
      </c>
      <c r="U113" s="161">
        <f t="shared" ca="1" si="1048"/>
        <v>0.21652331382370485</v>
      </c>
      <c r="V113" s="161">
        <f t="shared" ca="1" si="1048"/>
        <v>0.33952949081680078</v>
      </c>
      <c r="W113" s="161">
        <f t="shared" ca="1" si="1048"/>
        <v>0.39099364981823032</v>
      </c>
      <c r="X113" s="161">
        <f t="shared" ca="1" si="1048"/>
        <v>0.58755329685540481</v>
      </c>
      <c r="Y113" s="161">
        <f t="shared" ca="1" si="1048"/>
        <v>1.3688642494688474</v>
      </c>
      <c r="Z113" s="161">
        <f t="shared" ca="1" si="1048"/>
        <v>1.5137110206526545</v>
      </c>
      <c r="AA113" s="161">
        <f t="shared" ref="AA113" ca="1" si="1049">+AA96/AA$111</f>
        <v>1.5137110206526545</v>
      </c>
      <c r="AB113" s="21">
        <f t="shared" ca="1" si="1048"/>
        <v>1.145162143690003</v>
      </c>
      <c r="AC113" s="21">
        <f t="shared" ca="1" si="1048"/>
        <v>1.0417200137144249</v>
      </c>
      <c r="AD113" s="21">
        <f t="shared" ca="1" si="1048"/>
        <v>0.94310790821023083</v>
      </c>
      <c r="AE113" s="21">
        <f t="shared" ca="1" si="1048"/>
        <v>0.84958037060964864</v>
      </c>
      <c r="AL113" s="161">
        <f t="shared" ref="AL113:CI115" si="1050">+AL96/AL$111</f>
        <v>0.71578859110726956</v>
      </c>
      <c r="AM113" s="161">
        <f t="shared" si="1050"/>
        <v>0.49750658484264265</v>
      </c>
      <c r="AN113" s="161">
        <f t="shared" si="1050"/>
        <v>0.37659904873696065</v>
      </c>
      <c r="AO113" s="161">
        <f t="shared" si="1050"/>
        <v>0.41104680571135038</v>
      </c>
      <c r="AP113" s="161">
        <f t="shared" si="1050"/>
        <v>0.50717272263604218</v>
      </c>
      <c r="AQ113" s="161">
        <f t="shared" si="1050"/>
        <v>0.7355534902077675</v>
      </c>
      <c r="AR113" s="161">
        <f t="shared" si="1050"/>
        <v>0.64434335413404853</v>
      </c>
      <c r="AS113" s="161">
        <f t="shared" si="1050"/>
        <v>0.7343904844107717</v>
      </c>
      <c r="AT113" s="161">
        <f t="shared" si="1050"/>
        <v>0.38679079401611055</v>
      </c>
      <c r="AU113" s="161">
        <f t="shared" si="1050"/>
        <v>0.33892591956154078</v>
      </c>
      <c r="AV113" s="161">
        <f t="shared" si="1050"/>
        <v>0.44683293406342695</v>
      </c>
      <c r="AW113" s="161">
        <f t="shared" si="1050"/>
        <v>0.4399373699794169</v>
      </c>
      <c r="AX113" s="161">
        <f t="shared" si="1050"/>
        <v>0.24063787856011962</v>
      </c>
      <c r="AY113" s="161">
        <f t="shared" si="1050"/>
        <v>0.32849233349074336</v>
      </c>
      <c r="AZ113" s="161">
        <f t="shared" si="1050"/>
        <v>0.32306689891093943</v>
      </c>
      <c r="BA113" s="161">
        <f t="shared" si="1050"/>
        <v>0.32123337658863121</v>
      </c>
      <c r="BB113" s="161">
        <f t="shared" si="1050"/>
        <v>0.49510688545043402</v>
      </c>
      <c r="BC113" s="161">
        <f t="shared" si="1050"/>
        <v>0.49251607286364868</v>
      </c>
      <c r="BD113" s="161">
        <f t="shared" si="1050"/>
        <v>0.637697908751645</v>
      </c>
      <c r="BE113" s="161">
        <f t="shared" si="1050"/>
        <v>0.77958740121278836</v>
      </c>
      <c r="BF113" s="161">
        <f t="shared" si="1050"/>
        <v>0.69227585328578711</v>
      </c>
      <c r="BG113" s="161">
        <f t="shared" si="1050"/>
        <v>0.45423991125663121</v>
      </c>
      <c r="BH113" s="161">
        <f t="shared" si="1050"/>
        <v>0.3836763891452834</v>
      </c>
      <c r="BI113" s="161">
        <f t="shared" si="1050"/>
        <v>0.43640095392325112</v>
      </c>
      <c r="BJ113" s="161">
        <f t="shared" si="1050"/>
        <v>0.44050902049548263</v>
      </c>
      <c r="BK113" s="161">
        <f t="shared" si="1050"/>
        <v>0.41503442614516051</v>
      </c>
      <c r="BL113" s="161">
        <f t="shared" si="1050"/>
        <v>0.41241776687530701</v>
      </c>
      <c r="BM113" s="161">
        <f t="shared" si="1050"/>
        <v>0.34750422603056419</v>
      </c>
      <c r="BN113" s="161">
        <f t="shared" si="1050"/>
        <v>0.21652324979670287</v>
      </c>
      <c r="BO113" s="161">
        <f t="shared" si="1050"/>
        <v>0.27410145597001001</v>
      </c>
      <c r="BP113" s="161">
        <f t="shared" si="1050"/>
        <v>0.2982919349006497</v>
      </c>
      <c r="BQ113" s="161">
        <f t="shared" si="1050"/>
        <v>0.35594989293487594</v>
      </c>
      <c r="BR113" s="161">
        <f t="shared" si="1050"/>
        <v>0.33952972420281746</v>
      </c>
      <c r="BS113" s="161">
        <f t="shared" si="1050"/>
        <v>0.52409363949921028</v>
      </c>
      <c r="BT113" s="161">
        <f t="shared" si="1050"/>
        <v>0.50631567145943368</v>
      </c>
      <c r="BU113" s="161">
        <f t="shared" si="1050"/>
        <v>0.43828931028556545</v>
      </c>
      <c r="BV113" s="161">
        <f t="shared" si="1050"/>
        <v>0.39099380379078191</v>
      </c>
      <c r="BW113" s="161">
        <f t="shared" si="1050"/>
        <v>0.34170457305778373</v>
      </c>
      <c r="BX113" s="161">
        <f t="shared" si="1050"/>
        <v>0.35879644103830011</v>
      </c>
      <c r="BY113" s="161">
        <f t="shared" si="1050"/>
        <v>0.4375346714075139</v>
      </c>
      <c r="BZ113" s="161">
        <f t="shared" si="1050"/>
        <v>0.5875531188296309</v>
      </c>
      <c r="CA113" s="161">
        <f t="shared" si="1050"/>
        <v>0.99825194367615011</v>
      </c>
      <c r="CB113" s="161">
        <f t="shared" si="1050"/>
        <v>1.2267900801225977</v>
      </c>
      <c r="CC113" s="161">
        <f t="shared" si="1050"/>
        <v>1.3773724772253686</v>
      </c>
      <c r="CD113" s="161">
        <f t="shared" si="1050"/>
        <v>1.3688641409723057</v>
      </c>
      <c r="CE113" s="161">
        <f t="shared" si="1050"/>
        <v>1.6495320327043146</v>
      </c>
      <c r="CF113" s="161">
        <f t="shared" si="1050"/>
        <v>2.179057878358746</v>
      </c>
      <c r="CG113" s="161">
        <f t="shared" si="1050"/>
        <v>1.6314675768217042</v>
      </c>
      <c r="CH113" s="161">
        <f t="shared" si="1050"/>
        <v>1.5137110206526545</v>
      </c>
      <c r="CI113" s="161">
        <f t="shared" si="1050"/>
        <v>1.300883821573362</v>
      </c>
      <c r="CJ113" s="161">
        <f>+CJ96/CJ$111</f>
        <v>1.0722806012789967</v>
      </c>
      <c r="CK113" s="161">
        <f>+CK96/CK$111</f>
        <v>0.87056859710393908</v>
      </c>
      <c r="CL113" s="161">
        <f>+CL96/CL$111</f>
        <v>0.93197183289009911</v>
      </c>
      <c r="CM113" s="21">
        <f t="shared" ref="CM113:DB113" si="1051">+CM96/CM$111</f>
        <v>1.2282869001948591</v>
      </c>
      <c r="CN113" s="21">
        <f t="shared" si="1051"/>
        <v>1.2060380146468643</v>
      </c>
      <c r="CO113" s="21">
        <f t="shared" si="1051"/>
        <v>1.175279133133301</v>
      </c>
      <c r="CP113" s="21">
        <f t="shared" si="1051"/>
        <v>1.145162143690003</v>
      </c>
      <c r="CQ113" s="21">
        <f t="shared" si="1051"/>
        <v>1.1208287481392833</v>
      </c>
      <c r="CR113" s="21">
        <f t="shared" si="1051"/>
        <v>1.0995731248771619</v>
      </c>
      <c r="CS113" s="21">
        <f t="shared" si="1051"/>
        <v>1.0703352951717431</v>
      </c>
      <c r="CT113" s="21">
        <f t="shared" si="1051"/>
        <v>1.0417200137144249</v>
      </c>
      <c r="CU113" s="21">
        <f t="shared" si="1051"/>
        <v>1.0184001514629655</v>
      </c>
      <c r="CV113" s="21">
        <f t="shared" si="1051"/>
        <v>0.99789388994113681</v>
      </c>
      <c r="CW113" s="21">
        <f t="shared" si="1051"/>
        <v>0.97019110693913879</v>
      </c>
      <c r="CX113" s="21">
        <f t="shared" si="1051"/>
        <v>0.94310790821023083</v>
      </c>
      <c r="CY113" s="21">
        <f t="shared" si="1051"/>
        <v>0.92084825941183546</v>
      </c>
      <c r="CZ113" s="21">
        <f t="shared" si="1051"/>
        <v>0.90115491065229603</v>
      </c>
      <c r="DA113" s="21">
        <f t="shared" si="1051"/>
        <v>0.87505591762586954</v>
      </c>
      <c r="DB113" s="21">
        <f t="shared" si="1051"/>
        <v>0.84958037060964864</v>
      </c>
      <c r="DE113" s="22"/>
      <c r="DF113" s="161">
        <v>1.5137110206526545</v>
      </c>
    </row>
    <row r="114" spans="1:110" s="161" customFormat="1" x14ac:dyDescent="0.2">
      <c r="A114" s="49" t="s">
        <v>503</v>
      </c>
      <c r="E114" s="161" t="e">
        <f t="shared" ca="1" si="1048"/>
        <v>#DIV/0!</v>
      </c>
      <c r="F114" s="161" t="e">
        <f t="shared" ca="1" si="1048"/>
        <v>#DIV/0!</v>
      </c>
      <c r="G114" s="161" t="e">
        <f t="shared" ca="1" si="1048"/>
        <v>#DIV/0!</v>
      </c>
      <c r="H114" s="161" t="e">
        <f t="shared" ca="1" si="1048"/>
        <v>#DIV/0!</v>
      </c>
      <c r="I114" s="161" t="e">
        <f t="shared" ca="1" si="1048"/>
        <v>#DIV/0!</v>
      </c>
      <c r="J114" s="161" t="e">
        <f t="shared" ca="1" si="1048"/>
        <v>#DIV/0!</v>
      </c>
      <c r="K114" s="161">
        <f t="shared" ca="1" si="1048"/>
        <v>1.9495208838395039</v>
      </c>
      <c r="L114" s="161">
        <f t="shared" ca="1" si="1048"/>
        <v>1.8417702032812082</v>
      </c>
      <c r="M114" s="161">
        <f t="shared" ca="1" si="1048"/>
        <v>1.8110678826684237</v>
      </c>
      <c r="N114" s="161">
        <f t="shared" ca="1" si="1048"/>
        <v>1.518329827612209</v>
      </c>
      <c r="O114" s="161">
        <f t="shared" ca="1" si="1048"/>
        <v>0.83244583743522582</v>
      </c>
      <c r="P114" s="161">
        <f t="shared" ca="1" si="1048"/>
        <v>0.68694576610666436</v>
      </c>
      <c r="Q114" s="161">
        <f t="shared" ca="1" si="1048"/>
        <v>0.53308701730720909</v>
      </c>
      <c r="R114" s="161">
        <f t="shared" ca="1" si="1048"/>
        <v>0.51915008668085438</v>
      </c>
      <c r="S114" s="161">
        <f t="shared" ca="1" si="1048"/>
        <v>1.0587754123292041</v>
      </c>
      <c r="T114" s="161">
        <f t="shared" ca="1" si="1048"/>
        <v>0.69575447202314855</v>
      </c>
      <c r="U114" s="161">
        <f t="shared" ca="1" si="1048"/>
        <v>0.48552280195839492</v>
      </c>
      <c r="V114" s="161">
        <f t="shared" ca="1" si="1048"/>
        <v>0.40111643149766346</v>
      </c>
      <c r="W114" s="161">
        <f t="shared" ca="1" si="1048"/>
        <v>0.64109064292794793</v>
      </c>
      <c r="X114" s="161">
        <f t="shared" ca="1" si="1048"/>
        <v>0.7252074873244484</v>
      </c>
      <c r="Y114" s="161">
        <f t="shared" ca="1" si="1048"/>
        <v>1.7686575109429701</v>
      </c>
      <c r="Z114" s="161">
        <f t="shared" ca="1" si="1048"/>
        <v>2.1511957618567989</v>
      </c>
      <c r="AA114" s="161">
        <f t="shared" ref="AA114" ca="1" si="1052">+AA97/AA$111</f>
        <v>2.1511957618567989</v>
      </c>
      <c r="AB114" s="21">
        <f t="shared" ca="1" si="1048"/>
        <v>1.2993147710255335</v>
      </c>
      <c r="AC114" s="21">
        <f t="shared" ca="1" si="1048"/>
        <v>1.4499784628662735</v>
      </c>
      <c r="AD114" s="21">
        <f t="shared" ca="1" si="1048"/>
        <v>1.5195335856562044</v>
      </c>
      <c r="AE114" s="21">
        <f t="shared" ca="1" si="1048"/>
        <v>1.5918758480847635</v>
      </c>
      <c r="AL114" s="161">
        <f t="shared" si="1050"/>
        <v>1.1926903686172288</v>
      </c>
      <c r="AM114" s="161">
        <f t="shared" si="1050"/>
        <v>0.80660317158606476</v>
      </c>
      <c r="AN114" s="161">
        <f t="shared" si="1050"/>
        <v>0.54133459654974614</v>
      </c>
      <c r="AO114" s="161">
        <f t="shared" si="1050"/>
        <v>0.4537856173143654</v>
      </c>
      <c r="AP114" s="161">
        <f t="shared" si="1050"/>
        <v>0.56720906966186335</v>
      </c>
      <c r="AQ114" s="161">
        <f t="shared" si="1050"/>
        <v>0.8463056953920205</v>
      </c>
      <c r="AR114" s="161">
        <f t="shared" si="1050"/>
        <v>0.78526851151280885</v>
      </c>
      <c r="AS114" s="161">
        <f t="shared" si="1050"/>
        <v>0.9105183950189224</v>
      </c>
      <c r="AT114" s="161">
        <f t="shared" si="1050"/>
        <v>0.57223843498273885</v>
      </c>
      <c r="AU114" s="161">
        <f t="shared" si="1050"/>
        <v>0.43146541978312186</v>
      </c>
      <c r="AV114" s="161">
        <f t="shared" si="1050"/>
        <v>0.59905074676635262</v>
      </c>
      <c r="AW114" s="161">
        <f t="shared" si="1050"/>
        <v>0.5184221967837449</v>
      </c>
      <c r="AX114" s="161">
        <f t="shared" si="1050"/>
        <v>0.40980224973986656</v>
      </c>
      <c r="AY114" s="161">
        <f t="shared" si="1050"/>
        <v>0.34266742480460288</v>
      </c>
      <c r="AZ114" s="161">
        <f t="shared" si="1050"/>
        <v>0.35318830996113665</v>
      </c>
      <c r="BA114" s="161">
        <f t="shared" si="1050"/>
        <v>0.39339449741651211</v>
      </c>
      <c r="BB114" s="161">
        <f t="shared" si="1050"/>
        <v>0.51914984571511336</v>
      </c>
      <c r="BC114" s="161">
        <f t="shared" si="1050"/>
        <v>0.54179701404357294</v>
      </c>
      <c r="BD114" s="161">
        <f t="shared" si="1050"/>
        <v>0.69603084356640477</v>
      </c>
      <c r="BE114" s="161">
        <f t="shared" si="1050"/>
        <v>0.80074763067427834</v>
      </c>
      <c r="BF114" s="161">
        <f t="shared" si="1050"/>
        <v>1.0587748344370862</v>
      </c>
      <c r="BG114" s="161">
        <f t="shared" si="1050"/>
        <v>0.78204780691160558</v>
      </c>
      <c r="BH114" s="161">
        <f t="shared" si="1050"/>
        <v>0.53756856720905088</v>
      </c>
      <c r="BI114" s="161">
        <f t="shared" si="1050"/>
        <v>0.46654198793093732</v>
      </c>
      <c r="BJ114" s="161">
        <f t="shared" si="1050"/>
        <v>0.4949682523764955</v>
      </c>
      <c r="BK114" s="161">
        <f t="shared" si="1050"/>
        <v>0.46214644208596256</v>
      </c>
      <c r="BL114" s="161">
        <f t="shared" si="1050"/>
        <v>0.42638986411757795</v>
      </c>
      <c r="BM114" s="161">
        <f t="shared" si="1050"/>
        <v>0.44162985770505359</v>
      </c>
      <c r="BN114" s="161">
        <f t="shared" si="1050"/>
        <v>0.48552265838692987</v>
      </c>
      <c r="BO114" s="161">
        <f t="shared" si="1050"/>
        <v>0.3020323469928608</v>
      </c>
      <c r="BP114" s="161">
        <f t="shared" si="1050"/>
        <v>0.35491764772134493</v>
      </c>
      <c r="BQ114" s="161">
        <f t="shared" si="1050"/>
        <v>0.38434141372928599</v>
      </c>
      <c r="BR114" s="161">
        <f t="shared" si="1050"/>
        <v>0.4011167072173541</v>
      </c>
      <c r="BS114" s="161">
        <f t="shared" si="1050"/>
        <v>0.53641734628521143</v>
      </c>
      <c r="BT114" s="161">
        <f t="shared" si="1050"/>
        <v>0.65548013056541332</v>
      </c>
      <c r="BU114" s="161">
        <f t="shared" si="1050"/>
        <v>0.5670284858547836</v>
      </c>
      <c r="BV114" s="161">
        <f t="shared" si="1050"/>
        <v>0.51821333128739389</v>
      </c>
      <c r="BW114" s="161">
        <f t="shared" si="1050"/>
        <v>0.44345660147943489</v>
      </c>
      <c r="BX114" s="161">
        <f t="shared" si="1050"/>
        <v>0.40465110430848866</v>
      </c>
      <c r="BY114" s="161">
        <f t="shared" si="1050"/>
        <v>0.45527256349160233</v>
      </c>
      <c r="BZ114" s="161">
        <f t="shared" si="1050"/>
        <v>0.72520726759012843</v>
      </c>
      <c r="CA114" s="161">
        <f t="shared" si="1050"/>
        <v>1.0328225940441169</v>
      </c>
      <c r="CB114" s="161">
        <f t="shared" si="1050"/>
        <v>1.3841661813100421</v>
      </c>
      <c r="CC114" s="161">
        <f t="shared" si="1050"/>
        <v>1.7215484396776786</v>
      </c>
      <c r="CD114" s="161">
        <f t="shared" si="1050"/>
        <v>1.768657370758709</v>
      </c>
      <c r="CE114" s="161">
        <f t="shared" si="1050"/>
        <v>1.8152592366525258</v>
      </c>
      <c r="CF114" s="161">
        <f t="shared" si="1050"/>
        <v>2.2274162576363778</v>
      </c>
      <c r="CG114" s="161">
        <f t="shared" si="1050"/>
        <v>2.1501762381562615</v>
      </c>
      <c r="CH114" s="161">
        <f t="shared" si="1050"/>
        <v>1.6159887923183744</v>
      </c>
      <c r="CI114" s="161">
        <f t="shared" si="1050"/>
        <v>1.4989207564047793</v>
      </c>
      <c r="CJ114" s="161">
        <f t="shared" ref="CJ114:CK115" si="1053">+CJ97/CJ$111</f>
        <v>1.2961575481403074</v>
      </c>
      <c r="CK114" s="161">
        <f t="shared" si="1053"/>
        <v>1.1063475921529224</v>
      </c>
      <c r="CL114" s="161">
        <f t="shared" ref="CL114" si="1054">+CL97/CL$111</f>
        <v>1.073865498034076</v>
      </c>
      <c r="CM114" s="94">
        <f t="shared" ref="CM114:DB114" si="1055">+CL114</f>
        <v>1.073865498034076</v>
      </c>
      <c r="CN114" s="94">
        <f t="shared" si="1055"/>
        <v>1.073865498034076</v>
      </c>
      <c r="CO114" s="94">
        <f t="shared" si="1055"/>
        <v>1.073865498034076</v>
      </c>
      <c r="CP114" s="94">
        <f t="shared" si="1055"/>
        <v>1.073865498034076</v>
      </c>
      <c r="CQ114" s="94">
        <f t="shared" si="1055"/>
        <v>1.073865498034076</v>
      </c>
      <c r="CR114" s="94">
        <f t="shared" si="1055"/>
        <v>1.073865498034076</v>
      </c>
      <c r="CS114" s="94">
        <f t="shared" si="1055"/>
        <v>1.073865498034076</v>
      </c>
      <c r="CT114" s="94">
        <f t="shared" si="1055"/>
        <v>1.073865498034076</v>
      </c>
      <c r="CU114" s="94">
        <f t="shared" si="1055"/>
        <v>1.073865498034076</v>
      </c>
      <c r="CV114" s="94">
        <f t="shared" si="1055"/>
        <v>1.073865498034076</v>
      </c>
      <c r="CW114" s="94">
        <f t="shared" si="1055"/>
        <v>1.073865498034076</v>
      </c>
      <c r="CX114" s="94">
        <f t="shared" si="1055"/>
        <v>1.073865498034076</v>
      </c>
      <c r="CY114" s="94">
        <f t="shared" si="1055"/>
        <v>1.073865498034076</v>
      </c>
      <c r="CZ114" s="94">
        <f t="shared" si="1055"/>
        <v>1.073865498034076</v>
      </c>
      <c r="DA114" s="94">
        <f t="shared" si="1055"/>
        <v>1.073865498034076</v>
      </c>
      <c r="DB114" s="94">
        <f t="shared" si="1055"/>
        <v>1.073865498034076</v>
      </c>
      <c r="DC114" s="94"/>
      <c r="DE114" s="22"/>
      <c r="DF114" s="161">
        <v>2.1511957618567989</v>
      </c>
    </row>
    <row r="115" spans="1:110" s="161" customFormat="1" x14ac:dyDescent="0.2">
      <c r="A115" s="49" t="s">
        <v>504</v>
      </c>
      <c r="E115" s="161" t="e">
        <f t="shared" ca="1" si="1048"/>
        <v>#DIV/0!</v>
      </c>
      <c r="F115" s="161" t="e">
        <f t="shared" ca="1" si="1048"/>
        <v>#DIV/0!</v>
      </c>
      <c r="G115" s="161" t="e">
        <f t="shared" ca="1" si="1048"/>
        <v>#DIV/0!</v>
      </c>
      <c r="H115" s="161" t="e">
        <f t="shared" ca="1" si="1048"/>
        <v>#DIV/0!</v>
      </c>
      <c r="I115" s="161" t="e">
        <f t="shared" ca="1" si="1048"/>
        <v>#DIV/0!</v>
      </c>
      <c r="J115" s="161" t="e">
        <f t="shared" ca="1" si="1048"/>
        <v>#DIV/0!</v>
      </c>
      <c r="K115" s="161">
        <f t="shared" ca="1" si="1048"/>
        <v>0.30803817524012089</v>
      </c>
      <c r="L115" s="161">
        <f t="shared" ca="1" si="1048"/>
        <v>1.3357548402636747</v>
      </c>
      <c r="M115" s="161">
        <f t="shared" ca="1" si="1048"/>
        <v>0.93624092582811558</v>
      </c>
      <c r="N115" s="161">
        <f t="shared" ca="1" si="1048"/>
        <v>0.68004436723371975</v>
      </c>
      <c r="O115" s="161">
        <f t="shared" ca="1" si="1048"/>
        <v>0.33960922754354206</v>
      </c>
      <c r="P115" s="161">
        <f t="shared" ca="1" si="1048"/>
        <v>0.31499844715253783</v>
      </c>
      <c r="Q115" s="161">
        <f t="shared" ca="1" si="1048"/>
        <v>0.22253573966044501</v>
      </c>
      <c r="R115" s="161">
        <f t="shared" ca="1" si="1048"/>
        <v>0.22855664193496736</v>
      </c>
      <c r="S115" s="161">
        <f t="shared" ca="1" si="1048"/>
        <v>0.42060144127143656</v>
      </c>
      <c r="T115" s="161">
        <f t="shared" ca="1" si="1048"/>
        <v>0.34406000225870403</v>
      </c>
      <c r="U115" s="161">
        <f t="shared" ca="1" si="1048"/>
        <v>0.18910333085039724</v>
      </c>
      <c r="V115" s="161">
        <f t="shared" ca="1" si="1048"/>
        <v>0.20055821574883173</v>
      </c>
      <c r="W115" s="161">
        <f t="shared" ca="1" si="1048"/>
        <v>0.30675959311113798</v>
      </c>
      <c r="X115" s="161">
        <f t="shared" ca="1" si="1048"/>
        <v>0.30316216141422803</v>
      </c>
      <c r="Y115" s="161">
        <f t="shared" ca="1" si="1048"/>
        <v>0.45982560937376349</v>
      </c>
      <c r="Z115" s="161">
        <f t="shared" ca="1" si="1048"/>
        <v>1.219767507016106</v>
      </c>
      <c r="AA115" s="161">
        <f t="shared" ref="AA115" ca="1" si="1056">+AA98/AA$111</f>
        <v>1.219767507016106</v>
      </c>
      <c r="AB115" s="21">
        <f t="shared" ca="1" si="1048"/>
        <v>0.62578855641268971</v>
      </c>
      <c r="AC115" s="21">
        <f t="shared" ca="1" si="1048"/>
        <v>0.95256347922929618</v>
      </c>
      <c r="AD115" s="21">
        <f t="shared" ca="1" si="1048"/>
        <v>0.99144248491835418</v>
      </c>
      <c r="AE115" s="21">
        <f t="shared" ca="1" si="1048"/>
        <v>1.0353239788762729</v>
      </c>
      <c r="AL115" s="161">
        <f t="shared" si="1050"/>
        <v>0.68004275403613923</v>
      </c>
      <c r="AM115" s="161">
        <f t="shared" si="1050"/>
        <v>0.42283718467428799</v>
      </c>
      <c r="AN115" s="161">
        <f t="shared" si="1050"/>
        <v>0.32182872485075104</v>
      </c>
      <c r="AO115" s="161">
        <f t="shared" si="1050"/>
        <v>0.35783279518602779</v>
      </c>
      <c r="AP115" s="161">
        <f t="shared" si="1050"/>
        <v>0.41443000745436309</v>
      </c>
      <c r="AQ115" s="161">
        <f t="shared" si="1050"/>
        <v>0.46860096376763594</v>
      </c>
      <c r="AR115" s="161">
        <f t="shared" si="1050"/>
        <v>0.572483500513151</v>
      </c>
      <c r="AS115" s="161">
        <f t="shared" si="1050"/>
        <v>0.58578255983514438</v>
      </c>
      <c r="AT115" s="161">
        <f t="shared" si="1050"/>
        <v>0.33115650172612199</v>
      </c>
      <c r="AU115" s="161">
        <f t="shared" si="1050"/>
        <v>0.29554802883267467</v>
      </c>
      <c r="AV115" s="161">
        <f t="shared" si="1050"/>
        <v>0.41035677618069816</v>
      </c>
      <c r="AW115" s="161">
        <f t="shared" si="1050"/>
        <v>0.4205801257003226</v>
      </c>
      <c r="AX115" s="161">
        <f t="shared" si="1050"/>
        <v>0.22253541817557107</v>
      </c>
      <c r="AY115" s="161">
        <f t="shared" si="1050"/>
        <v>0.23727870242764768</v>
      </c>
      <c r="AZ115" s="161">
        <f t="shared" si="1050"/>
        <v>0.26607246427674258</v>
      </c>
      <c r="BA115" s="161">
        <f t="shared" si="1050"/>
        <v>0.2708951753659562</v>
      </c>
      <c r="BB115" s="161">
        <f t="shared" si="1050"/>
        <v>0.32829029694735007</v>
      </c>
      <c r="BC115" s="161">
        <f t="shared" si="1050"/>
        <v>0.42416810087006307</v>
      </c>
      <c r="BD115" s="161">
        <f t="shared" si="1050"/>
        <v>0.46553080017216009</v>
      </c>
      <c r="BE115" s="161">
        <f t="shared" si="1050"/>
        <v>0.60529393222735783</v>
      </c>
      <c r="BF115" s="161">
        <f t="shared" si="1050"/>
        <v>0.66086165490139004</v>
      </c>
      <c r="BG115" s="161">
        <f t="shared" si="1050"/>
        <v>0.3904518128874695</v>
      </c>
      <c r="BH115" s="161">
        <f t="shared" si="1050"/>
        <v>0.3689196049473879</v>
      </c>
      <c r="BI115" s="161">
        <f t="shared" si="1050"/>
        <v>0.34829639297770687</v>
      </c>
      <c r="BJ115" s="161">
        <f t="shared" si="1050"/>
        <v>0.37714290489561247</v>
      </c>
      <c r="BK115" s="161">
        <f t="shared" si="1050"/>
        <v>0.36044431243597724</v>
      </c>
      <c r="BL115" s="161">
        <f t="shared" si="1050"/>
        <v>0.30401356413354996</v>
      </c>
      <c r="BM115" s="161">
        <f t="shared" si="1050"/>
        <v>0.33348045767502166</v>
      </c>
      <c r="BN115" s="161">
        <f t="shared" si="1050"/>
        <v>0.18910327493161824</v>
      </c>
      <c r="BO115" s="161">
        <f t="shared" si="1050"/>
        <v>0.20735136047472261</v>
      </c>
      <c r="BP115" s="161">
        <f t="shared" si="1050"/>
        <v>0.25754037588324563</v>
      </c>
      <c r="BQ115" s="161">
        <f t="shared" si="1050"/>
        <v>0.2731217372288699</v>
      </c>
      <c r="BR115" s="161">
        <f t="shared" si="1050"/>
        <v>0.31480335184010383</v>
      </c>
      <c r="BS115" s="161">
        <f t="shared" si="1050"/>
        <v>0.31660723070217367</v>
      </c>
      <c r="BT115" s="161">
        <f t="shared" si="1050"/>
        <v>0.48966785236278421</v>
      </c>
      <c r="BU115" s="161">
        <f t="shared" si="1050"/>
        <v>0.41435844804550426</v>
      </c>
      <c r="BV115" s="161">
        <f t="shared" si="1050"/>
        <v>0.34844256251205163</v>
      </c>
      <c r="BW115" s="161">
        <f t="shared" si="1050"/>
        <v>0.32586683729066102</v>
      </c>
      <c r="BX115" s="161">
        <f t="shared" si="1050"/>
        <v>0.33423920431066362</v>
      </c>
      <c r="BY115" s="161">
        <f t="shared" si="1050"/>
        <v>0.32688401126391486</v>
      </c>
      <c r="BZ115" s="161">
        <f t="shared" si="1050"/>
        <v>0.41901761411553201</v>
      </c>
      <c r="CA115" s="161">
        <f t="shared" si="1050"/>
        <v>0.56699772891642808</v>
      </c>
      <c r="CB115" s="161">
        <f t="shared" si="1050"/>
        <v>0.91062166986300752</v>
      </c>
      <c r="CC115" s="161">
        <f t="shared" si="1050"/>
        <v>1.1023994523423915</v>
      </c>
      <c r="CD115" s="161">
        <f t="shared" si="1050"/>
        <v>1.2000132760942128</v>
      </c>
      <c r="CE115" s="161">
        <f t="shared" si="1050"/>
        <v>1.3356823461064193</v>
      </c>
      <c r="CF115" s="161">
        <f t="shared" si="1050"/>
        <v>1.5416065151535983</v>
      </c>
      <c r="CG115" s="161">
        <f t="shared" si="1050"/>
        <v>1.5692897567265249</v>
      </c>
      <c r="CH115" s="161">
        <f t="shared" si="1050"/>
        <v>1.219767507016106</v>
      </c>
      <c r="CI115" s="161">
        <f t="shared" si="1050"/>
        <v>1.0793418208069743</v>
      </c>
      <c r="CJ115" s="161">
        <f t="shared" si="1053"/>
        <v>1.0378787063712303</v>
      </c>
      <c r="CK115" s="161">
        <f t="shared" si="1053"/>
        <v>0.79387564926383003</v>
      </c>
      <c r="CL115" s="161">
        <f t="shared" ref="CL115" si="1057">+CL98/CL$111</f>
        <v>0.78372092468411603</v>
      </c>
      <c r="CM115" s="94">
        <f t="shared" ref="CM115:DB115" si="1058">+CL115</f>
        <v>0.78372092468411603</v>
      </c>
      <c r="CN115" s="94">
        <f t="shared" si="1058"/>
        <v>0.78372092468411603</v>
      </c>
      <c r="CO115" s="94">
        <f t="shared" si="1058"/>
        <v>0.78372092468411603</v>
      </c>
      <c r="CP115" s="94">
        <f t="shared" si="1058"/>
        <v>0.78372092468411603</v>
      </c>
      <c r="CQ115" s="94">
        <f t="shared" si="1058"/>
        <v>0.78372092468411603</v>
      </c>
      <c r="CR115" s="94">
        <f t="shared" si="1058"/>
        <v>0.78372092468411603</v>
      </c>
      <c r="CS115" s="94">
        <f t="shared" si="1058"/>
        <v>0.78372092468411603</v>
      </c>
      <c r="CT115" s="94">
        <f t="shared" si="1058"/>
        <v>0.78372092468411603</v>
      </c>
      <c r="CU115" s="94">
        <f t="shared" si="1058"/>
        <v>0.78372092468411603</v>
      </c>
      <c r="CV115" s="94">
        <f t="shared" si="1058"/>
        <v>0.78372092468411603</v>
      </c>
      <c r="CW115" s="94">
        <f t="shared" si="1058"/>
        <v>0.78372092468411603</v>
      </c>
      <c r="CX115" s="94">
        <f t="shared" si="1058"/>
        <v>0.78372092468411603</v>
      </c>
      <c r="CY115" s="94">
        <f t="shared" si="1058"/>
        <v>0.78372092468411603</v>
      </c>
      <c r="CZ115" s="94">
        <f t="shared" si="1058"/>
        <v>0.78372092468411603</v>
      </c>
      <c r="DA115" s="94">
        <f t="shared" si="1058"/>
        <v>0.78372092468411603</v>
      </c>
      <c r="DB115" s="94">
        <f t="shared" si="1058"/>
        <v>0.78372092468411603</v>
      </c>
      <c r="DC115" s="94"/>
      <c r="DE115" s="22"/>
      <c r="DF115" s="161">
        <v>1.219767507016106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76" customFormat="1" x14ac:dyDescent="0.2">
      <c r="A117" s="176" t="s">
        <v>510</v>
      </c>
      <c r="E117" s="176">
        <f t="shared" ref="E117:Y117" si="1059">+E29</f>
        <v>0</v>
      </c>
      <c r="F117" s="176">
        <f t="shared" si="1059"/>
        <v>0</v>
      </c>
      <c r="G117" s="176">
        <f t="shared" si="1059"/>
        <v>0</v>
      </c>
      <c r="H117" s="176">
        <f t="shared" si="1059"/>
        <v>0</v>
      </c>
      <c r="I117" s="176">
        <f t="shared" si="1059"/>
        <v>0</v>
      </c>
      <c r="J117" s="176">
        <f t="shared" si="1059"/>
        <v>0</v>
      </c>
      <c r="K117" s="176">
        <f t="shared" si="1059"/>
        <v>7110.2650000000003</v>
      </c>
      <c r="L117" s="176">
        <f t="shared" si="1059"/>
        <v>4586.3254000000006</v>
      </c>
      <c r="M117" s="176">
        <f t="shared" si="1059"/>
        <v>6036.3957</v>
      </c>
      <c r="N117" s="176">
        <f t="shared" si="1059"/>
        <v>6764.7277999999997</v>
      </c>
      <c r="O117" s="176">
        <f t="shared" si="1059"/>
        <v>6655.8474000000006</v>
      </c>
      <c r="P117" s="176">
        <f t="shared" si="1059"/>
        <v>8207.830100000001</v>
      </c>
      <c r="Q117" s="176">
        <f t="shared" si="1059"/>
        <v>7702.5786000000007</v>
      </c>
      <c r="R117" s="176">
        <f t="shared" si="1059"/>
        <v>7070.1214</v>
      </c>
      <c r="S117" s="176">
        <f t="shared" si="1059"/>
        <v>8506.6198999999997</v>
      </c>
      <c r="T117" s="176">
        <f t="shared" si="1059"/>
        <v>12117.0016</v>
      </c>
      <c r="U117" s="176">
        <f t="shared" si="1059"/>
        <v>11627.0368</v>
      </c>
      <c r="V117" s="176">
        <f t="shared" si="1059"/>
        <v>10663.6358</v>
      </c>
      <c r="W117" s="176">
        <f t="shared" si="1059"/>
        <v>13298.4211</v>
      </c>
      <c r="X117" s="176">
        <f t="shared" si="1059"/>
        <v>17868.068899999998</v>
      </c>
      <c r="Y117" s="176">
        <f t="shared" si="1059"/>
        <v>20957.6901</v>
      </c>
      <c r="Z117" s="176">
        <f>+Z29</f>
        <v>20828.894799999998</v>
      </c>
      <c r="AA117" s="176">
        <f>+AA29</f>
        <v>17895.165199999999</v>
      </c>
      <c r="AB117" s="177">
        <f t="shared" ref="AB117:AE117" si="1060">+AB29</f>
        <v>18622.714878923765</v>
      </c>
      <c r="AC117" s="177">
        <f t="shared" si="1060"/>
        <v>20350.907819730943</v>
      </c>
      <c r="AD117" s="177">
        <f t="shared" si="1060"/>
        <v>22161.588054618835</v>
      </c>
      <c r="AE117" s="177">
        <f t="shared" si="1060"/>
        <v>24153.336312995518</v>
      </c>
      <c r="AL117" s="176">
        <f t="shared" ref="AL117:BQ117" si="1061">+SUM(AI27:AL27)</f>
        <v>5630.16</v>
      </c>
      <c r="AM117" s="176">
        <f t="shared" si="1061"/>
        <v>5546.74</v>
      </c>
      <c r="AN117" s="176">
        <f t="shared" si="1061"/>
        <v>5139.2000000000007</v>
      </c>
      <c r="AO117" s="176">
        <f t="shared" si="1061"/>
        <v>5126.08</v>
      </c>
      <c r="AP117" s="176">
        <f t="shared" si="1061"/>
        <v>5509.59</v>
      </c>
      <c r="AQ117" s="176">
        <f t="shared" si="1061"/>
        <v>5451.65</v>
      </c>
      <c r="AR117" s="176">
        <f t="shared" si="1061"/>
        <v>5813.62</v>
      </c>
      <c r="AS117" s="176">
        <f t="shared" si="1061"/>
        <v>5881.4400000000005</v>
      </c>
      <c r="AT117" s="176">
        <f t="shared" si="1061"/>
        <v>6660.28</v>
      </c>
      <c r="AU117" s="176">
        <f t="shared" si="1061"/>
        <v>7503.35</v>
      </c>
      <c r="AV117" s="176">
        <f t="shared" si="1061"/>
        <v>7314.5999999999995</v>
      </c>
      <c r="AW117" s="176">
        <f t="shared" si="1061"/>
        <v>6665.78</v>
      </c>
      <c r="AX117" s="176">
        <f t="shared" si="1061"/>
        <v>6382.2099999999991</v>
      </c>
      <c r="AY117" s="176">
        <f t="shared" si="1061"/>
        <v>5717.2</v>
      </c>
      <c r="AZ117" s="176">
        <f t="shared" si="1061"/>
        <v>5716.42</v>
      </c>
      <c r="BA117" s="176">
        <f t="shared" si="1061"/>
        <v>6014.5599999999995</v>
      </c>
      <c r="BB117" s="176">
        <f t="shared" si="1061"/>
        <v>5927.88</v>
      </c>
      <c r="BC117" s="176">
        <f t="shared" si="1061"/>
        <v>6051.17</v>
      </c>
      <c r="BD117" s="176">
        <f t="shared" si="1061"/>
        <v>5970.5300000000007</v>
      </c>
      <c r="BE117" s="176">
        <f t="shared" si="1061"/>
        <v>6658.4700000000012</v>
      </c>
      <c r="BF117" s="176">
        <f t="shared" si="1061"/>
        <v>7343.29</v>
      </c>
      <c r="BG117" s="176">
        <f t="shared" si="1061"/>
        <v>8654.0499999999993</v>
      </c>
      <c r="BH117" s="176">
        <f t="shared" si="1061"/>
        <v>10292.98</v>
      </c>
      <c r="BI117" s="176">
        <f t="shared" si="1061"/>
        <v>11136.41</v>
      </c>
      <c r="BJ117" s="176">
        <f t="shared" si="1061"/>
        <v>12116.999999999998</v>
      </c>
      <c r="BK117" s="176">
        <f t="shared" si="1061"/>
        <v>12412.279999999999</v>
      </c>
      <c r="BL117" s="176">
        <f t="shared" si="1061"/>
        <v>12133.75</v>
      </c>
      <c r="BM117" s="176">
        <f t="shared" si="1061"/>
        <v>12163.6</v>
      </c>
      <c r="BN117" s="176">
        <f t="shared" si="1061"/>
        <v>11627.04</v>
      </c>
      <c r="BO117" s="176">
        <f t="shared" si="1061"/>
        <v>10211.369999999999</v>
      </c>
      <c r="BP117" s="176">
        <f t="shared" si="1061"/>
        <v>9904.1</v>
      </c>
      <c r="BQ117" s="176">
        <f t="shared" si="1061"/>
        <v>9780.81</v>
      </c>
      <c r="BR117" s="176">
        <f t="shared" ref="BR117:CW117" si="1062">+SUM(BO27:BR27)</f>
        <v>10663.64</v>
      </c>
      <c r="BS117" s="176">
        <f t="shared" si="1062"/>
        <v>11907.45</v>
      </c>
      <c r="BT117" s="176">
        <f t="shared" si="1062"/>
        <v>12506.009999999998</v>
      </c>
      <c r="BU117" s="176">
        <f t="shared" si="1062"/>
        <v>13112.369999999999</v>
      </c>
      <c r="BV117" s="176">
        <f t="shared" si="1062"/>
        <v>13298.42</v>
      </c>
      <c r="BW117" s="176">
        <f t="shared" si="1062"/>
        <v>13892.1</v>
      </c>
      <c r="BX117" s="176">
        <f t="shared" si="1062"/>
        <v>14962.760000000002</v>
      </c>
      <c r="BY117" s="176">
        <f t="shared" si="1062"/>
        <v>16649.66</v>
      </c>
      <c r="BZ117" s="176">
        <f t="shared" si="1062"/>
        <v>17867.849999999999</v>
      </c>
      <c r="CA117" s="176">
        <f t="shared" si="1062"/>
        <v>18799.79</v>
      </c>
      <c r="CB117" s="176">
        <f t="shared" si="1062"/>
        <v>20222.47</v>
      </c>
      <c r="CC117" s="176">
        <f t="shared" si="1062"/>
        <v>20720.620000000003</v>
      </c>
      <c r="CD117" s="176">
        <f t="shared" si="1062"/>
        <v>20957.690000000002</v>
      </c>
      <c r="CE117" s="176">
        <f t="shared" si="1062"/>
        <v>21486.550000000003</v>
      </c>
      <c r="CF117" s="176">
        <f t="shared" si="1062"/>
        <v>21592.25</v>
      </c>
      <c r="CG117" s="176">
        <f t="shared" si="1062"/>
        <v>21207.46</v>
      </c>
      <c r="CH117" s="176">
        <f t="shared" si="1062"/>
        <v>20828.89</v>
      </c>
      <c r="CI117" s="176">
        <f t="shared" si="1062"/>
        <v>19974.490000000002</v>
      </c>
      <c r="CJ117" s="176">
        <f t="shared" si="1062"/>
        <v>18636.169999999998</v>
      </c>
      <c r="CK117" s="176">
        <f t="shared" si="1062"/>
        <v>18308.28</v>
      </c>
      <c r="CL117" s="176">
        <f t="shared" si="1062"/>
        <v>17895.169999999998</v>
      </c>
      <c r="CM117" s="177">
        <f t="shared" si="1062"/>
        <v>18158.320511210761</v>
      </c>
      <c r="CN117" s="177">
        <f t="shared" si="1062"/>
        <v>17963.031461883409</v>
      </c>
      <c r="CO117" s="177">
        <f t="shared" si="1062"/>
        <v>17971.75805381166</v>
      </c>
      <c r="CP117" s="177">
        <f t="shared" si="1062"/>
        <v>18622.714878923765</v>
      </c>
      <c r="CQ117" s="177">
        <f t="shared" si="1062"/>
        <v>19091.72729327354</v>
      </c>
      <c r="CR117" s="177">
        <f t="shared" si="1062"/>
        <v>19439.455751569505</v>
      </c>
      <c r="CS117" s="177">
        <f t="shared" si="1062"/>
        <v>19878.566773991031</v>
      </c>
      <c r="CT117" s="177">
        <f t="shared" si="1062"/>
        <v>20350.907819730943</v>
      </c>
      <c r="CU117" s="177">
        <f t="shared" si="1062"/>
        <v>20776.489475515697</v>
      </c>
      <c r="CV117" s="177">
        <f t="shared" si="1062"/>
        <v>21158.990779641255</v>
      </c>
      <c r="CW117" s="177">
        <f t="shared" si="1062"/>
        <v>21642.012904304938</v>
      </c>
      <c r="CX117" s="177">
        <f t="shared" ref="CX117:DB117" si="1063">+SUM(CU27:CX27)</f>
        <v>22161.588054618835</v>
      </c>
      <c r="CY117" s="177">
        <f t="shared" si="1063"/>
        <v>22629.727875982062</v>
      </c>
      <c r="CZ117" s="177">
        <f t="shared" si="1063"/>
        <v>23050.479310520182</v>
      </c>
      <c r="DA117" s="177">
        <f t="shared" si="1063"/>
        <v>23581.803647650224</v>
      </c>
      <c r="DB117" s="177">
        <f t="shared" si="1063"/>
        <v>24153.336312995518</v>
      </c>
      <c r="DE117" s="178"/>
      <c r="DF117" s="176">
        <v>17895.165199999999</v>
      </c>
    </row>
    <row r="118" spans="1:110" s="162" customFormat="1" x14ac:dyDescent="0.2">
      <c r="A118" s="162" t="s">
        <v>511</v>
      </c>
      <c r="E118" s="162">
        <f t="shared" ref="E118:AE118" ca="1" si="1064">+E117/E84</f>
        <v>0</v>
      </c>
      <c r="F118" s="162">
        <f t="shared" ca="1" si="1064"/>
        <v>0</v>
      </c>
      <c r="G118" s="162">
        <f t="shared" ca="1" si="1064"/>
        <v>0</v>
      </c>
      <c r="H118" s="162">
        <f t="shared" ca="1" si="1064"/>
        <v>0</v>
      </c>
      <c r="I118" s="162">
        <f t="shared" ca="1" si="1064"/>
        <v>0</v>
      </c>
      <c r="J118" s="162">
        <f t="shared" ca="1" si="1064"/>
        <v>0</v>
      </c>
      <c r="K118" s="162">
        <f t="shared" ca="1" si="1064"/>
        <v>111.18475371383893</v>
      </c>
      <c r="L118" s="162">
        <f t="shared" ca="1" si="1064"/>
        <v>71.717363565285382</v>
      </c>
      <c r="M118" s="162">
        <f t="shared" ca="1" si="1064"/>
        <v>94.392426896012509</v>
      </c>
      <c r="N118" s="162">
        <f t="shared" ca="1" si="1064"/>
        <v>105.78151368256449</v>
      </c>
      <c r="O118" s="162">
        <f t="shared" ca="1" si="1064"/>
        <v>104.07892728694293</v>
      </c>
      <c r="P118" s="162">
        <f t="shared" ca="1" si="1064"/>
        <v>128.34761688819393</v>
      </c>
      <c r="Q118" s="162">
        <f t="shared" ca="1" si="1064"/>
        <v>120.44688975762315</v>
      </c>
      <c r="R118" s="162">
        <f t="shared" ca="1" si="1064"/>
        <v>110.55701954652072</v>
      </c>
      <c r="S118" s="162">
        <f t="shared" ca="1" si="1064"/>
        <v>133.01985770132916</v>
      </c>
      <c r="T118" s="162">
        <f t="shared" ca="1" si="1064"/>
        <v>189.47617826426895</v>
      </c>
      <c r="U118" s="162">
        <f t="shared" ca="1" si="1064"/>
        <v>181.81449257232211</v>
      </c>
      <c r="V118" s="162">
        <f t="shared" ca="1" si="1064"/>
        <v>166.74958248631742</v>
      </c>
      <c r="W118" s="162">
        <f t="shared" ca="1" si="1064"/>
        <v>207.95029085222828</v>
      </c>
      <c r="X118" s="162">
        <f t="shared" ca="1" si="1064"/>
        <v>279.40686317435495</v>
      </c>
      <c r="Y118" s="162">
        <f t="shared" ca="1" si="1064"/>
        <v>327.71993901485536</v>
      </c>
      <c r="Z118" s="162">
        <f t="shared" ref="Z118:AA118" ca="1" si="1065">+Z117/Z84</f>
        <v>325.70593901485529</v>
      </c>
      <c r="AA118" s="162">
        <f t="shared" ca="1" si="1065"/>
        <v>325.70593901485529</v>
      </c>
      <c r="AB118" s="94">
        <f t="shared" ca="1" si="1064"/>
        <v>291.20742578457805</v>
      </c>
      <c r="AC118" s="94">
        <f t="shared" ca="1" si="1064"/>
        <v>318.23155308414294</v>
      </c>
      <c r="AD118" s="94">
        <f t="shared" ca="1" si="1064"/>
        <v>346.54555206597081</v>
      </c>
      <c r="AE118" s="94">
        <f t="shared" ca="1" si="1064"/>
        <v>377.69095094598151</v>
      </c>
      <c r="AL118" s="162">
        <f t="shared" ref="AL118:BQ118" si="1066">+AL117/AL84</f>
        <v>88.040031274433147</v>
      </c>
      <c r="AM118" s="162">
        <f t="shared" si="1066"/>
        <v>86.735574667709145</v>
      </c>
      <c r="AN118" s="162">
        <f t="shared" si="1066"/>
        <v>80.362783424550443</v>
      </c>
      <c r="AO118" s="162">
        <f t="shared" si="1066"/>
        <v>80.157623143080528</v>
      </c>
      <c r="AP118" s="162">
        <f t="shared" si="1066"/>
        <v>86.154652071931196</v>
      </c>
      <c r="AQ118" s="162">
        <f t="shared" si="1066"/>
        <v>85.248631743549637</v>
      </c>
      <c r="AR118" s="162">
        <f t="shared" si="1066"/>
        <v>90.908835027365129</v>
      </c>
      <c r="AS118" s="162">
        <f t="shared" si="1066"/>
        <v>91.969351055512121</v>
      </c>
      <c r="AT118" s="162">
        <f t="shared" si="1066"/>
        <v>104.14824081313526</v>
      </c>
      <c r="AU118" s="162">
        <f t="shared" si="1066"/>
        <v>117.33150899139953</v>
      </c>
      <c r="AV118" s="162">
        <f t="shared" si="1066"/>
        <v>114.37998436278342</v>
      </c>
      <c r="AW118" s="162">
        <f t="shared" si="1066"/>
        <v>104.23424550430022</v>
      </c>
      <c r="AX118" s="162">
        <f t="shared" si="1066"/>
        <v>99.799999999999983</v>
      </c>
      <c r="AY118" s="162">
        <f t="shared" si="1066"/>
        <v>89.401094605160282</v>
      </c>
      <c r="AZ118" s="162">
        <f t="shared" si="1066"/>
        <v>89.388897576231429</v>
      </c>
      <c r="BA118" s="162">
        <f t="shared" si="1066"/>
        <v>94.050977326035948</v>
      </c>
      <c r="BB118" s="162">
        <f t="shared" si="1066"/>
        <v>92.695543393275997</v>
      </c>
      <c r="BC118" s="162">
        <f t="shared" si="1066"/>
        <v>94.623455824863171</v>
      </c>
      <c r="BD118" s="162">
        <f t="shared" si="1066"/>
        <v>93.362470680218934</v>
      </c>
      <c r="BE118" s="162">
        <f t="shared" si="1066"/>
        <v>104.11993745113371</v>
      </c>
      <c r="BF118" s="162">
        <f t="shared" si="1066"/>
        <v>114.82861610633307</v>
      </c>
      <c r="BG118" s="162">
        <f t="shared" si="1066"/>
        <v>135.32525410476933</v>
      </c>
      <c r="BH118" s="162">
        <f t="shared" si="1066"/>
        <v>160.95355746677089</v>
      </c>
      <c r="BI118" s="162">
        <f t="shared" si="1066"/>
        <v>174.14245504300234</v>
      </c>
      <c r="BJ118" s="162">
        <f t="shared" si="1066"/>
        <v>189.47615324472241</v>
      </c>
      <c r="BK118" s="162">
        <f t="shared" si="1066"/>
        <v>194.09351055512116</v>
      </c>
      <c r="BL118" s="162">
        <f t="shared" si="1066"/>
        <v>189.73807662236121</v>
      </c>
      <c r="BM118" s="162">
        <f t="shared" si="1066"/>
        <v>190.20484753713839</v>
      </c>
      <c r="BN118" s="162">
        <f t="shared" si="1066"/>
        <v>181.81454261141516</v>
      </c>
      <c r="BO118" s="162">
        <f t="shared" si="1066"/>
        <v>159.67740422204847</v>
      </c>
      <c r="BP118" s="162">
        <f t="shared" si="1066"/>
        <v>154.87255668491008</v>
      </c>
      <c r="BQ118" s="162">
        <f t="shared" si="1066"/>
        <v>152.94464425332291</v>
      </c>
      <c r="BR118" s="162">
        <f t="shared" ref="BR118:CW118" si="1067">+BR117/BR84</f>
        <v>166.74964816262704</v>
      </c>
      <c r="BS118" s="162">
        <f t="shared" si="1067"/>
        <v>186.199374511337</v>
      </c>
      <c r="BT118" s="162">
        <f t="shared" si="1067"/>
        <v>195.55918686473805</v>
      </c>
      <c r="BU118" s="162">
        <f t="shared" si="1067"/>
        <v>205.04096950742766</v>
      </c>
      <c r="BV118" s="162">
        <f t="shared" si="1067"/>
        <v>207.95027365129008</v>
      </c>
      <c r="BW118" s="162">
        <f t="shared" si="1067"/>
        <v>217.23377638780298</v>
      </c>
      <c r="BX118" s="162">
        <f t="shared" si="1067"/>
        <v>233.97591868647382</v>
      </c>
      <c r="BY118" s="162">
        <f t="shared" si="1067"/>
        <v>260.35433932759969</v>
      </c>
      <c r="BZ118" s="162">
        <f t="shared" si="1067"/>
        <v>279.40344018764654</v>
      </c>
      <c r="CA118" s="162">
        <f t="shared" si="1067"/>
        <v>293.97638780297109</v>
      </c>
      <c r="CB118" s="162">
        <f t="shared" si="1067"/>
        <v>316.22314308053166</v>
      </c>
      <c r="CC118" s="162">
        <f t="shared" si="1067"/>
        <v>324.01282251759187</v>
      </c>
      <c r="CD118" s="162">
        <f t="shared" si="1067"/>
        <v>327.71993745113372</v>
      </c>
      <c r="CE118" s="162">
        <f t="shared" si="1067"/>
        <v>335.98983580922601</v>
      </c>
      <c r="CF118" s="162">
        <f t="shared" si="1067"/>
        <v>337.64268960125094</v>
      </c>
      <c r="CG118" s="162">
        <f t="shared" si="1067"/>
        <v>331.62564503518371</v>
      </c>
      <c r="CH118" s="162">
        <f t="shared" si="1067"/>
        <v>325.70586395621575</v>
      </c>
      <c r="CI118" s="162">
        <f t="shared" si="1067"/>
        <v>312.34542611415168</v>
      </c>
      <c r="CJ118" s="162">
        <f t="shared" si="1067"/>
        <v>291.417826426896</v>
      </c>
      <c r="CK118" s="162">
        <f t="shared" ref="CK118:CL118" si="1068">+CK117/CK84</f>
        <v>286.29053948397183</v>
      </c>
      <c r="CL118" s="162">
        <f t="shared" si="1068"/>
        <v>279.83064894448785</v>
      </c>
      <c r="CM118" s="50">
        <f t="shared" si="1067"/>
        <v>283.94559048023081</v>
      </c>
      <c r="CN118" s="50">
        <f t="shared" si="1067"/>
        <v>280.89181332108535</v>
      </c>
      <c r="CO118" s="50">
        <f t="shared" si="1067"/>
        <v>281.02827292903299</v>
      </c>
      <c r="CP118" s="50">
        <f t="shared" si="1067"/>
        <v>291.20742578457805</v>
      </c>
      <c r="CQ118" s="50">
        <f t="shared" si="1067"/>
        <v>298.54147448433991</v>
      </c>
      <c r="CR118" s="50">
        <f t="shared" si="1067"/>
        <v>303.9789796961611</v>
      </c>
      <c r="CS118" s="50">
        <f t="shared" si="1067"/>
        <v>310.84545385443363</v>
      </c>
      <c r="CT118" s="50">
        <f t="shared" si="1067"/>
        <v>318.23155308414294</v>
      </c>
      <c r="CU118" s="50">
        <f t="shared" si="1067"/>
        <v>324.88646560618758</v>
      </c>
      <c r="CV118" s="50">
        <f t="shared" si="1067"/>
        <v>330.86772133919084</v>
      </c>
      <c r="CW118" s="50">
        <f t="shared" si="1067"/>
        <v>338.42084291329064</v>
      </c>
      <c r="CX118" s="50">
        <f t="shared" ref="CX118:DB118" si="1069">+CX117/CX84</f>
        <v>346.54555206597081</v>
      </c>
      <c r="CY118" s="50">
        <f t="shared" si="1069"/>
        <v>353.8659558402199</v>
      </c>
      <c r="CZ118" s="50">
        <f t="shared" si="1069"/>
        <v>360.44533714652357</v>
      </c>
      <c r="DA118" s="50">
        <f t="shared" si="1069"/>
        <v>368.75377087803321</v>
      </c>
      <c r="DB118" s="50">
        <f t="shared" si="1069"/>
        <v>377.69095094598151</v>
      </c>
      <c r="DE118" s="163"/>
      <c r="DF118" s="162">
        <v>325.70593901485529</v>
      </c>
    </row>
    <row r="119" spans="1:110" s="162" customFormat="1" x14ac:dyDescent="0.2"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3"/>
    </row>
    <row r="120" spans="1:110" s="162" customFormat="1" x14ac:dyDescent="0.2">
      <c r="A120" s="162" t="s">
        <v>506</v>
      </c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3"/>
    </row>
    <row r="121" spans="1:110" s="162" customFormat="1" x14ac:dyDescent="0.2">
      <c r="A121" s="162" t="s">
        <v>507</v>
      </c>
      <c r="E121" s="162" t="e">
        <f t="shared" ref="E121:AE123" ca="1" si="1070">+E96/E$118</f>
        <v>#DIV/0!</v>
      </c>
      <c r="F121" s="162" t="e">
        <f t="shared" ca="1" si="1070"/>
        <v>#DIV/0!</v>
      </c>
      <c r="G121" s="162" t="e">
        <f t="shared" ca="1" si="1070"/>
        <v>#DIV/0!</v>
      </c>
      <c r="H121" s="162" t="e">
        <f t="shared" ca="1" si="1070"/>
        <v>#DIV/0!</v>
      </c>
      <c r="I121" s="162" t="e">
        <f t="shared" ca="1" si="1070"/>
        <v>#DIV/0!</v>
      </c>
      <c r="J121" s="162" t="e">
        <f t="shared" ca="1" si="1070"/>
        <v>#DIV/0!</v>
      </c>
      <c r="K121" s="162">
        <f t="shared" ca="1" si="1070"/>
        <v>0.95471722924532365</v>
      </c>
      <c r="L121" s="162">
        <f t="shared" ca="1" si="1070"/>
        <v>1.4236440789831439</v>
      </c>
      <c r="M121" s="162">
        <f t="shared" ca="1" si="1070"/>
        <v>0.92221381378294998</v>
      </c>
      <c r="N121" s="162">
        <f t="shared" ca="1" si="1070"/>
        <v>0.38806402528125372</v>
      </c>
      <c r="O121" s="162">
        <f t="shared" ca="1" si="1070"/>
        <v>0.27190902844317011</v>
      </c>
      <c r="P121" s="162">
        <f t="shared" ca="1" si="1070"/>
        <v>0.25594553912610835</v>
      </c>
      <c r="Q121" s="162">
        <f t="shared" ca="1" si="1070"/>
        <v>0.16002903884680902</v>
      </c>
      <c r="R121" s="162">
        <f t="shared" ca="1" si="1070"/>
        <v>0.37718093496951838</v>
      </c>
      <c r="S121" s="162">
        <f t="shared" ca="1" si="1070"/>
        <v>0.44730163622333707</v>
      </c>
      <c r="T121" s="162">
        <f t="shared" ca="1" si="1070"/>
        <v>0.22839282698452396</v>
      </c>
      <c r="U121" s="162">
        <f t="shared" ca="1" si="1070"/>
        <v>0.12595255568469518</v>
      </c>
      <c r="V121" s="162">
        <f t="shared" ca="1" si="1070"/>
        <v>0.22233938728477584</v>
      </c>
      <c r="W121" s="162">
        <f t="shared" ca="1" si="1070"/>
        <v>0.21651809100856342</v>
      </c>
      <c r="X121" s="162">
        <f t="shared" ca="1" si="1070"/>
        <v>0.2604624638536065</v>
      </c>
      <c r="Y121" s="162">
        <f t="shared" ca="1" si="1070"/>
        <v>0.65925192299699098</v>
      </c>
      <c r="Z121" s="162">
        <f ca="1">+Z96/Z$118</f>
        <v>0.82927563684271932</v>
      </c>
      <c r="AA121" s="162">
        <f ca="1">+AA96/AA$118</f>
        <v>0.82927563684271932</v>
      </c>
      <c r="AB121" s="50">
        <f t="shared" ref="AB121:AE121" ca="1" si="1071">+AB96/AB$118</f>
        <v>0.84132469953303946</v>
      </c>
      <c r="AC121" s="50">
        <f t="shared" ca="1" si="1071"/>
        <v>0.76987966034662836</v>
      </c>
      <c r="AD121" s="50">
        <f t="shared" ca="1" si="1071"/>
        <v>0.7069777653742908</v>
      </c>
      <c r="AE121" s="50">
        <f t="shared" ca="1" si="1071"/>
        <v>0.6486785012623737</v>
      </c>
      <c r="AL121" s="162">
        <f t="shared" ref="AL121:BQ121" si="1072">+AL96/AL118</f>
        <v>0.46626516830782783</v>
      </c>
      <c r="AM121" s="162">
        <f t="shared" si="1072"/>
        <v>0.3303142927196876</v>
      </c>
      <c r="AN121" s="162">
        <f t="shared" si="1072"/>
        <v>0.27593618656600244</v>
      </c>
      <c r="AO121" s="162">
        <f t="shared" si="1072"/>
        <v>0.30595967093763654</v>
      </c>
      <c r="AP121" s="162">
        <f t="shared" si="1072"/>
        <v>0.32847907013044531</v>
      </c>
      <c r="AQ121" s="162">
        <f t="shared" si="1072"/>
        <v>0.48886415122027277</v>
      </c>
      <c r="AR121" s="162">
        <f t="shared" si="1072"/>
        <v>0.44385124930766029</v>
      </c>
      <c r="AS121" s="162">
        <f t="shared" si="1072"/>
        <v>0.5077778571234256</v>
      </c>
      <c r="AT121" s="162">
        <f t="shared" si="1072"/>
        <v>0.31541579333001019</v>
      </c>
      <c r="AU121" s="162">
        <f t="shared" si="1072"/>
        <v>0.24971979182631759</v>
      </c>
      <c r="AV121" s="162">
        <f t="shared" si="1072"/>
        <v>0.27845781040658413</v>
      </c>
      <c r="AW121" s="162">
        <f t="shared" si="1072"/>
        <v>0.29980549913138455</v>
      </c>
      <c r="AX121" s="162">
        <f t="shared" si="1072"/>
        <v>0.19313627254509019</v>
      </c>
      <c r="AY121" s="162">
        <f t="shared" si="1072"/>
        <v>0.29809478416007834</v>
      </c>
      <c r="AZ121" s="162">
        <f t="shared" si="1072"/>
        <v>0.30596640904622124</v>
      </c>
      <c r="BA121" s="162">
        <f t="shared" si="1072"/>
        <v>0.29345787555531916</v>
      </c>
      <c r="BB121" s="162">
        <f t="shared" si="1072"/>
        <v>0.44985981497601168</v>
      </c>
      <c r="BC121" s="162">
        <f t="shared" si="1072"/>
        <v>0.44360036984583151</v>
      </c>
      <c r="BD121" s="162">
        <f t="shared" si="1072"/>
        <v>0.60302602951496753</v>
      </c>
      <c r="BE121" s="162">
        <f t="shared" si="1072"/>
        <v>0.67230159481081986</v>
      </c>
      <c r="BF121" s="162">
        <f t="shared" si="1072"/>
        <v>0.51816352071074412</v>
      </c>
      <c r="BG121" s="162">
        <f t="shared" si="1072"/>
        <v>0.29336726734881363</v>
      </c>
      <c r="BH121" s="162">
        <f t="shared" si="1072"/>
        <v>0.22615219304807746</v>
      </c>
      <c r="BI121" s="162">
        <f t="shared" si="1072"/>
        <v>0.2431917018141394</v>
      </c>
      <c r="BJ121" s="162">
        <f t="shared" si="1072"/>
        <v>0.22839285714285718</v>
      </c>
      <c r="BK121" s="162">
        <f t="shared" si="1072"/>
        <v>0.21445848385631008</v>
      </c>
      <c r="BL121" s="162">
        <f t="shared" si="1072"/>
        <v>0.22557412176779643</v>
      </c>
      <c r="BM121" s="162">
        <f t="shared" si="1072"/>
        <v>0.1921612433818935</v>
      </c>
      <c r="BN121" s="162">
        <f t="shared" si="1072"/>
        <v>0.12595252101996723</v>
      </c>
      <c r="BO121" s="162">
        <f t="shared" si="1072"/>
        <v>0.18130304748530315</v>
      </c>
      <c r="BP121" s="162">
        <f t="shared" si="1072"/>
        <v>0.20323161619935179</v>
      </c>
      <c r="BQ121" s="162">
        <f t="shared" si="1072"/>
        <v>0.24796553148461117</v>
      </c>
      <c r="BR121" s="162">
        <f t="shared" ref="BR121:DB121" si="1073">+BR96/BR118</f>
        <v>0.22233929971379382</v>
      </c>
      <c r="BS121" s="162">
        <f t="shared" si="1073"/>
        <v>0.31404509361786109</v>
      </c>
      <c r="BT121" s="162">
        <f t="shared" si="1073"/>
        <v>0.29159969886478582</v>
      </c>
      <c r="BU121" s="162">
        <f t="shared" si="1073"/>
        <v>0.2411713138052084</v>
      </c>
      <c r="BV121" s="162">
        <f t="shared" si="1073"/>
        <v>0.21651810891820231</v>
      </c>
      <c r="BW121" s="162">
        <f t="shared" si="1073"/>
        <v>0.18125634353337508</v>
      </c>
      <c r="BX121" s="162">
        <f t="shared" si="1073"/>
        <v>0.17640704321929909</v>
      </c>
      <c r="BY121" s="162">
        <f t="shared" si="1073"/>
        <v>0.19895961839460985</v>
      </c>
      <c r="BZ121" s="162">
        <f t="shared" si="1073"/>
        <v>0.26046565479338596</v>
      </c>
      <c r="CA121" s="162">
        <f t="shared" si="1073"/>
        <v>0.43464375133977562</v>
      </c>
      <c r="CB121" s="162">
        <f t="shared" si="1073"/>
        <v>0.54787261397841114</v>
      </c>
      <c r="CC121" s="162">
        <f t="shared" si="1073"/>
        <v>0.63577730782187014</v>
      </c>
      <c r="CD121" s="162">
        <f t="shared" si="1073"/>
        <v>0.65925192614262351</v>
      </c>
      <c r="CE121" s="162">
        <f t="shared" si="1073"/>
        <v>0.80872982167914342</v>
      </c>
      <c r="CF121" s="162">
        <f t="shared" si="1073"/>
        <v>1.1010159895332818</v>
      </c>
      <c r="CG121" s="162">
        <f t="shared" si="1073"/>
        <v>0.87824932830239932</v>
      </c>
      <c r="CH121" s="162">
        <f t="shared" si="1073"/>
        <v>0.82927582794858501</v>
      </c>
      <c r="CI121" s="162">
        <f t="shared" si="1073"/>
        <v>0.77078125649265639</v>
      </c>
      <c r="CJ121" s="162">
        <f t="shared" si="1073"/>
        <v>0.69522171132802502</v>
      </c>
      <c r="CK121" s="162">
        <f t="shared" ref="CK121:CL121" si="1074">+CK96/CK118</f>
        <v>0.58681645681626027</v>
      </c>
      <c r="CL121" s="162">
        <f t="shared" si="1074"/>
        <v>0.6548603617624198</v>
      </c>
      <c r="CM121" s="50">
        <f t="shared" si="1073"/>
        <v>0.86284136191598182</v>
      </c>
      <c r="CN121" s="50">
        <f t="shared" si="1073"/>
        <v>0.87222193165146578</v>
      </c>
      <c r="CO121" s="50">
        <f t="shared" si="1073"/>
        <v>0.87179840464617209</v>
      </c>
      <c r="CP121" s="50">
        <f t="shared" si="1073"/>
        <v>0.84132469953303946</v>
      </c>
      <c r="CQ121" s="50">
        <f t="shared" si="1073"/>
        <v>0.82065649479081526</v>
      </c>
      <c r="CR121" s="50">
        <f t="shared" si="1073"/>
        <v>0.80597678248965465</v>
      </c>
      <c r="CS121" s="50">
        <f t="shared" si="1073"/>
        <v>0.78817301962129216</v>
      </c>
      <c r="CT121" s="50">
        <f t="shared" si="1073"/>
        <v>0.76987966034662836</v>
      </c>
      <c r="CU121" s="50">
        <f t="shared" si="1073"/>
        <v>0.75410959192426841</v>
      </c>
      <c r="CV121" s="50">
        <f t="shared" si="1073"/>
        <v>0.740477188310663</v>
      </c>
      <c r="CW121" s="50">
        <f t="shared" si="1073"/>
        <v>0.72395068191108225</v>
      </c>
      <c r="CX121" s="50">
        <f t="shared" si="1073"/>
        <v>0.7069777653742908</v>
      </c>
      <c r="CY121" s="50">
        <f t="shared" si="1073"/>
        <v>0.6923525588051318</v>
      </c>
      <c r="CZ121" s="50">
        <f t="shared" si="1073"/>
        <v>0.67971471607747769</v>
      </c>
      <c r="DA121" s="50">
        <f t="shared" si="1073"/>
        <v>0.66439998543373469</v>
      </c>
      <c r="DB121" s="50">
        <f t="shared" si="1073"/>
        <v>0.6486785012623737</v>
      </c>
      <c r="DE121" s="106"/>
      <c r="DF121" s="162">
        <v>0.82927563684271932</v>
      </c>
    </row>
    <row r="122" spans="1:110" s="162" customFormat="1" x14ac:dyDescent="0.2">
      <c r="A122" s="162" t="s">
        <v>508</v>
      </c>
      <c r="E122" s="162" t="e">
        <f t="shared" ca="1" si="1070"/>
        <v>#DIV/0!</v>
      </c>
      <c r="F122" s="162" t="e">
        <f t="shared" ca="1" si="1070"/>
        <v>#DIV/0!</v>
      </c>
      <c r="G122" s="162" t="e">
        <f t="shared" ca="1" si="1070"/>
        <v>#DIV/0!</v>
      </c>
      <c r="H122" s="162" t="e">
        <f t="shared" ca="1" si="1070"/>
        <v>#DIV/0!</v>
      </c>
      <c r="I122" s="162" t="e">
        <f t="shared" ca="1" si="1070"/>
        <v>#DIV/0!</v>
      </c>
      <c r="J122" s="162" t="e">
        <f t="shared" ca="1" si="1070"/>
        <v>#DIV/0!</v>
      </c>
      <c r="K122" s="162">
        <f t="shared" ca="1" si="1070"/>
        <v>1.0109299723709315</v>
      </c>
      <c r="L122" s="162">
        <f t="shared" ca="1" si="1070"/>
        <v>1.6341928115261948</v>
      </c>
      <c r="M122" s="162">
        <f t="shared" ca="1" si="1070"/>
        <v>1.1168798543143883</v>
      </c>
      <c r="N122" s="162">
        <f t="shared" ca="1" si="1070"/>
        <v>0.82315895253021132</v>
      </c>
      <c r="O122" s="162">
        <f t="shared" ca="1" si="1070"/>
        <v>0.44629591417615733</v>
      </c>
      <c r="P122" s="162">
        <f t="shared" ca="1" si="1070"/>
        <v>0.45111862147341464</v>
      </c>
      <c r="Q122" s="162">
        <f t="shared" ca="1" si="1070"/>
        <v>0.35451309773067424</v>
      </c>
      <c r="R122" s="162">
        <f t="shared" ca="1" si="1070"/>
        <v>0.39549727533674317</v>
      </c>
      <c r="S122" s="162">
        <f t="shared" ca="1" si="1070"/>
        <v>0.68410838481216263</v>
      </c>
      <c r="T122" s="162">
        <f t="shared" ca="1" si="1070"/>
        <v>0.36073136278202683</v>
      </c>
      <c r="U122" s="162">
        <f t="shared" ca="1" si="1070"/>
        <v>0.28243073076022263</v>
      </c>
      <c r="V122" s="162">
        <f t="shared" ca="1" si="1070"/>
        <v>0.26266932334654564</v>
      </c>
      <c r="W122" s="162">
        <f t="shared" ca="1" si="1070"/>
        <v>0.35501272778916593</v>
      </c>
      <c r="X122" s="162">
        <f t="shared" ca="1" si="1070"/>
        <v>0.32148458695500109</v>
      </c>
      <c r="Y122" s="162">
        <f t="shared" ca="1" si="1070"/>
        <v>0.851794373083129</v>
      </c>
      <c r="Z122" s="162">
        <f t="shared" ref="Z122:AA123" ca="1" si="1075">+Z97/Z$118</f>
        <v>1.1785170425845162</v>
      </c>
      <c r="AA122" s="162">
        <f t="shared" ca="1" si="1075"/>
        <v>1.1785170425845162</v>
      </c>
      <c r="AB122" s="94">
        <f t="shared" ca="1" si="1070"/>
        <v>0.95457714469106036</v>
      </c>
      <c r="AC122" s="94">
        <f t="shared" ca="1" si="1070"/>
        <v>1.0716016893263181</v>
      </c>
      <c r="AD122" s="94">
        <f t="shared" ca="1" si="1070"/>
        <v>1.1390811692344933</v>
      </c>
      <c r="AE122" s="94">
        <f t="shared" ca="1" si="1070"/>
        <v>1.2154419700050296</v>
      </c>
      <c r="AL122" s="162">
        <f t="shared" ref="AL122:BQ122" si="1076">+AL97/AL118</f>
        <v>0.77691930602327475</v>
      </c>
      <c r="AM122" s="162">
        <f t="shared" si="1076"/>
        <v>0.53553573810923183</v>
      </c>
      <c r="AN122" s="162">
        <f t="shared" si="1076"/>
        <v>0.39663882510896631</v>
      </c>
      <c r="AO122" s="162">
        <f t="shared" si="1076"/>
        <v>0.33777199146326237</v>
      </c>
      <c r="AP122" s="162">
        <f t="shared" si="1076"/>
        <v>0.36736263496920823</v>
      </c>
      <c r="AQ122" s="162">
        <f t="shared" si="1076"/>
        <v>0.56247237075014</v>
      </c>
      <c r="AR122" s="162">
        <f t="shared" si="1076"/>
        <v>0.54092652254533313</v>
      </c>
      <c r="AS122" s="162">
        <f t="shared" si="1076"/>
        <v>0.62955755733289809</v>
      </c>
      <c r="AT122" s="162">
        <f t="shared" si="1076"/>
        <v>0.46664254355672735</v>
      </c>
      <c r="AU122" s="162">
        <f t="shared" si="1076"/>
        <v>0.31790267014067047</v>
      </c>
      <c r="AV122" s="162">
        <f t="shared" si="1076"/>
        <v>0.37331706450113478</v>
      </c>
      <c r="AW122" s="162">
        <f t="shared" si="1076"/>
        <v>0.35329080017642356</v>
      </c>
      <c r="AX122" s="162">
        <f t="shared" si="1076"/>
        <v>0.32890781563126259</v>
      </c>
      <c r="AY122" s="162">
        <f t="shared" si="1076"/>
        <v>0.31095816133771775</v>
      </c>
      <c r="AZ122" s="162">
        <f t="shared" si="1076"/>
        <v>0.33449344169952522</v>
      </c>
      <c r="BA122" s="162">
        <f t="shared" si="1076"/>
        <v>0.35937957223803574</v>
      </c>
      <c r="BB122" s="162">
        <f t="shared" si="1076"/>
        <v>0.47170552541549426</v>
      </c>
      <c r="BC122" s="162">
        <f t="shared" si="1076"/>
        <v>0.48798682734082827</v>
      </c>
      <c r="BD122" s="162">
        <f t="shared" si="1076"/>
        <v>0.65818738034981816</v>
      </c>
      <c r="BE122" s="162">
        <f t="shared" si="1076"/>
        <v>0.69054978095568498</v>
      </c>
      <c r="BF122" s="162">
        <f t="shared" si="1076"/>
        <v>0.79248538461643214</v>
      </c>
      <c r="BG122" s="162">
        <f t="shared" si="1076"/>
        <v>0.50507941368492215</v>
      </c>
      <c r="BH122" s="162">
        <f t="shared" si="1076"/>
        <v>0.3168615891607679</v>
      </c>
      <c r="BI122" s="162">
        <f t="shared" si="1076"/>
        <v>0.25998829515077121</v>
      </c>
      <c r="BJ122" s="162">
        <f t="shared" si="1076"/>
        <v>0.25662860031360901</v>
      </c>
      <c r="BK122" s="162">
        <f t="shared" si="1076"/>
        <v>0.23880241986162096</v>
      </c>
      <c r="BL122" s="162">
        <f t="shared" si="1076"/>
        <v>0.23321623570619143</v>
      </c>
      <c r="BM122" s="162">
        <f t="shared" si="1076"/>
        <v>0.24421039001611367</v>
      </c>
      <c r="BN122" s="162">
        <f t="shared" si="1076"/>
        <v>0.28243065302948989</v>
      </c>
      <c r="BO122" s="162">
        <f t="shared" si="1076"/>
        <v>0.19977779671092127</v>
      </c>
      <c r="BP122" s="162">
        <f t="shared" si="1076"/>
        <v>0.24181172443735424</v>
      </c>
      <c r="BQ122" s="162">
        <f t="shared" si="1076"/>
        <v>0.26774392918377926</v>
      </c>
      <c r="BR122" s="162">
        <f t="shared" ref="BR122:CJ122" si="1077">+BR97/BR118</f>
        <v>0.26266921989114411</v>
      </c>
      <c r="BS122" s="162">
        <f t="shared" si="1077"/>
        <v>0.32142965118476247</v>
      </c>
      <c r="BT122" s="162">
        <f t="shared" si="1077"/>
        <v>0.37750719454086479</v>
      </c>
      <c r="BU122" s="162">
        <f t="shared" si="1077"/>
        <v>0.31201081497852795</v>
      </c>
      <c r="BV122" s="162">
        <f t="shared" si="1077"/>
        <v>0.28696764352456905</v>
      </c>
      <c r="BW122" s="162">
        <f t="shared" si="1077"/>
        <v>0.235230454718869</v>
      </c>
      <c r="BX122" s="162">
        <f t="shared" si="1077"/>
        <v>0.19895209840965167</v>
      </c>
      <c r="BY122" s="162">
        <f t="shared" si="1077"/>
        <v>0.20702554887006702</v>
      </c>
      <c r="BZ122" s="162">
        <f t="shared" si="1077"/>
        <v>0.32148852548012219</v>
      </c>
      <c r="CA122" s="162">
        <f t="shared" si="1077"/>
        <v>0.44969598064659227</v>
      </c>
      <c r="CB122" s="162">
        <f t="shared" si="1077"/>
        <v>0.61815526243826791</v>
      </c>
      <c r="CC122" s="162">
        <f t="shared" si="1077"/>
        <v>0.79464447733706811</v>
      </c>
      <c r="CD122" s="162">
        <f t="shared" si="1077"/>
        <v>0.8517943771474813</v>
      </c>
      <c r="CE122" s="162">
        <f t="shared" si="1077"/>
        <v>0.88998227961212928</v>
      </c>
      <c r="CF122" s="162">
        <f t="shared" si="1077"/>
        <v>1.1254501036251434</v>
      </c>
      <c r="CG122" s="162">
        <f t="shared" si="1077"/>
        <v>1.1574798443566559</v>
      </c>
      <c r="CH122" s="162">
        <f t="shared" si="1077"/>
        <v>0.88530797848565157</v>
      </c>
      <c r="CI122" s="162">
        <f t="shared" si="1077"/>
        <v>0.88811929616225493</v>
      </c>
      <c r="CJ122" s="162">
        <f t="shared" si="1077"/>
        <v>0.8403741219359987</v>
      </c>
      <c r="CK122" s="162">
        <f t="shared" ref="CK122:CL122" si="1078">+CK97/CK118</f>
        <v>0.74574591387066402</v>
      </c>
      <c r="CL122" s="162">
        <f t="shared" si="1078"/>
        <v>0.75456352188886733</v>
      </c>
      <c r="CM122" s="94">
        <f t="shared" ref="CM122:DB122" si="1079">+CL122</f>
        <v>0.75456352188886733</v>
      </c>
      <c r="CN122" s="94">
        <f t="shared" si="1079"/>
        <v>0.75456352188886733</v>
      </c>
      <c r="CO122" s="94">
        <f t="shared" si="1079"/>
        <v>0.75456352188886733</v>
      </c>
      <c r="CP122" s="94">
        <f t="shared" si="1079"/>
        <v>0.75456352188886733</v>
      </c>
      <c r="CQ122" s="94">
        <f t="shared" si="1079"/>
        <v>0.75456352188886733</v>
      </c>
      <c r="CR122" s="94">
        <f t="shared" si="1079"/>
        <v>0.75456352188886733</v>
      </c>
      <c r="CS122" s="94">
        <f t="shared" si="1079"/>
        <v>0.75456352188886733</v>
      </c>
      <c r="CT122" s="94">
        <f t="shared" si="1079"/>
        <v>0.75456352188886733</v>
      </c>
      <c r="CU122" s="94">
        <f t="shared" si="1079"/>
        <v>0.75456352188886733</v>
      </c>
      <c r="CV122" s="94">
        <f t="shared" si="1079"/>
        <v>0.75456352188886733</v>
      </c>
      <c r="CW122" s="94">
        <f t="shared" si="1079"/>
        <v>0.75456352188886733</v>
      </c>
      <c r="CX122" s="94">
        <f t="shared" si="1079"/>
        <v>0.75456352188886733</v>
      </c>
      <c r="CY122" s="94">
        <f t="shared" si="1079"/>
        <v>0.75456352188886733</v>
      </c>
      <c r="CZ122" s="94">
        <f t="shared" si="1079"/>
        <v>0.75456352188886733</v>
      </c>
      <c r="DA122" s="94">
        <f t="shared" si="1079"/>
        <v>0.75456352188886733</v>
      </c>
      <c r="DB122" s="94">
        <f t="shared" si="1079"/>
        <v>0.75456352188886733</v>
      </c>
      <c r="DE122" s="163"/>
      <c r="DF122" s="162">
        <v>1.1785170425845162</v>
      </c>
    </row>
    <row r="123" spans="1:110" s="162" customFormat="1" x14ac:dyDescent="0.2">
      <c r="A123" s="162" t="s">
        <v>509</v>
      </c>
      <c r="E123" s="162" t="e">
        <f t="shared" ca="1" si="1070"/>
        <v>#DIV/0!</v>
      </c>
      <c r="F123" s="162" t="e">
        <f t="shared" ca="1" si="1070"/>
        <v>#DIV/0!</v>
      </c>
      <c r="G123" s="162" t="e">
        <f t="shared" ca="1" si="1070"/>
        <v>#DIV/0!</v>
      </c>
      <c r="H123" s="162" t="e">
        <f t="shared" ca="1" si="1070"/>
        <v>#DIV/0!</v>
      </c>
      <c r="I123" s="162" t="e">
        <f t="shared" ca="1" si="1070"/>
        <v>#DIV/0!</v>
      </c>
      <c r="J123" s="162" t="e">
        <f t="shared" ca="1" si="1070"/>
        <v>#DIV/0!</v>
      </c>
      <c r="K123" s="162">
        <f t="shared" ca="1" si="1070"/>
        <v>0.15973413086572724</v>
      </c>
      <c r="L123" s="162">
        <f t="shared" ca="1" si="1070"/>
        <v>1.185208097096643</v>
      </c>
      <c r="M123" s="162">
        <f t="shared" ca="1" si="1070"/>
        <v>0.57737682769868781</v>
      </c>
      <c r="N123" s="162">
        <f t="shared" ca="1" si="1070"/>
        <v>0.36868445763627034</v>
      </c>
      <c r="O123" s="162">
        <f t="shared" ca="1" si="1070"/>
        <v>0.18207336003526761</v>
      </c>
      <c r="P123" s="162">
        <f t="shared" ca="1" si="1070"/>
        <v>0.20686009326630672</v>
      </c>
      <c r="Q123" s="162">
        <f t="shared" ca="1" si="1070"/>
        <v>0.14799053787000627</v>
      </c>
      <c r="R123" s="162">
        <f t="shared" ca="1" si="1070"/>
        <v>0.17411829731806303</v>
      </c>
      <c r="S123" s="162">
        <f t="shared" ca="1" si="1070"/>
        <v>0.27176393528527121</v>
      </c>
      <c r="T123" s="162">
        <f t="shared" ca="1" si="1070"/>
        <v>0.17838654077589625</v>
      </c>
      <c r="U123" s="162">
        <f t="shared" ca="1" si="1070"/>
        <v>0.1100022320390351</v>
      </c>
      <c r="V123" s="162">
        <f t="shared" ca="1" si="1070"/>
        <v>0.13133466167327282</v>
      </c>
      <c r="W123" s="162">
        <f t="shared" ca="1" si="1070"/>
        <v>0.16987232792620777</v>
      </c>
      <c r="X123" s="162">
        <f t="shared" ca="1" si="1070"/>
        <v>0.13439183122917103</v>
      </c>
      <c r="Y123" s="162">
        <f t="shared" ca="1" si="1070"/>
        <v>0.22145433145802648</v>
      </c>
      <c r="Z123" s="162">
        <f t="shared" ca="1" si="1075"/>
        <v>0.66824080843694134</v>
      </c>
      <c r="AA123" s="162">
        <f t="shared" ca="1" si="1075"/>
        <v>0.66824080843694134</v>
      </c>
      <c r="AB123" s="94">
        <f t="shared" ca="1" si="1070"/>
        <v>0.45975268401610964</v>
      </c>
      <c r="AC123" s="94">
        <f t="shared" ca="1" si="1070"/>
        <v>0.70398882443732602</v>
      </c>
      <c r="AD123" s="94">
        <f t="shared" ca="1" si="1070"/>
        <v>0.74321059804798739</v>
      </c>
      <c r="AE123" s="94">
        <f t="shared" ca="1" si="1070"/>
        <v>0.79049896886922133</v>
      </c>
      <c r="AL123" s="162">
        <f t="shared" ref="AL123:BQ123" si="1080">+AL98/AL118</f>
        <v>0.44298030606590222</v>
      </c>
      <c r="AM123" s="162">
        <f t="shared" si="1080"/>
        <v>0.28073832557502248</v>
      </c>
      <c r="AN123" s="162">
        <f t="shared" si="1080"/>
        <v>0.23580567014321291</v>
      </c>
      <c r="AO123" s="162">
        <f t="shared" si="1080"/>
        <v>0.26635021302827894</v>
      </c>
      <c r="AP123" s="162">
        <f t="shared" si="1080"/>
        <v>0.26841266773026667</v>
      </c>
      <c r="AQ123" s="162">
        <f t="shared" si="1080"/>
        <v>0.31144194876780429</v>
      </c>
      <c r="AR123" s="162">
        <f t="shared" si="1080"/>
        <v>0.39435110997966843</v>
      </c>
      <c r="AS123" s="162">
        <f t="shared" si="1080"/>
        <v>0.40502623507168312</v>
      </c>
      <c r="AT123" s="162">
        <f t="shared" si="1080"/>
        <v>0.270047768261995</v>
      </c>
      <c r="AU123" s="162">
        <f t="shared" si="1080"/>
        <v>0.21775906761646466</v>
      </c>
      <c r="AV123" s="162">
        <f t="shared" si="1080"/>
        <v>0.25572656057747523</v>
      </c>
      <c r="AW123" s="162">
        <f t="shared" si="1080"/>
        <v>0.28661405716960359</v>
      </c>
      <c r="AX123" s="162">
        <f t="shared" si="1080"/>
        <v>0.17860721442885774</v>
      </c>
      <c r="AY123" s="162">
        <f t="shared" si="1080"/>
        <v>0.21532174840831175</v>
      </c>
      <c r="AZ123" s="162">
        <f t="shared" si="1080"/>
        <v>0.2519887884375186</v>
      </c>
      <c r="BA123" s="162">
        <f t="shared" si="1080"/>
        <v>0.24747217585326278</v>
      </c>
      <c r="BB123" s="162">
        <f t="shared" si="1080"/>
        <v>0.29828834254404607</v>
      </c>
      <c r="BC123" s="162">
        <f t="shared" si="1080"/>
        <v>0.38204058058193702</v>
      </c>
      <c r="BD123" s="162">
        <f t="shared" si="1080"/>
        <v>0.44021971248783603</v>
      </c>
      <c r="BE123" s="162">
        <f t="shared" si="1080"/>
        <v>0.52199416682811517</v>
      </c>
      <c r="BF123" s="162">
        <f t="shared" si="1080"/>
        <v>0.4946502180902565</v>
      </c>
      <c r="BG123" s="162">
        <f t="shared" si="1080"/>
        <v>0.25217022665688321</v>
      </c>
      <c r="BH123" s="162">
        <f t="shared" si="1080"/>
        <v>0.21745403177699757</v>
      </c>
      <c r="BI123" s="162">
        <f t="shared" si="1080"/>
        <v>0.19409396744552326</v>
      </c>
      <c r="BJ123" s="162">
        <f t="shared" si="1080"/>
        <v>0.19553911859371134</v>
      </c>
      <c r="BK123" s="162">
        <f t="shared" si="1080"/>
        <v>0.18625043102475938</v>
      </c>
      <c r="BL123" s="162">
        <f t="shared" si="1080"/>
        <v>0.16628185845266305</v>
      </c>
      <c r="BM123" s="162">
        <f t="shared" si="1080"/>
        <v>0.18440644628235064</v>
      </c>
      <c r="BN123" s="162">
        <f t="shared" si="1080"/>
        <v>0.11000220176416355</v>
      </c>
      <c r="BO123" s="162">
        <f t="shared" si="1080"/>
        <v>0.13715152814950393</v>
      </c>
      <c r="BP123" s="162">
        <f t="shared" si="1080"/>
        <v>0.1754668521117517</v>
      </c>
      <c r="BQ123" s="162">
        <f t="shared" si="1080"/>
        <v>0.19026491670935231</v>
      </c>
      <c r="BR123" s="162">
        <f t="shared" ref="BR123:CJ123" si="1081">+BR98/BR118</f>
        <v>0.20614736150132601</v>
      </c>
      <c r="BS123" s="162">
        <f t="shared" si="1081"/>
        <v>0.18971599712784853</v>
      </c>
      <c r="BT123" s="162">
        <f t="shared" si="1081"/>
        <v>0.28201180872236631</v>
      </c>
      <c r="BU123" s="162">
        <f t="shared" si="1081"/>
        <v>0.22800321375922128</v>
      </c>
      <c r="BV123" s="162">
        <f t="shared" si="1081"/>
        <v>0.1929547833502025</v>
      </c>
      <c r="BW123" s="162">
        <f t="shared" si="1081"/>
        <v>0.17285525586484404</v>
      </c>
      <c r="BX123" s="162">
        <f t="shared" si="1081"/>
        <v>0.16433315110313873</v>
      </c>
      <c r="BY123" s="162">
        <f t="shared" si="1081"/>
        <v>0.14864357590485333</v>
      </c>
      <c r="BZ123" s="162">
        <f t="shared" si="1081"/>
        <v>0.18575290255962529</v>
      </c>
      <c r="CA123" s="162">
        <f t="shared" si="1081"/>
        <v>0.24687356880050254</v>
      </c>
      <c r="CB123" s="162">
        <f t="shared" si="1081"/>
        <v>0.40667485228065614</v>
      </c>
      <c r="CC123" s="162">
        <f t="shared" si="1081"/>
        <v>0.50885331857830507</v>
      </c>
      <c r="CD123" s="162">
        <f t="shared" si="1081"/>
        <v>0.57793249160570648</v>
      </c>
      <c r="CE123" s="162">
        <f t="shared" si="1081"/>
        <v>0.65485611929323218</v>
      </c>
      <c r="CF123" s="162">
        <f t="shared" si="1081"/>
        <v>0.77892994014055983</v>
      </c>
      <c r="CG123" s="162">
        <f t="shared" si="1081"/>
        <v>0.84477785175593867</v>
      </c>
      <c r="CH123" s="162">
        <f t="shared" si="1081"/>
        <v>0.66824096243246767</v>
      </c>
      <c r="CI123" s="162">
        <f t="shared" si="1081"/>
        <v>0.63951632807646153</v>
      </c>
      <c r="CJ123" s="162">
        <f t="shared" si="1081"/>
        <v>0.67291696738117324</v>
      </c>
      <c r="CK123" s="162">
        <f t="shared" ref="CK123:CL123" si="1082">+CK98/CK118</f>
        <v>0.5351207213348278</v>
      </c>
      <c r="CL123" s="162">
        <f t="shared" si="1082"/>
        <v>0.55069021417510988</v>
      </c>
      <c r="CM123" s="94">
        <f t="shared" ref="CM123:DB123" si="1083">+CL123</f>
        <v>0.55069021417510988</v>
      </c>
      <c r="CN123" s="94">
        <f t="shared" si="1083"/>
        <v>0.55069021417510988</v>
      </c>
      <c r="CO123" s="94">
        <f t="shared" si="1083"/>
        <v>0.55069021417510988</v>
      </c>
      <c r="CP123" s="94">
        <f t="shared" si="1083"/>
        <v>0.55069021417510988</v>
      </c>
      <c r="CQ123" s="94">
        <f t="shared" si="1083"/>
        <v>0.55069021417510988</v>
      </c>
      <c r="CR123" s="94">
        <f t="shared" si="1083"/>
        <v>0.55069021417510988</v>
      </c>
      <c r="CS123" s="94">
        <f t="shared" si="1083"/>
        <v>0.55069021417510988</v>
      </c>
      <c r="CT123" s="94">
        <f t="shared" si="1083"/>
        <v>0.55069021417510988</v>
      </c>
      <c r="CU123" s="94">
        <f t="shared" si="1083"/>
        <v>0.55069021417510988</v>
      </c>
      <c r="CV123" s="94">
        <f t="shared" si="1083"/>
        <v>0.55069021417510988</v>
      </c>
      <c r="CW123" s="94">
        <f t="shared" si="1083"/>
        <v>0.55069021417510988</v>
      </c>
      <c r="CX123" s="94">
        <f t="shared" si="1083"/>
        <v>0.55069021417510988</v>
      </c>
      <c r="CY123" s="94">
        <f t="shared" si="1083"/>
        <v>0.55069021417510988</v>
      </c>
      <c r="CZ123" s="94">
        <f t="shared" si="1083"/>
        <v>0.55069021417510988</v>
      </c>
      <c r="DA123" s="94">
        <f t="shared" si="1083"/>
        <v>0.55069021417510988</v>
      </c>
      <c r="DB123" s="94">
        <f t="shared" si="1083"/>
        <v>0.55069021417510988</v>
      </c>
      <c r="DE123" s="163"/>
      <c r="DF123" s="162">
        <v>0.66824080843694134</v>
      </c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161" customFormat="1" x14ac:dyDescent="0.2">
      <c r="A126" s="49" t="s">
        <v>340</v>
      </c>
      <c r="B126" s="161" t="e">
        <f t="shared" ref="B126:AE126" si="1084">+B97*B84</f>
        <v>#DIV/0!</v>
      </c>
      <c r="C126" s="161" t="e">
        <f t="shared" si="1084"/>
        <v>#DIV/0!</v>
      </c>
      <c r="D126" s="161" t="e">
        <f t="shared" si="1084"/>
        <v>#DIV/0!</v>
      </c>
      <c r="E126" s="161">
        <f t="shared" ca="1" si="1084"/>
        <v>0</v>
      </c>
      <c r="F126" s="161">
        <f t="shared" ca="1" si="1084"/>
        <v>0</v>
      </c>
      <c r="G126" s="161">
        <f t="shared" ca="1" si="1084"/>
        <v>0</v>
      </c>
      <c r="H126" s="161">
        <f t="shared" ca="1" si="1084"/>
        <v>0</v>
      </c>
      <c r="I126" s="161">
        <f t="shared" ca="1" si="1084"/>
        <v>0</v>
      </c>
      <c r="J126" s="161">
        <f t="shared" ca="1" si="1084"/>
        <v>0</v>
      </c>
      <c r="K126" s="161">
        <f t="shared" ca="1" si="1084"/>
        <v>7187.9800000000005</v>
      </c>
      <c r="L126" s="161">
        <f t="shared" ca="1" si="1084"/>
        <v>7494.9400000000005</v>
      </c>
      <c r="M126" s="161">
        <f t="shared" ca="1" si="1084"/>
        <v>6741.92875</v>
      </c>
      <c r="N126" s="161">
        <f t="shared" ca="1" si="1084"/>
        <v>5568.4462500000009</v>
      </c>
      <c r="O126" s="161">
        <f t="shared" ca="1" si="1084"/>
        <v>2970.4775000000004</v>
      </c>
      <c r="P126" s="161">
        <f t="shared" ca="1" si="1084"/>
        <v>3702.7049999999999</v>
      </c>
      <c r="Q126" s="161">
        <f t="shared" ca="1" si="1084"/>
        <v>2730.6650000000004</v>
      </c>
      <c r="R126" s="161">
        <f t="shared" ca="1" si="1084"/>
        <v>2796.2137500000003</v>
      </c>
      <c r="S126" s="161">
        <f t="shared" ca="1" si="1084"/>
        <v>5819.45</v>
      </c>
      <c r="T126" s="161">
        <f t="shared" ca="1" si="1084"/>
        <v>4370.9825000000001</v>
      </c>
      <c r="U126" s="161">
        <f t="shared" ca="1" si="1084"/>
        <v>3283.8325000000004</v>
      </c>
      <c r="V126" s="161">
        <f t="shared" ca="1" si="1084"/>
        <v>2801.0099999999998</v>
      </c>
      <c r="W126" s="161">
        <f t="shared" ca="1" si="1084"/>
        <v>4721.1087500000003</v>
      </c>
      <c r="X126" s="161">
        <f t="shared" ca="1" si="1084"/>
        <v>5744.3087500000001</v>
      </c>
      <c r="Y126" s="161">
        <f t="shared" ca="1" si="1084"/>
        <v>17851.642499999998</v>
      </c>
      <c r="Z126" s="161">
        <f t="shared" ca="1" si="1084"/>
        <v>24547.207500000004</v>
      </c>
      <c r="AA126" s="161">
        <f t="shared" ref="AA126" ca="1" si="1085">+AA97*AA84</f>
        <v>24547.207500000004</v>
      </c>
      <c r="AB126" s="21">
        <f t="shared" ca="1" si="1084"/>
        <v>17776.817995518773</v>
      </c>
      <c r="AC126" s="21">
        <f t="shared" ca="1" si="1084"/>
        <v>21808.067198947851</v>
      </c>
      <c r="AD126" s="21">
        <f t="shared" ca="1" si="1084"/>
        <v>25243.847633348403</v>
      </c>
      <c r="AE126" s="21">
        <f t="shared" ca="1" si="1084"/>
        <v>29356.978670461289</v>
      </c>
      <c r="AL126" s="161">
        <f t="shared" ref="AL126:BQ126" si="1086">+AL97*AL84</f>
        <v>4374.18</v>
      </c>
      <c r="AM126" s="161">
        <f t="shared" si="1086"/>
        <v>2970.4775000000004</v>
      </c>
      <c r="AN126" s="161">
        <f t="shared" si="1086"/>
        <v>2038.40625</v>
      </c>
      <c r="AO126" s="161">
        <f t="shared" si="1086"/>
        <v>1731.44625</v>
      </c>
      <c r="AP126" s="161">
        <f t="shared" si="1086"/>
        <v>2024.0174999999999</v>
      </c>
      <c r="AQ126" s="161">
        <f t="shared" si="1086"/>
        <v>3066.4025000000001</v>
      </c>
      <c r="AR126" s="161">
        <f t="shared" si="1086"/>
        <v>3144.74125</v>
      </c>
      <c r="AS126" s="161">
        <f t="shared" si="1086"/>
        <v>3702.7049999999999</v>
      </c>
      <c r="AT126" s="161">
        <f t="shared" si="1086"/>
        <v>3107.9700000000003</v>
      </c>
      <c r="AU126" s="161">
        <f t="shared" si="1086"/>
        <v>2385.335</v>
      </c>
      <c r="AV126" s="161">
        <f t="shared" si="1086"/>
        <v>2730.6650000000004</v>
      </c>
      <c r="AW126" s="161">
        <f t="shared" si="1086"/>
        <v>2354.9587500000002</v>
      </c>
      <c r="AX126" s="161">
        <f t="shared" si="1086"/>
        <v>2099.1587500000001</v>
      </c>
      <c r="AY126" s="161">
        <f t="shared" si="1086"/>
        <v>1777.8100000000002</v>
      </c>
      <c r="AZ126" s="161">
        <f t="shared" si="1086"/>
        <v>1912.105</v>
      </c>
      <c r="BA126" s="161">
        <f t="shared" si="1086"/>
        <v>2161.5099999999998</v>
      </c>
      <c r="BB126" s="161">
        <f t="shared" si="1086"/>
        <v>2796.2137500000003</v>
      </c>
      <c r="BC126" s="161">
        <f t="shared" si="1086"/>
        <v>2952.8912500000001</v>
      </c>
      <c r="BD126" s="161">
        <f t="shared" si="1086"/>
        <v>3929.7275000000004</v>
      </c>
      <c r="BE126" s="161">
        <f t="shared" si="1086"/>
        <v>4598.005000000001</v>
      </c>
      <c r="BF126" s="161">
        <f t="shared" si="1086"/>
        <v>5819.45</v>
      </c>
      <c r="BG126" s="161">
        <f t="shared" si="1086"/>
        <v>4370.9825000000001</v>
      </c>
      <c r="BH126" s="161">
        <f t="shared" si="1086"/>
        <v>3261.4500000000003</v>
      </c>
      <c r="BI126" s="161">
        <f t="shared" si="1086"/>
        <v>2895.3362499999998</v>
      </c>
      <c r="BJ126" s="161">
        <f t="shared" si="1086"/>
        <v>3109.5687500000004</v>
      </c>
      <c r="BK126" s="161">
        <f t="shared" si="1086"/>
        <v>2964.0825000000004</v>
      </c>
      <c r="BL126" s="161">
        <f t="shared" si="1086"/>
        <v>2829.7874999999999</v>
      </c>
      <c r="BM126" s="161">
        <f t="shared" si="1086"/>
        <v>2970.4775000000004</v>
      </c>
      <c r="BN126" s="161">
        <f t="shared" si="1086"/>
        <v>3283.8325000000004</v>
      </c>
      <c r="BO126" s="161">
        <f t="shared" si="1086"/>
        <v>2040.0050000000001</v>
      </c>
      <c r="BP126" s="161">
        <f t="shared" si="1086"/>
        <v>2394.9275000000002</v>
      </c>
      <c r="BQ126" s="161">
        <f t="shared" si="1086"/>
        <v>2618.7525000000005</v>
      </c>
      <c r="BR126" s="161">
        <f t="shared" ref="BR126:CJ126" si="1087">+BR97*BR84</f>
        <v>2801.0099999999998</v>
      </c>
      <c r="BS126" s="161">
        <f t="shared" si="1087"/>
        <v>3827.4075000000003</v>
      </c>
      <c r="BT126" s="161">
        <f t="shared" si="1087"/>
        <v>4721.1087500000003</v>
      </c>
      <c r="BU126" s="161">
        <f t="shared" si="1087"/>
        <v>4091.2012500000001</v>
      </c>
      <c r="BV126" s="161">
        <f t="shared" si="1087"/>
        <v>3816.2162499999999</v>
      </c>
      <c r="BW126" s="161">
        <f t="shared" si="1087"/>
        <v>3267.8450000000003</v>
      </c>
      <c r="BX126" s="161">
        <f t="shared" si="1087"/>
        <v>2976.8724999999999</v>
      </c>
      <c r="BY126" s="161">
        <f t="shared" si="1087"/>
        <v>3446.9050000000002</v>
      </c>
      <c r="BZ126" s="161">
        <f t="shared" si="1087"/>
        <v>5744.3087500000001</v>
      </c>
      <c r="CA126" s="161">
        <f t="shared" si="1087"/>
        <v>8454.19</v>
      </c>
      <c r="CB126" s="161">
        <f t="shared" si="1087"/>
        <v>12500.626249999999</v>
      </c>
      <c r="CC126" s="161">
        <f t="shared" si="1087"/>
        <v>16465.526250000003</v>
      </c>
      <c r="CD126" s="161">
        <f t="shared" si="1087"/>
        <v>17851.642499999998</v>
      </c>
      <c r="CE126" s="161">
        <f t="shared" si="1087"/>
        <v>19122.64875</v>
      </c>
      <c r="CF126" s="161">
        <f t="shared" si="1087"/>
        <v>24301</v>
      </c>
      <c r="CG126" s="161">
        <f t="shared" si="1087"/>
        <v>24547.207500000004</v>
      </c>
      <c r="CH126" s="161">
        <f t="shared" si="1087"/>
        <v>18439.982500000002</v>
      </c>
      <c r="CI126" s="161">
        <f t="shared" si="1087"/>
        <v>17739.73</v>
      </c>
      <c r="CJ126" s="161">
        <f t="shared" si="1087"/>
        <v>15661.355000000001</v>
      </c>
      <c r="CK126" s="161">
        <f t="shared" ref="CK126:CL126" si="1088">+CK97*CK84</f>
        <v>13653.325000000001</v>
      </c>
      <c r="CL126" s="161">
        <f t="shared" si="1088"/>
        <v>13503.042500000001</v>
      </c>
      <c r="CM126" s="21">
        <f t="shared" ref="CM126:DB126" si="1089">+CM97*CM84</f>
        <v>11731.558604572016</v>
      </c>
      <c r="CN126" s="21">
        <f t="shared" si="1089"/>
        <v>13070.741496057404</v>
      </c>
      <c r="CO126" s="21">
        <f t="shared" si="1089"/>
        <v>14387.124520866211</v>
      </c>
      <c r="CP126" s="21">
        <f t="shared" si="1089"/>
        <v>17776.817995518773</v>
      </c>
      <c r="CQ126" s="21">
        <f t="shared" si="1089"/>
        <v>19630.800029814949</v>
      </c>
      <c r="CR126" s="21">
        <f t="shared" si="1089"/>
        <v>20191.054832310401</v>
      </c>
      <c r="CS126" s="21">
        <f t="shared" si="1089"/>
        <v>20981.367162591989</v>
      </c>
      <c r="CT126" s="21">
        <f t="shared" si="1089"/>
        <v>21808.067198947851</v>
      </c>
      <c r="CU126" s="21">
        <f t="shared" si="1089"/>
        <v>22568.423294286018</v>
      </c>
      <c r="CV126" s="21">
        <f t="shared" si="1089"/>
        <v>23305.665177806583</v>
      </c>
      <c r="CW126" s="21">
        <f t="shared" si="1089"/>
        <v>24254.164973192565</v>
      </c>
      <c r="CX126" s="21">
        <f t="shared" si="1089"/>
        <v>25243.847633348403</v>
      </c>
      <c r="CY126" s="21">
        <f t="shared" si="1089"/>
        <v>26161.755549022331</v>
      </c>
      <c r="CZ126" s="21">
        <f t="shared" si="1089"/>
        <v>27055.489555925808</v>
      </c>
      <c r="DA126" s="21">
        <f t="shared" si="1089"/>
        <v>28182.908084815055</v>
      </c>
      <c r="DB126" s="21">
        <f t="shared" si="1089"/>
        <v>29356.978670461289</v>
      </c>
      <c r="DE126" s="22"/>
      <c r="DF126" s="161">
        <v>24547.207500000004</v>
      </c>
    </row>
    <row r="127" spans="1:110" s="161" customFormat="1" x14ac:dyDescent="0.2">
      <c r="A127" s="49" t="s">
        <v>341</v>
      </c>
      <c r="B127" s="161" t="e">
        <f t="shared" ref="B127:AE127" si="1090">+B98*B84</f>
        <v>#DIV/0!</v>
      </c>
      <c r="C127" s="161" t="e">
        <f t="shared" si="1090"/>
        <v>#DIV/0!</v>
      </c>
      <c r="D127" s="161" t="e">
        <f t="shared" si="1090"/>
        <v>#DIV/0!</v>
      </c>
      <c r="E127" s="161">
        <f t="shared" ca="1" si="1090"/>
        <v>0</v>
      </c>
      <c r="F127" s="161">
        <f t="shared" ca="1" si="1090"/>
        <v>0</v>
      </c>
      <c r="G127" s="161">
        <f t="shared" ca="1" si="1090"/>
        <v>0</v>
      </c>
      <c r="H127" s="161">
        <f t="shared" ca="1" si="1090"/>
        <v>0</v>
      </c>
      <c r="I127" s="161">
        <f t="shared" ca="1" si="1090"/>
        <v>0</v>
      </c>
      <c r="J127" s="161">
        <f t="shared" ca="1" si="1090"/>
        <v>0</v>
      </c>
      <c r="K127" s="161">
        <f t="shared" ca="1" si="1090"/>
        <v>1135.7520000000002</v>
      </c>
      <c r="L127" s="161">
        <f t="shared" ca="1" si="1090"/>
        <v>5435.75</v>
      </c>
      <c r="M127" s="161">
        <f t="shared" ca="1" si="1090"/>
        <v>3485.2750000000001</v>
      </c>
      <c r="N127" s="161">
        <f t="shared" ca="1" si="1090"/>
        <v>2494.0500000000002</v>
      </c>
      <c r="O127" s="161">
        <f t="shared" ca="1" si="1090"/>
        <v>1211.8525</v>
      </c>
      <c r="P127" s="161">
        <f t="shared" ca="1" si="1090"/>
        <v>1697.8725000000002</v>
      </c>
      <c r="Q127" s="161">
        <f t="shared" ca="1" si="1090"/>
        <v>1139.9087500000001</v>
      </c>
      <c r="R127" s="161">
        <f t="shared" ca="1" si="1090"/>
        <v>1231.0375000000001</v>
      </c>
      <c r="S127" s="161">
        <f t="shared" ca="1" si="1090"/>
        <v>2311.7925</v>
      </c>
      <c r="T127" s="161">
        <f t="shared" ca="1" si="1090"/>
        <v>2161.5099999999998</v>
      </c>
      <c r="U127" s="161">
        <f t="shared" ca="1" si="1090"/>
        <v>1279</v>
      </c>
      <c r="V127" s="161">
        <f t="shared" ca="1" si="1090"/>
        <v>1400.5049999999999</v>
      </c>
      <c r="W127" s="161">
        <f t="shared" ca="1" si="1090"/>
        <v>2259.0337500000005</v>
      </c>
      <c r="X127" s="161">
        <f t="shared" ca="1" si="1090"/>
        <v>2401.3224999999998</v>
      </c>
      <c r="Y127" s="161">
        <f t="shared" ca="1" si="1090"/>
        <v>4641.1712500000003</v>
      </c>
      <c r="Z127" s="161">
        <f t="shared" ca="1" si="1090"/>
        <v>13918.717500000001</v>
      </c>
      <c r="AA127" s="161">
        <f t="shared" ref="AA127" ca="1" si="1091">+AA98*AA84</f>
        <v>13918.717500000001</v>
      </c>
      <c r="AB127" s="21">
        <f t="shared" ca="1" si="1090"/>
        <v>8561.8431492519412</v>
      </c>
      <c r="AC127" s="21">
        <f t="shared" ca="1" si="1090"/>
        <v>14326.811672244772</v>
      </c>
      <c r="AD127" s="21">
        <f t="shared" ca="1" si="1090"/>
        <v>16470.727111766399</v>
      </c>
      <c r="AE127" s="21">
        <f t="shared" ca="1" si="1090"/>
        <v>19093.187450174479</v>
      </c>
      <c r="AL127" s="161">
        <f t="shared" ref="AL127:BQ127" si="1092">+AL98*AL84</f>
        <v>2494.0500000000002</v>
      </c>
      <c r="AM127" s="161">
        <f t="shared" si="1092"/>
        <v>1557.1825000000001</v>
      </c>
      <c r="AN127" s="161">
        <f t="shared" si="1092"/>
        <v>1211.8525</v>
      </c>
      <c r="AO127" s="161">
        <f t="shared" si="1092"/>
        <v>1365.3325000000002</v>
      </c>
      <c r="AP127" s="161">
        <f t="shared" si="1092"/>
        <v>1478.84375</v>
      </c>
      <c r="AQ127" s="161">
        <f t="shared" si="1092"/>
        <v>1697.8725000000002</v>
      </c>
      <c r="AR127" s="161">
        <f t="shared" si="1092"/>
        <v>2292.6075000000001</v>
      </c>
      <c r="AS127" s="161">
        <f t="shared" si="1092"/>
        <v>2382.1375000000003</v>
      </c>
      <c r="AT127" s="161">
        <f t="shared" si="1092"/>
        <v>1798.59375</v>
      </c>
      <c r="AU127" s="161">
        <f t="shared" si="1092"/>
        <v>1633.9225000000001</v>
      </c>
      <c r="AV127" s="161">
        <f t="shared" si="1092"/>
        <v>1870.5375000000001</v>
      </c>
      <c r="AW127" s="161">
        <f t="shared" si="1092"/>
        <v>1910.5062500000001</v>
      </c>
      <c r="AX127" s="161">
        <f t="shared" si="1092"/>
        <v>1139.9087500000001</v>
      </c>
      <c r="AY127" s="161">
        <f t="shared" si="1092"/>
        <v>1231.0375000000001</v>
      </c>
      <c r="AZ127" s="161">
        <f t="shared" si="1092"/>
        <v>1440.4737499999999</v>
      </c>
      <c r="BA127" s="161">
        <f t="shared" si="1092"/>
        <v>1488.43625</v>
      </c>
      <c r="BB127" s="161">
        <f t="shared" si="1092"/>
        <v>1768.2175</v>
      </c>
      <c r="BC127" s="161">
        <f t="shared" si="1092"/>
        <v>2311.7925</v>
      </c>
      <c r="BD127" s="161">
        <f t="shared" si="1092"/>
        <v>2628.3450000000003</v>
      </c>
      <c r="BE127" s="161">
        <f t="shared" si="1092"/>
        <v>3475.6825000000003</v>
      </c>
      <c r="BF127" s="161">
        <f t="shared" si="1092"/>
        <v>3632.36</v>
      </c>
      <c r="BG127" s="161">
        <f t="shared" si="1092"/>
        <v>2182.2937500000003</v>
      </c>
      <c r="BH127" s="161">
        <f t="shared" si="1092"/>
        <v>2238.25</v>
      </c>
      <c r="BI127" s="161">
        <f t="shared" si="1092"/>
        <v>2161.5099999999998</v>
      </c>
      <c r="BJ127" s="161">
        <f t="shared" si="1092"/>
        <v>2369.3474999999999</v>
      </c>
      <c r="BK127" s="161">
        <f t="shared" si="1092"/>
        <v>2311.7925</v>
      </c>
      <c r="BL127" s="161">
        <f t="shared" si="1092"/>
        <v>2017.6225000000002</v>
      </c>
      <c r="BM127" s="161">
        <f t="shared" si="1092"/>
        <v>2243.0462500000003</v>
      </c>
      <c r="BN127" s="161">
        <f t="shared" si="1092"/>
        <v>1279</v>
      </c>
      <c r="BO127" s="161">
        <f t="shared" si="1092"/>
        <v>1400.5049999999999</v>
      </c>
      <c r="BP127" s="161">
        <f t="shared" si="1092"/>
        <v>1737.8412500000002</v>
      </c>
      <c r="BQ127" s="161">
        <f t="shared" si="1092"/>
        <v>1860.9450000000002</v>
      </c>
      <c r="BR127" s="161">
        <f t="shared" ref="BR127:CJ127" si="1093">+BR98*BR84</f>
        <v>2198.28125</v>
      </c>
      <c r="BS127" s="161">
        <f t="shared" si="1093"/>
        <v>2259.0337500000005</v>
      </c>
      <c r="BT127" s="161">
        <f t="shared" si="1093"/>
        <v>3526.8425000000002</v>
      </c>
      <c r="BU127" s="161">
        <f t="shared" si="1093"/>
        <v>2989.6624999999999</v>
      </c>
      <c r="BV127" s="161">
        <f t="shared" si="1093"/>
        <v>2565.9937500000001</v>
      </c>
      <c r="BW127" s="161">
        <f t="shared" si="1093"/>
        <v>2401.3224999999998</v>
      </c>
      <c r="BX127" s="161">
        <f t="shared" si="1093"/>
        <v>2458.8775000000005</v>
      </c>
      <c r="BY127" s="161">
        <f t="shared" si="1093"/>
        <v>2474.8650000000002</v>
      </c>
      <c r="BZ127" s="161">
        <f t="shared" si="1093"/>
        <v>3319.0050000000001</v>
      </c>
      <c r="CA127" s="161">
        <f t="shared" si="1093"/>
        <v>4641.1712500000003</v>
      </c>
      <c r="CB127" s="161">
        <f t="shared" si="1093"/>
        <v>8223.9699999999993</v>
      </c>
      <c r="CC127" s="161">
        <f t="shared" si="1093"/>
        <v>10543.75625</v>
      </c>
      <c r="CD127" s="161">
        <f t="shared" si="1093"/>
        <v>12112.130000000001</v>
      </c>
      <c r="CE127" s="161">
        <f t="shared" si="1093"/>
        <v>14070.598750000001</v>
      </c>
      <c r="CF127" s="161">
        <f t="shared" si="1093"/>
        <v>16818.850000000002</v>
      </c>
      <c r="CG127" s="161">
        <f t="shared" si="1093"/>
        <v>17915.592499999999</v>
      </c>
      <c r="CH127" s="161">
        <f t="shared" si="1093"/>
        <v>13918.717500000001</v>
      </c>
      <c r="CI127" s="161">
        <f t="shared" si="1093"/>
        <v>12774.012500000001</v>
      </c>
      <c r="CJ127" s="161">
        <f t="shared" si="1093"/>
        <v>12540.594999999999</v>
      </c>
      <c r="CK127" s="161">
        <f t="shared" ref="CK127:CL127" si="1094">+CK98*CK84</f>
        <v>9797.14</v>
      </c>
      <c r="CL127" s="161">
        <f t="shared" si="1094"/>
        <v>9854.6949999999997</v>
      </c>
      <c r="CM127" s="21">
        <f t="shared" ref="CM127:DB127" si="1095">+CM98*CM84</f>
        <v>8561.8431492519412</v>
      </c>
      <c r="CN127" s="21">
        <f t="shared" si="1095"/>
        <v>9539.1961380177399</v>
      </c>
      <c r="CO127" s="21">
        <f t="shared" si="1095"/>
        <v>10499.909489298996</v>
      </c>
      <c r="CP127" s="21">
        <f t="shared" si="1095"/>
        <v>12973.751613115999</v>
      </c>
      <c r="CQ127" s="21">
        <f t="shared" si="1095"/>
        <v>14326.811672244772</v>
      </c>
      <c r="CR127" s="21">
        <f t="shared" si="1095"/>
        <v>14735.692870750807</v>
      </c>
      <c r="CS127" s="21">
        <f t="shared" si="1095"/>
        <v>15312.473027494318</v>
      </c>
      <c r="CT127" s="21">
        <f t="shared" si="1095"/>
        <v>15915.809402594665</v>
      </c>
      <c r="CU127" s="21">
        <f t="shared" si="1095"/>
        <v>16470.727111766399</v>
      </c>
      <c r="CV127" s="21">
        <f t="shared" si="1095"/>
        <v>17008.775770305441</v>
      </c>
      <c r="CW127" s="21">
        <f t="shared" si="1095"/>
        <v>17701.003184319081</v>
      </c>
      <c r="CX127" s="21">
        <f t="shared" si="1095"/>
        <v>18423.286385503143</v>
      </c>
      <c r="CY127" s="21">
        <f t="shared" si="1095"/>
        <v>19093.187450174479</v>
      </c>
      <c r="CZ127" s="21">
        <f t="shared" si="1095"/>
        <v>19745.446083675903</v>
      </c>
      <c r="DA127" s="21">
        <f t="shared" si="1095"/>
        <v>20568.250702675821</v>
      </c>
      <c r="DB127" s="21">
        <f t="shared" si="1095"/>
        <v>21425.102595870634</v>
      </c>
      <c r="DE127" s="22"/>
      <c r="DF127" s="161">
        <v>13918.717500000001</v>
      </c>
    </row>
    <row r="128" spans="1:110" s="161" customFormat="1" x14ac:dyDescent="0.2">
      <c r="A128" s="49" t="s">
        <v>80</v>
      </c>
      <c r="B128" s="161">
        <f>+B187</f>
        <v>0</v>
      </c>
      <c r="C128" s="161">
        <f t="shared" ref="C128:W128" si="1096">+C187</f>
        <v>0</v>
      </c>
      <c r="D128" s="161">
        <f t="shared" si="1096"/>
        <v>0</v>
      </c>
      <c r="E128" s="161">
        <f t="shared" si="1096"/>
        <v>0</v>
      </c>
      <c r="F128" s="161">
        <f t="shared" si="1096"/>
        <v>0</v>
      </c>
      <c r="G128" s="161">
        <f t="shared" si="1096"/>
        <v>0</v>
      </c>
      <c r="H128" s="161">
        <f t="shared" si="1096"/>
        <v>0</v>
      </c>
      <c r="I128" s="161">
        <f t="shared" si="1096"/>
        <v>0</v>
      </c>
      <c r="J128" s="161">
        <f t="shared" si="1096"/>
        <v>0</v>
      </c>
      <c r="K128" s="161">
        <f t="shared" si="1096"/>
        <v>481.50689999999997</v>
      </c>
      <c r="L128" s="161">
        <f t="shared" si="1096"/>
        <v>1886.1369</v>
      </c>
      <c r="M128" s="161">
        <f t="shared" si="1096"/>
        <v>3259.2406000000001</v>
      </c>
      <c r="N128" s="161">
        <f t="shared" si="1096"/>
        <v>4726.4374000000007</v>
      </c>
      <c r="O128" s="161">
        <f t="shared" si="1096"/>
        <v>5782.7256000000007</v>
      </c>
      <c r="P128" s="161">
        <f t="shared" si="1096"/>
        <v>7479.1841999999997</v>
      </c>
      <c r="Q128" s="161">
        <f t="shared" si="1096"/>
        <v>7211.4465</v>
      </c>
      <c r="R128" s="161">
        <f t="shared" si="1096"/>
        <v>6087.6342000000004</v>
      </c>
      <c r="S128" s="161">
        <f t="shared" si="1096"/>
        <v>6202.4672</v>
      </c>
      <c r="T128" s="161">
        <f t="shared" si="1096"/>
        <v>5481.9204</v>
      </c>
      <c r="U128" s="161">
        <f t="shared" si="1096"/>
        <v>5049.3806999999997</v>
      </c>
      <c r="V128" s="161">
        <f t="shared" si="1096"/>
        <v>4294.5379999999996</v>
      </c>
      <c r="W128" s="161">
        <f t="shared" si="1096"/>
        <v>5104.3298999999997</v>
      </c>
      <c r="X128" s="161">
        <f t="shared" ref="X128:Y128" si="1097">+X187</f>
        <v>4564.0542000000005</v>
      </c>
      <c r="Y128" s="161">
        <f t="shared" si="1097"/>
        <v>4688.1926000000003</v>
      </c>
      <c r="Z128" s="161">
        <f t="shared" ref="Z128:AA128" si="1098">+Z187</f>
        <v>3873.6775000000002</v>
      </c>
      <c r="AA128" s="161">
        <f t="shared" si="1098"/>
        <v>3484.7248999999997</v>
      </c>
      <c r="AB128" s="21">
        <f t="shared" ref="AB128:AD128" si="1099">+AB187</f>
        <v>2696.8071862222419</v>
      </c>
      <c r="AC128" s="21">
        <f t="shared" si="1099"/>
        <v>2327.1795142013816</v>
      </c>
      <c r="AD128" s="21">
        <f t="shared" si="1099"/>
        <v>1766.6872353177598</v>
      </c>
      <c r="AE128" s="21">
        <f t="shared" ref="AE128" si="1100">+AE187</f>
        <v>980.83841603627616</v>
      </c>
      <c r="AL128" s="161">
        <f t="shared" ref="AL128:AM128" si="1101">+AL187</f>
        <v>4513.3</v>
      </c>
      <c r="AM128" s="161">
        <f t="shared" si="1101"/>
        <v>5116.6842546960943</v>
      </c>
      <c r="AN128" s="161">
        <f t="shared" ref="AN128:AO128" si="1102">+AN187</f>
        <v>3601.29</v>
      </c>
      <c r="AO128" s="161">
        <f t="shared" si="1102"/>
        <v>4584.918872367597</v>
      </c>
      <c r="AP128" s="161">
        <f t="shared" ref="AP128:CD128" si="1103">+AP187</f>
        <v>5568.65</v>
      </c>
      <c r="AQ128" s="161">
        <f t="shared" si="1103"/>
        <v>5044.3207950395272</v>
      </c>
      <c r="AR128" s="161">
        <f t="shared" si="1103"/>
        <v>3433.9000000000005</v>
      </c>
      <c r="AS128" s="161">
        <f t="shared" si="1103"/>
        <v>3688.3700904886391</v>
      </c>
      <c r="AT128" s="161">
        <f t="shared" si="1103"/>
        <v>6982.0399999999991</v>
      </c>
      <c r="AU128" s="161">
        <f t="shared" si="1103"/>
        <v>6594.6579492349774</v>
      </c>
      <c r="AV128" s="161">
        <f t="shared" si="1103"/>
        <v>4490.1500000000005</v>
      </c>
      <c r="AW128" s="161">
        <f t="shared" si="1103"/>
        <v>3753.5685044310253</v>
      </c>
      <c r="AX128" s="161">
        <f t="shared" si="1103"/>
        <v>6643.79</v>
      </c>
      <c r="AY128" s="161">
        <f t="shared" si="1103"/>
        <v>5420.9323264921868</v>
      </c>
      <c r="AZ128" s="161">
        <f t="shared" si="1103"/>
        <v>3865.99</v>
      </c>
      <c r="BA128" s="161">
        <f t="shared" si="1103"/>
        <v>3699.1057993479963</v>
      </c>
      <c r="BB128" s="161">
        <f t="shared" si="1103"/>
        <v>5366.0099999999993</v>
      </c>
      <c r="BC128" s="161">
        <f t="shared" si="1103"/>
        <v>4610.0600395560241</v>
      </c>
      <c r="BD128" s="161">
        <f t="shared" si="1103"/>
        <v>4112.7299999999996</v>
      </c>
      <c r="BE128" s="161">
        <f t="shared" si="1103"/>
        <v>5754.8499193908528</v>
      </c>
      <c r="BF128" s="161">
        <f t="shared" si="1103"/>
        <v>5891.96</v>
      </c>
      <c r="BG128" s="161">
        <f t="shared" si="1103"/>
        <v>6272.9683538394538</v>
      </c>
      <c r="BH128" s="161">
        <f t="shared" si="1103"/>
        <v>3572.4199999999996</v>
      </c>
      <c r="BI128" s="161">
        <f t="shared" si="1103"/>
        <v>3431.6627438076844</v>
      </c>
      <c r="BJ128" s="161">
        <f t="shared" si="1103"/>
        <v>5083.7</v>
      </c>
      <c r="BK128" s="161">
        <f t="shared" si="1103"/>
        <v>4553.6084863770448</v>
      </c>
      <c r="BL128" s="161">
        <f t="shared" si="1103"/>
        <v>5071.26</v>
      </c>
      <c r="BM128" s="161">
        <f t="shared" si="1103"/>
        <v>5394.1111743778874</v>
      </c>
      <c r="BN128" s="161">
        <f t="shared" si="1103"/>
        <v>4565.76</v>
      </c>
      <c r="BO128" s="161">
        <f t="shared" si="1103"/>
        <v>3206.7324128754713</v>
      </c>
      <c r="BP128" s="161">
        <f t="shared" si="1103"/>
        <v>4610.74</v>
      </c>
      <c r="BQ128" s="161">
        <f t="shared" si="1103"/>
        <v>5229.970900131405</v>
      </c>
      <c r="BR128" s="161">
        <f t="shared" si="1103"/>
        <v>4294.54</v>
      </c>
      <c r="BS128" s="161">
        <f t="shared" si="1103"/>
        <v>3404.0276184309632</v>
      </c>
      <c r="BT128" s="161">
        <f t="shared" si="1103"/>
        <v>4781.25</v>
      </c>
      <c r="BU128" s="161">
        <f t="shared" si="1103"/>
        <v>5337.9010037404823</v>
      </c>
      <c r="BV128" s="161">
        <f t="shared" si="1103"/>
        <v>5104.33</v>
      </c>
      <c r="BW128" s="161">
        <f t="shared" si="1103"/>
        <v>4601.5121219174289</v>
      </c>
      <c r="BX128" s="161">
        <f t="shared" si="1103"/>
        <v>5567.11</v>
      </c>
      <c r="BY128" s="161">
        <f t="shared" si="1103"/>
        <v>6644.589531895318</v>
      </c>
      <c r="BZ128" s="161">
        <f t="shared" si="1103"/>
        <v>4564.05</v>
      </c>
      <c r="CA128" s="161">
        <f t="shared" si="1103"/>
        <v>3600.2217725405681</v>
      </c>
      <c r="CB128" s="161">
        <f t="shared" si="1103"/>
        <v>5664.07</v>
      </c>
      <c r="CC128" s="161">
        <f t="shared" si="1103"/>
        <v>5313.8736277171411</v>
      </c>
      <c r="CD128" s="161">
        <f t="shared" si="1103"/>
        <v>4688.1899999999996</v>
      </c>
      <c r="CE128" s="161">
        <f t="shared" ref="CE128:CF128" si="1104">+CE187</f>
        <v>3762.2595643262157</v>
      </c>
      <c r="CF128" s="161">
        <f t="shared" si="1104"/>
        <v>4583.7199999999993</v>
      </c>
      <c r="CG128" s="161">
        <f t="shared" ref="CG128:CH128" si="1105">+CG187</f>
        <v>3743.5983765739634</v>
      </c>
      <c r="CH128" s="161">
        <f t="shared" si="1105"/>
        <v>3873.6775000000002</v>
      </c>
      <c r="CI128" s="161">
        <f t="shared" ref="CI128:CJ128" si="1106">+CI187</f>
        <v>2253.3927959947196</v>
      </c>
      <c r="CJ128" s="161">
        <f t="shared" si="1106"/>
        <v>4767.03</v>
      </c>
      <c r="CK128" s="161">
        <f t="shared" ref="CK128:CL128" si="1107">+CK187</f>
        <v>5560.5018568121668</v>
      </c>
      <c r="CL128" s="161">
        <f t="shared" si="1107"/>
        <v>3484.7300000000005</v>
      </c>
      <c r="CM128" s="21">
        <f t="shared" ref="CM128:DB128" si="1108">+CM187</f>
        <v>2185.0737936327955</v>
      </c>
      <c r="CN128" s="21">
        <f t="shared" si="1108"/>
        <v>1711.771109771249</v>
      </c>
      <c r="CO128" s="21">
        <f t="shared" si="1108"/>
        <v>2547.1051255587972</v>
      </c>
      <c r="CP128" s="21">
        <f t="shared" si="1108"/>
        <v>2696.8071862222419</v>
      </c>
      <c r="CQ128" s="21">
        <f t="shared" si="1108"/>
        <v>1972.4140141101041</v>
      </c>
      <c r="CR128" s="21">
        <f t="shared" si="1108"/>
        <v>1315.3240374057364</v>
      </c>
      <c r="CS128" s="21">
        <f t="shared" si="1108"/>
        <v>2198.7681425857104</v>
      </c>
      <c r="CT128" s="21">
        <f t="shared" si="1108"/>
        <v>2327.1795142013816</v>
      </c>
      <c r="CU128" s="21">
        <f t="shared" si="1108"/>
        <v>1493.2248731215709</v>
      </c>
      <c r="CV128" s="21">
        <f t="shared" si="1108"/>
        <v>732.4182260452535</v>
      </c>
      <c r="CW128" s="21">
        <f t="shared" si="1108"/>
        <v>1665.2886771388935</v>
      </c>
      <c r="CX128" s="21">
        <f t="shared" si="1108"/>
        <v>1766.6872353177598</v>
      </c>
      <c r="CY128" s="21">
        <f t="shared" si="1108"/>
        <v>808.52115941212674</v>
      </c>
      <c r="CZ128" s="21">
        <f t="shared" si="1108"/>
        <v>-70.170934703308376</v>
      </c>
      <c r="DA128" s="21">
        <f t="shared" si="1108"/>
        <v>913.16550091185809</v>
      </c>
      <c r="DB128" s="21">
        <f t="shared" si="1108"/>
        <v>980.83841603627616</v>
      </c>
      <c r="DE128" s="22"/>
      <c r="DF128" s="161">
        <v>3484.7248999999997</v>
      </c>
    </row>
    <row r="129" spans="1:110" s="161" customFormat="1" x14ac:dyDescent="0.2">
      <c r="A129" s="49" t="s">
        <v>342</v>
      </c>
      <c r="B129" s="161" t="e">
        <f>+B126+B128</f>
        <v>#DIV/0!</v>
      </c>
      <c r="C129" s="161" t="e">
        <f t="shared" ref="C129:W129" si="1109">+C126+C128</f>
        <v>#DIV/0!</v>
      </c>
      <c r="D129" s="161" t="e">
        <f t="shared" si="1109"/>
        <v>#DIV/0!</v>
      </c>
      <c r="E129" s="161">
        <f t="shared" ca="1" si="1109"/>
        <v>0</v>
      </c>
      <c r="F129" s="161">
        <f t="shared" ca="1" si="1109"/>
        <v>0</v>
      </c>
      <c r="G129" s="161">
        <f t="shared" ca="1" si="1109"/>
        <v>0</v>
      </c>
      <c r="H129" s="161">
        <f t="shared" ca="1" si="1109"/>
        <v>0</v>
      </c>
      <c r="I129" s="161">
        <f t="shared" ca="1" si="1109"/>
        <v>0</v>
      </c>
      <c r="J129" s="161">
        <f t="shared" ca="1" si="1109"/>
        <v>0</v>
      </c>
      <c r="K129" s="161">
        <f t="shared" ca="1" si="1109"/>
        <v>7669.4869000000008</v>
      </c>
      <c r="L129" s="161">
        <f t="shared" ca="1" si="1109"/>
        <v>9381.0769</v>
      </c>
      <c r="M129" s="161">
        <f t="shared" ca="1" si="1109"/>
        <v>10001.16935</v>
      </c>
      <c r="N129" s="161">
        <f t="shared" ca="1" si="1109"/>
        <v>10294.883650000002</v>
      </c>
      <c r="O129" s="161">
        <f t="shared" ca="1" si="1109"/>
        <v>8753.2031000000006</v>
      </c>
      <c r="P129" s="161">
        <f t="shared" ca="1" si="1109"/>
        <v>11181.8892</v>
      </c>
      <c r="Q129" s="161">
        <f t="shared" ca="1" si="1109"/>
        <v>9942.1115000000009</v>
      </c>
      <c r="R129" s="161">
        <f t="shared" ca="1" si="1109"/>
        <v>8883.8479500000012</v>
      </c>
      <c r="S129" s="161">
        <f t="shared" ca="1" si="1109"/>
        <v>12021.9172</v>
      </c>
      <c r="T129" s="161">
        <f t="shared" ca="1" si="1109"/>
        <v>9852.902900000001</v>
      </c>
      <c r="U129" s="161">
        <f t="shared" ca="1" si="1109"/>
        <v>8333.2132000000001</v>
      </c>
      <c r="V129" s="161">
        <f t="shared" ca="1" si="1109"/>
        <v>7095.5479999999989</v>
      </c>
      <c r="W129" s="161">
        <f t="shared" ca="1" si="1109"/>
        <v>9825.4386500000001</v>
      </c>
      <c r="X129" s="161">
        <f t="shared" ref="X129:Y129" ca="1" si="1110">+X126+X128</f>
        <v>10308.362950000001</v>
      </c>
      <c r="Y129" s="161">
        <f t="shared" ca="1" si="1110"/>
        <v>22539.835099999997</v>
      </c>
      <c r="Z129" s="161">
        <f t="shared" ref="Z129:AA129" ca="1" si="1111">+Z126+Z128</f>
        <v>28420.885000000006</v>
      </c>
      <c r="AA129" s="161">
        <f t="shared" ca="1" si="1111"/>
        <v>28420.885000000006</v>
      </c>
      <c r="AB129" s="21">
        <f t="shared" ref="AB129:AD129" ca="1" si="1112">+AB126+AB128</f>
        <v>20473.625181741016</v>
      </c>
      <c r="AC129" s="21">
        <f t="shared" ca="1" si="1112"/>
        <v>24135.24671314923</v>
      </c>
      <c r="AD129" s="21">
        <f t="shared" ca="1" si="1112"/>
        <v>27010.534868666164</v>
      </c>
      <c r="AE129" s="21">
        <f t="shared" ref="AE129" ca="1" si="1113">+AE126+AE128</f>
        <v>30337.817086497565</v>
      </c>
      <c r="AL129" s="161">
        <f t="shared" ref="AL129" si="1114">+AL126+AL128</f>
        <v>8887.48</v>
      </c>
      <c r="AM129" s="161">
        <f t="shared" ref="AM129:AO129" si="1115">+AM126+AM128</f>
        <v>8087.1617546960952</v>
      </c>
      <c r="AN129" s="161">
        <f t="shared" si="1115"/>
        <v>5639.69625</v>
      </c>
      <c r="AO129" s="161">
        <f t="shared" si="1115"/>
        <v>6316.365122367597</v>
      </c>
      <c r="AP129" s="161">
        <f t="shared" ref="AP129:CD129" si="1116">+AP126+AP128</f>
        <v>7592.6674999999996</v>
      </c>
      <c r="AQ129" s="161">
        <f t="shared" si="1116"/>
        <v>8110.7232950395273</v>
      </c>
      <c r="AR129" s="161">
        <f t="shared" si="1116"/>
        <v>6578.6412500000006</v>
      </c>
      <c r="AS129" s="161">
        <f t="shared" si="1116"/>
        <v>7391.075090488639</v>
      </c>
      <c r="AT129" s="161">
        <f t="shared" si="1116"/>
        <v>10090.009999999998</v>
      </c>
      <c r="AU129" s="161">
        <f t="shared" si="1116"/>
        <v>8979.9929492349765</v>
      </c>
      <c r="AV129" s="161">
        <f t="shared" si="1116"/>
        <v>7220.8150000000005</v>
      </c>
      <c r="AW129" s="161">
        <f t="shared" si="1116"/>
        <v>6108.5272544310255</v>
      </c>
      <c r="AX129" s="161">
        <f t="shared" si="1116"/>
        <v>8742.9487499999996</v>
      </c>
      <c r="AY129" s="161">
        <f t="shared" si="1116"/>
        <v>7198.7423264921872</v>
      </c>
      <c r="AZ129" s="161">
        <f t="shared" si="1116"/>
        <v>5778.0949999999993</v>
      </c>
      <c r="BA129" s="161">
        <f t="shared" si="1116"/>
        <v>5860.6157993479956</v>
      </c>
      <c r="BB129" s="161">
        <f t="shared" si="1116"/>
        <v>8162.2237499999992</v>
      </c>
      <c r="BC129" s="161">
        <f t="shared" si="1116"/>
        <v>7562.9512895560238</v>
      </c>
      <c r="BD129" s="161">
        <f t="shared" si="1116"/>
        <v>8042.4575000000004</v>
      </c>
      <c r="BE129" s="161">
        <f t="shared" si="1116"/>
        <v>10352.854919390855</v>
      </c>
      <c r="BF129" s="161">
        <f t="shared" si="1116"/>
        <v>11711.41</v>
      </c>
      <c r="BG129" s="161">
        <f t="shared" si="1116"/>
        <v>10643.950853839455</v>
      </c>
      <c r="BH129" s="161">
        <f t="shared" si="1116"/>
        <v>6833.87</v>
      </c>
      <c r="BI129" s="161">
        <f t="shared" si="1116"/>
        <v>6326.9989938076842</v>
      </c>
      <c r="BJ129" s="161">
        <f t="shared" si="1116"/>
        <v>8193.2687499999993</v>
      </c>
      <c r="BK129" s="161">
        <f t="shared" si="1116"/>
        <v>7517.6909863770452</v>
      </c>
      <c r="BL129" s="161">
        <f t="shared" si="1116"/>
        <v>7901.0475000000006</v>
      </c>
      <c r="BM129" s="161">
        <f t="shared" si="1116"/>
        <v>8364.5886743778883</v>
      </c>
      <c r="BN129" s="161">
        <f t="shared" si="1116"/>
        <v>7849.5925000000007</v>
      </c>
      <c r="BO129" s="161">
        <f t="shared" si="1116"/>
        <v>5246.7374128754709</v>
      </c>
      <c r="BP129" s="161">
        <f t="shared" si="1116"/>
        <v>7005.6674999999996</v>
      </c>
      <c r="BQ129" s="161">
        <f t="shared" si="1116"/>
        <v>7848.7234001314055</v>
      </c>
      <c r="BR129" s="161">
        <f t="shared" si="1116"/>
        <v>7095.5499999999993</v>
      </c>
      <c r="BS129" s="161">
        <f t="shared" si="1116"/>
        <v>7231.4351184309635</v>
      </c>
      <c r="BT129" s="161">
        <f t="shared" si="1116"/>
        <v>9502.3587499999994</v>
      </c>
      <c r="BU129" s="161">
        <f t="shared" si="1116"/>
        <v>9429.1022537404824</v>
      </c>
      <c r="BV129" s="161">
        <f t="shared" si="1116"/>
        <v>8920.5462499999994</v>
      </c>
      <c r="BW129" s="161">
        <f t="shared" si="1116"/>
        <v>7869.3571219174291</v>
      </c>
      <c r="BX129" s="161">
        <f t="shared" si="1116"/>
        <v>8543.9825000000001</v>
      </c>
      <c r="BY129" s="161">
        <f t="shared" si="1116"/>
        <v>10091.494531895318</v>
      </c>
      <c r="BZ129" s="161">
        <f t="shared" si="1116"/>
        <v>10308.358749999999</v>
      </c>
      <c r="CA129" s="161">
        <f t="shared" si="1116"/>
        <v>12054.411772540569</v>
      </c>
      <c r="CB129" s="161">
        <f t="shared" si="1116"/>
        <v>18164.696250000001</v>
      </c>
      <c r="CC129" s="161">
        <f t="shared" si="1116"/>
        <v>21779.399877717144</v>
      </c>
      <c r="CD129" s="161">
        <f t="shared" si="1116"/>
        <v>22539.832499999997</v>
      </c>
      <c r="CE129" s="161">
        <f t="shared" ref="CE129:CF129" si="1117">+CE126+CE128</f>
        <v>22884.908314326218</v>
      </c>
      <c r="CF129" s="161">
        <f t="shared" si="1117"/>
        <v>28884.720000000001</v>
      </c>
      <c r="CG129" s="161">
        <f t="shared" ref="CG129:CH129" si="1118">+CG126+CG128</f>
        <v>28290.805876573966</v>
      </c>
      <c r="CH129" s="161">
        <f t="shared" si="1118"/>
        <v>22313.660000000003</v>
      </c>
      <c r="CI129" s="161">
        <f t="shared" ref="CI129:CJ129" si="1119">+CI126+CI128</f>
        <v>19993.122795994721</v>
      </c>
      <c r="CJ129" s="161">
        <f t="shared" si="1119"/>
        <v>20428.385000000002</v>
      </c>
      <c r="CK129" s="161">
        <f t="shared" ref="CK129:CL129" si="1120">+CK126+CK128</f>
        <v>19213.826856812168</v>
      </c>
      <c r="CL129" s="161">
        <f t="shared" si="1120"/>
        <v>16987.772500000003</v>
      </c>
      <c r="CM129" s="21">
        <f t="shared" ref="CM129:DB129" si="1121">+CM126+CM128</f>
        <v>13916.632398204811</v>
      </c>
      <c r="CN129" s="21">
        <f t="shared" si="1121"/>
        <v>14782.512605828653</v>
      </c>
      <c r="CO129" s="21">
        <f t="shared" si="1121"/>
        <v>16934.22964642501</v>
      </c>
      <c r="CP129" s="21">
        <f t="shared" si="1121"/>
        <v>20473.625181741016</v>
      </c>
      <c r="CQ129" s="21">
        <f t="shared" si="1121"/>
        <v>21603.214043925054</v>
      </c>
      <c r="CR129" s="21">
        <f t="shared" si="1121"/>
        <v>21506.378869716136</v>
      </c>
      <c r="CS129" s="21">
        <f t="shared" si="1121"/>
        <v>23180.135305177701</v>
      </c>
      <c r="CT129" s="21">
        <f t="shared" si="1121"/>
        <v>24135.24671314923</v>
      </c>
      <c r="CU129" s="21">
        <f t="shared" si="1121"/>
        <v>24061.648167407588</v>
      </c>
      <c r="CV129" s="21">
        <f t="shared" si="1121"/>
        <v>24038.083403851837</v>
      </c>
      <c r="CW129" s="21">
        <f t="shared" si="1121"/>
        <v>25919.453650331459</v>
      </c>
      <c r="CX129" s="21">
        <f t="shared" si="1121"/>
        <v>27010.534868666164</v>
      </c>
      <c r="CY129" s="21">
        <f t="shared" si="1121"/>
        <v>26970.27670843446</v>
      </c>
      <c r="CZ129" s="21">
        <f t="shared" si="1121"/>
        <v>26985.318621222497</v>
      </c>
      <c r="DA129" s="21">
        <f t="shared" si="1121"/>
        <v>29096.073585726914</v>
      </c>
      <c r="DB129" s="21">
        <f t="shared" si="1121"/>
        <v>30337.817086497565</v>
      </c>
      <c r="DE129" s="22"/>
      <c r="DF129" s="161">
        <v>28420.885000000006</v>
      </c>
    </row>
    <row r="130" spans="1:110" s="161" customFormat="1" x14ac:dyDescent="0.2">
      <c r="A130" s="49" t="s">
        <v>345</v>
      </c>
      <c r="B130" s="161" t="e">
        <f>+B127+B128</f>
        <v>#DIV/0!</v>
      </c>
      <c r="C130" s="161" t="e">
        <f t="shared" ref="C130:W130" si="1122">+C127+C128</f>
        <v>#DIV/0!</v>
      </c>
      <c r="D130" s="161" t="e">
        <f t="shared" si="1122"/>
        <v>#DIV/0!</v>
      </c>
      <c r="E130" s="161">
        <f t="shared" ca="1" si="1122"/>
        <v>0</v>
      </c>
      <c r="F130" s="161">
        <f t="shared" ca="1" si="1122"/>
        <v>0</v>
      </c>
      <c r="G130" s="161">
        <f t="shared" ca="1" si="1122"/>
        <v>0</v>
      </c>
      <c r="H130" s="161">
        <f t="shared" ca="1" si="1122"/>
        <v>0</v>
      </c>
      <c r="I130" s="161">
        <f t="shared" ca="1" si="1122"/>
        <v>0</v>
      </c>
      <c r="J130" s="161">
        <f t="shared" ca="1" si="1122"/>
        <v>0</v>
      </c>
      <c r="K130" s="161">
        <f t="shared" ca="1" si="1122"/>
        <v>1617.2589000000003</v>
      </c>
      <c r="L130" s="161">
        <f t="shared" ca="1" si="1122"/>
        <v>7321.8868999999995</v>
      </c>
      <c r="M130" s="161">
        <f t="shared" ca="1" si="1122"/>
        <v>6744.5156000000006</v>
      </c>
      <c r="N130" s="161">
        <f t="shared" ca="1" si="1122"/>
        <v>7220.4874000000009</v>
      </c>
      <c r="O130" s="161">
        <f t="shared" ca="1" si="1122"/>
        <v>6994.5781000000006</v>
      </c>
      <c r="P130" s="161">
        <f t="shared" ca="1" si="1122"/>
        <v>9177.0566999999992</v>
      </c>
      <c r="Q130" s="161">
        <f t="shared" ca="1" si="1122"/>
        <v>8351.3552500000005</v>
      </c>
      <c r="R130" s="161">
        <f t="shared" ca="1" si="1122"/>
        <v>7318.6717000000008</v>
      </c>
      <c r="S130" s="161">
        <f t="shared" ca="1" si="1122"/>
        <v>8514.2597000000005</v>
      </c>
      <c r="T130" s="161">
        <f t="shared" ca="1" si="1122"/>
        <v>7643.4303999999993</v>
      </c>
      <c r="U130" s="161">
        <f t="shared" ca="1" si="1122"/>
        <v>6328.3806999999997</v>
      </c>
      <c r="V130" s="161">
        <f t="shared" ca="1" si="1122"/>
        <v>5695.0429999999997</v>
      </c>
      <c r="W130" s="161">
        <f t="shared" ca="1" si="1122"/>
        <v>7363.3636500000002</v>
      </c>
      <c r="X130" s="161">
        <f t="shared" ref="X130:Y130" ca="1" si="1123">+X127+X128</f>
        <v>6965.3767000000007</v>
      </c>
      <c r="Y130" s="161">
        <f t="shared" ca="1" si="1123"/>
        <v>9329.3638500000015</v>
      </c>
      <c r="Z130" s="161">
        <f t="shared" ref="Z130:AA130" ca="1" si="1124">+Z127+Z128</f>
        <v>17792.395</v>
      </c>
      <c r="AA130" s="161">
        <f t="shared" ca="1" si="1124"/>
        <v>17792.395</v>
      </c>
      <c r="AB130" s="21">
        <f t="shared" ref="AB130:AD130" ca="1" si="1125">+AB127+AB128</f>
        <v>11258.650335474184</v>
      </c>
      <c r="AC130" s="21">
        <f t="shared" ca="1" si="1125"/>
        <v>16653.991186446154</v>
      </c>
      <c r="AD130" s="21">
        <f t="shared" ca="1" si="1125"/>
        <v>18237.414347084159</v>
      </c>
      <c r="AE130" s="21">
        <f t="shared" ref="AE130" ca="1" si="1126">+AE127+AE128</f>
        <v>20074.025866210755</v>
      </c>
      <c r="AL130" s="161">
        <f t="shared" ref="AL130:AM130" si="1127">+AL127+AL128</f>
        <v>7007.35</v>
      </c>
      <c r="AM130" s="161">
        <f t="shared" si="1127"/>
        <v>6673.8667546960942</v>
      </c>
      <c r="AN130" s="161">
        <f t="shared" ref="AN130:AO130" si="1128">+AN127+AN128</f>
        <v>4813.1424999999999</v>
      </c>
      <c r="AO130" s="161">
        <f t="shared" si="1128"/>
        <v>5950.2513723675975</v>
      </c>
      <c r="AP130" s="161">
        <f t="shared" ref="AP130:CD130" si="1129">+AP127+AP128</f>
        <v>7047.4937499999996</v>
      </c>
      <c r="AQ130" s="161">
        <f t="shared" si="1129"/>
        <v>6742.1932950395276</v>
      </c>
      <c r="AR130" s="161">
        <f t="shared" si="1129"/>
        <v>5726.5075000000006</v>
      </c>
      <c r="AS130" s="161">
        <f t="shared" si="1129"/>
        <v>6070.5075904886398</v>
      </c>
      <c r="AT130" s="161">
        <f t="shared" si="1129"/>
        <v>8780.6337499999991</v>
      </c>
      <c r="AU130" s="161">
        <f t="shared" si="1129"/>
        <v>8228.580449234978</v>
      </c>
      <c r="AV130" s="161">
        <f t="shared" si="1129"/>
        <v>6360.6875000000009</v>
      </c>
      <c r="AW130" s="161">
        <f t="shared" si="1129"/>
        <v>5664.0747544310252</v>
      </c>
      <c r="AX130" s="161">
        <f t="shared" si="1129"/>
        <v>7783.6987499999996</v>
      </c>
      <c r="AY130" s="161">
        <f t="shared" si="1129"/>
        <v>6651.9698264921872</v>
      </c>
      <c r="AZ130" s="161">
        <f t="shared" si="1129"/>
        <v>5306.4637499999999</v>
      </c>
      <c r="BA130" s="161">
        <f t="shared" si="1129"/>
        <v>5187.542049347996</v>
      </c>
      <c r="BB130" s="161">
        <f t="shared" si="1129"/>
        <v>7134.2274999999991</v>
      </c>
      <c r="BC130" s="161">
        <f t="shared" si="1129"/>
        <v>6921.8525395560246</v>
      </c>
      <c r="BD130" s="161">
        <f t="shared" si="1129"/>
        <v>6741.0749999999998</v>
      </c>
      <c r="BE130" s="161">
        <f t="shared" si="1129"/>
        <v>9230.5324193908527</v>
      </c>
      <c r="BF130" s="161">
        <f t="shared" si="1129"/>
        <v>9524.32</v>
      </c>
      <c r="BG130" s="161">
        <f t="shared" si="1129"/>
        <v>8455.2621038394536</v>
      </c>
      <c r="BH130" s="161">
        <f t="shared" si="1129"/>
        <v>5810.67</v>
      </c>
      <c r="BI130" s="161">
        <f t="shared" si="1129"/>
        <v>5593.1727438076841</v>
      </c>
      <c r="BJ130" s="161">
        <f t="shared" si="1129"/>
        <v>7453.0474999999997</v>
      </c>
      <c r="BK130" s="161">
        <f t="shared" si="1129"/>
        <v>6865.4009863770443</v>
      </c>
      <c r="BL130" s="161">
        <f t="shared" si="1129"/>
        <v>7088.8825000000006</v>
      </c>
      <c r="BM130" s="161">
        <f t="shared" si="1129"/>
        <v>7637.1574243778878</v>
      </c>
      <c r="BN130" s="161">
        <f t="shared" si="1129"/>
        <v>5844.76</v>
      </c>
      <c r="BO130" s="161">
        <f t="shared" si="1129"/>
        <v>4607.2374128754709</v>
      </c>
      <c r="BP130" s="161">
        <f t="shared" si="1129"/>
        <v>6348.5812500000002</v>
      </c>
      <c r="BQ130" s="161">
        <f t="shared" si="1129"/>
        <v>7090.9159001314056</v>
      </c>
      <c r="BR130" s="161">
        <f t="shared" si="1129"/>
        <v>6492.82125</v>
      </c>
      <c r="BS130" s="161">
        <f t="shared" si="1129"/>
        <v>5663.0613684309637</v>
      </c>
      <c r="BT130" s="161">
        <f t="shared" si="1129"/>
        <v>8308.0925000000007</v>
      </c>
      <c r="BU130" s="161">
        <f t="shared" si="1129"/>
        <v>8327.5635037404827</v>
      </c>
      <c r="BV130" s="161">
        <f t="shared" si="1129"/>
        <v>7670.3237499999996</v>
      </c>
      <c r="BW130" s="161">
        <f t="shared" si="1129"/>
        <v>7002.8346219174291</v>
      </c>
      <c r="BX130" s="161">
        <f t="shared" si="1129"/>
        <v>8025.9875000000002</v>
      </c>
      <c r="BY130" s="161">
        <f t="shared" si="1129"/>
        <v>9119.4545318953187</v>
      </c>
      <c r="BZ130" s="161">
        <f t="shared" si="1129"/>
        <v>7883.0550000000003</v>
      </c>
      <c r="CA130" s="161">
        <f t="shared" si="1129"/>
        <v>8241.3930225405675</v>
      </c>
      <c r="CB130" s="161">
        <f t="shared" si="1129"/>
        <v>13888.039999999999</v>
      </c>
      <c r="CC130" s="161">
        <f t="shared" si="1129"/>
        <v>15857.629877717141</v>
      </c>
      <c r="CD130" s="161">
        <f t="shared" si="1129"/>
        <v>16800.32</v>
      </c>
      <c r="CE130" s="161">
        <f t="shared" ref="CE130:CF130" si="1130">+CE127+CE128</f>
        <v>17832.858314326215</v>
      </c>
      <c r="CF130" s="161">
        <f t="shared" si="1130"/>
        <v>21402.57</v>
      </c>
      <c r="CG130" s="161">
        <f t="shared" ref="CG130:CH130" si="1131">+CG127+CG128</f>
        <v>21659.190876573961</v>
      </c>
      <c r="CH130" s="161">
        <f t="shared" si="1131"/>
        <v>17792.395</v>
      </c>
      <c r="CI130" s="161">
        <f t="shared" ref="CI130:CJ130" si="1132">+CI127+CI128</f>
        <v>15027.40529599472</v>
      </c>
      <c r="CJ130" s="161">
        <f t="shared" si="1132"/>
        <v>17307.625</v>
      </c>
      <c r="CK130" s="161">
        <f t="shared" ref="CK130:CL130" si="1133">+CK127+CK128</f>
        <v>15357.641856812166</v>
      </c>
      <c r="CL130" s="161">
        <f t="shared" si="1133"/>
        <v>13339.424999999999</v>
      </c>
      <c r="CM130" s="21">
        <f t="shared" ref="CM130:DB130" si="1134">+CM127+CM128</f>
        <v>10746.916942884736</v>
      </c>
      <c r="CN130" s="21">
        <f t="shared" si="1134"/>
        <v>11250.967247788989</v>
      </c>
      <c r="CO130" s="21">
        <f t="shared" si="1134"/>
        <v>13047.014614857793</v>
      </c>
      <c r="CP130" s="21">
        <f t="shared" si="1134"/>
        <v>15670.558799338241</v>
      </c>
      <c r="CQ130" s="21">
        <f t="shared" si="1134"/>
        <v>16299.225686354876</v>
      </c>
      <c r="CR130" s="21">
        <f t="shared" si="1134"/>
        <v>16051.016908156544</v>
      </c>
      <c r="CS130" s="21">
        <f t="shared" si="1134"/>
        <v>17511.241170080029</v>
      </c>
      <c r="CT130" s="21">
        <f t="shared" si="1134"/>
        <v>18242.988916796046</v>
      </c>
      <c r="CU130" s="21">
        <f t="shared" si="1134"/>
        <v>17963.951984887968</v>
      </c>
      <c r="CV130" s="21">
        <f t="shared" si="1134"/>
        <v>17741.193996350696</v>
      </c>
      <c r="CW130" s="21">
        <f t="shared" si="1134"/>
        <v>19366.291861457976</v>
      </c>
      <c r="CX130" s="21">
        <f t="shared" si="1134"/>
        <v>20189.973620820903</v>
      </c>
      <c r="CY130" s="21">
        <f t="shared" si="1134"/>
        <v>19901.708609586607</v>
      </c>
      <c r="CZ130" s="21">
        <f t="shared" si="1134"/>
        <v>19675.275148972592</v>
      </c>
      <c r="DA130" s="21">
        <f t="shared" si="1134"/>
        <v>21481.41620358768</v>
      </c>
      <c r="DB130" s="21">
        <f t="shared" si="1134"/>
        <v>22405.941011906911</v>
      </c>
      <c r="DE130" s="22"/>
      <c r="DF130" s="161">
        <v>17792.395</v>
      </c>
    </row>
    <row r="131" spans="1:110" s="161" customFormat="1" x14ac:dyDescent="0.2">
      <c r="A131" s="49" t="s">
        <v>13</v>
      </c>
      <c r="B131" s="161">
        <f t="shared" ref="B131:AE131" si="1135">+B47</f>
        <v>0</v>
      </c>
      <c r="C131" s="161">
        <f t="shared" si="1135"/>
        <v>0</v>
      </c>
      <c r="D131" s="161">
        <f t="shared" si="1135"/>
        <v>0</v>
      </c>
      <c r="E131" s="161">
        <f t="shared" si="1135"/>
        <v>0</v>
      </c>
      <c r="F131" s="161">
        <f t="shared" si="1135"/>
        <v>0</v>
      </c>
      <c r="G131" s="161">
        <f t="shared" si="1135"/>
        <v>0</v>
      </c>
      <c r="H131" s="161">
        <f t="shared" si="1135"/>
        <v>0</v>
      </c>
      <c r="I131" s="161">
        <f t="shared" si="1135"/>
        <v>0</v>
      </c>
      <c r="J131" s="161">
        <f t="shared" si="1135"/>
        <v>0</v>
      </c>
      <c r="K131" s="161">
        <f t="shared" si="1135"/>
        <v>1244.9928000000004</v>
      </c>
      <c r="L131" s="161">
        <f t="shared" si="1135"/>
        <v>861.4448000000009</v>
      </c>
      <c r="M131" s="161">
        <f t="shared" si="1135"/>
        <v>668.3866000000005</v>
      </c>
      <c r="N131" s="161">
        <f t="shared" si="1135"/>
        <v>603.67849999999976</v>
      </c>
      <c r="O131" s="161">
        <f t="shared" si="1135"/>
        <v>640.01150000000052</v>
      </c>
      <c r="P131" s="161">
        <f t="shared" si="1135"/>
        <v>808.32330000000184</v>
      </c>
      <c r="Q131" s="161">
        <f t="shared" si="1135"/>
        <v>670.43910000000142</v>
      </c>
      <c r="R131" s="161">
        <f t="shared" si="1135"/>
        <v>722.67210000000023</v>
      </c>
      <c r="S131" s="161">
        <f t="shared" si="1135"/>
        <v>995.95800000000054</v>
      </c>
      <c r="T131" s="161">
        <f t="shared" si="1135"/>
        <v>1431.9545999999987</v>
      </c>
      <c r="U131" s="161">
        <f t="shared" si="1135"/>
        <v>1463.9722999999999</v>
      </c>
      <c r="V131" s="161">
        <f t="shared" si="1135"/>
        <v>1184.9303999999993</v>
      </c>
      <c r="W131" s="161">
        <f t="shared" si="1135"/>
        <v>1355.3927999999987</v>
      </c>
      <c r="X131" s="161">
        <f t="shared" si="1135"/>
        <v>1604.2102999999979</v>
      </c>
      <c r="Y131" s="161">
        <f t="shared" si="1135"/>
        <v>3176.6821000000018</v>
      </c>
      <c r="Z131" s="161">
        <f t="shared" si="1135"/>
        <v>3338.1096999999991</v>
      </c>
      <c r="AA131" s="161">
        <f t="shared" ref="AA131" si="1136">+AA47</f>
        <v>2161.7327999999998</v>
      </c>
      <c r="AB131" s="21">
        <f t="shared" si="1135"/>
        <v>2480.6462242152456</v>
      </c>
      <c r="AC131" s="21">
        <f t="shared" si="1135"/>
        <v>2788.2961560538124</v>
      </c>
      <c r="AD131" s="21">
        <f t="shared" si="1135"/>
        <v>3036.3790810762302</v>
      </c>
      <c r="AE131" s="21">
        <f t="shared" si="1135"/>
        <v>3309.2702986008962</v>
      </c>
      <c r="AL131" s="161">
        <f t="shared" ref="AL131:BQ131" si="1137">+SUM(AI47:AL47)</f>
        <v>619.6099999999999</v>
      </c>
      <c r="AM131" s="161">
        <f t="shared" si="1137"/>
        <v>601.73000000000013</v>
      </c>
      <c r="AN131" s="161">
        <f t="shared" si="1137"/>
        <v>552.07999999999993</v>
      </c>
      <c r="AO131" s="161">
        <f t="shared" si="1137"/>
        <v>559.25</v>
      </c>
      <c r="AP131" s="161">
        <f t="shared" si="1137"/>
        <v>619.00000000000023</v>
      </c>
      <c r="AQ131" s="161">
        <f t="shared" si="1137"/>
        <v>638.48000000000025</v>
      </c>
      <c r="AR131" s="161">
        <f t="shared" si="1137"/>
        <v>699.69000000000028</v>
      </c>
      <c r="AS131" s="161">
        <f t="shared" si="1137"/>
        <v>772.46000000000015</v>
      </c>
      <c r="AT131" s="161">
        <f t="shared" si="1137"/>
        <v>837.64999999999986</v>
      </c>
      <c r="AU131" s="161">
        <f t="shared" si="1137"/>
        <v>960.05999999999983</v>
      </c>
      <c r="AV131" s="161">
        <f t="shared" si="1137"/>
        <v>918.88999999999987</v>
      </c>
      <c r="AW131" s="161">
        <f t="shared" si="1137"/>
        <v>863.31</v>
      </c>
      <c r="AX131" s="161">
        <f t="shared" si="1137"/>
        <v>950.44999999999982</v>
      </c>
      <c r="AY131" s="161">
        <f t="shared" si="1137"/>
        <v>911.72</v>
      </c>
      <c r="AZ131" s="161">
        <f t="shared" si="1137"/>
        <v>950.05000000000007</v>
      </c>
      <c r="BA131" s="161">
        <f t="shared" si="1137"/>
        <v>1002.3000000000003</v>
      </c>
      <c r="BB131" s="161">
        <f t="shared" si="1137"/>
        <v>955.9100000000002</v>
      </c>
      <c r="BC131" s="161">
        <f t="shared" si="1137"/>
        <v>880.29000000000042</v>
      </c>
      <c r="BD131" s="161">
        <f t="shared" si="1137"/>
        <v>894.18000000000029</v>
      </c>
      <c r="BE131" s="161">
        <f t="shared" si="1137"/>
        <v>911.50000000000023</v>
      </c>
      <c r="BF131" s="161">
        <f t="shared" si="1137"/>
        <v>1047.1100000000001</v>
      </c>
      <c r="BG131" s="161">
        <f t="shared" si="1137"/>
        <v>1232.4299999999998</v>
      </c>
      <c r="BH131" s="161">
        <f t="shared" si="1137"/>
        <v>1357.1499999999996</v>
      </c>
      <c r="BI131" s="161">
        <f t="shared" si="1137"/>
        <v>1471.1599999999996</v>
      </c>
      <c r="BJ131" s="161">
        <f t="shared" si="1137"/>
        <v>1475.0499999999995</v>
      </c>
      <c r="BK131" s="161">
        <f t="shared" si="1137"/>
        <v>1516.2199999999993</v>
      </c>
      <c r="BL131" s="161">
        <f t="shared" si="1137"/>
        <v>1512.6899999999994</v>
      </c>
      <c r="BM131" s="161">
        <f t="shared" si="1137"/>
        <v>1525.8299999999997</v>
      </c>
      <c r="BN131" s="161">
        <f t="shared" si="1137"/>
        <v>1512.3799999999997</v>
      </c>
      <c r="BO131" s="161">
        <f t="shared" si="1137"/>
        <v>1299.4299999999998</v>
      </c>
      <c r="BP131" s="161">
        <f t="shared" si="1137"/>
        <v>1234.0999999999999</v>
      </c>
      <c r="BQ131" s="161">
        <f t="shared" si="1137"/>
        <v>1162.7899999999995</v>
      </c>
      <c r="BR131" s="161">
        <f t="shared" ref="BR131:CW131" si="1138">+SUM(BO47:BR47)</f>
        <v>1243.0699999999993</v>
      </c>
      <c r="BS131" s="161">
        <f t="shared" si="1138"/>
        <v>1478.2999999999993</v>
      </c>
      <c r="BT131" s="161">
        <f t="shared" si="1138"/>
        <v>1580.119999999999</v>
      </c>
      <c r="BU131" s="161">
        <f t="shared" si="1138"/>
        <v>1476.3999999999996</v>
      </c>
      <c r="BV131" s="161">
        <f t="shared" si="1138"/>
        <v>1402.0299999999997</v>
      </c>
      <c r="BW131" s="161">
        <f t="shared" si="1138"/>
        <v>1221.8199999999997</v>
      </c>
      <c r="BX131" s="161">
        <f t="shared" si="1138"/>
        <v>1175.03</v>
      </c>
      <c r="BY131" s="161">
        <f t="shared" si="1138"/>
        <v>1465.5999999999992</v>
      </c>
      <c r="BZ131" s="161">
        <f t="shared" si="1138"/>
        <v>1664.9099999999996</v>
      </c>
      <c r="CA131" s="161">
        <f t="shared" si="1138"/>
        <v>2034.11</v>
      </c>
      <c r="CB131" s="161">
        <f t="shared" si="1138"/>
        <v>2506.7899999999995</v>
      </c>
      <c r="CC131" s="161">
        <f t="shared" si="1138"/>
        <v>3000.5600000000004</v>
      </c>
      <c r="CD131" s="161">
        <f t="shared" si="1138"/>
        <v>3320.9500000000007</v>
      </c>
      <c r="CE131" s="161">
        <f t="shared" si="1138"/>
        <v>3552.85</v>
      </c>
      <c r="CF131" s="161">
        <f t="shared" si="1138"/>
        <v>3662.9300000000003</v>
      </c>
      <c r="CG131" s="161">
        <f t="shared" si="1138"/>
        <v>3613.4000000000005</v>
      </c>
      <c r="CH131" s="161">
        <f t="shared" si="1138"/>
        <v>3429.25</v>
      </c>
      <c r="CI131" s="161">
        <f t="shared" si="1138"/>
        <v>3259.8000000000011</v>
      </c>
      <c r="CJ131" s="161">
        <f t="shared" si="1138"/>
        <v>2796.8100000000009</v>
      </c>
      <c r="CK131" s="161">
        <f t="shared" si="1138"/>
        <v>2470.0200000000013</v>
      </c>
      <c r="CL131" s="161">
        <f t="shared" si="1138"/>
        <v>2214.7400000000007</v>
      </c>
      <c r="CM131" s="21">
        <f t="shared" si="1138"/>
        <v>2069.4614977578476</v>
      </c>
      <c r="CN131" s="21">
        <f t="shared" si="1138"/>
        <v>2171.634107623318</v>
      </c>
      <c r="CO131" s="21">
        <f t="shared" si="1138"/>
        <v>2237.500789237667</v>
      </c>
      <c r="CP131" s="21">
        <f t="shared" si="1138"/>
        <v>2480.6462242152456</v>
      </c>
      <c r="CQ131" s="21">
        <f t="shared" si="1138"/>
        <v>2615.7747013452904</v>
      </c>
      <c r="CR131" s="21">
        <f t="shared" si="1138"/>
        <v>2663.4172896860973</v>
      </c>
      <c r="CS131" s="21">
        <f t="shared" si="1138"/>
        <v>2723.5802852017928</v>
      </c>
      <c r="CT131" s="21">
        <f t="shared" si="1138"/>
        <v>2788.2961560538106</v>
      </c>
      <c r="CU131" s="21">
        <f t="shared" si="1138"/>
        <v>2846.6054808968602</v>
      </c>
      <c r="CV131" s="21">
        <f t="shared" si="1138"/>
        <v>2899.012328071748</v>
      </c>
      <c r="CW131" s="21">
        <f t="shared" si="1138"/>
        <v>2965.1916231390128</v>
      </c>
      <c r="CX131" s="21">
        <f t="shared" ref="CX131:DB131" si="1139">+SUM(CU47:CX47)</f>
        <v>3036.3790810762325</v>
      </c>
      <c r="CY131" s="21">
        <f t="shared" si="1139"/>
        <v>3100.5193384035865</v>
      </c>
      <c r="CZ131" s="21">
        <f t="shared" si="1139"/>
        <v>3158.1668702959632</v>
      </c>
      <c r="DA131" s="21">
        <f t="shared" si="1139"/>
        <v>3230.9640948699548</v>
      </c>
      <c r="DB131" s="21">
        <f t="shared" si="1139"/>
        <v>3309.2702986008962</v>
      </c>
      <c r="DE131" s="22"/>
      <c r="DF131" s="161">
        <v>2161.7327999999998</v>
      </c>
    </row>
    <row r="132" spans="1:110" s="161" customFormat="1" x14ac:dyDescent="0.2">
      <c r="A132" s="49" t="s">
        <v>343</v>
      </c>
      <c r="B132" s="161" t="e">
        <f>+B129/B131</f>
        <v>#DIV/0!</v>
      </c>
      <c r="C132" s="161" t="e">
        <f t="shared" ref="C132:W132" si="1140">+C129/C131</f>
        <v>#DIV/0!</v>
      </c>
      <c r="D132" s="161" t="e">
        <f t="shared" si="1140"/>
        <v>#DIV/0!</v>
      </c>
      <c r="E132" s="161" t="e">
        <f t="shared" ca="1" si="1140"/>
        <v>#DIV/0!</v>
      </c>
      <c r="F132" s="161" t="e">
        <f t="shared" ca="1" si="1140"/>
        <v>#DIV/0!</v>
      </c>
      <c r="G132" s="161" t="e">
        <f t="shared" ca="1" si="1140"/>
        <v>#DIV/0!</v>
      </c>
      <c r="H132" s="161" t="e">
        <f t="shared" ca="1" si="1140"/>
        <v>#DIV/0!</v>
      </c>
      <c r="I132" s="161" t="e">
        <f t="shared" ca="1" si="1140"/>
        <v>#DIV/0!</v>
      </c>
      <c r="J132" s="161" t="e">
        <f t="shared" ca="1" si="1140"/>
        <v>#DIV/0!</v>
      </c>
      <c r="K132" s="161">
        <f t="shared" ca="1" si="1140"/>
        <v>6.160266067402155</v>
      </c>
      <c r="L132" s="161">
        <f t="shared" ca="1" si="1140"/>
        <v>10.889933864595839</v>
      </c>
      <c r="M132" s="161">
        <f t="shared" ca="1" si="1140"/>
        <v>14.963150592785661</v>
      </c>
      <c r="N132" s="161">
        <f t="shared" ca="1" si="1140"/>
        <v>17.053586718758421</v>
      </c>
      <c r="O132" s="161">
        <f t="shared" ca="1" si="1140"/>
        <v>13.676634091731154</v>
      </c>
      <c r="P132" s="161">
        <f t="shared" ca="1" si="1140"/>
        <v>13.833436695441012</v>
      </c>
      <c r="Q132" s="161">
        <f t="shared" ca="1" si="1140"/>
        <v>14.829253693586756</v>
      </c>
      <c r="R132" s="161">
        <f t="shared" ca="1" si="1140"/>
        <v>12.29305510756538</v>
      </c>
      <c r="S132" s="161">
        <f t="shared" ca="1" si="1140"/>
        <v>12.070706997684635</v>
      </c>
      <c r="T132" s="161">
        <f t="shared" ca="1" si="1140"/>
        <v>6.8807369311848365</v>
      </c>
      <c r="U132" s="161">
        <f t="shared" ca="1" si="1140"/>
        <v>5.6921932197760849</v>
      </c>
      <c r="V132" s="161">
        <f t="shared" ca="1" si="1140"/>
        <v>5.9881559288208006</v>
      </c>
      <c r="W132" s="161">
        <f t="shared" ca="1" si="1140"/>
        <v>7.2491447866625895</v>
      </c>
      <c r="X132" s="161">
        <f t="shared" ref="X132:Y132" ca="1" si="1141">+X129/X131</f>
        <v>6.4258177060700916</v>
      </c>
      <c r="Y132" s="161">
        <f t="shared" ca="1" si="1141"/>
        <v>7.0954015511970754</v>
      </c>
      <c r="Z132" s="161">
        <f t="shared" ref="Z132:AA132" ca="1" si="1142">+Z129/Z131</f>
        <v>8.5140656102464263</v>
      </c>
      <c r="AA132" s="161">
        <f t="shared" ca="1" si="1142"/>
        <v>8.5140656102464263</v>
      </c>
      <c r="AB132" s="21">
        <f t="shared" ref="AB132:AD132" ca="1" si="1143">+AB129/AB131</f>
        <v>8.2533434158745731</v>
      </c>
      <c r="AC132" s="21">
        <f t="shared" ca="1" si="1143"/>
        <v>8.6559121995516737</v>
      </c>
      <c r="AD132" s="21">
        <f t="shared" ca="1" si="1143"/>
        <v>8.8956398879853982</v>
      </c>
      <c r="AE132" s="21">
        <f t="shared" ref="AE132" ca="1" si="1144">+AE129/AE131</f>
        <v>9.1675246652785916</v>
      </c>
      <c r="AL132" s="161">
        <f t="shared" ref="AL132" si="1145">+AL129/AL131</f>
        <v>14.343667791029842</v>
      </c>
      <c r="AM132" s="161">
        <f t="shared" ref="AM132:AO132" si="1146">+AM129/AM131</f>
        <v>13.439851353092074</v>
      </c>
      <c r="AN132" s="161">
        <f t="shared" si="1146"/>
        <v>10.215360545573107</v>
      </c>
      <c r="AO132" s="161">
        <f t="shared" si="1146"/>
        <v>11.294349794130705</v>
      </c>
      <c r="AP132" s="161">
        <f t="shared" ref="AP132:CD132" si="1147">+AP129/AP131</f>
        <v>12.266021809369946</v>
      </c>
      <c r="AQ132" s="161">
        <f t="shared" si="1147"/>
        <v>12.703175189574496</v>
      </c>
      <c r="AR132" s="161">
        <f t="shared" si="1147"/>
        <v>9.4022227700838918</v>
      </c>
      <c r="AS132" s="161">
        <f t="shared" si="1147"/>
        <v>9.568230187308906</v>
      </c>
      <c r="AT132" s="161">
        <f t="shared" si="1147"/>
        <v>12.045615710618994</v>
      </c>
      <c r="AU132" s="161">
        <f t="shared" si="1147"/>
        <v>9.3535747236995377</v>
      </c>
      <c r="AV132" s="161">
        <f t="shared" si="1147"/>
        <v>7.8581930372514677</v>
      </c>
      <c r="AW132" s="161">
        <f t="shared" si="1147"/>
        <v>7.0757054296035324</v>
      </c>
      <c r="AX132" s="161">
        <f t="shared" si="1147"/>
        <v>9.1987466463254268</v>
      </c>
      <c r="AY132" s="161">
        <f t="shared" si="1147"/>
        <v>7.8957819577196799</v>
      </c>
      <c r="AZ132" s="161">
        <f t="shared" si="1147"/>
        <v>6.0818851639387388</v>
      </c>
      <c r="BA132" s="161">
        <f t="shared" si="1147"/>
        <v>5.8471673145245875</v>
      </c>
      <c r="BB132" s="161">
        <f t="shared" si="1147"/>
        <v>8.5386948039041304</v>
      </c>
      <c r="BC132" s="161">
        <f t="shared" si="1147"/>
        <v>8.591431561821695</v>
      </c>
      <c r="BD132" s="161">
        <f t="shared" si="1147"/>
        <v>8.9942265539376827</v>
      </c>
      <c r="BE132" s="161">
        <f t="shared" si="1147"/>
        <v>11.358041601087058</v>
      </c>
      <c r="BF132" s="161">
        <f t="shared" si="1147"/>
        <v>11.184507835852965</v>
      </c>
      <c r="BG132" s="161">
        <f t="shared" si="1147"/>
        <v>8.6365561158357522</v>
      </c>
      <c r="BH132" s="161">
        <f t="shared" si="1147"/>
        <v>5.0354566554912878</v>
      </c>
      <c r="BI132" s="161">
        <f t="shared" si="1147"/>
        <v>4.3006872086025218</v>
      </c>
      <c r="BJ132" s="161">
        <f t="shared" si="1147"/>
        <v>5.5545701840615589</v>
      </c>
      <c r="BK132" s="161">
        <f t="shared" si="1147"/>
        <v>4.9581795427952731</v>
      </c>
      <c r="BL132" s="161">
        <f t="shared" si="1147"/>
        <v>5.2231769232294809</v>
      </c>
      <c r="BM132" s="161">
        <f t="shared" si="1147"/>
        <v>5.4819925380795302</v>
      </c>
      <c r="BN132" s="161">
        <f t="shared" si="1147"/>
        <v>5.1902250095875395</v>
      </c>
      <c r="BO132" s="161">
        <f t="shared" si="1147"/>
        <v>4.037722241964147</v>
      </c>
      <c r="BP132" s="161">
        <f t="shared" si="1147"/>
        <v>5.6767421602787458</v>
      </c>
      <c r="BQ132" s="161">
        <f t="shared" si="1147"/>
        <v>6.7499061740567159</v>
      </c>
      <c r="BR132" s="161">
        <f t="shared" si="1147"/>
        <v>5.7080856267145084</v>
      </c>
      <c r="BS132" s="161">
        <f t="shared" si="1147"/>
        <v>4.8917236815470249</v>
      </c>
      <c r="BT132" s="161">
        <f t="shared" si="1147"/>
        <v>6.0136943713135746</v>
      </c>
      <c r="BU132" s="161">
        <f t="shared" si="1147"/>
        <v>6.3865498873885702</v>
      </c>
      <c r="BV132" s="161">
        <f t="shared" si="1147"/>
        <v>6.3625929901642628</v>
      </c>
      <c r="BW132" s="161">
        <f t="shared" si="1147"/>
        <v>6.4406844886459798</v>
      </c>
      <c r="BX132" s="161">
        <f t="shared" si="1147"/>
        <v>7.2712888181578341</v>
      </c>
      <c r="BY132" s="161">
        <f t="shared" si="1147"/>
        <v>6.8855721423958265</v>
      </c>
      <c r="BZ132" s="161">
        <f t="shared" si="1147"/>
        <v>6.1915411343556119</v>
      </c>
      <c r="CA132" s="161">
        <f t="shared" si="1147"/>
        <v>5.9261356428809497</v>
      </c>
      <c r="CB132" s="161">
        <f t="shared" si="1147"/>
        <v>7.2461978267026774</v>
      </c>
      <c r="CC132" s="161">
        <f t="shared" si="1147"/>
        <v>7.2584450494964745</v>
      </c>
      <c r="CD132" s="161">
        <f t="shared" si="1147"/>
        <v>6.7871640644996134</v>
      </c>
      <c r="CE132" s="161">
        <f t="shared" ref="CE132:CF132" si="1148">+CE129/CE131</f>
        <v>6.4412818763320203</v>
      </c>
      <c r="CF132" s="161">
        <f t="shared" si="1148"/>
        <v>7.8856871411684084</v>
      </c>
      <c r="CG132" s="161">
        <f t="shared" ref="CG132:CH132" si="1149">+CG129/CG131</f>
        <v>7.8294143677904362</v>
      </c>
      <c r="CH132" s="161">
        <f t="shared" si="1149"/>
        <v>6.5068630166946138</v>
      </c>
      <c r="CI132" s="161">
        <f t="shared" ref="CI132:CJ132" si="1150">+CI129/CI131</f>
        <v>6.1332360255214171</v>
      </c>
      <c r="CJ132" s="161">
        <f t="shared" si="1150"/>
        <v>7.3041733260393071</v>
      </c>
      <c r="CK132" s="161">
        <f t="shared" ref="CK132:CL132" si="1151">+CK129/CK131</f>
        <v>7.7788142836139613</v>
      </c>
      <c r="CL132" s="161">
        <f t="shared" si="1151"/>
        <v>7.6703236045766081</v>
      </c>
      <c r="CM132" s="21">
        <f t="shared" ref="CM132:DB132" si="1152">+CM129/CM131</f>
        <v>6.7247602399381421</v>
      </c>
      <c r="CN132" s="21">
        <f t="shared" si="1152"/>
        <v>6.807091744385497</v>
      </c>
      <c r="CO132" s="21">
        <f t="shared" si="1152"/>
        <v>7.5683681220933234</v>
      </c>
      <c r="CP132" s="21">
        <f t="shared" si="1152"/>
        <v>8.2533434158745731</v>
      </c>
      <c r="CQ132" s="21">
        <f t="shared" si="1152"/>
        <v>8.2588206212157882</v>
      </c>
      <c r="CR132" s="21">
        <f t="shared" si="1152"/>
        <v>8.074731268358935</v>
      </c>
      <c r="CS132" s="21">
        <f t="shared" si="1152"/>
        <v>8.5109058216950118</v>
      </c>
      <c r="CT132" s="21">
        <f t="shared" si="1152"/>
        <v>8.655912199551679</v>
      </c>
      <c r="CU132" s="21">
        <f t="shared" si="1152"/>
        <v>8.4527512958440063</v>
      </c>
      <c r="CV132" s="21">
        <f t="shared" si="1152"/>
        <v>8.2918182758610595</v>
      </c>
      <c r="CW132" s="21">
        <f t="shared" si="1152"/>
        <v>8.7412406834242269</v>
      </c>
      <c r="CX132" s="21">
        <f t="shared" si="1152"/>
        <v>8.8956398879853911</v>
      </c>
      <c r="CY132" s="21">
        <f t="shared" si="1152"/>
        <v>8.6986319918652963</v>
      </c>
      <c r="CZ132" s="21">
        <f t="shared" si="1152"/>
        <v>8.5446145594876715</v>
      </c>
      <c r="DA132" s="21">
        <f t="shared" si="1152"/>
        <v>9.005384377970941</v>
      </c>
      <c r="DB132" s="21">
        <f t="shared" si="1152"/>
        <v>9.1675246652785916</v>
      </c>
      <c r="DE132" s="22"/>
      <c r="DF132" s="161">
        <v>8.5140656102464263</v>
      </c>
    </row>
    <row r="133" spans="1:110" s="161" customFormat="1" x14ac:dyDescent="0.2">
      <c r="A133" s="49" t="s">
        <v>344</v>
      </c>
      <c r="B133" s="161" t="e">
        <f>+B130/B131</f>
        <v>#DIV/0!</v>
      </c>
      <c r="C133" s="161" t="e">
        <f t="shared" ref="C133:W133" si="1153">+C130/C131</f>
        <v>#DIV/0!</v>
      </c>
      <c r="D133" s="161" t="e">
        <f t="shared" si="1153"/>
        <v>#DIV/0!</v>
      </c>
      <c r="E133" s="161" t="e">
        <f t="shared" ca="1" si="1153"/>
        <v>#DIV/0!</v>
      </c>
      <c r="F133" s="161" t="e">
        <f t="shared" ca="1" si="1153"/>
        <v>#DIV/0!</v>
      </c>
      <c r="G133" s="161" t="e">
        <f t="shared" ca="1" si="1153"/>
        <v>#DIV/0!</v>
      </c>
      <c r="H133" s="161" t="e">
        <f t="shared" ca="1" si="1153"/>
        <v>#DIV/0!</v>
      </c>
      <c r="I133" s="161" t="e">
        <f t="shared" ca="1" si="1153"/>
        <v>#DIV/0!</v>
      </c>
      <c r="J133" s="161" t="e">
        <f t="shared" ca="1" si="1153"/>
        <v>#DIV/0!</v>
      </c>
      <c r="K133" s="161">
        <f t="shared" ca="1" si="1153"/>
        <v>1.2990106448808376</v>
      </c>
      <c r="L133" s="161">
        <f t="shared" ca="1" si="1153"/>
        <v>8.4995427449326897</v>
      </c>
      <c r="M133" s="161">
        <f t="shared" ca="1" si="1153"/>
        <v>10.09074029910234</v>
      </c>
      <c r="N133" s="161">
        <f t="shared" ca="1" si="1153"/>
        <v>11.960815897866171</v>
      </c>
      <c r="O133" s="161">
        <f t="shared" ca="1" si="1153"/>
        <v>10.92883190380172</v>
      </c>
      <c r="P133" s="161">
        <f t="shared" ca="1" si="1153"/>
        <v>11.353200755192852</v>
      </c>
      <c r="Q133" s="161">
        <f t="shared" ca="1" si="1153"/>
        <v>12.456545642997227</v>
      </c>
      <c r="R133" s="161">
        <f t="shared" ca="1" si="1153"/>
        <v>10.127237096879758</v>
      </c>
      <c r="S133" s="161">
        <f t="shared" ca="1" si="1153"/>
        <v>8.5488140062131102</v>
      </c>
      <c r="T133" s="161">
        <f t="shared" ca="1" si="1153"/>
        <v>5.3377602893276128</v>
      </c>
      <c r="U133" s="161">
        <f t="shared" ca="1" si="1153"/>
        <v>4.3227462022334713</v>
      </c>
      <c r="V133" s="161">
        <f t="shared" ca="1" si="1153"/>
        <v>4.8062257496305296</v>
      </c>
      <c r="W133" s="161">
        <f t="shared" ca="1" si="1153"/>
        <v>5.4326418511298034</v>
      </c>
      <c r="X133" s="161">
        <f t="shared" ref="X133:Y133" ca="1" si="1154">+X130/X131</f>
        <v>4.3419349071627389</v>
      </c>
      <c r="Y133" s="161">
        <f t="shared" ca="1" si="1154"/>
        <v>2.9368263982096279</v>
      </c>
      <c r="Z133" s="161">
        <f t="shared" ref="Z133:AA133" ca="1" si="1155">+Z130/Z131</f>
        <v>5.3300809736720174</v>
      </c>
      <c r="AA133" s="161">
        <f t="shared" ca="1" si="1155"/>
        <v>5.3300809736720174</v>
      </c>
      <c r="AB133" s="21">
        <f t="shared" ref="AB133:AD133" ca="1" si="1156">+AB130/AB131</f>
        <v>4.5385957197648636</v>
      </c>
      <c r="AC133" s="21">
        <f t="shared" ca="1" si="1156"/>
        <v>5.9728200500824924</v>
      </c>
      <c r="AD133" s="21">
        <f t="shared" ca="1" si="1156"/>
        <v>6.0063035148496651</v>
      </c>
      <c r="AE133" s="21">
        <f t="shared" ref="AE133" ca="1" si="1157">+AE130/AE131</f>
        <v>6.0659976535303617</v>
      </c>
      <c r="AL133" s="161">
        <f t="shared" ref="AL133:AM133" si="1158">+AL130/AL131</f>
        <v>11.309291328416265</v>
      </c>
      <c r="AM133" s="161">
        <f t="shared" si="1158"/>
        <v>11.091131827723551</v>
      </c>
      <c r="AN133" s="161">
        <f t="shared" ref="AN133:AO133" si="1159">+AN130/AN131</f>
        <v>8.7181975438342274</v>
      </c>
      <c r="AO133" s="161">
        <f t="shared" si="1159"/>
        <v>10.639698475400264</v>
      </c>
      <c r="AP133" s="161">
        <f t="shared" ref="AP133:CD133" si="1160">+AP130/AP131</f>
        <v>11.385288772213242</v>
      </c>
      <c r="AQ133" s="161">
        <f t="shared" si="1160"/>
        <v>10.559756445056266</v>
      </c>
      <c r="AR133" s="161">
        <f t="shared" si="1160"/>
        <v>8.1843494976346651</v>
      </c>
      <c r="AS133" s="161">
        <f t="shared" si="1160"/>
        <v>7.8586691744409274</v>
      </c>
      <c r="AT133" s="161">
        <f t="shared" si="1160"/>
        <v>10.482461350205934</v>
      </c>
      <c r="AU133" s="161">
        <f t="shared" si="1160"/>
        <v>8.5709022865601927</v>
      </c>
      <c r="AV133" s="161">
        <f t="shared" si="1160"/>
        <v>6.9221424762485189</v>
      </c>
      <c r="AW133" s="161">
        <f t="shared" si="1160"/>
        <v>6.560881669888019</v>
      </c>
      <c r="AX133" s="161">
        <f t="shared" si="1160"/>
        <v>8.18948787416487</v>
      </c>
      <c r="AY133" s="161">
        <f t="shared" si="1160"/>
        <v>7.2960665845788037</v>
      </c>
      <c r="AZ133" s="161">
        <f t="shared" si="1160"/>
        <v>5.5854573443502966</v>
      </c>
      <c r="BA133" s="161">
        <f t="shared" si="1160"/>
        <v>5.1756380817599466</v>
      </c>
      <c r="BB133" s="161">
        <f t="shared" si="1160"/>
        <v>7.4632836773336377</v>
      </c>
      <c r="BC133" s="161">
        <f t="shared" si="1160"/>
        <v>7.8631502567972156</v>
      </c>
      <c r="BD133" s="161">
        <f t="shared" si="1160"/>
        <v>7.5388344628598238</v>
      </c>
      <c r="BE133" s="161">
        <f t="shared" si="1160"/>
        <v>10.126749774427703</v>
      </c>
      <c r="BF133" s="161">
        <f t="shared" si="1160"/>
        <v>9.0958161033702272</v>
      </c>
      <c r="BG133" s="161">
        <f t="shared" si="1160"/>
        <v>6.860642879384188</v>
      </c>
      <c r="BH133" s="161">
        <f t="shared" si="1160"/>
        <v>4.2815237814537834</v>
      </c>
      <c r="BI133" s="161">
        <f t="shared" si="1160"/>
        <v>3.8018792951192837</v>
      </c>
      <c r="BJ133" s="161">
        <f t="shared" si="1160"/>
        <v>5.0527422799227164</v>
      </c>
      <c r="BK133" s="161">
        <f t="shared" si="1160"/>
        <v>4.5279715254890762</v>
      </c>
      <c r="BL133" s="161">
        <f t="shared" si="1160"/>
        <v>4.6862757736218281</v>
      </c>
      <c r="BM133" s="161">
        <f t="shared" si="1160"/>
        <v>5.0052479138422292</v>
      </c>
      <c r="BN133" s="161">
        <f t="shared" si="1160"/>
        <v>3.8646107459765413</v>
      </c>
      <c r="BO133" s="161">
        <f t="shared" si="1160"/>
        <v>3.5455833810789894</v>
      </c>
      <c r="BP133" s="161">
        <f t="shared" si="1160"/>
        <v>5.1443005023904069</v>
      </c>
      <c r="BQ133" s="161">
        <f t="shared" si="1160"/>
        <v>6.0981913330278115</v>
      </c>
      <c r="BR133" s="161">
        <f t="shared" si="1160"/>
        <v>5.2232145011946258</v>
      </c>
      <c r="BS133" s="161">
        <f t="shared" si="1160"/>
        <v>3.8307930517695774</v>
      </c>
      <c r="BT133" s="161">
        <f t="shared" si="1160"/>
        <v>5.257887059210697</v>
      </c>
      <c r="BU133" s="161">
        <f t="shared" si="1160"/>
        <v>5.6404521157819589</v>
      </c>
      <c r="BV133" s="161">
        <f t="shared" si="1160"/>
        <v>5.4708699171915018</v>
      </c>
      <c r="BW133" s="161">
        <f t="shared" si="1160"/>
        <v>5.7314781407387594</v>
      </c>
      <c r="BX133" s="161">
        <f t="shared" si="1160"/>
        <v>6.8304532650230207</v>
      </c>
      <c r="BY133" s="161">
        <f t="shared" si="1160"/>
        <v>6.2223352428325081</v>
      </c>
      <c r="BZ133" s="161">
        <f t="shared" si="1160"/>
        <v>4.734823503973189</v>
      </c>
      <c r="CA133" s="161">
        <f t="shared" si="1160"/>
        <v>4.0515965324100307</v>
      </c>
      <c r="CB133" s="161">
        <f t="shared" si="1160"/>
        <v>5.5401689012641668</v>
      </c>
      <c r="CC133" s="161">
        <f t="shared" si="1160"/>
        <v>5.2848901130846038</v>
      </c>
      <c r="CD133" s="161">
        <f t="shared" si="1160"/>
        <v>5.0588897755160405</v>
      </c>
      <c r="CE133" s="161">
        <f t="shared" ref="CE133:CF133" si="1161">+CE130/CE131</f>
        <v>5.019310782702961</v>
      </c>
      <c r="CF133" s="161">
        <f t="shared" si="1161"/>
        <v>5.8430191131143641</v>
      </c>
      <c r="CG133" s="161">
        <f t="shared" ref="CG133:CH133" si="1162">+CG130/CG131</f>
        <v>5.9941304246897538</v>
      </c>
      <c r="CH133" s="161">
        <f t="shared" si="1162"/>
        <v>5.188421666545163</v>
      </c>
      <c r="CI133" s="161">
        <f t="shared" ref="CI133:CJ133" si="1163">+CI130/CI131</f>
        <v>4.6099163433323254</v>
      </c>
      <c r="CJ133" s="161">
        <f t="shared" si="1163"/>
        <v>6.1883449358376135</v>
      </c>
      <c r="CK133" s="161">
        <f t="shared" ref="CK133:CL133" si="1164">+CK130/CK131</f>
        <v>6.2176184228517011</v>
      </c>
      <c r="CL133" s="161">
        <f t="shared" si="1164"/>
        <v>6.0230207609019546</v>
      </c>
      <c r="CM133" s="21">
        <f t="shared" ref="CM133:DB133" si="1165">+CM130/CM131</f>
        <v>5.1930982792037703</v>
      </c>
      <c r="CN133" s="21">
        <f t="shared" si="1165"/>
        <v>5.180876100763717</v>
      </c>
      <c r="CO133" s="21">
        <f t="shared" si="1165"/>
        <v>5.8310659274909158</v>
      </c>
      <c r="CP133" s="21">
        <f t="shared" si="1165"/>
        <v>6.3171276284249824</v>
      </c>
      <c r="CQ133" s="21">
        <f t="shared" si="1165"/>
        <v>6.2311275042044709</v>
      </c>
      <c r="CR133" s="21">
        <f t="shared" si="1165"/>
        <v>6.026474698618582</v>
      </c>
      <c r="CS133" s="21">
        <f t="shared" si="1165"/>
        <v>6.4294932905870272</v>
      </c>
      <c r="CT133" s="21">
        <f t="shared" si="1165"/>
        <v>6.5427013114040173</v>
      </c>
      <c r="CU133" s="21">
        <f t="shared" si="1165"/>
        <v>6.3106574147493708</v>
      </c>
      <c r="CV133" s="21">
        <f t="shared" si="1165"/>
        <v>6.1197373410795706</v>
      </c>
      <c r="CW133" s="21">
        <f t="shared" si="1165"/>
        <v>6.531210903987521</v>
      </c>
      <c r="CX133" s="21">
        <f t="shared" si="1165"/>
        <v>6.6493586873430335</v>
      </c>
      <c r="CY133" s="21">
        <f t="shared" si="1165"/>
        <v>6.4188306659082848</v>
      </c>
      <c r="CZ133" s="21">
        <f t="shared" si="1165"/>
        <v>6.2299669260759334</v>
      </c>
      <c r="DA133" s="21">
        <f t="shared" si="1165"/>
        <v>6.6486087659393505</v>
      </c>
      <c r="DB133" s="21">
        <f t="shared" si="1165"/>
        <v>6.7706590849891484</v>
      </c>
      <c r="DE133" s="22"/>
      <c r="DF133" s="161">
        <v>5.3300809736720174</v>
      </c>
    </row>
    <row r="134" spans="1:110" s="10" customFormat="1" x14ac:dyDescent="0.2">
      <c r="A134" s="149" t="s">
        <v>490</v>
      </c>
      <c r="AB134" s="20"/>
      <c r="AC134" s="20"/>
      <c r="AD134" s="20"/>
      <c r="AE134" s="20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x14ac:dyDescent="0.2">
      <c r="A135" s="152" t="s">
        <v>491</v>
      </c>
      <c r="AA135" s="2"/>
      <c r="CL135" s="2"/>
    </row>
    <row r="136" spans="1:110" s="23" customFormat="1" outlineLevel="1" x14ac:dyDescent="0.2">
      <c r="A136" s="23" t="s">
        <v>41</v>
      </c>
      <c r="B136" s="23">
        <f>'Annual Raw'!C41</f>
        <v>0</v>
      </c>
      <c r="C136" s="23">
        <f>'Annual Raw'!D41</f>
        <v>0</v>
      </c>
      <c r="D136" s="23">
        <f>'Annual Raw'!E41</f>
        <v>0</v>
      </c>
      <c r="E136" s="23">
        <f>'Annual Raw'!F41</f>
        <v>0</v>
      </c>
      <c r="F136" s="23">
        <f>'Annual Raw'!G41</f>
        <v>0</v>
      </c>
      <c r="G136" s="23">
        <f>'Annual Raw'!H41</f>
        <v>0</v>
      </c>
      <c r="H136" s="23">
        <f>'Annual Raw'!I41</f>
        <v>0</v>
      </c>
      <c r="I136" s="23">
        <f>'Annual Raw'!J41</f>
        <v>0</v>
      </c>
      <c r="J136" s="23">
        <f>'Annual Raw'!K41</f>
        <v>0</v>
      </c>
      <c r="K136" s="23">
        <f>'Annual Raw'!L41</f>
        <v>154.7234</v>
      </c>
      <c r="L136" s="23">
        <f>'Annual Raw'!M41</f>
        <v>55.245800000000003</v>
      </c>
      <c r="M136" s="23">
        <f>'Annual Raw'!N41</f>
        <v>55.245800000000003</v>
      </c>
      <c r="N136" s="23">
        <f>'Annual Raw'!O41</f>
        <v>55.245800000000003</v>
      </c>
      <c r="O136" s="23">
        <f>'Annual Raw'!P41</f>
        <v>55.245800000000003</v>
      </c>
      <c r="P136" s="23">
        <f>'Annual Raw'!Q41</f>
        <v>58.007399999999997</v>
      </c>
      <c r="Q136" s="23">
        <f>'Annual Raw'!R41</f>
        <v>60.907200000000003</v>
      </c>
      <c r="R136" s="23">
        <f>'Annual Raw'!S41</f>
        <v>63.951900000000002</v>
      </c>
      <c r="S136" s="23">
        <f>'Annual Raw'!T41</f>
        <v>63.951900000000002</v>
      </c>
      <c r="T136" s="23">
        <f>'Annual Raw'!U41</f>
        <v>63.951900000000002</v>
      </c>
      <c r="U136" s="23">
        <f>'Annual Raw'!V41</f>
        <v>63.951900000000002</v>
      </c>
      <c r="V136" s="23">
        <f>'Annual Raw'!W41</f>
        <v>63.951900000000002</v>
      </c>
      <c r="W136" s="23">
        <f>'Annual Raw'!X41</f>
        <v>63.951900000000002</v>
      </c>
      <c r="X136" s="23">
        <f>'Annual Raw'!Y41</f>
        <v>63.951900000000002</v>
      </c>
      <c r="Y136" s="23">
        <f>'Annual Raw'!Z41</f>
        <v>63.951900000000002</v>
      </c>
      <c r="Z136" s="23">
        <f>'Annual Raw'!AA41</f>
        <v>63.951900000000002</v>
      </c>
      <c r="AA136" s="23">
        <f>'Annual Raw'!AB41</f>
        <v>63.951900000000002</v>
      </c>
      <c r="AB136" s="24">
        <f>+CP136</f>
        <v>63.95</v>
      </c>
      <c r="AC136" s="24">
        <f>+CT136</f>
        <v>63.95</v>
      </c>
      <c r="AD136" s="24">
        <f>+CX136</f>
        <v>63.95</v>
      </c>
      <c r="AE136" s="24">
        <f>+DB136</f>
        <v>63.95</v>
      </c>
      <c r="AJ136" s="23">
        <f>+'QTR Raw'!D56</f>
        <v>55.25</v>
      </c>
      <c r="AK136" s="23">
        <f t="shared" ref="AK136:CE136" si="1166">+AJ136</f>
        <v>55.25</v>
      </c>
      <c r="AL136" s="23">
        <f>+'QTR Raw'!F56</f>
        <v>55.25</v>
      </c>
      <c r="AM136" s="23">
        <f t="shared" si="1166"/>
        <v>55.25</v>
      </c>
      <c r="AN136" s="23">
        <f>+'QTR Raw'!H56</f>
        <v>55.25</v>
      </c>
      <c r="AO136" s="23">
        <f t="shared" si="1166"/>
        <v>55.25</v>
      </c>
      <c r="AP136" s="23">
        <f>+'QTR Raw'!J56</f>
        <v>55.25</v>
      </c>
      <c r="AQ136" s="23">
        <f t="shared" si="1166"/>
        <v>55.25</v>
      </c>
      <c r="AR136" s="23">
        <f>+'QTR Raw'!L56</f>
        <v>55.25</v>
      </c>
      <c r="AS136" s="23">
        <f t="shared" si="1166"/>
        <v>55.25</v>
      </c>
      <c r="AT136" s="23">
        <f>+'QTR Raw'!N56</f>
        <v>5431.25</v>
      </c>
      <c r="AU136" s="23">
        <f t="shared" si="1166"/>
        <v>5431.25</v>
      </c>
      <c r="AV136" s="23">
        <f>+'QTR Raw'!P56</f>
        <v>60.91</v>
      </c>
      <c r="AW136" s="23">
        <f t="shared" si="1166"/>
        <v>60.91</v>
      </c>
      <c r="AX136" s="23">
        <f>+'QTR Raw'!R56</f>
        <v>60.91</v>
      </c>
      <c r="AY136" s="23">
        <f t="shared" si="1166"/>
        <v>60.91</v>
      </c>
      <c r="AZ136" s="23">
        <f>+'QTR Raw'!T56</f>
        <v>63.95</v>
      </c>
      <c r="BA136" s="23">
        <f t="shared" si="1166"/>
        <v>63.95</v>
      </c>
      <c r="BB136" s="23">
        <f>+'QTR Raw'!V56</f>
        <v>63.95</v>
      </c>
      <c r="BC136" s="23">
        <f t="shared" si="1166"/>
        <v>63.95</v>
      </c>
      <c r="BD136" s="23">
        <f>+'QTR Raw'!X56</f>
        <v>63.95</v>
      </c>
      <c r="BE136" s="23">
        <f t="shared" si="1166"/>
        <v>63.95</v>
      </c>
      <c r="BF136" s="23">
        <f>+'QTR Raw'!Z56</f>
        <v>63.95</v>
      </c>
      <c r="BG136" s="23">
        <f t="shared" si="1166"/>
        <v>63.95</v>
      </c>
      <c r="BH136" s="23">
        <f>+'QTR Raw'!AB56</f>
        <v>63.95</v>
      </c>
      <c r="BI136" s="23">
        <f t="shared" si="1166"/>
        <v>63.95</v>
      </c>
      <c r="BJ136" s="23">
        <f>+'QTR Raw'!AD56</f>
        <v>63.95</v>
      </c>
      <c r="BK136" s="23">
        <f t="shared" si="1166"/>
        <v>63.95</v>
      </c>
      <c r="BL136" s="23">
        <f>+'QTR Raw'!AF56</f>
        <v>63.95</v>
      </c>
      <c r="BM136" s="23">
        <f t="shared" si="1166"/>
        <v>63.95</v>
      </c>
      <c r="BN136" s="23">
        <f>+'QTR Raw'!AH56</f>
        <v>63.95</v>
      </c>
      <c r="BO136" s="23">
        <f t="shared" si="1166"/>
        <v>63.95</v>
      </c>
      <c r="BP136" s="23">
        <f>+'QTR Raw'!AJ56</f>
        <v>63.95</v>
      </c>
      <c r="BQ136" s="23">
        <f t="shared" si="1166"/>
        <v>63.95</v>
      </c>
      <c r="BR136" s="23">
        <f>+'QTR Raw'!AL56</f>
        <v>63.95</v>
      </c>
      <c r="BS136" s="23">
        <f t="shared" si="1166"/>
        <v>63.95</v>
      </c>
      <c r="BT136" s="23">
        <f>+'QTR Raw'!AN56</f>
        <v>63.95</v>
      </c>
      <c r="BU136" s="23">
        <f t="shared" si="1166"/>
        <v>63.95</v>
      </c>
      <c r="BV136" s="23">
        <f>+'QTR Raw'!AP56</f>
        <v>63.95</v>
      </c>
      <c r="BW136" s="23">
        <f t="shared" si="1166"/>
        <v>63.95</v>
      </c>
      <c r="BX136" s="23">
        <f>+'QTR Raw'!AR56</f>
        <v>63.95</v>
      </c>
      <c r="BY136" s="23">
        <f t="shared" si="1166"/>
        <v>63.95</v>
      </c>
      <c r="BZ136" s="23">
        <f>+'QTR Raw'!AT56</f>
        <v>63.95</v>
      </c>
      <c r="CA136" s="23">
        <f t="shared" si="1166"/>
        <v>63.95</v>
      </c>
      <c r="CB136" s="23">
        <f>+'QTR Raw'!AV56</f>
        <v>63.95</v>
      </c>
      <c r="CC136" s="23">
        <f t="shared" si="1166"/>
        <v>63.95</v>
      </c>
      <c r="CD136" s="23">
        <f>+'QTR Raw'!AX56</f>
        <v>63.95</v>
      </c>
      <c r="CE136" s="23">
        <f t="shared" si="1166"/>
        <v>63.95</v>
      </c>
      <c r="CF136" s="23">
        <f>+'QTR Raw'!AZ56</f>
        <v>63.95</v>
      </c>
      <c r="CG136" s="23">
        <f t="shared" ref="CG136:CG137" si="1167">+CF136</f>
        <v>63.95</v>
      </c>
      <c r="CH136" s="23">
        <f>Z136</f>
        <v>63.951900000000002</v>
      </c>
      <c r="CI136" s="23">
        <f>CH136</f>
        <v>63.951900000000002</v>
      </c>
      <c r="CJ136" s="23">
        <f>+'QTR Raw'!BD56</f>
        <v>63.95</v>
      </c>
      <c r="CK136" s="23">
        <f t="shared" ref="CK136:DB136" si="1168">CJ136</f>
        <v>63.95</v>
      </c>
      <c r="CL136" s="23">
        <f>+'QTR Raw'!BF56</f>
        <v>63.95</v>
      </c>
      <c r="CM136" s="24">
        <f t="shared" si="1168"/>
        <v>63.95</v>
      </c>
      <c r="CN136" s="24">
        <f t="shared" si="1168"/>
        <v>63.95</v>
      </c>
      <c r="CO136" s="24">
        <f t="shared" si="1168"/>
        <v>63.95</v>
      </c>
      <c r="CP136" s="24">
        <f t="shared" si="1168"/>
        <v>63.95</v>
      </c>
      <c r="CQ136" s="24">
        <f t="shared" si="1168"/>
        <v>63.95</v>
      </c>
      <c r="CR136" s="24">
        <f t="shared" si="1168"/>
        <v>63.95</v>
      </c>
      <c r="CS136" s="24">
        <f t="shared" si="1168"/>
        <v>63.95</v>
      </c>
      <c r="CT136" s="24">
        <f t="shared" si="1168"/>
        <v>63.95</v>
      </c>
      <c r="CU136" s="24">
        <f t="shared" si="1168"/>
        <v>63.95</v>
      </c>
      <c r="CV136" s="24">
        <f t="shared" si="1168"/>
        <v>63.95</v>
      </c>
      <c r="CW136" s="24">
        <f t="shared" si="1168"/>
        <v>63.95</v>
      </c>
      <c r="CX136" s="24">
        <f t="shared" si="1168"/>
        <v>63.95</v>
      </c>
      <c r="CY136" s="24">
        <f t="shared" si="1168"/>
        <v>63.95</v>
      </c>
      <c r="CZ136" s="24">
        <f t="shared" si="1168"/>
        <v>63.95</v>
      </c>
      <c r="DA136" s="24">
        <f t="shared" si="1168"/>
        <v>63.95</v>
      </c>
      <c r="DB136" s="24">
        <f t="shared" si="1168"/>
        <v>63.95</v>
      </c>
      <c r="DE136" s="123"/>
      <c r="DF136" s="23">
        <v>63.951900000000002</v>
      </c>
    </row>
    <row r="137" spans="1:110" s="23" customFormat="1" outlineLevel="1" x14ac:dyDescent="0.2">
      <c r="A137" s="23" t="s">
        <v>42</v>
      </c>
      <c r="B137" s="23">
        <f>'Annual Raw'!C42</f>
        <v>0</v>
      </c>
      <c r="C137" s="23">
        <f>'Annual Raw'!D42</f>
        <v>0</v>
      </c>
      <c r="D137" s="23">
        <f>'Annual Raw'!E42</f>
        <v>0</v>
      </c>
      <c r="E137" s="23">
        <f>'Annual Raw'!F42</f>
        <v>0</v>
      </c>
      <c r="F137" s="23">
        <f>'Annual Raw'!G42</f>
        <v>0</v>
      </c>
      <c r="G137" s="23">
        <f>'Annual Raw'!H42</f>
        <v>0</v>
      </c>
      <c r="H137" s="23">
        <f>'Annual Raw'!I42</f>
        <v>0</v>
      </c>
      <c r="I137" s="23">
        <f>'Annual Raw'!J42</f>
        <v>0</v>
      </c>
      <c r="J137" s="23">
        <f>'Annual Raw'!K42</f>
        <v>0</v>
      </c>
      <c r="K137" s="23">
        <f>'Annual Raw'!L42</f>
        <v>0</v>
      </c>
      <c r="L137" s="23">
        <f>'Annual Raw'!M42</f>
        <v>0</v>
      </c>
      <c r="M137" s="23">
        <f>'Annual Raw'!N42</f>
        <v>26.610399999999998</v>
      </c>
      <c r="N137" s="23">
        <f>'Annual Raw'!O42</f>
        <v>0</v>
      </c>
      <c r="O137" s="23">
        <f>'Annual Raw'!P42</f>
        <v>0</v>
      </c>
      <c r="P137" s="23">
        <f>'Annual Raw'!Q42</f>
        <v>0</v>
      </c>
      <c r="Q137" s="23">
        <f>'Annual Raw'!R42</f>
        <v>0</v>
      </c>
      <c r="R137" s="23">
        <f>'Annual Raw'!S42</f>
        <v>0</v>
      </c>
      <c r="S137" s="23">
        <f>'Annual Raw'!T42</f>
        <v>0</v>
      </c>
      <c r="T137" s="23">
        <f>'Annual Raw'!U42</f>
        <v>0</v>
      </c>
      <c r="U137" s="23">
        <f>'Annual Raw'!V42</f>
        <v>0</v>
      </c>
      <c r="V137" s="23">
        <f>'Annual Raw'!W42</f>
        <v>0</v>
      </c>
      <c r="W137" s="23">
        <f>'Annual Raw'!X42</f>
        <v>0</v>
      </c>
      <c r="X137" s="23">
        <f>'Annual Raw'!Y42</f>
        <v>0</v>
      </c>
      <c r="Y137" s="23">
        <f>'Annual Raw'!Z42</f>
        <v>58.527299999999997</v>
      </c>
      <c r="Z137" s="23">
        <f>'Annual Raw'!AA42</f>
        <v>34.489800000000002</v>
      </c>
      <c r="AA137" s="23">
        <f>'Annual Raw'!AB42</f>
        <v>25.719200000000001</v>
      </c>
      <c r="AB137" s="24">
        <f t="shared" ref="AB137:AB138" si="1169">+CP137</f>
        <v>0</v>
      </c>
      <c r="AC137" s="24">
        <f t="shared" ref="AC137:AC138" si="1170">+CT137</f>
        <v>0</v>
      </c>
      <c r="AD137" s="24">
        <f t="shared" ref="AD137:AD138" si="1171">+CX137</f>
        <v>0</v>
      </c>
      <c r="AE137" s="24">
        <f t="shared" ref="AE137:AE138" si="1172">+DB137</f>
        <v>0</v>
      </c>
      <c r="AJ137" s="23">
        <f>+'QTR Raw'!D57</f>
        <v>0</v>
      </c>
      <c r="AK137" s="23">
        <f t="shared" ref="AK137:CE137" si="1173">+AJ137</f>
        <v>0</v>
      </c>
      <c r="AL137" s="23">
        <f>+'QTR Raw'!F57</f>
        <v>0</v>
      </c>
      <c r="AM137" s="23">
        <f t="shared" si="1173"/>
        <v>0</v>
      </c>
      <c r="AN137" s="23">
        <f>+'QTR Raw'!H57</f>
        <v>0</v>
      </c>
      <c r="AO137" s="23">
        <f t="shared" si="1173"/>
        <v>0</v>
      </c>
      <c r="AP137" s="23">
        <f>+'QTR Raw'!J57</f>
        <v>0</v>
      </c>
      <c r="AQ137" s="23">
        <f t="shared" si="1173"/>
        <v>0</v>
      </c>
      <c r="AR137" s="23">
        <f>+'QTR Raw'!L57</f>
        <v>0</v>
      </c>
      <c r="AS137" s="23">
        <f t="shared" si="1173"/>
        <v>0</v>
      </c>
      <c r="AT137" s="23">
        <f>+'QTR Raw'!N57</f>
        <v>0</v>
      </c>
      <c r="AU137" s="23">
        <f t="shared" si="1173"/>
        <v>0</v>
      </c>
      <c r="AV137" s="23">
        <f>+'QTR Raw'!P57</f>
        <v>0</v>
      </c>
      <c r="AW137" s="23">
        <f t="shared" si="1173"/>
        <v>0</v>
      </c>
      <c r="AX137" s="23">
        <f>+'QTR Raw'!R57</f>
        <v>0</v>
      </c>
      <c r="AY137" s="23">
        <f t="shared" si="1173"/>
        <v>0</v>
      </c>
      <c r="AZ137" s="23">
        <f>+'QTR Raw'!T57</f>
        <v>0</v>
      </c>
      <c r="BA137" s="23">
        <f t="shared" si="1173"/>
        <v>0</v>
      </c>
      <c r="BB137" s="23">
        <f>+'QTR Raw'!V57</f>
        <v>0</v>
      </c>
      <c r="BC137" s="23">
        <f t="shared" si="1173"/>
        <v>0</v>
      </c>
      <c r="BD137" s="23">
        <f>+'QTR Raw'!X57</f>
        <v>0</v>
      </c>
      <c r="BE137" s="23">
        <f t="shared" si="1173"/>
        <v>0</v>
      </c>
      <c r="BF137" s="23">
        <f>+'QTR Raw'!Z57</f>
        <v>0</v>
      </c>
      <c r="BG137" s="23">
        <f t="shared" si="1173"/>
        <v>0</v>
      </c>
      <c r="BH137" s="23">
        <f>+'QTR Raw'!AB57</f>
        <v>0</v>
      </c>
      <c r="BI137" s="23">
        <f t="shared" si="1173"/>
        <v>0</v>
      </c>
      <c r="BJ137" s="23">
        <f>+'QTR Raw'!AD57</f>
        <v>0</v>
      </c>
      <c r="BK137" s="23">
        <f t="shared" si="1173"/>
        <v>0</v>
      </c>
      <c r="BL137" s="23">
        <f>+'QTR Raw'!AF57</f>
        <v>0</v>
      </c>
      <c r="BM137" s="23">
        <f t="shared" si="1173"/>
        <v>0</v>
      </c>
      <c r="BN137" s="23">
        <f>+'QTR Raw'!AH57</f>
        <v>0</v>
      </c>
      <c r="BO137" s="23">
        <f t="shared" si="1173"/>
        <v>0</v>
      </c>
      <c r="BP137" s="23">
        <f>+'QTR Raw'!AJ57</f>
        <v>0</v>
      </c>
      <c r="BQ137" s="23">
        <f t="shared" si="1173"/>
        <v>0</v>
      </c>
      <c r="BR137" s="23">
        <f>+'QTR Raw'!AL57</f>
        <v>0</v>
      </c>
      <c r="BS137" s="23">
        <f t="shared" si="1173"/>
        <v>0</v>
      </c>
      <c r="BT137" s="23">
        <f>+'QTR Raw'!AN57</f>
        <v>0</v>
      </c>
      <c r="BU137" s="23">
        <f t="shared" si="1173"/>
        <v>0</v>
      </c>
      <c r="BV137" s="23">
        <f>+'QTR Raw'!AP57</f>
        <v>0</v>
      </c>
      <c r="BW137" s="23">
        <f t="shared" si="1173"/>
        <v>0</v>
      </c>
      <c r="BX137" s="23">
        <f>+'QTR Raw'!AR57</f>
        <v>0</v>
      </c>
      <c r="BY137" s="23">
        <f t="shared" si="1173"/>
        <v>0</v>
      </c>
      <c r="BZ137" s="23">
        <f>+'QTR Raw'!AT57</f>
        <v>0</v>
      </c>
      <c r="CA137" s="23">
        <f t="shared" si="1173"/>
        <v>0</v>
      </c>
      <c r="CB137" s="23">
        <f>+'QTR Raw'!AV57</f>
        <v>0</v>
      </c>
      <c r="CC137" s="23">
        <f t="shared" si="1173"/>
        <v>0</v>
      </c>
      <c r="CD137" s="23">
        <f>+'QTR Raw'!AX57</f>
        <v>0</v>
      </c>
      <c r="CE137" s="23">
        <f t="shared" si="1173"/>
        <v>0</v>
      </c>
      <c r="CF137" s="23">
        <f>+'QTR Raw'!AZ57</f>
        <v>0</v>
      </c>
      <c r="CG137" s="23">
        <f t="shared" si="1167"/>
        <v>0</v>
      </c>
      <c r="CH137" s="23">
        <f t="shared" ref="CH137:CH138" si="1174">Z137</f>
        <v>34.489800000000002</v>
      </c>
      <c r="CI137" s="23">
        <f>CH137</f>
        <v>34.489800000000002</v>
      </c>
      <c r="CJ137" s="23">
        <f>+'QTR Raw'!BD57</f>
        <v>0</v>
      </c>
      <c r="CK137" s="23">
        <f t="shared" ref="CK137:DB137" si="1175">CJ137</f>
        <v>0</v>
      </c>
      <c r="CL137" s="23">
        <f>+'QTR Raw'!BF57</f>
        <v>0</v>
      </c>
      <c r="CM137" s="24">
        <f t="shared" si="1175"/>
        <v>0</v>
      </c>
      <c r="CN137" s="24">
        <f t="shared" si="1175"/>
        <v>0</v>
      </c>
      <c r="CO137" s="24">
        <f t="shared" si="1175"/>
        <v>0</v>
      </c>
      <c r="CP137" s="24">
        <f t="shared" si="1175"/>
        <v>0</v>
      </c>
      <c r="CQ137" s="24">
        <f t="shared" si="1175"/>
        <v>0</v>
      </c>
      <c r="CR137" s="24">
        <f t="shared" si="1175"/>
        <v>0</v>
      </c>
      <c r="CS137" s="24">
        <f t="shared" si="1175"/>
        <v>0</v>
      </c>
      <c r="CT137" s="24">
        <f t="shared" si="1175"/>
        <v>0</v>
      </c>
      <c r="CU137" s="24">
        <f t="shared" si="1175"/>
        <v>0</v>
      </c>
      <c r="CV137" s="24">
        <f t="shared" si="1175"/>
        <v>0</v>
      </c>
      <c r="CW137" s="24">
        <f t="shared" si="1175"/>
        <v>0</v>
      </c>
      <c r="CX137" s="24">
        <f t="shared" si="1175"/>
        <v>0</v>
      </c>
      <c r="CY137" s="24">
        <f t="shared" si="1175"/>
        <v>0</v>
      </c>
      <c r="CZ137" s="24">
        <f t="shared" si="1175"/>
        <v>0</v>
      </c>
      <c r="DA137" s="24">
        <f t="shared" si="1175"/>
        <v>0</v>
      </c>
      <c r="DB137" s="24">
        <f t="shared" si="1175"/>
        <v>0</v>
      </c>
      <c r="DE137" s="123"/>
      <c r="DF137" s="23">
        <v>25.719200000000001</v>
      </c>
    </row>
    <row r="138" spans="1:110" s="23" customFormat="1" outlineLevel="1" x14ac:dyDescent="0.2">
      <c r="A138" s="23" t="s">
        <v>43</v>
      </c>
      <c r="B138" s="23">
        <f>'Annual Raw'!C43</f>
        <v>0</v>
      </c>
      <c r="C138" s="23">
        <f>'Annual Raw'!D43</f>
        <v>0</v>
      </c>
      <c r="D138" s="23">
        <f>'Annual Raw'!E43</f>
        <v>0</v>
      </c>
      <c r="E138" s="23">
        <f>'Annual Raw'!F43</f>
        <v>0</v>
      </c>
      <c r="F138" s="23">
        <f>'Annual Raw'!G43</f>
        <v>0</v>
      </c>
      <c r="G138" s="23">
        <f>'Annual Raw'!H43</f>
        <v>0</v>
      </c>
      <c r="H138" s="23">
        <f>'Annual Raw'!I43</f>
        <v>0</v>
      </c>
      <c r="I138" s="23">
        <f>'Annual Raw'!J43</f>
        <v>0</v>
      </c>
      <c r="J138" s="23">
        <f>'Annual Raw'!K43</f>
        <v>0</v>
      </c>
      <c r="K138" s="23">
        <f>'Annual Raw'!L43</f>
        <v>3532.3261000000002</v>
      </c>
      <c r="L138" s="23">
        <f>'Annual Raw'!M43</f>
        <v>4014.1761000000001</v>
      </c>
      <c r="M138" s="23">
        <f>'Annual Raw'!N43</f>
        <v>3640.77</v>
      </c>
      <c r="N138" s="23">
        <f>'Annual Raw'!O43</f>
        <v>3612.2354999999998</v>
      </c>
      <c r="O138" s="23">
        <f>'Annual Raw'!P43</f>
        <v>3513.1275000000001</v>
      </c>
      <c r="P138" s="23">
        <f>'Annual Raw'!Q43</f>
        <v>5332.0906000000004</v>
      </c>
      <c r="Q138" s="23">
        <f>'Annual Raw'!R43</f>
        <v>5061.4553999999998</v>
      </c>
      <c r="R138" s="23">
        <f>'Annual Raw'!S43</f>
        <v>5322.1855999999998</v>
      </c>
      <c r="S138" s="23">
        <f>'Annual Raw'!T43</f>
        <v>5432.4450999999999</v>
      </c>
      <c r="T138" s="23">
        <f>'Annual Raw'!U43</f>
        <v>6218.4116000000004</v>
      </c>
      <c r="U138" s="23">
        <f>'Annual Raw'!V43</f>
        <v>6699.5460999999996</v>
      </c>
      <c r="V138" s="23">
        <f>'Annual Raw'!W43</f>
        <v>6919.0829000000003</v>
      </c>
      <c r="W138" s="23">
        <f>'Annual Raw'!X43</f>
        <v>7300.2309999999998</v>
      </c>
      <c r="X138" s="23">
        <f>'Annual Raw'!Y43</f>
        <v>7856.9656999999997</v>
      </c>
      <c r="Y138" s="23">
        <f>'Annual Raw'!Z43</f>
        <v>9970.85</v>
      </c>
      <c r="Z138" s="23">
        <f>'Annual Raw'!AA43</f>
        <v>11312.5177</v>
      </c>
      <c r="AA138" s="23">
        <f>'Annual Raw'!AB43</f>
        <v>12484.573700000001</v>
      </c>
      <c r="AB138" s="24">
        <f t="shared" si="1169"/>
        <v>13617.736987586346</v>
      </c>
      <c r="AC138" s="24">
        <f t="shared" si="1170"/>
        <v>14976.319740171399</v>
      </c>
      <c r="AD138" s="24">
        <f t="shared" si="1171"/>
        <v>16548.942187208188</v>
      </c>
      <c r="AE138" s="24">
        <f t="shared" si="1172"/>
        <v>18377.801412826324</v>
      </c>
      <c r="AJ138" s="23">
        <f>+'QTR Raw'!D58</f>
        <v>3602.35</v>
      </c>
      <c r="AK138" s="23">
        <f>+AJ138+AK67</f>
        <v>3662.38</v>
      </c>
      <c r="AL138" s="23">
        <f>+'QTR Raw'!F58</f>
        <v>3612.24</v>
      </c>
      <c r="AM138" s="23">
        <f>+AL138+AM67</f>
        <v>3627.45</v>
      </c>
      <c r="AN138" s="23">
        <f>+'QTR Raw'!H58</f>
        <v>3710.27</v>
      </c>
      <c r="AO138" s="23">
        <f>+AN138+AO67</f>
        <v>3760.31</v>
      </c>
      <c r="AP138" s="23">
        <f>+'QTR Raw'!J58</f>
        <v>3513.13</v>
      </c>
      <c r="AQ138" s="23">
        <f>+AP138+AQ67</f>
        <v>3568.03</v>
      </c>
      <c r="AR138" s="23">
        <f>+'QTR Raw'!L58</f>
        <v>3949.42</v>
      </c>
      <c r="AS138" s="23">
        <f>+AR138+AS67</f>
        <v>4011.34</v>
      </c>
      <c r="AT138" s="23">
        <f>+'QTR Raw'!N58</f>
        <v>0</v>
      </c>
      <c r="AU138" s="23">
        <f>+AT138+AU67</f>
        <v>97.19999999999996</v>
      </c>
      <c r="AV138" s="23">
        <f>+'QTR Raw'!P58</f>
        <v>4497.41</v>
      </c>
      <c r="AW138" s="23">
        <f>+AV138+AW67</f>
        <v>4481.6399999999994</v>
      </c>
      <c r="AX138" s="23">
        <f>+'QTR Raw'!R58</f>
        <v>5061.46</v>
      </c>
      <c r="AY138" s="23">
        <f>+AX138+AY67</f>
        <v>5127.24</v>
      </c>
      <c r="AZ138" s="23">
        <f>+'QTR Raw'!T58</f>
        <v>5349.89</v>
      </c>
      <c r="BA138" s="23">
        <f>+AZ138+BA67</f>
        <v>5430.56</v>
      </c>
      <c r="BB138" s="23">
        <f>+'QTR Raw'!V58</f>
        <v>5322.19</v>
      </c>
      <c r="BC138" s="23">
        <f>+BB138+BC67</f>
        <v>5386.23</v>
      </c>
      <c r="BD138" s="23">
        <f>+'QTR Raw'!X58</f>
        <v>5581.96</v>
      </c>
      <c r="BE138" s="23">
        <f>+BD138+BE67</f>
        <v>5678.19</v>
      </c>
      <c r="BF138" s="23">
        <f>+'QTR Raw'!Z58</f>
        <v>5432.45</v>
      </c>
      <c r="BG138" s="23">
        <f>+BF138+BG67</f>
        <v>5525.2</v>
      </c>
      <c r="BH138" s="23">
        <f>+'QTR Raw'!AB58</f>
        <v>6003.09</v>
      </c>
      <c r="BI138" s="23">
        <f>+BH138+BI67</f>
        <v>6142</v>
      </c>
      <c r="BJ138" s="23">
        <f>+'QTR Raw'!AD58</f>
        <v>6218.41</v>
      </c>
      <c r="BK138" s="23">
        <f>+BJ138+BK67</f>
        <v>6349.78</v>
      </c>
      <c r="BL138" s="23">
        <f>+'QTR Raw'!AF58</f>
        <v>6572.67</v>
      </c>
      <c r="BM138" s="23">
        <f>+BL138+BM67</f>
        <v>6662.22</v>
      </c>
      <c r="BN138" s="23">
        <f>+'QTR Raw'!AH58</f>
        <v>6699.55</v>
      </c>
      <c r="BO138" s="23">
        <f>+BN138+BO67</f>
        <v>6690.31</v>
      </c>
      <c r="BP138" s="23">
        <f>+'QTR Raw'!AJ58</f>
        <v>6683.89</v>
      </c>
      <c r="BQ138" s="23">
        <f>+BP138+BQ67</f>
        <v>6749.66</v>
      </c>
      <c r="BR138" s="23">
        <f>+'QTR Raw'!AL58</f>
        <v>6919.08</v>
      </c>
      <c r="BS138" s="23">
        <f>+BR138+BS67</f>
        <v>7071.18</v>
      </c>
      <c r="BT138" s="23">
        <f>+'QTR Raw'!AN58</f>
        <v>7138.57</v>
      </c>
      <c r="BU138" s="23">
        <f>+BT138+BU67</f>
        <v>7151.21</v>
      </c>
      <c r="BV138" s="23">
        <f>+'QTR Raw'!AP58</f>
        <v>7300.23</v>
      </c>
      <c r="BW138" s="23">
        <f>+BV138+BW67</f>
        <v>7305.08</v>
      </c>
      <c r="BX138" s="23">
        <f>+'QTR Raw'!AR58</f>
        <v>7292.69</v>
      </c>
      <c r="BY138" s="23">
        <f>+BX138+BY67</f>
        <v>7507.1299999999992</v>
      </c>
      <c r="BZ138" s="23">
        <f>+'QTR Raw'!AT58</f>
        <v>7856.97</v>
      </c>
      <c r="CA138" s="23">
        <f>+BZ138+CA67</f>
        <v>8121.5700000000006</v>
      </c>
      <c r="CB138" s="23">
        <f>+'QTR Raw'!AV58</f>
        <v>8967.2099999999991</v>
      </c>
      <c r="CC138" s="23">
        <f>+CB138+CC67</f>
        <v>9500.42</v>
      </c>
      <c r="CD138" s="23">
        <f>+'QTR Raw'!AX58</f>
        <v>10029.379999999999</v>
      </c>
      <c r="CE138" s="23">
        <f>+CD138+CE67</f>
        <v>10470.439999999999</v>
      </c>
      <c r="CF138" s="23">
        <f>+'QTR Raw'!AZ58</f>
        <v>10846</v>
      </c>
      <c r="CG138" s="23">
        <f>+CF138+CG67</f>
        <v>11352.42</v>
      </c>
      <c r="CH138" s="23">
        <f t="shared" si="1174"/>
        <v>11312.5177</v>
      </c>
      <c r="CI138" s="23">
        <f>CH138+CI67</f>
        <v>11736.5602</v>
      </c>
      <c r="CJ138" s="23">
        <f>+'QTR Raw'!BD58</f>
        <v>12018.96</v>
      </c>
      <c r="CK138" s="23">
        <f t="shared" ref="CK138:DB138" si="1176">CJ138+CK67</f>
        <v>12276.949999999999</v>
      </c>
      <c r="CL138" s="23">
        <f>+'QTR Raw'!BF58</f>
        <v>12510.29</v>
      </c>
      <c r="CM138" s="24">
        <f t="shared" si="1176"/>
        <v>12691.823913663347</v>
      </c>
      <c r="CN138" s="24">
        <f t="shared" si="1176"/>
        <v>12927.141333541107</v>
      </c>
      <c r="CO138" s="24">
        <f t="shared" si="1176"/>
        <v>13267.138384279986</v>
      </c>
      <c r="CP138" s="24">
        <f t="shared" si="1176"/>
        <v>13617.736987586346</v>
      </c>
      <c r="CQ138" s="24">
        <f t="shared" si="1176"/>
        <v>13914.768895291038</v>
      </c>
      <c r="CR138" s="24">
        <f t="shared" si="1176"/>
        <v>14184.988652215889</v>
      </c>
      <c r="CS138" s="24">
        <f t="shared" si="1176"/>
        <v>14574.219992783426</v>
      </c>
      <c r="CT138" s="24">
        <f t="shared" si="1176"/>
        <v>14976.319740171399</v>
      </c>
      <c r="CU138" s="24">
        <f t="shared" si="1176"/>
        <v>15320.71974645748</v>
      </c>
      <c r="CV138" s="24">
        <f t="shared" si="1176"/>
        <v>15636.86764998501</v>
      </c>
      <c r="CW138" s="24">
        <f t="shared" si="1176"/>
        <v>16085.187925444678</v>
      </c>
      <c r="CX138" s="24">
        <f t="shared" si="1176"/>
        <v>16548.942187208188</v>
      </c>
      <c r="CY138" s="24">
        <f t="shared" si="1176"/>
        <v>16950.52533821404</v>
      </c>
      <c r="CZ138" s="24">
        <f t="shared" si="1176"/>
        <v>17322.350418269914</v>
      </c>
      <c r="DA138" s="24">
        <f t="shared" si="1176"/>
        <v>17840.905774826897</v>
      </c>
      <c r="DB138" s="24">
        <f t="shared" si="1176"/>
        <v>18377.801412826324</v>
      </c>
      <c r="DE138" s="123"/>
      <c r="DF138" s="23">
        <v>12484.573700000001</v>
      </c>
    </row>
    <row r="139" spans="1:110" s="22" customFormat="1" x14ac:dyDescent="0.2">
      <c r="A139" s="22" t="s">
        <v>44</v>
      </c>
      <c r="B139" s="22">
        <f>B136+B137+B138</f>
        <v>0</v>
      </c>
      <c r="C139" s="22">
        <f t="shared" ref="C139:V139" si="1177">C136+C137+C138</f>
        <v>0</v>
      </c>
      <c r="D139" s="22">
        <f t="shared" si="1177"/>
        <v>0</v>
      </c>
      <c r="E139" s="22">
        <f t="shared" si="1177"/>
        <v>0</v>
      </c>
      <c r="F139" s="22">
        <f t="shared" si="1177"/>
        <v>0</v>
      </c>
      <c r="G139" s="22">
        <f t="shared" si="1177"/>
        <v>0</v>
      </c>
      <c r="H139" s="22">
        <f t="shared" si="1177"/>
        <v>0</v>
      </c>
      <c r="I139" s="22">
        <f t="shared" si="1177"/>
        <v>0</v>
      </c>
      <c r="J139" s="22">
        <f t="shared" si="1177"/>
        <v>0</v>
      </c>
      <c r="K139" s="22">
        <f t="shared" si="1177"/>
        <v>3687.0495000000001</v>
      </c>
      <c r="L139" s="22">
        <f t="shared" si="1177"/>
        <v>4069.4219000000003</v>
      </c>
      <c r="M139" s="22">
        <f>M136+M137+M138</f>
        <v>3722.6262000000002</v>
      </c>
      <c r="N139" s="22">
        <f t="shared" si="1177"/>
        <v>3667.4812999999999</v>
      </c>
      <c r="O139" s="22">
        <f t="shared" si="1177"/>
        <v>3568.3733000000002</v>
      </c>
      <c r="P139" s="22">
        <f t="shared" si="1177"/>
        <v>5390.0980000000009</v>
      </c>
      <c r="Q139" s="22">
        <f t="shared" si="1177"/>
        <v>5122.3625999999995</v>
      </c>
      <c r="R139" s="22">
        <f t="shared" si="1177"/>
        <v>5386.1374999999998</v>
      </c>
      <c r="S139" s="22">
        <f t="shared" si="1177"/>
        <v>5496.3969999999999</v>
      </c>
      <c r="T139" s="22">
        <f t="shared" si="1177"/>
        <v>6282.3635000000004</v>
      </c>
      <c r="U139" s="22">
        <f t="shared" si="1177"/>
        <v>6763.4979999999996</v>
      </c>
      <c r="V139" s="22">
        <f t="shared" si="1177"/>
        <v>6983.0348000000004</v>
      </c>
      <c r="W139" s="22">
        <f t="shared" ref="W139" si="1178">W136+W137+W138</f>
        <v>7364.1828999999998</v>
      </c>
      <c r="X139" s="22">
        <f t="shared" ref="X139:Y139" si="1179">X136+X137+X138</f>
        <v>7920.9175999999998</v>
      </c>
      <c r="Y139" s="22">
        <f t="shared" si="1179"/>
        <v>10093.3292</v>
      </c>
      <c r="Z139" s="22">
        <f t="shared" ref="Z139:AA139" si="1180">Z136+Z137+Z138</f>
        <v>11410.9594</v>
      </c>
      <c r="AA139" s="22">
        <f t="shared" si="1180"/>
        <v>12574.2448</v>
      </c>
      <c r="AB139" s="21">
        <f t="shared" ref="AB139:AD139" si="1181">AB136+AB137+AB138</f>
        <v>13681.686987586347</v>
      </c>
      <c r="AC139" s="21">
        <f t="shared" si="1181"/>
        <v>15040.269740171399</v>
      </c>
      <c r="AD139" s="21">
        <f t="shared" si="1181"/>
        <v>16612.892187208188</v>
      </c>
      <c r="AE139" s="21">
        <f t="shared" ref="AE139" si="1182">AE136+AE137+AE138</f>
        <v>18441.751412826325</v>
      </c>
      <c r="AJ139" s="22">
        <f t="shared" ref="AJ139" si="1183">AJ136+AJ137+AJ138</f>
        <v>3657.6</v>
      </c>
      <c r="AK139" s="22">
        <f t="shared" ref="AK139" si="1184">AK136+AK137+AK138</f>
        <v>3717.63</v>
      </c>
      <c r="AL139" s="22">
        <f t="shared" ref="AL139:AM139" si="1185">AL136+AL137+AL138</f>
        <v>3667.49</v>
      </c>
      <c r="AM139" s="22">
        <f t="shared" si="1185"/>
        <v>3682.7</v>
      </c>
      <c r="AN139" s="22">
        <f t="shared" ref="AN139:AO139" si="1186">AN136+AN137+AN138</f>
        <v>3765.52</v>
      </c>
      <c r="AO139" s="22">
        <f t="shared" si="1186"/>
        <v>3815.56</v>
      </c>
      <c r="AP139" s="22">
        <f t="shared" ref="AP139:CE139" si="1187">AP136+AP137+AP138</f>
        <v>3568.38</v>
      </c>
      <c r="AQ139" s="22">
        <f t="shared" si="1187"/>
        <v>3623.28</v>
      </c>
      <c r="AR139" s="22">
        <f t="shared" si="1187"/>
        <v>4004.67</v>
      </c>
      <c r="AS139" s="22">
        <f t="shared" si="1187"/>
        <v>4066.59</v>
      </c>
      <c r="AT139" s="22">
        <f t="shared" si="1187"/>
        <v>5431.25</v>
      </c>
      <c r="AU139" s="22">
        <f t="shared" si="1187"/>
        <v>5528.45</v>
      </c>
      <c r="AV139" s="22">
        <f t="shared" si="1187"/>
        <v>4558.32</v>
      </c>
      <c r="AW139" s="22">
        <f t="shared" si="1187"/>
        <v>4542.5499999999993</v>
      </c>
      <c r="AX139" s="22">
        <f t="shared" si="1187"/>
        <v>5122.37</v>
      </c>
      <c r="AY139" s="22">
        <f t="shared" si="1187"/>
        <v>5188.1499999999996</v>
      </c>
      <c r="AZ139" s="22">
        <f t="shared" si="1187"/>
        <v>5413.84</v>
      </c>
      <c r="BA139" s="22">
        <f t="shared" si="1187"/>
        <v>5494.51</v>
      </c>
      <c r="BB139" s="22">
        <f t="shared" si="1187"/>
        <v>5386.1399999999994</v>
      </c>
      <c r="BC139" s="22">
        <f t="shared" si="1187"/>
        <v>5450.1799999999994</v>
      </c>
      <c r="BD139" s="22">
        <f t="shared" si="1187"/>
        <v>5645.91</v>
      </c>
      <c r="BE139" s="22">
        <f t="shared" si="1187"/>
        <v>5742.1399999999994</v>
      </c>
      <c r="BF139" s="22">
        <f t="shared" si="1187"/>
        <v>5496.4</v>
      </c>
      <c r="BG139" s="22">
        <f t="shared" si="1187"/>
        <v>5589.15</v>
      </c>
      <c r="BH139" s="22">
        <f t="shared" si="1187"/>
        <v>6067.04</v>
      </c>
      <c r="BI139" s="22">
        <f t="shared" si="1187"/>
        <v>6205.95</v>
      </c>
      <c r="BJ139" s="22">
        <f t="shared" si="1187"/>
        <v>6282.36</v>
      </c>
      <c r="BK139" s="22">
        <f t="shared" si="1187"/>
        <v>6413.73</v>
      </c>
      <c r="BL139" s="22">
        <f t="shared" si="1187"/>
        <v>6636.62</v>
      </c>
      <c r="BM139" s="22">
        <f t="shared" si="1187"/>
        <v>6726.17</v>
      </c>
      <c r="BN139" s="22">
        <f t="shared" si="1187"/>
        <v>6763.5</v>
      </c>
      <c r="BO139" s="22">
        <f t="shared" si="1187"/>
        <v>6754.26</v>
      </c>
      <c r="BP139" s="22">
        <f t="shared" si="1187"/>
        <v>6747.84</v>
      </c>
      <c r="BQ139" s="22">
        <f t="shared" si="1187"/>
        <v>6813.61</v>
      </c>
      <c r="BR139" s="22">
        <f t="shared" si="1187"/>
        <v>6983.03</v>
      </c>
      <c r="BS139" s="22">
        <f t="shared" si="1187"/>
        <v>7135.13</v>
      </c>
      <c r="BT139" s="22">
        <f t="shared" si="1187"/>
        <v>7202.5199999999995</v>
      </c>
      <c r="BU139" s="22">
        <f t="shared" si="1187"/>
        <v>7215.16</v>
      </c>
      <c r="BV139" s="22">
        <f t="shared" si="1187"/>
        <v>7364.1799999999994</v>
      </c>
      <c r="BW139" s="22">
        <f t="shared" si="1187"/>
        <v>7369.03</v>
      </c>
      <c r="BX139" s="22">
        <f t="shared" si="1187"/>
        <v>7356.6399999999994</v>
      </c>
      <c r="BY139" s="22">
        <f t="shared" si="1187"/>
        <v>7571.079999999999</v>
      </c>
      <c r="BZ139" s="22">
        <f t="shared" si="1187"/>
        <v>7920.92</v>
      </c>
      <c r="CA139" s="22">
        <f t="shared" si="1187"/>
        <v>8185.52</v>
      </c>
      <c r="CB139" s="22">
        <f t="shared" si="1187"/>
        <v>9031.16</v>
      </c>
      <c r="CC139" s="22">
        <f t="shared" si="1187"/>
        <v>9564.3700000000008</v>
      </c>
      <c r="CD139" s="22">
        <f t="shared" si="1187"/>
        <v>10093.33</v>
      </c>
      <c r="CE139" s="22">
        <f t="shared" si="1187"/>
        <v>10534.39</v>
      </c>
      <c r="CF139" s="22">
        <f t="shared" ref="CF139:CG139" si="1188">CF136+CF137+CF138</f>
        <v>10909.95</v>
      </c>
      <c r="CG139" s="22">
        <f t="shared" si="1188"/>
        <v>11416.37</v>
      </c>
      <c r="CH139" s="22">
        <f t="shared" ref="CH139:CI139" si="1189">CH136+CH137+CH138</f>
        <v>11410.9594</v>
      </c>
      <c r="CI139" s="22">
        <f t="shared" si="1189"/>
        <v>11835.001899999999</v>
      </c>
      <c r="CJ139" s="22">
        <f t="shared" ref="CJ139:DB139" si="1190">CJ136+CJ137+CJ138</f>
        <v>12082.91</v>
      </c>
      <c r="CK139" s="22">
        <f t="shared" si="1190"/>
        <v>12340.9</v>
      </c>
      <c r="CL139" s="22">
        <f t="shared" ref="CL139" si="1191">CL136+CL137+CL138</f>
        <v>12574.240000000002</v>
      </c>
      <c r="CM139" s="21">
        <f t="shared" si="1190"/>
        <v>12755.773913663348</v>
      </c>
      <c r="CN139" s="21">
        <f t="shared" si="1190"/>
        <v>12991.091333541108</v>
      </c>
      <c r="CO139" s="21">
        <f t="shared" si="1190"/>
        <v>13331.088384279987</v>
      </c>
      <c r="CP139" s="21">
        <f t="shared" si="1190"/>
        <v>13681.686987586347</v>
      </c>
      <c r="CQ139" s="21">
        <f t="shared" si="1190"/>
        <v>13978.718895291038</v>
      </c>
      <c r="CR139" s="21">
        <f t="shared" si="1190"/>
        <v>14248.938652215889</v>
      </c>
      <c r="CS139" s="21">
        <f t="shared" si="1190"/>
        <v>14638.169992783427</v>
      </c>
      <c r="CT139" s="21">
        <f t="shared" si="1190"/>
        <v>15040.269740171399</v>
      </c>
      <c r="CU139" s="21">
        <f t="shared" si="1190"/>
        <v>15384.669746457481</v>
      </c>
      <c r="CV139" s="21">
        <f t="shared" si="1190"/>
        <v>15700.817649985011</v>
      </c>
      <c r="CW139" s="21">
        <f t="shared" si="1190"/>
        <v>16149.137925444678</v>
      </c>
      <c r="CX139" s="21">
        <f t="shared" si="1190"/>
        <v>16612.892187208188</v>
      </c>
      <c r="CY139" s="21">
        <f t="shared" si="1190"/>
        <v>17014.475338214041</v>
      </c>
      <c r="CZ139" s="21">
        <f t="shared" si="1190"/>
        <v>17386.300418269915</v>
      </c>
      <c r="DA139" s="21">
        <f t="shared" si="1190"/>
        <v>17904.855774826898</v>
      </c>
      <c r="DB139" s="21">
        <f t="shared" si="1190"/>
        <v>18441.751412826325</v>
      </c>
      <c r="DE139" s="126"/>
      <c r="DF139" s="22">
        <v>12574.2448</v>
      </c>
    </row>
    <row r="140" spans="1:110" s="22" customFormat="1" x14ac:dyDescent="0.2">
      <c r="AB140" s="21"/>
      <c r="AC140" s="21"/>
      <c r="AD140" s="21"/>
      <c r="AE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E140" s="126"/>
    </row>
    <row r="141" spans="1:110" s="23" customFormat="1" x14ac:dyDescent="0.2">
      <c r="A141" s="23" t="s">
        <v>23</v>
      </c>
      <c r="B141" s="23">
        <f>'Annual Raw'!C45</f>
        <v>0</v>
      </c>
      <c r="C141" s="23">
        <f>'Annual Raw'!D45</f>
        <v>0</v>
      </c>
      <c r="D141" s="23">
        <f>'Annual Raw'!E45</f>
        <v>0</v>
      </c>
      <c r="E141" s="23">
        <f>'Annual Raw'!F45</f>
        <v>0</v>
      </c>
      <c r="F141" s="23">
        <f>'Annual Raw'!G45</f>
        <v>0</v>
      </c>
      <c r="G141" s="23">
        <f>'Annual Raw'!H45</f>
        <v>0</v>
      </c>
      <c r="H141" s="23">
        <f>'Annual Raw'!I45</f>
        <v>0</v>
      </c>
      <c r="I141" s="23">
        <f>'Annual Raw'!J45</f>
        <v>0</v>
      </c>
      <c r="J141" s="23">
        <f>'Annual Raw'!K45</f>
        <v>0</v>
      </c>
      <c r="K141" s="23">
        <f>'Annual Raw'!L45</f>
        <v>6.6771000000000003</v>
      </c>
      <c r="L141" s="23">
        <f>'Annual Raw'!M45</f>
        <v>22.004200000000001</v>
      </c>
      <c r="M141" s="23">
        <f>'Annual Raw'!N45</f>
        <v>30.8019</v>
      </c>
      <c r="N141" s="23">
        <f>'Annual Raw'!O45</f>
        <v>197.976</v>
      </c>
      <c r="O141" s="23">
        <f>'Annual Raw'!P45</f>
        <v>157.83109999999999</v>
      </c>
      <c r="P141" s="23">
        <f>'Annual Raw'!Q45</f>
        <v>44.940399999999997</v>
      </c>
      <c r="Q141" s="23">
        <f>'Annual Raw'!R45</f>
        <v>-5.9771999999999998</v>
      </c>
      <c r="R141" s="23">
        <f>'Annual Raw'!S45</f>
        <v>-126.6046</v>
      </c>
      <c r="S141" s="23">
        <f>'Annual Raw'!T45</f>
        <v>-296.4008</v>
      </c>
      <c r="T141" s="23">
        <f>'Annual Raw'!U45</f>
        <v>-382.25259999999997</v>
      </c>
      <c r="U141" s="23">
        <f>'Annual Raw'!V45</f>
        <v>-474.58069999999998</v>
      </c>
      <c r="V141" s="23">
        <f>'Annual Raw'!W45</f>
        <v>-443.60090000000002</v>
      </c>
      <c r="W141" s="23">
        <f>'Annual Raw'!X45</f>
        <v>-515.04459999999995</v>
      </c>
      <c r="X141" s="23">
        <f>'Annual Raw'!Y45</f>
        <v>-642.0127</v>
      </c>
      <c r="Y141" s="23">
        <f>'Annual Raw'!Z45</f>
        <v>-726.18209999999999</v>
      </c>
      <c r="Z141" s="23">
        <f>'Annual Raw'!AA45</f>
        <v>-456.8775</v>
      </c>
      <c r="AA141" s="23">
        <f>'Annual Raw'!AB45</f>
        <v>-291.52719999999999</v>
      </c>
      <c r="AB141" s="24">
        <f>+CP141</f>
        <v>-291.52999999999997</v>
      </c>
      <c r="AC141" s="24">
        <f>+CT141</f>
        <v>-291.52999999999997</v>
      </c>
      <c r="AD141" s="24">
        <f>+CX141</f>
        <v>-291.52999999999997</v>
      </c>
      <c r="AE141" s="24">
        <f>+DB141</f>
        <v>-291.52999999999997</v>
      </c>
      <c r="AJ141" s="23">
        <f>+'QTR Raw'!D60</f>
        <v>0</v>
      </c>
      <c r="AK141" s="23">
        <f t="shared" ref="AK141:CE141" si="1192">+AJ141</f>
        <v>0</v>
      </c>
      <c r="AL141" s="23">
        <f>+'QTR Raw'!F60</f>
        <v>197.98</v>
      </c>
      <c r="AM141" s="23">
        <f t="shared" si="1192"/>
        <v>197.98</v>
      </c>
      <c r="AN141" s="23">
        <f>+'QTR Raw'!H60</f>
        <v>0</v>
      </c>
      <c r="AO141" s="23">
        <f t="shared" si="1192"/>
        <v>0</v>
      </c>
      <c r="AP141" s="23">
        <f>+'QTR Raw'!J60</f>
        <v>157.83000000000001</v>
      </c>
      <c r="AQ141" s="23">
        <f t="shared" si="1192"/>
        <v>157.83000000000001</v>
      </c>
      <c r="AR141" s="23">
        <f>+'QTR Raw'!L60</f>
        <v>0</v>
      </c>
      <c r="AS141" s="23">
        <f t="shared" si="1192"/>
        <v>0</v>
      </c>
      <c r="AT141" s="23">
        <f>+'QTR Raw'!N60</f>
        <v>45.45</v>
      </c>
      <c r="AU141" s="23">
        <f t="shared" si="1192"/>
        <v>45.45</v>
      </c>
      <c r="AV141" s="23">
        <f>+'QTR Raw'!P60</f>
        <v>0</v>
      </c>
      <c r="AW141" s="23">
        <f t="shared" si="1192"/>
        <v>0</v>
      </c>
      <c r="AX141" s="23">
        <f>+'QTR Raw'!R60</f>
        <v>-5.98</v>
      </c>
      <c r="AY141" s="23">
        <f t="shared" si="1192"/>
        <v>-5.98</v>
      </c>
      <c r="AZ141" s="23">
        <f>+'QTR Raw'!T60</f>
        <v>0</v>
      </c>
      <c r="BA141" s="23">
        <f t="shared" si="1192"/>
        <v>0</v>
      </c>
      <c r="BB141" s="23">
        <f>+'QTR Raw'!V60</f>
        <v>-126.6</v>
      </c>
      <c r="BC141" s="23">
        <f t="shared" si="1192"/>
        <v>-126.6</v>
      </c>
      <c r="BD141" s="23">
        <f>+'QTR Raw'!X60</f>
        <v>0</v>
      </c>
      <c r="BE141" s="23">
        <f t="shared" si="1192"/>
        <v>0</v>
      </c>
      <c r="BF141" s="23">
        <f>+'QTR Raw'!Z60</f>
        <v>-296.39999999999998</v>
      </c>
      <c r="BG141" s="23">
        <f t="shared" si="1192"/>
        <v>-296.39999999999998</v>
      </c>
      <c r="BH141" s="22">
        <f>+'QTR Raw'!AB60</f>
        <v>0</v>
      </c>
      <c r="BI141" s="23">
        <f t="shared" si="1192"/>
        <v>0</v>
      </c>
      <c r="BJ141" s="23">
        <f>+'QTR Raw'!AD60</f>
        <v>-382.25</v>
      </c>
      <c r="BK141" s="23">
        <f t="shared" si="1192"/>
        <v>-382.25</v>
      </c>
      <c r="BL141" s="23">
        <f>+'QTR Raw'!AF60</f>
        <v>-445.84</v>
      </c>
      <c r="BM141" s="23">
        <f t="shared" si="1192"/>
        <v>-445.84</v>
      </c>
      <c r="BN141" s="23">
        <f>+'QTR Raw'!AH60</f>
        <v>-474.58</v>
      </c>
      <c r="BO141" s="23">
        <f t="shared" si="1192"/>
        <v>-474.58</v>
      </c>
      <c r="BP141" s="23">
        <f>+'QTR Raw'!AJ60</f>
        <v>-484.7</v>
      </c>
      <c r="BQ141" s="23">
        <f t="shared" si="1192"/>
        <v>-484.7</v>
      </c>
      <c r="BR141" s="23">
        <f>+'QTR Raw'!AL60</f>
        <v>-443.6</v>
      </c>
      <c r="BS141" s="23">
        <f t="shared" si="1192"/>
        <v>-443.6</v>
      </c>
      <c r="BT141" s="23">
        <f>+'QTR Raw'!AN60</f>
        <v>-495.69</v>
      </c>
      <c r="BU141" s="23">
        <f t="shared" si="1192"/>
        <v>-495.69</v>
      </c>
      <c r="BV141" s="23">
        <f>+'QTR Raw'!AP60</f>
        <v>-515.04</v>
      </c>
      <c r="BW141" s="23">
        <f t="shared" si="1192"/>
        <v>-515.04</v>
      </c>
      <c r="BX141" s="23">
        <f>+'QTR Raw'!AR60</f>
        <v>-513.84</v>
      </c>
      <c r="BY141" s="23">
        <f t="shared" si="1192"/>
        <v>-513.84</v>
      </c>
      <c r="BZ141" s="23">
        <f>+'QTR Raw'!AT60</f>
        <v>-642.01</v>
      </c>
      <c r="CA141" s="23">
        <f t="shared" si="1192"/>
        <v>-642.01</v>
      </c>
      <c r="CB141" s="23">
        <f>+'QTR Raw'!AV60</f>
        <v>-684.38</v>
      </c>
      <c r="CC141" s="23">
        <f t="shared" si="1192"/>
        <v>-684.38</v>
      </c>
      <c r="CD141" s="23">
        <f>+'QTR Raw'!AX60</f>
        <v>-726.18</v>
      </c>
      <c r="CE141" s="23">
        <f t="shared" si="1192"/>
        <v>-726.18</v>
      </c>
      <c r="CF141" s="23">
        <f>+'QTR Raw'!AZ60</f>
        <v>-775.11</v>
      </c>
      <c r="CG141" s="23">
        <f t="shared" ref="CG141:CI141" si="1193">+CF141</f>
        <v>-775.11</v>
      </c>
      <c r="CH141" s="23">
        <f t="shared" ref="CH141:CH146" si="1194">Z141</f>
        <v>-456.8775</v>
      </c>
      <c r="CI141" s="23">
        <f t="shared" si="1193"/>
        <v>-456.8775</v>
      </c>
      <c r="CJ141" s="23">
        <f>+'QTR Raw'!BD60</f>
        <v>-265.41000000000003</v>
      </c>
      <c r="CK141" s="23">
        <f t="shared" ref="CK141" si="1195">+CJ141</f>
        <v>-265.41000000000003</v>
      </c>
      <c r="CL141" s="23">
        <f>+'QTR Raw'!BF60</f>
        <v>-291.52999999999997</v>
      </c>
      <c r="CM141" s="24">
        <f t="shared" ref="CM141" si="1196">+CL141</f>
        <v>-291.52999999999997</v>
      </c>
      <c r="CN141" s="24">
        <f t="shared" ref="CN141" si="1197">+CM141</f>
        <v>-291.52999999999997</v>
      </c>
      <c r="CO141" s="24">
        <f t="shared" ref="CO141" si="1198">+CN141</f>
        <v>-291.52999999999997</v>
      </c>
      <c r="CP141" s="24">
        <f t="shared" ref="CP141" si="1199">+CO141</f>
        <v>-291.52999999999997</v>
      </c>
      <c r="CQ141" s="24">
        <f t="shared" ref="CQ141" si="1200">+CP141</f>
        <v>-291.52999999999997</v>
      </c>
      <c r="CR141" s="24">
        <f t="shared" ref="CR141" si="1201">+CQ141</f>
        <v>-291.52999999999997</v>
      </c>
      <c r="CS141" s="24">
        <f t="shared" ref="CS141" si="1202">+CR141</f>
        <v>-291.52999999999997</v>
      </c>
      <c r="CT141" s="24">
        <f t="shared" ref="CT141" si="1203">+CS141</f>
        <v>-291.52999999999997</v>
      </c>
      <c r="CU141" s="24">
        <f t="shared" ref="CU141" si="1204">+CT141</f>
        <v>-291.52999999999997</v>
      </c>
      <c r="CV141" s="24">
        <f t="shared" ref="CV141" si="1205">+CU141</f>
        <v>-291.52999999999997</v>
      </c>
      <c r="CW141" s="24">
        <f t="shared" ref="CW141" si="1206">+CV141</f>
        <v>-291.52999999999997</v>
      </c>
      <c r="CX141" s="24">
        <f t="shared" ref="CX141" si="1207">+CW141</f>
        <v>-291.52999999999997</v>
      </c>
      <c r="CY141" s="24">
        <f t="shared" ref="CY141" si="1208">+CX141</f>
        <v>-291.52999999999997</v>
      </c>
      <c r="CZ141" s="24">
        <f t="shared" ref="CZ141" si="1209">+CY141</f>
        <v>-291.52999999999997</v>
      </c>
      <c r="DA141" s="24">
        <f t="shared" ref="DA141" si="1210">+CZ141</f>
        <v>-291.52999999999997</v>
      </c>
      <c r="DB141" s="24">
        <f t="shared" ref="DB141" si="1211">+DA141</f>
        <v>-291.52999999999997</v>
      </c>
      <c r="DE141" s="123"/>
      <c r="DF141" s="23">
        <v>-291.52719999999999</v>
      </c>
    </row>
    <row r="142" spans="1:110" s="23" customFormat="1" x14ac:dyDescent="0.2">
      <c r="AB142" s="24"/>
      <c r="AC142" s="24"/>
      <c r="AD142" s="24"/>
      <c r="AE142" s="24"/>
      <c r="BH142" s="22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45</v>
      </c>
      <c r="B143" s="23">
        <f>'Annual Raw'!C47</f>
        <v>0</v>
      </c>
      <c r="C143" s="23">
        <f>'Annual Raw'!D47</f>
        <v>0</v>
      </c>
      <c r="D143" s="23">
        <f>'Annual Raw'!E47</f>
        <v>0</v>
      </c>
      <c r="E143" s="23">
        <f>'Annual Raw'!F47</f>
        <v>0</v>
      </c>
      <c r="F143" s="23">
        <f>'Annual Raw'!G47</f>
        <v>0</v>
      </c>
      <c r="G143" s="23">
        <f>'Annual Raw'!H47</f>
        <v>0</v>
      </c>
      <c r="H143" s="23">
        <f>'Annual Raw'!I47</f>
        <v>0</v>
      </c>
      <c r="I143" s="23">
        <f>'Annual Raw'!J47</f>
        <v>0</v>
      </c>
      <c r="J143" s="23">
        <f>'Annual Raw'!K47</f>
        <v>0</v>
      </c>
      <c r="K143" s="23">
        <f>'Annual Raw'!L47</f>
        <v>419.12650000000002</v>
      </c>
      <c r="L143" s="23">
        <f>'Annual Raw'!M47</f>
        <v>424.5831</v>
      </c>
      <c r="M143" s="23">
        <f>'Annual Raw'!N47</f>
        <v>1161.8077000000001</v>
      </c>
      <c r="N143" s="23">
        <f>'Annual Raw'!O47</f>
        <v>1998.5661</v>
      </c>
      <c r="O143" s="23">
        <f>'Annual Raw'!P47</f>
        <v>2556.3789999999999</v>
      </c>
      <c r="P143" s="23">
        <f>'Annual Raw'!Q47</f>
        <v>3598.9771000000001</v>
      </c>
      <c r="Q143" s="23">
        <f>'Annual Raw'!R47</f>
        <v>3512.6278000000002</v>
      </c>
      <c r="R143" s="23">
        <f>'Annual Raw'!S47</f>
        <v>2499.7734</v>
      </c>
      <c r="S143" s="23">
        <f>'Annual Raw'!T47</f>
        <v>2370.7060000000001</v>
      </c>
      <c r="T143" s="23">
        <f>'Annual Raw'!U47</f>
        <v>2118.9367999999999</v>
      </c>
      <c r="U143" s="23">
        <f>'Annual Raw'!V47</f>
        <v>1794.5243</v>
      </c>
      <c r="V143" s="23">
        <f>'Annual Raw'!W47</f>
        <v>1738.7784999999999</v>
      </c>
      <c r="W143" s="23">
        <f>'Annual Raw'!X47</f>
        <v>1253.1877999999999</v>
      </c>
      <c r="X143" s="23">
        <f>'Annual Raw'!Y47</f>
        <v>1168.8725999999999</v>
      </c>
      <c r="Y143" s="23">
        <f>'Annual Raw'!Z47</f>
        <v>1465.4181000000001</v>
      </c>
      <c r="Z143" s="23">
        <f>'Annual Raw'!AA47</f>
        <v>681.33249999999998</v>
      </c>
      <c r="AA143" s="23">
        <f>'Annual Raw'!AB47</f>
        <v>598.84</v>
      </c>
      <c r="AB143" s="24">
        <f t="shared" ref="AB143:AB146" si="1212">+CP143</f>
        <v>0</v>
      </c>
      <c r="AC143" s="24">
        <f t="shared" ref="AC143:AC146" si="1213">+CT143</f>
        <v>0</v>
      </c>
      <c r="AD143" s="24">
        <f t="shared" ref="AD143:AD146" si="1214">+CX143</f>
        <v>0</v>
      </c>
      <c r="AE143" s="24">
        <f t="shared" ref="AE143:AE146" si="1215">+DB143</f>
        <v>0</v>
      </c>
      <c r="AJ143" s="23">
        <f>+'QTR Raw'!D62</f>
        <v>0</v>
      </c>
      <c r="AK143" s="23">
        <f t="shared" ref="AK143:CC146" si="1216">+AJ143</f>
        <v>0</v>
      </c>
      <c r="AL143" s="23">
        <f>+'QTR Raw'!F62</f>
        <v>0</v>
      </c>
      <c r="AM143" s="23">
        <f t="shared" si="1216"/>
        <v>0</v>
      </c>
      <c r="AN143" s="23">
        <f>+'QTR Raw'!H62</f>
        <v>0</v>
      </c>
      <c r="AO143" s="23">
        <f t="shared" si="1216"/>
        <v>0</v>
      </c>
      <c r="AP143" s="23">
        <f>+'QTR Raw'!J62</f>
        <v>0</v>
      </c>
      <c r="AQ143" s="23">
        <f t="shared" si="1216"/>
        <v>0</v>
      </c>
      <c r="AR143" s="23">
        <f>+'QTR Raw'!L62</f>
        <v>0</v>
      </c>
      <c r="AS143" s="23">
        <f t="shared" si="1216"/>
        <v>0</v>
      </c>
      <c r="AT143" s="23">
        <f>+'QTR Raw'!N62</f>
        <v>0</v>
      </c>
      <c r="AU143" s="23">
        <f t="shared" si="1216"/>
        <v>0</v>
      </c>
      <c r="AV143" s="23">
        <f>+'QTR Raw'!P62</f>
        <v>0</v>
      </c>
      <c r="AW143" s="23">
        <f t="shared" si="1216"/>
        <v>0</v>
      </c>
      <c r="AX143" s="23">
        <f>+'QTR Raw'!R62</f>
        <v>0</v>
      </c>
      <c r="AY143" s="23">
        <f t="shared" si="1216"/>
        <v>0</v>
      </c>
      <c r="AZ143" s="23">
        <f>+'QTR Raw'!T62</f>
        <v>0</v>
      </c>
      <c r="BA143" s="23">
        <f t="shared" si="1216"/>
        <v>0</v>
      </c>
      <c r="BB143" s="23">
        <f>+'QTR Raw'!V62</f>
        <v>0</v>
      </c>
      <c r="BC143" s="23">
        <f t="shared" si="1216"/>
        <v>0</v>
      </c>
      <c r="BD143" s="23">
        <f>+'QTR Raw'!X62</f>
        <v>0</v>
      </c>
      <c r="BE143" s="23">
        <f t="shared" si="1216"/>
        <v>0</v>
      </c>
      <c r="BF143" s="23">
        <f>+'QTR Raw'!Z62</f>
        <v>0</v>
      </c>
      <c r="BG143" s="23">
        <f t="shared" si="1216"/>
        <v>0</v>
      </c>
      <c r="BH143" s="22">
        <f>+'QTR Raw'!AB62</f>
        <v>0</v>
      </c>
      <c r="BI143" s="23">
        <f t="shared" si="1216"/>
        <v>0</v>
      </c>
      <c r="BJ143" s="23">
        <f>+'QTR Raw'!AD62</f>
        <v>0</v>
      </c>
      <c r="BK143" s="23">
        <f t="shared" si="1216"/>
        <v>0</v>
      </c>
      <c r="BL143" s="23">
        <f>+'QTR Raw'!AF62</f>
        <v>0</v>
      </c>
      <c r="BM143" s="23">
        <f t="shared" si="1216"/>
        <v>0</v>
      </c>
      <c r="BN143" s="23">
        <f>+'QTR Raw'!AH62</f>
        <v>0</v>
      </c>
      <c r="BO143" s="23">
        <f t="shared" si="1216"/>
        <v>0</v>
      </c>
      <c r="BP143" s="23">
        <f>+'QTR Raw'!AJ62</f>
        <v>0</v>
      </c>
      <c r="BQ143" s="23">
        <f t="shared" si="1216"/>
        <v>0</v>
      </c>
      <c r="BR143" s="23">
        <f>+'QTR Raw'!AL62</f>
        <v>0</v>
      </c>
      <c r="BS143" s="23">
        <f t="shared" si="1216"/>
        <v>0</v>
      </c>
      <c r="BT143" s="23">
        <f>+'QTR Raw'!AN62</f>
        <v>0</v>
      </c>
      <c r="BU143" s="23">
        <f t="shared" si="1216"/>
        <v>0</v>
      </c>
      <c r="BV143" s="23">
        <f>+'QTR Raw'!AP62</f>
        <v>0</v>
      </c>
      <c r="BW143" s="23">
        <f t="shared" si="1216"/>
        <v>0</v>
      </c>
      <c r="BX143" s="23">
        <f>+'QTR Raw'!AR62</f>
        <v>0</v>
      </c>
      <c r="BY143" s="23">
        <f t="shared" si="1216"/>
        <v>0</v>
      </c>
      <c r="BZ143" s="23">
        <f>+'QTR Raw'!AT62</f>
        <v>0</v>
      </c>
      <c r="CA143" s="23">
        <f t="shared" si="1216"/>
        <v>0</v>
      </c>
      <c r="CB143" s="23">
        <f>+'QTR Raw'!AV62</f>
        <v>0</v>
      </c>
      <c r="CC143" s="23">
        <f t="shared" si="1216"/>
        <v>0</v>
      </c>
      <c r="CD143" s="23">
        <f>+'QTR Raw'!AX62</f>
        <v>0</v>
      </c>
      <c r="CE143" s="23">
        <f t="shared" ref="CE143:CE146" si="1217">+CD143</f>
        <v>0</v>
      </c>
      <c r="CF143" s="23">
        <f>+'QTR Raw'!AZ62</f>
        <v>0</v>
      </c>
      <c r="CG143" s="23">
        <f t="shared" ref="CG143:CI146" si="1218">+CF143</f>
        <v>0</v>
      </c>
      <c r="CH143" s="23">
        <f t="shared" si="1194"/>
        <v>681.33249999999998</v>
      </c>
      <c r="CI143" s="23">
        <f t="shared" si="1218"/>
        <v>681.33249999999998</v>
      </c>
      <c r="CJ143" s="23">
        <f>+'QTR Raw'!BD62</f>
        <v>0</v>
      </c>
      <c r="CK143" s="23">
        <f t="shared" ref="CK143:CK146" si="1219">+CJ143</f>
        <v>0</v>
      </c>
      <c r="CL143" s="23">
        <f>+'QTR Raw'!BF62</f>
        <v>0</v>
      </c>
      <c r="CM143" s="24">
        <f t="shared" ref="CM143:CM145" si="1220">+CL143</f>
        <v>0</v>
      </c>
      <c r="CN143" s="24">
        <f t="shared" ref="CN143:CN145" si="1221">+CM143</f>
        <v>0</v>
      </c>
      <c r="CO143" s="24">
        <f t="shared" ref="CO143:CO145" si="1222">+CN143</f>
        <v>0</v>
      </c>
      <c r="CP143" s="24">
        <f t="shared" ref="CP143:CP145" si="1223">+CO143</f>
        <v>0</v>
      </c>
      <c r="CQ143" s="24">
        <f t="shared" ref="CQ143:CQ145" si="1224">+CP143</f>
        <v>0</v>
      </c>
      <c r="CR143" s="24">
        <f t="shared" ref="CR143:CR145" si="1225">+CQ143</f>
        <v>0</v>
      </c>
      <c r="CS143" s="24">
        <f t="shared" ref="CS143:CS145" si="1226">+CR143</f>
        <v>0</v>
      </c>
      <c r="CT143" s="24">
        <f t="shared" ref="CT143:CT145" si="1227">+CS143</f>
        <v>0</v>
      </c>
      <c r="CU143" s="24">
        <f t="shared" ref="CU143:CU145" si="1228">+CT143</f>
        <v>0</v>
      </c>
      <c r="CV143" s="24">
        <f t="shared" ref="CV143:CV145" si="1229">+CU143</f>
        <v>0</v>
      </c>
      <c r="CW143" s="24">
        <f t="shared" ref="CW143:CW145" si="1230">+CV143</f>
        <v>0</v>
      </c>
      <c r="CX143" s="24">
        <f t="shared" ref="CX143:CX145" si="1231">+CW143</f>
        <v>0</v>
      </c>
      <c r="CY143" s="24">
        <f t="shared" ref="CY143:CY145" si="1232">+CX143</f>
        <v>0</v>
      </c>
      <c r="CZ143" s="24">
        <f t="shared" ref="CZ143:CZ145" si="1233">+CY143</f>
        <v>0</v>
      </c>
      <c r="DA143" s="24">
        <f t="shared" ref="DA143:DA145" si="1234">+CZ143</f>
        <v>0</v>
      </c>
      <c r="DB143" s="24">
        <f t="shared" ref="DB143:DB145" si="1235">+DA143</f>
        <v>0</v>
      </c>
      <c r="DE143" s="123"/>
      <c r="DF143" s="23">
        <v>598.84</v>
      </c>
    </row>
    <row r="144" spans="1:110" s="23" customFormat="1" outlineLevel="1" x14ac:dyDescent="0.2">
      <c r="A144" s="23" t="s">
        <v>46</v>
      </c>
      <c r="B144" s="23">
        <f>'Annual Raw'!C48</f>
        <v>0</v>
      </c>
      <c r="C144" s="23">
        <f>'Annual Raw'!D48</f>
        <v>0</v>
      </c>
      <c r="D144" s="23">
        <f>'Annual Raw'!E48</f>
        <v>0</v>
      </c>
      <c r="E144" s="23">
        <f>'Annual Raw'!F48</f>
        <v>0</v>
      </c>
      <c r="F144" s="23">
        <f>'Annual Raw'!G48</f>
        <v>0</v>
      </c>
      <c r="G144" s="23">
        <f>'Annual Raw'!H48</f>
        <v>0</v>
      </c>
      <c r="H144" s="23">
        <f>'Annual Raw'!I48</f>
        <v>0</v>
      </c>
      <c r="I144" s="23">
        <f>'Annual Raw'!J48</f>
        <v>0</v>
      </c>
      <c r="J144" s="23">
        <f>'Annual Raw'!K48</f>
        <v>0</v>
      </c>
      <c r="K144" s="23">
        <f>'Annual Raw'!L48</f>
        <v>661.53319999999997</v>
      </c>
      <c r="L144" s="23">
        <f>'Annual Raw'!M48</f>
        <v>302.0573</v>
      </c>
      <c r="M144" s="23">
        <f>'Annual Raw'!N48</f>
        <v>731.67370000000005</v>
      </c>
      <c r="N144" s="23">
        <f>'Annual Raw'!O48</f>
        <v>845.22180000000003</v>
      </c>
      <c r="O144" s="23">
        <f>'Annual Raw'!P48</f>
        <v>936.31849999999997</v>
      </c>
      <c r="P144" s="23">
        <f>'Annual Raw'!Q48</f>
        <v>776.61760000000004</v>
      </c>
      <c r="Q144" s="23">
        <f>'Annual Raw'!R48</f>
        <v>534.48310000000004</v>
      </c>
      <c r="R144" s="23">
        <f>'Annual Raw'!S48</f>
        <v>802.45339999999999</v>
      </c>
      <c r="S144" s="23">
        <f>'Annual Raw'!T48</f>
        <v>940.74940000000004</v>
      </c>
      <c r="T144" s="23">
        <f>'Annual Raw'!U48</f>
        <v>514.18769999999995</v>
      </c>
      <c r="U144" s="23">
        <f>'Annual Raw'!V48</f>
        <v>566.13689999999997</v>
      </c>
      <c r="V144" s="23">
        <f>'Annual Raw'!W48</f>
        <v>559.50220000000002</v>
      </c>
      <c r="W144" s="23">
        <f>'Annual Raw'!X48</f>
        <v>579.44629999999995</v>
      </c>
      <c r="X144" s="23">
        <f>'Annual Raw'!Y48</f>
        <v>653.34130000000005</v>
      </c>
      <c r="Y144" s="23">
        <f>'Annual Raw'!Z48</f>
        <v>642.23059999999998</v>
      </c>
      <c r="Z144" s="23">
        <f>'Annual Raw'!AA48</f>
        <v>901.93560000000002</v>
      </c>
      <c r="AA144" s="23">
        <f>'Annual Raw'!AB48</f>
        <v>891.57129999999995</v>
      </c>
      <c r="AB144" s="24">
        <f t="shared" si="1212"/>
        <v>1490.41</v>
      </c>
      <c r="AC144" s="24">
        <f t="shared" si="1213"/>
        <v>1490.41</v>
      </c>
      <c r="AD144" s="24">
        <f t="shared" si="1214"/>
        <v>1490.41</v>
      </c>
      <c r="AE144" s="24">
        <f t="shared" si="1215"/>
        <v>1490.41</v>
      </c>
      <c r="AJ144" s="23">
        <f>+'QTR Raw'!D63</f>
        <v>1166.93</v>
      </c>
      <c r="AK144" s="23">
        <f t="shared" si="1216"/>
        <v>1166.93</v>
      </c>
      <c r="AL144" s="23">
        <f>+'QTR Raw'!F63</f>
        <v>2843.79</v>
      </c>
      <c r="AM144" s="23">
        <f t="shared" si="1216"/>
        <v>2843.79</v>
      </c>
      <c r="AN144" s="23">
        <f>+'QTR Raw'!H63</f>
        <v>1612.35</v>
      </c>
      <c r="AO144" s="23">
        <f t="shared" si="1216"/>
        <v>1612.35</v>
      </c>
      <c r="AP144" s="23">
        <f>+'QTR Raw'!J63</f>
        <v>3492.7</v>
      </c>
      <c r="AQ144" s="23">
        <f t="shared" si="1216"/>
        <v>3492.7</v>
      </c>
      <c r="AR144" s="23">
        <f>+'QTR Raw'!L63</f>
        <v>1612.18</v>
      </c>
      <c r="AS144" s="23">
        <f t="shared" si="1216"/>
        <v>1612.18</v>
      </c>
      <c r="AT144" s="23">
        <f>+'QTR Raw'!N63</f>
        <v>4375.59</v>
      </c>
      <c r="AU144" s="23">
        <f t="shared" si="1216"/>
        <v>4375.59</v>
      </c>
      <c r="AV144" s="23">
        <f>+'QTR Raw'!P63</f>
        <v>2095.65</v>
      </c>
      <c r="AW144" s="23">
        <f t="shared" si="1216"/>
        <v>2095.65</v>
      </c>
      <c r="AX144" s="23">
        <f>+'QTR Raw'!R63</f>
        <v>4047.11</v>
      </c>
      <c r="AY144" s="23">
        <f t="shared" si="1216"/>
        <v>4047.11</v>
      </c>
      <c r="AZ144" s="23">
        <f>+'QTR Raw'!T63</f>
        <v>1849.85</v>
      </c>
      <c r="BA144" s="23">
        <f t="shared" si="1216"/>
        <v>1849.85</v>
      </c>
      <c r="BB144" s="23">
        <f>+'QTR Raw'!V63</f>
        <v>3302.23</v>
      </c>
      <c r="BC144" s="23">
        <f t="shared" si="1216"/>
        <v>3302.23</v>
      </c>
      <c r="BD144" s="23">
        <f>+'QTR Raw'!X63</f>
        <v>1902.35</v>
      </c>
      <c r="BE144" s="23">
        <f t="shared" si="1216"/>
        <v>1902.35</v>
      </c>
      <c r="BF144" s="23">
        <f>+'QTR Raw'!Z63</f>
        <v>3311.46</v>
      </c>
      <c r="BG144" s="23">
        <f t="shared" si="1216"/>
        <v>3311.46</v>
      </c>
      <c r="BH144" s="23">
        <f>+'QTR Raw'!AB63</f>
        <v>1664.28</v>
      </c>
      <c r="BI144" s="23">
        <f t="shared" si="1216"/>
        <v>1664.28</v>
      </c>
      <c r="BJ144" s="23">
        <f>+'QTR Raw'!AD63</f>
        <v>2633.12</v>
      </c>
      <c r="BK144" s="23">
        <f t="shared" si="1216"/>
        <v>2633.12</v>
      </c>
      <c r="BL144" s="23">
        <f>+'QTR Raw'!AF63</f>
        <v>2411.7199999999998</v>
      </c>
      <c r="BM144" s="23">
        <f t="shared" si="1216"/>
        <v>2411.7199999999998</v>
      </c>
      <c r="BN144" s="23">
        <f>+'QTR Raw'!AH63</f>
        <v>2360.66</v>
      </c>
      <c r="BO144" s="23">
        <f t="shared" si="1216"/>
        <v>2360.66</v>
      </c>
      <c r="BP144" s="23">
        <f>+'QTR Raw'!AJ63</f>
        <v>2185.33</v>
      </c>
      <c r="BQ144" s="23">
        <f t="shared" si="1216"/>
        <v>2185.33</v>
      </c>
      <c r="BR144" s="23">
        <f>+'QTR Raw'!AL63</f>
        <v>2298.2800000000002</v>
      </c>
      <c r="BS144" s="23">
        <f t="shared" si="1216"/>
        <v>2298.2800000000002</v>
      </c>
      <c r="BT144" s="23">
        <f>+'QTR Raw'!AN63</f>
        <v>2188.29</v>
      </c>
      <c r="BU144" s="23">
        <f t="shared" si="1216"/>
        <v>2188.29</v>
      </c>
      <c r="BV144" s="23">
        <f>+'QTR Raw'!AP63</f>
        <v>1832.63</v>
      </c>
      <c r="BW144" s="23">
        <f t="shared" si="1216"/>
        <v>1832.63</v>
      </c>
      <c r="BX144" s="23">
        <f>+'QTR Raw'!AR63</f>
        <v>1921.33</v>
      </c>
      <c r="BY144" s="23">
        <f t="shared" si="1216"/>
        <v>1921.33</v>
      </c>
      <c r="BZ144" s="23">
        <f>+'QTR Raw'!AT63</f>
        <v>1822.21</v>
      </c>
      <c r="CA144" s="23">
        <f t="shared" si="1216"/>
        <v>1822.21</v>
      </c>
      <c r="CB144" s="23">
        <f>+'QTR Raw'!AV63</f>
        <v>2564.48</v>
      </c>
      <c r="CC144" s="23">
        <f t="shared" si="1216"/>
        <v>2564.48</v>
      </c>
      <c r="CD144" s="23">
        <f>+'QTR Raw'!AX63</f>
        <v>2107.65</v>
      </c>
      <c r="CE144" s="23">
        <f t="shared" si="1217"/>
        <v>2107.65</v>
      </c>
      <c r="CF144" s="23">
        <f>+'QTR Raw'!AZ63</f>
        <v>1399.7</v>
      </c>
      <c r="CG144" s="23">
        <f t="shared" si="1218"/>
        <v>1399.7</v>
      </c>
      <c r="CH144" s="23">
        <f t="shared" si="1194"/>
        <v>901.93560000000002</v>
      </c>
      <c r="CI144" s="23">
        <f t="shared" si="1218"/>
        <v>901.93560000000002</v>
      </c>
      <c r="CJ144" s="23">
        <f>+'QTR Raw'!BD63</f>
        <v>1546.41</v>
      </c>
      <c r="CK144" s="23">
        <f t="shared" si="1219"/>
        <v>1546.41</v>
      </c>
      <c r="CL144" s="23">
        <f>+'QTR Raw'!BF63</f>
        <v>1490.41</v>
      </c>
      <c r="CM144" s="24">
        <f t="shared" si="1220"/>
        <v>1490.41</v>
      </c>
      <c r="CN144" s="24">
        <f t="shared" si="1221"/>
        <v>1490.41</v>
      </c>
      <c r="CO144" s="24">
        <f t="shared" si="1222"/>
        <v>1490.41</v>
      </c>
      <c r="CP144" s="24">
        <f t="shared" si="1223"/>
        <v>1490.41</v>
      </c>
      <c r="CQ144" s="24">
        <f t="shared" si="1224"/>
        <v>1490.41</v>
      </c>
      <c r="CR144" s="24">
        <f t="shared" si="1225"/>
        <v>1490.41</v>
      </c>
      <c r="CS144" s="24">
        <f t="shared" si="1226"/>
        <v>1490.41</v>
      </c>
      <c r="CT144" s="24">
        <f t="shared" si="1227"/>
        <v>1490.41</v>
      </c>
      <c r="CU144" s="24">
        <f t="shared" si="1228"/>
        <v>1490.41</v>
      </c>
      <c r="CV144" s="24">
        <f t="shared" si="1229"/>
        <v>1490.41</v>
      </c>
      <c r="CW144" s="24">
        <f t="shared" si="1230"/>
        <v>1490.41</v>
      </c>
      <c r="CX144" s="24">
        <f t="shared" si="1231"/>
        <v>1490.41</v>
      </c>
      <c r="CY144" s="24">
        <f t="shared" si="1232"/>
        <v>1490.41</v>
      </c>
      <c r="CZ144" s="24">
        <f t="shared" si="1233"/>
        <v>1490.41</v>
      </c>
      <c r="DA144" s="24">
        <f t="shared" si="1234"/>
        <v>1490.41</v>
      </c>
      <c r="DB144" s="24">
        <f t="shared" si="1235"/>
        <v>1490.41</v>
      </c>
      <c r="DE144" s="123"/>
      <c r="DF144" s="23">
        <v>891.57129999999995</v>
      </c>
    </row>
    <row r="145" spans="1:110" s="23" customFormat="1" outlineLevel="1" x14ac:dyDescent="0.2">
      <c r="A145" s="23" t="s">
        <v>47</v>
      </c>
      <c r="B145" s="23">
        <f>'Annual Raw'!C87+'Annual Raw'!C88+'Annual Raw'!C89+'Annual Raw'!C90</f>
        <v>0</v>
      </c>
      <c r="C145" s="23">
        <f>'Annual Raw'!D87+'Annual Raw'!D88+'Annual Raw'!D89+'Annual Raw'!D90</f>
        <v>0</v>
      </c>
      <c r="D145" s="23">
        <f>'Annual Raw'!E87+'Annual Raw'!E88+'Annual Raw'!E89+'Annual Raw'!E90</f>
        <v>0</v>
      </c>
      <c r="E145" s="23">
        <f>'Annual Raw'!F87+'Annual Raw'!F88+'Annual Raw'!F89+'Annual Raw'!F90</f>
        <v>0</v>
      </c>
      <c r="F145" s="23">
        <f>'Annual Raw'!G87+'Annual Raw'!G88+'Annual Raw'!G89+'Annual Raw'!G90</f>
        <v>0</v>
      </c>
      <c r="G145" s="23">
        <f>'Annual Raw'!H87+'Annual Raw'!H88+'Annual Raw'!H89+'Annual Raw'!H90</f>
        <v>0</v>
      </c>
      <c r="H145" s="23">
        <f>'Annual Raw'!I87+'Annual Raw'!I88+'Annual Raw'!I89+'Annual Raw'!I90</f>
        <v>0</v>
      </c>
      <c r="I145" s="23">
        <f>'Annual Raw'!J87+'Annual Raw'!J88+'Annual Raw'!J89+'Annual Raw'!J90</f>
        <v>0</v>
      </c>
      <c r="J145" s="23">
        <f>'Annual Raw'!K87+'Annual Raw'!K88+'Annual Raw'!K89+'Annual Raw'!K90</f>
        <v>0</v>
      </c>
      <c r="K145" s="23">
        <f>'Annual Raw'!L87+'Annual Raw'!L88+'Annual Raw'!L89+'Annual Raw'!L90</f>
        <v>0</v>
      </c>
      <c r="L145" s="23">
        <f>'Annual Raw'!M87+'Annual Raw'!M88+'Annual Raw'!M89+'Annual Raw'!M90</f>
        <v>370.43209999999999</v>
      </c>
      <c r="M145" s="23">
        <f>'Annual Raw'!N87+'Annual Raw'!N88+'Annual Raw'!N89+'Annual Raw'!N90</f>
        <v>59.229100000000003</v>
      </c>
      <c r="N145" s="23">
        <f>'Annual Raw'!O87+'Annual Raw'!O88+'Annual Raw'!O89+'Annual Raw'!O90</f>
        <v>213.13489999999999</v>
      </c>
      <c r="O145" s="23">
        <f>'Annual Raw'!P87+'Annual Raw'!P88+'Annual Raw'!P89+'Annual Raw'!P90</f>
        <v>214.07480000000001</v>
      </c>
      <c r="P145" s="23">
        <f>'Annual Raw'!Q87+'Annual Raw'!Q88+'Annual Raw'!Q89+'Annual Raw'!Q90</f>
        <v>497.13670000000002</v>
      </c>
      <c r="Q145" s="23">
        <f>'Annual Raw'!R87+'Annual Raw'!R88+'Annual Raw'!R89+'Annual Raw'!R90</f>
        <v>567.65679999999998</v>
      </c>
      <c r="R145" s="23">
        <f>'Annual Raw'!S87+'Annual Raw'!S88+'Annual Raw'!S89+'Annual Raw'!S90</f>
        <v>721.6816</v>
      </c>
      <c r="S145" s="23">
        <f>'Annual Raw'!T87+'Annual Raw'!T88+'Annual Raw'!T89+'Annual Raw'!T90</f>
        <v>274.27889999999996</v>
      </c>
      <c r="T145" s="23">
        <f>'Annual Raw'!U87+'Annual Raw'!U88+'Annual Raw'!U89+'Annual Raw'!U90</f>
        <v>375.30379999999997</v>
      </c>
      <c r="U145" s="23">
        <f>'Annual Raw'!V87+'Annual Raw'!V88+'Annual Raw'!V89+'Annual Raw'!V90</f>
        <v>460.91469999999998</v>
      </c>
      <c r="V145" s="23">
        <f>'Annual Raw'!W87+'Annual Raw'!W88+'Annual Raw'!W89+'Annual Raw'!W90</f>
        <v>698.02</v>
      </c>
      <c r="W145" s="23">
        <f>'Annual Raw'!X87+'Annual Raw'!X88+'Annual Raw'!X89+'Annual Raw'!X90</f>
        <v>517.07899999999995</v>
      </c>
      <c r="X145" s="23">
        <f>'Annual Raw'!Y87+'Annual Raw'!Y88+'Annual Raw'!Y89+'Annual Raw'!Y90</f>
        <v>403.60820000000001</v>
      </c>
      <c r="Y145" s="23">
        <f>'Annual Raw'!Z87+'Annual Raw'!Z88+'Annual Raw'!Z89+'Annual Raw'!Z90</f>
        <v>620.83399999999995</v>
      </c>
      <c r="Z145" s="23">
        <f>'Annual Raw'!AA87+'Annual Raw'!AA88+'Annual Raw'!AA89+'Annual Raw'!AA90</f>
        <v>399.92989999999998</v>
      </c>
      <c r="AA145" s="23">
        <f>'Annual Raw'!AB87+'Annual Raw'!AB88+'Annual Raw'!AB89+'Annual Raw'!AB90</f>
        <v>92.876300000000001</v>
      </c>
      <c r="AB145" s="24">
        <f t="shared" si="1212"/>
        <v>0</v>
      </c>
      <c r="AC145" s="24">
        <f t="shared" si="1213"/>
        <v>0</v>
      </c>
      <c r="AD145" s="24">
        <f t="shared" si="1214"/>
        <v>0</v>
      </c>
      <c r="AE145" s="24">
        <f t="shared" si="1215"/>
        <v>0</v>
      </c>
      <c r="AJ145" s="23">
        <f>+'QTR Raw'!D90</f>
        <v>0</v>
      </c>
      <c r="AK145" s="23">
        <f t="shared" si="1216"/>
        <v>0</v>
      </c>
      <c r="AL145" s="23">
        <f>+'QTR Raw'!F90</f>
        <v>0</v>
      </c>
      <c r="AM145" s="23">
        <f t="shared" si="1216"/>
        <v>0</v>
      </c>
      <c r="AN145" s="23">
        <f>+'QTR Raw'!H90</f>
        <v>0</v>
      </c>
      <c r="AO145" s="23">
        <f t="shared" si="1216"/>
        <v>0</v>
      </c>
      <c r="AP145" s="23">
        <f>+'QTR Raw'!J90</f>
        <v>0</v>
      </c>
      <c r="AQ145" s="23">
        <f t="shared" si="1216"/>
        <v>0</v>
      </c>
      <c r="AR145" s="23">
        <f>+'QTR Raw'!L90</f>
        <v>0</v>
      </c>
      <c r="AS145" s="23">
        <f t="shared" si="1216"/>
        <v>0</v>
      </c>
      <c r="AT145" s="23">
        <f>+'QTR Raw'!N90</f>
        <v>0</v>
      </c>
      <c r="AU145" s="23">
        <f t="shared" si="1216"/>
        <v>0</v>
      </c>
      <c r="AV145" s="23">
        <f>+'QTR Raw'!P90</f>
        <v>0</v>
      </c>
      <c r="AW145" s="23">
        <f t="shared" si="1216"/>
        <v>0</v>
      </c>
      <c r="AX145" s="23">
        <f>+'QTR Raw'!R90</f>
        <v>0</v>
      </c>
      <c r="AY145" s="23">
        <f t="shared" si="1216"/>
        <v>0</v>
      </c>
      <c r="AZ145" s="23">
        <f>+'QTR Raw'!T90</f>
        <v>0</v>
      </c>
      <c r="BA145" s="23">
        <f t="shared" si="1216"/>
        <v>0</v>
      </c>
      <c r="BB145" s="23">
        <f>+'QTR Raw'!V90</f>
        <v>0</v>
      </c>
      <c r="BC145" s="23">
        <f t="shared" si="1216"/>
        <v>0</v>
      </c>
      <c r="BD145" s="23">
        <f>+'QTR Raw'!X90</f>
        <v>0</v>
      </c>
      <c r="BE145" s="23">
        <f t="shared" si="1216"/>
        <v>0</v>
      </c>
      <c r="BF145" s="23">
        <f>+'QTR Raw'!Z90</f>
        <v>0</v>
      </c>
      <c r="BG145" s="23">
        <f t="shared" si="1216"/>
        <v>0</v>
      </c>
      <c r="BH145" s="22">
        <f>+'QTR Raw'!AB90</f>
        <v>0</v>
      </c>
      <c r="BI145" s="23">
        <f t="shared" si="1216"/>
        <v>0</v>
      </c>
      <c r="BJ145" s="23">
        <f>+'QTR Raw'!AD90</f>
        <v>0</v>
      </c>
      <c r="BK145" s="23">
        <f t="shared" si="1216"/>
        <v>0</v>
      </c>
      <c r="BL145" s="23">
        <f>+'QTR Raw'!AF90</f>
        <v>0</v>
      </c>
      <c r="BM145" s="23">
        <f t="shared" si="1216"/>
        <v>0</v>
      </c>
      <c r="BN145" s="23">
        <f>+'QTR Raw'!AH90</f>
        <v>0</v>
      </c>
      <c r="BO145" s="23">
        <f t="shared" si="1216"/>
        <v>0</v>
      </c>
      <c r="BP145" s="23">
        <f>+'QTR Raw'!AJ90</f>
        <v>0</v>
      </c>
      <c r="BQ145" s="23">
        <f t="shared" si="1216"/>
        <v>0</v>
      </c>
      <c r="BR145" s="23">
        <f>+'QTR Raw'!AL90</f>
        <v>0</v>
      </c>
      <c r="BS145" s="23">
        <f t="shared" si="1216"/>
        <v>0</v>
      </c>
      <c r="BT145" s="23">
        <f>+'QTR Raw'!AN90</f>
        <v>0</v>
      </c>
      <c r="BU145" s="23">
        <f t="shared" si="1216"/>
        <v>0</v>
      </c>
      <c r="BV145" s="23">
        <f>+'QTR Raw'!AP90</f>
        <v>0</v>
      </c>
      <c r="BW145" s="23">
        <f t="shared" si="1216"/>
        <v>0</v>
      </c>
      <c r="BX145" s="23">
        <f>+'QTR Raw'!AR90</f>
        <v>0</v>
      </c>
      <c r="BY145" s="23">
        <f t="shared" si="1216"/>
        <v>0</v>
      </c>
      <c r="BZ145" s="23">
        <f>+'QTR Raw'!AT90</f>
        <v>0</v>
      </c>
      <c r="CA145" s="23">
        <f t="shared" si="1216"/>
        <v>0</v>
      </c>
      <c r="CB145" s="23">
        <f>+'QTR Raw'!AV90</f>
        <v>0</v>
      </c>
      <c r="CC145" s="23">
        <f t="shared" si="1216"/>
        <v>0</v>
      </c>
      <c r="CD145" s="23">
        <f>+'QTR Raw'!AX90</f>
        <v>0</v>
      </c>
      <c r="CE145" s="23">
        <f t="shared" si="1217"/>
        <v>0</v>
      </c>
      <c r="CF145" s="23">
        <f>+'QTR Raw'!AZ90</f>
        <v>0</v>
      </c>
      <c r="CG145" s="23">
        <f t="shared" si="1218"/>
        <v>0</v>
      </c>
      <c r="CH145" s="23">
        <f>+Z145</f>
        <v>399.92989999999998</v>
      </c>
      <c r="CI145" s="23">
        <f t="shared" si="1218"/>
        <v>399.92989999999998</v>
      </c>
      <c r="CJ145" s="23">
        <f>+'QTR Raw'!BD90</f>
        <v>0</v>
      </c>
      <c r="CK145" s="23">
        <f t="shared" si="1219"/>
        <v>0</v>
      </c>
      <c r="CL145" s="23">
        <f>+'QTR Raw'!BF90</f>
        <v>0</v>
      </c>
      <c r="CM145" s="24">
        <f t="shared" si="1220"/>
        <v>0</v>
      </c>
      <c r="CN145" s="24">
        <f t="shared" si="1221"/>
        <v>0</v>
      </c>
      <c r="CO145" s="24">
        <f t="shared" si="1222"/>
        <v>0</v>
      </c>
      <c r="CP145" s="24">
        <f t="shared" si="1223"/>
        <v>0</v>
      </c>
      <c r="CQ145" s="24">
        <f t="shared" si="1224"/>
        <v>0</v>
      </c>
      <c r="CR145" s="24">
        <f t="shared" si="1225"/>
        <v>0</v>
      </c>
      <c r="CS145" s="24">
        <f t="shared" si="1226"/>
        <v>0</v>
      </c>
      <c r="CT145" s="24">
        <f t="shared" si="1227"/>
        <v>0</v>
      </c>
      <c r="CU145" s="24">
        <f t="shared" si="1228"/>
        <v>0</v>
      </c>
      <c r="CV145" s="24">
        <f t="shared" si="1229"/>
        <v>0</v>
      </c>
      <c r="CW145" s="24">
        <f t="shared" si="1230"/>
        <v>0</v>
      </c>
      <c r="CX145" s="24">
        <f t="shared" si="1231"/>
        <v>0</v>
      </c>
      <c r="CY145" s="24">
        <f t="shared" si="1232"/>
        <v>0</v>
      </c>
      <c r="CZ145" s="24">
        <f t="shared" si="1233"/>
        <v>0</v>
      </c>
      <c r="DA145" s="24">
        <f t="shared" si="1234"/>
        <v>0</v>
      </c>
      <c r="DB145" s="24">
        <f t="shared" si="1235"/>
        <v>0</v>
      </c>
      <c r="DE145" s="123"/>
      <c r="DF145" s="23">
        <v>92.876300000000001</v>
      </c>
    </row>
    <row r="146" spans="1:110" s="23" customFormat="1" outlineLevel="1" x14ac:dyDescent="0.2">
      <c r="A146" s="23" t="s">
        <v>48</v>
      </c>
      <c r="B146" s="23">
        <f>'Annual Raw'!C56</f>
        <v>0</v>
      </c>
      <c r="C146" s="23">
        <f>'Annual Raw'!D56</f>
        <v>0</v>
      </c>
      <c r="D146" s="23">
        <f>'Annual Raw'!E56</f>
        <v>0</v>
      </c>
      <c r="E146" s="23">
        <f>'Annual Raw'!F56</f>
        <v>0</v>
      </c>
      <c r="F146" s="23">
        <f>'Annual Raw'!G56</f>
        <v>0</v>
      </c>
      <c r="G146" s="23">
        <f>'Annual Raw'!H56</f>
        <v>0</v>
      </c>
      <c r="H146" s="23">
        <f>'Annual Raw'!I56</f>
        <v>0</v>
      </c>
      <c r="I146" s="23">
        <f>'Annual Raw'!J56</f>
        <v>0</v>
      </c>
      <c r="J146" s="23">
        <f>'Annual Raw'!K56</f>
        <v>0</v>
      </c>
      <c r="K146" s="23">
        <f>'Annual Raw'!L56</f>
        <v>0</v>
      </c>
      <c r="L146" s="23">
        <f>'Annual Raw'!M56</f>
        <v>1191.7701</v>
      </c>
      <c r="M146" s="23">
        <f>'Annual Raw'!N56</f>
        <v>1633.8071</v>
      </c>
      <c r="N146" s="23">
        <f>'Annual Raw'!O56</f>
        <v>2102.4214999999999</v>
      </c>
      <c r="O146" s="23">
        <f>'Annual Raw'!P56</f>
        <v>2282.2058000000002</v>
      </c>
      <c r="P146" s="23">
        <f>'Annual Raw'!Q56</f>
        <v>3229.4735999999998</v>
      </c>
      <c r="Q146" s="23">
        <f>'Annual Raw'!R56</f>
        <v>2932.3624</v>
      </c>
      <c r="R146" s="23">
        <f>'Annual Raw'!S56</f>
        <v>2197.9928</v>
      </c>
      <c r="S146" s="23">
        <f>'Annual Raw'!T56</f>
        <v>2761.9758000000002</v>
      </c>
      <c r="T146" s="23">
        <f>'Annual Raw'!U56</f>
        <v>2706.9077000000002</v>
      </c>
      <c r="U146" s="23">
        <f>'Annual Raw'!V56</f>
        <v>2573.7910999999999</v>
      </c>
      <c r="V146" s="23">
        <f>'Annual Raw'!W56</f>
        <v>2087.0529999999999</v>
      </c>
      <c r="W146" s="23">
        <f>'Annual Raw'!X56</f>
        <v>3437.4976000000001</v>
      </c>
      <c r="X146" s="23">
        <f>'Annual Raw'!Y56</f>
        <v>2556.3867</v>
      </c>
      <c r="Y146" s="23">
        <f>'Annual Raw'!Z56</f>
        <v>2858.06</v>
      </c>
      <c r="Z146" s="23">
        <f>'Annual Raw'!AA56</f>
        <v>2662.5643</v>
      </c>
      <c r="AA146" s="23">
        <f>'Annual Raw'!AB56</f>
        <v>2456.7618000000002</v>
      </c>
      <c r="AB146" s="24">
        <f t="shared" si="1212"/>
        <v>2149.64</v>
      </c>
      <c r="AC146" s="24">
        <f t="shared" si="1213"/>
        <v>1749.6399999999999</v>
      </c>
      <c r="AD146" s="24">
        <f t="shared" si="1214"/>
        <v>1349.6399999999999</v>
      </c>
      <c r="AE146" s="24">
        <f t="shared" si="1215"/>
        <v>949.63999999999987</v>
      </c>
      <c r="AJ146" s="23">
        <f>+'QTR Raw'!D88</f>
        <v>1903.5</v>
      </c>
      <c r="AK146" s="23">
        <f t="shared" si="1216"/>
        <v>1903.5</v>
      </c>
      <c r="AL146" s="23">
        <f>+'QTR Raw'!F88</f>
        <v>2102.42</v>
      </c>
      <c r="AM146" s="23">
        <f t="shared" si="1216"/>
        <v>2102.42</v>
      </c>
      <c r="AN146" s="23">
        <f>+'QTR Raw'!H88</f>
        <v>2042.42</v>
      </c>
      <c r="AO146" s="23">
        <f t="shared" si="1216"/>
        <v>2042.42</v>
      </c>
      <c r="AP146" s="23">
        <f>+'QTR Raw'!J88</f>
        <v>2282.1999999999998</v>
      </c>
      <c r="AQ146" s="23">
        <f t="shared" si="1216"/>
        <v>2282.1999999999998</v>
      </c>
      <c r="AR146" s="23">
        <f>+'QTR Raw'!L88</f>
        <v>1934.17</v>
      </c>
      <c r="AS146" s="23">
        <f t="shared" si="1216"/>
        <v>1934.17</v>
      </c>
      <c r="AT146" s="23">
        <f>+'QTR Raw'!N88</f>
        <v>3229.47</v>
      </c>
      <c r="AU146" s="23">
        <f t="shared" si="1216"/>
        <v>3229.47</v>
      </c>
      <c r="AV146" s="23">
        <f>+'QTR Raw'!P88</f>
        <v>2452.5300000000002</v>
      </c>
      <c r="AW146" s="23">
        <f t="shared" si="1216"/>
        <v>2452.5300000000002</v>
      </c>
      <c r="AX146" s="23">
        <f>+'QTR Raw'!R88</f>
        <v>2932.36</v>
      </c>
      <c r="AY146" s="23">
        <f t="shared" si="1216"/>
        <v>2932.36</v>
      </c>
      <c r="AZ146" s="23">
        <f>+'QTR Raw'!T88</f>
        <v>2042.17</v>
      </c>
      <c r="BA146" s="23">
        <f t="shared" si="1216"/>
        <v>2042.17</v>
      </c>
      <c r="BB146" s="23">
        <f>+'QTR Raw'!V88</f>
        <v>2197.9899999999998</v>
      </c>
      <c r="BC146" s="23">
        <f t="shared" si="1216"/>
        <v>2197.9899999999998</v>
      </c>
      <c r="BD146" s="23">
        <f>+'QTR Raw'!X88</f>
        <v>2282.6799999999998</v>
      </c>
      <c r="BE146" s="23">
        <f t="shared" si="1216"/>
        <v>2282.6799999999998</v>
      </c>
      <c r="BF146" s="23">
        <f>+'QTR Raw'!Z88</f>
        <v>2725.53</v>
      </c>
      <c r="BG146" s="23">
        <f t="shared" si="1216"/>
        <v>2725.53</v>
      </c>
      <c r="BH146" s="23">
        <f>+'QTR Raw'!AB88</f>
        <v>1980.17</v>
      </c>
      <c r="BI146" s="23">
        <f t="shared" si="1216"/>
        <v>1980.17</v>
      </c>
      <c r="BJ146" s="23">
        <f>+'QTR Raw'!AD88</f>
        <v>2683.87</v>
      </c>
      <c r="BK146" s="23">
        <f t="shared" si="1216"/>
        <v>2683.87</v>
      </c>
      <c r="BL146" s="23">
        <f>+'QTR Raw'!AF88</f>
        <v>2869.05</v>
      </c>
      <c r="BM146" s="23">
        <f t="shared" si="1216"/>
        <v>2869.05</v>
      </c>
      <c r="BN146" s="23">
        <f>+'QTR Raw'!AH88</f>
        <v>2550</v>
      </c>
      <c r="BO146" s="23">
        <f t="shared" si="1216"/>
        <v>2550</v>
      </c>
      <c r="BP146" s="23">
        <f>+'QTR Raw'!AJ88</f>
        <v>2781.32</v>
      </c>
      <c r="BQ146" s="23">
        <f t="shared" si="1216"/>
        <v>2781.32</v>
      </c>
      <c r="BR146" s="23">
        <f>+'QTR Raw'!AL88</f>
        <v>2785.07</v>
      </c>
      <c r="BS146" s="23">
        <f t="shared" si="1216"/>
        <v>2785.07</v>
      </c>
      <c r="BT146" s="23">
        <f>+'QTR Raw'!AN88</f>
        <v>3162.76</v>
      </c>
      <c r="BU146" s="23">
        <f t="shared" si="1216"/>
        <v>3162.76</v>
      </c>
      <c r="BV146" s="23">
        <f>+'QTR Raw'!AP88</f>
        <v>3954.58</v>
      </c>
      <c r="BW146" s="23">
        <f t="shared" si="1216"/>
        <v>3954.58</v>
      </c>
      <c r="BX146" s="23">
        <f>+'QTR Raw'!AR88</f>
        <v>4052</v>
      </c>
      <c r="BY146" s="23">
        <f t="shared" si="1216"/>
        <v>4052</v>
      </c>
      <c r="BZ146" s="23">
        <f>+'QTR Raw'!AT88</f>
        <v>2959.99</v>
      </c>
      <c r="CA146" s="23">
        <f t="shared" si="1216"/>
        <v>2959.99</v>
      </c>
      <c r="CB146" s="23">
        <f>+'QTR Raw'!AV88</f>
        <v>3378.89</v>
      </c>
      <c r="CC146" s="23">
        <f t="shared" si="1216"/>
        <v>3378.89</v>
      </c>
      <c r="CD146" s="23">
        <f>+'QTR Raw'!AX88</f>
        <v>3478.89</v>
      </c>
      <c r="CE146" s="23">
        <f t="shared" si="1217"/>
        <v>3478.89</v>
      </c>
      <c r="CF146" s="23">
        <f>+'QTR Raw'!AZ88</f>
        <v>3911.16</v>
      </c>
      <c r="CG146" s="23">
        <f t="shared" si="1218"/>
        <v>3911.16</v>
      </c>
      <c r="CH146" s="23">
        <f t="shared" si="1194"/>
        <v>2662.5643</v>
      </c>
      <c r="CI146" s="23">
        <f t="shared" si="1218"/>
        <v>2662.5643</v>
      </c>
      <c r="CJ146" s="23">
        <f>+'QTR Raw'!BD88</f>
        <v>3430.76</v>
      </c>
      <c r="CK146" s="23">
        <f t="shared" si="1219"/>
        <v>3430.76</v>
      </c>
      <c r="CL146" s="23">
        <f>+'QTR Raw'!BF88</f>
        <v>2549.64</v>
      </c>
      <c r="CM146" s="24">
        <f>+CL146-100</f>
        <v>2449.64</v>
      </c>
      <c r="CN146" s="24">
        <f t="shared" ref="CN146:DB146" si="1236">+CM146-100</f>
        <v>2349.64</v>
      </c>
      <c r="CO146" s="24">
        <f t="shared" si="1236"/>
        <v>2249.64</v>
      </c>
      <c r="CP146" s="24">
        <f t="shared" si="1236"/>
        <v>2149.64</v>
      </c>
      <c r="CQ146" s="24">
        <f t="shared" si="1236"/>
        <v>2049.64</v>
      </c>
      <c r="CR146" s="24">
        <f t="shared" si="1236"/>
        <v>1949.6399999999999</v>
      </c>
      <c r="CS146" s="24">
        <f t="shared" si="1236"/>
        <v>1849.6399999999999</v>
      </c>
      <c r="CT146" s="24">
        <f t="shared" si="1236"/>
        <v>1749.6399999999999</v>
      </c>
      <c r="CU146" s="24">
        <f t="shared" si="1236"/>
        <v>1649.6399999999999</v>
      </c>
      <c r="CV146" s="24">
        <f t="shared" si="1236"/>
        <v>1549.6399999999999</v>
      </c>
      <c r="CW146" s="24">
        <f t="shared" si="1236"/>
        <v>1449.6399999999999</v>
      </c>
      <c r="CX146" s="24">
        <f t="shared" si="1236"/>
        <v>1349.6399999999999</v>
      </c>
      <c r="CY146" s="24">
        <f t="shared" si="1236"/>
        <v>1249.6399999999999</v>
      </c>
      <c r="CZ146" s="24">
        <f t="shared" si="1236"/>
        <v>1149.6399999999999</v>
      </c>
      <c r="DA146" s="24">
        <f t="shared" si="1236"/>
        <v>1049.6399999999999</v>
      </c>
      <c r="DB146" s="24">
        <f t="shared" si="1236"/>
        <v>949.63999999999987</v>
      </c>
      <c r="DE146" s="123"/>
      <c r="DF146" s="23">
        <v>2456.7618000000002</v>
      </c>
    </row>
    <row r="147" spans="1:110" s="22" customFormat="1" x14ac:dyDescent="0.2">
      <c r="A147" s="22" t="s">
        <v>49</v>
      </c>
      <c r="B147" s="22">
        <f>SUM(B143:B146)</f>
        <v>0</v>
      </c>
      <c r="C147" s="22">
        <f t="shared" ref="C147:V147" si="1237">SUM(C143:C146)</f>
        <v>0</v>
      </c>
      <c r="D147" s="22">
        <f t="shared" si="1237"/>
        <v>0</v>
      </c>
      <c r="E147" s="22">
        <f t="shared" si="1237"/>
        <v>0</v>
      </c>
      <c r="F147" s="22">
        <f t="shared" si="1237"/>
        <v>0</v>
      </c>
      <c r="G147" s="22">
        <f t="shared" si="1237"/>
        <v>0</v>
      </c>
      <c r="H147" s="22">
        <f t="shared" si="1237"/>
        <v>0</v>
      </c>
      <c r="I147" s="22">
        <f t="shared" si="1237"/>
        <v>0</v>
      </c>
      <c r="J147" s="22">
        <f t="shared" si="1237"/>
        <v>0</v>
      </c>
      <c r="K147" s="22">
        <f t="shared" si="1237"/>
        <v>1080.6596999999999</v>
      </c>
      <c r="L147" s="22">
        <f t="shared" si="1237"/>
        <v>2288.8425999999999</v>
      </c>
      <c r="M147" s="22">
        <f t="shared" si="1237"/>
        <v>3586.5176000000001</v>
      </c>
      <c r="N147" s="22">
        <f t="shared" si="1237"/>
        <v>5159.3443000000007</v>
      </c>
      <c r="O147" s="22">
        <f t="shared" si="1237"/>
        <v>5988.9781000000003</v>
      </c>
      <c r="P147" s="22">
        <f t="shared" si="1237"/>
        <v>8102.2049999999999</v>
      </c>
      <c r="Q147" s="22">
        <f t="shared" si="1237"/>
        <v>7547.1301000000003</v>
      </c>
      <c r="R147" s="22">
        <f t="shared" si="1237"/>
        <v>6221.9012000000002</v>
      </c>
      <c r="S147" s="22">
        <f t="shared" si="1237"/>
        <v>6347.7101000000002</v>
      </c>
      <c r="T147" s="22">
        <f t="shared" si="1237"/>
        <v>5715.3360000000002</v>
      </c>
      <c r="U147" s="22">
        <f t="shared" si="1237"/>
        <v>5395.3670000000002</v>
      </c>
      <c r="V147" s="22">
        <f t="shared" si="1237"/>
        <v>5083.3536999999997</v>
      </c>
      <c r="W147" s="22">
        <f t="shared" ref="W147" si="1238">SUM(W143:W146)</f>
        <v>5787.2106999999996</v>
      </c>
      <c r="X147" s="22">
        <f t="shared" ref="X147:Y147" si="1239">SUM(X143:X146)</f>
        <v>4782.2088000000003</v>
      </c>
      <c r="Y147" s="22">
        <f t="shared" si="1239"/>
        <v>5586.5427</v>
      </c>
      <c r="Z147" s="22">
        <f t="shared" ref="Z147:AA147" si="1240">SUM(Z143:Z146)</f>
        <v>4645.7623000000003</v>
      </c>
      <c r="AA147" s="22">
        <f t="shared" si="1240"/>
        <v>4040.0493999999999</v>
      </c>
      <c r="AB147" s="21">
        <f t="shared" ref="AB147:AD147" si="1241">SUM(AB143:AB146)</f>
        <v>3640.05</v>
      </c>
      <c r="AC147" s="21">
        <f t="shared" si="1241"/>
        <v>3240.05</v>
      </c>
      <c r="AD147" s="21">
        <f t="shared" si="1241"/>
        <v>2840.05</v>
      </c>
      <c r="AE147" s="21">
        <f t="shared" ref="AE147" si="1242">SUM(AE143:AE146)</f>
        <v>2440.0500000000002</v>
      </c>
      <c r="AJ147" s="22">
        <f t="shared" ref="AJ147" si="1243">SUM(AJ143:AJ146)</f>
        <v>3070.4300000000003</v>
      </c>
      <c r="AK147" s="22">
        <f t="shared" ref="AK147" si="1244">SUM(AK143:AK146)</f>
        <v>3070.4300000000003</v>
      </c>
      <c r="AL147" s="22">
        <f t="shared" ref="AL147:AM147" si="1245">SUM(AL143:AL146)</f>
        <v>4946.21</v>
      </c>
      <c r="AM147" s="22">
        <f t="shared" si="1245"/>
        <v>4946.21</v>
      </c>
      <c r="AN147" s="22">
        <f t="shared" ref="AN147:AO147" si="1246">SUM(AN143:AN146)</f>
        <v>3654.77</v>
      </c>
      <c r="AO147" s="22">
        <f t="shared" si="1246"/>
        <v>3654.77</v>
      </c>
      <c r="AP147" s="22">
        <f t="shared" ref="AP147:CE147" si="1247">SUM(AP143:AP146)</f>
        <v>5774.9</v>
      </c>
      <c r="AQ147" s="22">
        <f t="shared" si="1247"/>
        <v>5774.9</v>
      </c>
      <c r="AR147" s="22">
        <f t="shared" si="1247"/>
        <v>3546.3500000000004</v>
      </c>
      <c r="AS147" s="22">
        <f t="shared" si="1247"/>
        <v>3546.3500000000004</v>
      </c>
      <c r="AT147" s="22">
        <f t="shared" si="1247"/>
        <v>7605.0599999999995</v>
      </c>
      <c r="AU147" s="22">
        <f t="shared" si="1247"/>
        <v>7605.0599999999995</v>
      </c>
      <c r="AV147" s="22">
        <f t="shared" si="1247"/>
        <v>4548.18</v>
      </c>
      <c r="AW147" s="22">
        <f t="shared" si="1247"/>
        <v>4548.18</v>
      </c>
      <c r="AX147" s="22">
        <f t="shared" si="1247"/>
        <v>6979.47</v>
      </c>
      <c r="AY147" s="22">
        <f t="shared" si="1247"/>
        <v>6979.47</v>
      </c>
      <c r="AZ147" s="22">
        <f t="shared" si="1247"/>
        <v>3892.02</v>
      </c>
      <c r="BA147" s="22">
        <f t="shared" si="1247"/>
        <v>3892.02</v>
      </c>
      <c r="BB147" s="22">
        <f t="shared" si="1247"/>
        <v>5500.2199999999993</v>
      </c>
      <c r="BC147" s="22">
        <f t="shared" si="1247"/>
        <v>5500.2199999999993</v>
      </c>
      <c r="BD147" s="22">
        <f t="shared" si="1247"/>
        <v>4185.03</v>
      </c>
      <c r="BE147" s="22">
        <f t="shared" si="1247"/>
        <v>4185.03</v>
      </c>
      <c r="BF147" s="22">
        <f t="shared" si="1247"/>
        <v>6036.99</v>
      </c>
      <c r="BG147" s="22">
        <f t="shared" si="1247"/>
        <v>6036.99</v>
      </c>
      <c r="BH147" s="22">
        <f t="shared" ref="BH147" si="1248">SUM(BH143:BH146)</f>
        <v>3644.45</v>
      </c>
      <c r="BI147" s="22">
        <f t="shared" si="1247"/>
        <v>3644.45</v>
      </c>
      <c r="BJ147" s="22">
        <f t="shared" si="1247"/>
        <v>5316.99</v>
      </c>
      <c r="BK147" s="22">
        <f t="shared" si="1247"/>
        <v>5316.99</v>
      </c>
      <c r="BL147" s="22">
        <f t="shared" si="1247"/>
        <v>5280.77</v>
      </c>
      <c r="BM147" s="22">
        <f t="shared" si="1247"/>
        <v>5280.77</v>
      </c>
      <c r="BN147" s="22">
        <f t="shared" si="1247"/>
        <v>4910.66</v>
      </c>
      <c r="BO147" s="22">
        <f t="shared" si="1247"/>
        <v>4910.66</v>
      </c>
      <c r="BP147" s="22">
        <f t="shared" si="1247"/>
        <v>4966.6499999999996</v>
      </c>
      <c r="BQ147" s="22">
        <f t="shared" si="1247"/>
        <v>4966.6499999999996</v>
      </c>
      <c r="BR147" s="22">
        <f t="shared" si="1247"/>
        <v>5083.3500000000004</v>
      </c>
      <c r="BS147" s="22">
        <f t="shared" si="1247"/>
        <v>5083.3500000000004</v>
      </c>
      <c r="BT147" s="22">
        <f t="shared" si="1247"/>
        <v>5351.05</v>
      </c>
      <c r="BU147" s="22">
        <f t="shared" si="1247"/>
        <v>5351.05</v>
      </c>
      <c r="BV147" s="22">
        <f t="shared" si="1247"/>
        <v>5787.21</v>
      </c>
      <c r="BW147" s="22">
        <f t="shared" si="1247"/>
        <v>5787.21</v>
      </c>
      <c r="BX147" s="22">
        <f t="shared" si="1247"/>
        <v>5973.33</v>
      </c>
      <c r="BY147" s="22">
        <f t="shared" si="1247"/>
        <v>5973.33</v>
      </c>
      <c r="BZ147" s="22">
        <f t="shared" si="1247"/>
        <v>4782.2</v>
      </c>
      <c r="CA147" s="22">
        <f t="shared" si="1247"/>
        <v>4782.2</v>
      </c>
      <c r="CB147" s="22">
        <f t="shared" si="1247"/>
        <v>5943.37</v>
      </c>
      <c r="CC147" s="22">
        <f t="shared" si="1247"/>
        <v>5943.37</v>
      </c>
      <c r="CD147" s="22">
        <f t="shared" si="1247"/>
        <v>5586.54</v>
      </c>
      <c r="CE147" s="22">
        <f t="shared" si="1247"/>
        <v>5586.54</v>
      </c>
      <c r="CF147" s="22">
        <f t="shared" ref="CF147:CG147" si="1249">SUM(CF143:CF146)</f>
        <v>5310.86</v>
      </c>
      <c r="CG147" s="22">
        <f t="shared" si="1249"/>
        <v>5310.86</v>
      </c>
      <c r="CH147" s="22">
        <f t="shared" ref="CH147:CI147" si="1250">SUM(CH143:CH146)</f>
        <v>4645.7623000000003</v>
      </c>
      <c r="CI147" s="22">
        <f t="shared" si="1250"/>
        <v>4645.7623000000003</v>
      </c>
      <c r="CJ147" s="22">
        <f t="shared" ref="CJ147:DB147" si="1251">SUM(CJ143:CJ146)</f>
        <v>4977.17</v>
      </c>
      <c r="CK147" s="22">
        <f t="shared" si="1251"/>
        <v>4977.17</v>
      </c>
      <c r="CL147" s="22">
        <f t="shared" ref="CL147" si="1252">SUM(CL143:CL146)</f>
        <v>4040.05</v>
      </c>
      <c r="CM147" s="21">
        <f t="shared" si="1251"/>
        <v>3940.05</v>
      </c>
      <c r="CN147" s="21">
        <f t="shared" si="1251"/>
        <v>3840.05</v>
      </c>
      <c r="CO147" s="21">
        <f t="shared" si="1251"/>
        <v>3740.05</v>
      </c>
      <c r="CP147" s="21">
        <f t="shared" si="1251"/>
        <v>3640.05</v>
      </c>
      <c r="CQ147" s="21">
        <f t="shared" si="1251"/>
        <v>3540.05</v>
      </c>
      <c r="CR147" s="21">
        <f t="shared" si="1251"/>
        <v>3440.05</v>
      </c>
      <c r="CS147" s="21">
        <f t="shared" si="1251"/>
        <v>3340.05</v>
      </c>
      <c r="CT147" s="21">
        <f t="shared" si="1251"/>
        <v>3240.05</v>
      </c>
      <c r="CU147" s="21">
        <f t="shared" si="1251"/>
        <v>3140.05</v>
      </c>
      <c r="CV147" s="21">
        <f t="shared" si="1251"/>
        <v>3040.05</v>
      </c>
      <c r="CW147" s="21">
        <f t="shared" si="1251"/>
        <v>2940.05</v>
      </c>
      <c r="CX147" s="21">
        <f t="shared" si="1251"/>
        <v>2840.05</v>
      </c>
      <c r="CY147" s="21">
        <f t="shared" si="1251"/>
        <v>2740.05</v>
      </c>
      <c r="CZ147" s="21">
        <f t="shared" si="1251"/>
        <v>2640.05</v>
      </c>
      <c r="DA147" s="21">
        <f t="shared" si="1251"/>
        <v>2540.0500000000002</v>
      </c>
      <c r="DB147" s="21">
        <f t="shared" si="1251"/>
        <v>2440.0500000000002</v>
      </c>
      <c r="DE147" s="126"/>
      <c r="DF147" s="22">
        <v>4040.0493999999999</v>
      </c>
    </row>
    <row r="148" spans="1:110" s="26" customFormat="1" x14ac:dyDescent="0.2">
      <c r="A148" s="26" t="s">
        <v>437</v>
      </c>
      <c r="B148" s="26">
        <f>B147+B139+B141</f>
        <v>0</v>
      </c>
      <c r="C148" s="26">
        <f t="shared" ref="C148:V148" si="1253">C147+C139+C141</f>
        <v>0</v>
      </c>
      <c r="D148" s="26">
        <f>D147+D139+D141</f>
        <v>0</v>
      </c>
      <c r="E148" s="26">
        <f t="shared" si="1253"/>
        <v>0</v>
      </c>
      <c r="F148" s="26">
        <f t="shared" si="1253"/>
        <v>0</v>
      </c>
      <c r="G148" s="26">
        <f t="shared" si="1253"/>
        <v>0</v>
      </c>
      <c r="H148" s="26">
        <f t="shared" si="1253"/>
        <v>0</v>
      </c>
      <c r="I148" s="26">
        <f t="shared" si="1253"/>
        <v>0</v>
      </c>
      <c r="J148" s="26">
        <f t="shared" si="1253"/>
        <v>0</v>
      </c>
      <c r="K148" s="26">
        <f t="shared" si="1253"/>
        <v>4774.3863000000001</v>
      </c>
      <c r="L148" s="26">
        <f t="shared" si="1253"/>
        <v>6380.2687000000005</v>
      </c>
      <c r="M148" s="26">
        <f t="shared" si="1253"/>
        <v>7339.9457000000002</v>
      </c>
      <c r="N148" s="26">
        <f t="shared" si="1253"/>
        <v>9024.8016000000007</v>
      </c>
      <c r="O148" s="26">
        <f t="shared" si="1253"/>
        <v>9715.182499999999</v>
      </c>
      <c r="P148" s="26">
        <f t="shared" si="1253"/>
        <v>13537.243399999999</v>
      </c>
      <c r="Q148" s="26">
        <f t="shared" si="1253"/>
        <v>12663.5155</v>
      </c>
      <c r="R148" s="26">
        <f t="shared" si="1253"/>
        <v>11481.4341</v>
      </c>
      <c r="S148" s="26">
        <f t="shared" si="1253"/>
        <v>11547.706300000002</v>
      </c>
      <c r="T148" s="26">
        <f t="shared" si="1253"/>
        <v>11615.446900000001</v>
      </c>
      <c r="U148" s="26">
        <f t="shared" si="1253"/>
        <v>11684.284299999999</v>
      </c>
      <c r="V148" s="26">
        <f t="shared" si="1253"/>
        <v>11622.787600000001</v>
      </c>
      <c r="W148" s="26">
        <f t="shared" ref="W148" si="1254">W147+W139+W141</f>
        <v>12636.349</v>
      </c>
      <c r="X148" s="26">
        <f t="shared" ref="X148:Y148" si="1255">X147+X139+X141</f>
        <v>12061.113700000002</v>
      </c>
      <c r="Y148" s="26">
        <f t="shared" si="1255"/>
        <v>14953.6898</v>
      </c>
      <c r="Z148" s="26">
        <f t="shared" ref="Z148:AA148" si="1256">Z147+Z139+Z141</f>
        <v>15599.8442</v>
      </c>
      <c r="AA148" s="26">
        <f t="shared" si="1256"/>
        <v>16322.767</v>
      </c>
      <c r="AB148" s="27">
        <f t="shared" ref="AB148:AD148" si="1257">AB147+AB139+AB141</f>
        <v>17030.206987586349</v>
      </c>
      <c r="AC148" s="27">
        <f t="shared" si="1257"/>
        <v>17988.7897401714</v>
      </c>
      <c r="AD148" s="27">
        <f t="shared" si="1257"/>
        <v>19161.412187208189</v>
      </c>
      <c r="AE148" s="27">
        <f t="shared" ref="AE148" si="1258">AE147+AE139+AE141</f>
        <v>20590.271412826325</v>
      </c>
      <c r="AJ148" s="26">
        <f t="shared" ref="AJ148" si="1259">AJ147+AJ139+AJ141</f>
        <v>6728.0300000000007</v>
      </c>
      <c r="AK148" s="26">
        <f t="shared" ref="AK148" si="1260">AK147+AK139+AK141</f>
        <v>6788.06</v>
      </c>
      <c r="AL148" s="26">
        <f t="shared" ref="AL148" si="1261">AL147+AL139+AL141</f>
        <v>8811.68</v>
      </c>
      <c r="AM148" s="26">
        <f t="shared" ref="AM148:AO148" si="1262">AM147+AM139+AM141</f>
        <v>8826.89</v>
      </c>
      <c r="AN148" s="26">
        <f t="shared" si="1262"/>
        <v>7420.29</v>
      </c>
      <c r="AO148" s="26">
        <f t="shared" si="1262"/>
        <v>7470.33</v>
      </c>
      <c r="AP148" s="26">
        <f t="shared" ref="AP148:CE148" si="1263">AP147+AP139+AP141</f>
        <v>9501.1099999999988</v>
      </c>
      <c r="AQ148" s="26">
        <f t="shared" si="1263"/>
        <v>9556.01</v>
      </c>
      <c r="AR148" s="26">
        <f t="shared" si="1263"/>
        <v>7551.02</v>
      </c>
      <c r="AS148" s="26">
        <f t="shared" si="1263"/>
        <v>7612.9400000000005</v>
      </c>
      <c r="AT148" s="26">
        <f t="shared" si="1263"/>
        <v>13081.76</v>
      </c>
      <c r="AU148" s="26">
        <f t="shared" si="1263"/>
        <v>13178.96</v>
      </c>
      <c r="AV148" s="26">
        <f t="shared" si="1263"/>
        <v>9106.5</v>
      </c>
      <c r="AW148" s="26">
        <f t="shared" si="1263"/>
        <v>9090.73</v>
      </c>
      <c r="AX148" s="26">
        <f t="shared" si="1263"/>
        <v>12095.86</v>
      </c>
      <c r="AY148" s="26">
        <f t="shared" si="1263"/>
        <v>12161.64</v>
      </c>
      <c r="AZ148" s="26">
        <f t="shared" si="1263"/>
        <v>9305.86</v>
      </c>
      <c r="BA148" s="26">
        <f t="shared" si="1263"/>
        <v>9386.5300000000007</v>
      </c>
      <c r="BB148" s="26">
        <f t="shared" si="1263"/>
        <v>10759.759999999998</v>
      </c>
      <c r="BC148" s="26">
        <f t="shared" si="1263"/>
        <v>10823.799999999997</v>
      </c>
      <c r="BD148" s="26">
        <f t="shared" si="1263"/>
        <v>9830.9399999999987</v>
      </c>
      <c r="BE148" s="26">
        <f t="shared" si="1263"/>
        <v>9927.1699999999983</v>
      </c>
      <c r="BF148" s="26">
        <f t="shared" si="1263"/>
        <v>11236.99</v>
      </c>
      <c r="BG148" s="26">
        <f t="shared" si="1263"/>
        <v>11329.74</v>
      </c>
      <c r="BH148" s="26">
        <f t="shared" ref="BH148" si="1264">BH147+BH139+BH141</f>
        <v>9711.49</v>
      </c>
      <c r="BI148" s="26">
        <f t="shared" si="1263"/>
        <v>9850.4</v>
      </c>
      <c r="BJ148" s="26">
        <f t="shared" si="1263"/>
        <v>11217.099999999999</v>
      </c>
      <c r="BK148" s="26">
        <f t="shared" si="1263"/>
        <v>11348.47</v>
      </c>
      <c r="BL148" s="26">
        <f t="shared" si="1263"/>
        <v>11471.55</v>
      </c>
      <c r="BM148" s="26">
        <f t="shared" si="1263"/>
        <v>11561.1</v>
      </c>
      <c r="BN148" s="26">
        <f t="shared" si="1263"/>
        <v>11199.58</v>
      </c>
      <c r="BO148" s="26">
        <f t="shared" si="1263"/>
        <v>11190.34</v>
      </c>
      <c r="BP148" s="26">
        <f t="shared" si="1263"/>
        <v>11229.789999999999</v>
      </c>
      <c r="BQ148" s="26">
        <f t="shared" si="1263"/>
        <v>11295.559999999998</v>
      </c>
      <c r="BR148" s="26">
        <f t="shared" si="1263"/>
        <v>11622.78</v>
      </c>
      <c r="BS148" s="26">
        <f t="shared" si="1263"/>
        <v>11774.88</v>
      </c>
      <c r="BT148" s="26">
        <f t="shared" si="1263"/>
        <v>12057.88</v>
      </c>
      <c r="BU148" s="26">
        <f t="shared" si="1263"/>
        <v>12070.519999999999</v>
      </c>
      <c r="BV148" s="26">
        <f t="shared" si="1263"/>
        <v>12636.349999999999</v>
      </c>
      <c r="BW148" s="26">
        <f t="shared" si="1263"/>
        <v>12641.2</v>
      </c>
      <c r="BX148" s="26">
        <f t="shared" si="1263"/>
        <v>12816.13</v>
      </c>
      <c r="BY148" s="26">
        <f t="shared" si="1263"/>
        <v>13030.57</v>
      </c>
      <c r="BZ148" s="26">
        <f t="shared" si="1263"/>
        <v>12061.109999999999</v>
      </c>
      <c r="CA148" s="26">
        <f t="shared" si="1263"/>
        <v>12325.710000000001</v>
      </c>
      <c r="CB148" s="26">
        <f t="shared" si="1263"/>
        <v>14290.15</v>
      </c>
      <c r="CC148" s="26">
        <f t="shared" si="1263"/>
        <v>14823.360000000002</v>
      </c>
      <c r="CD148" s="26">
        <f t="shared" si="1263"/>
        <v>14953.689999999999</v>
      </c>
      <c r="CE148" s="26">
        <f t="shared" si="1263"/>
        <v>15394.75</v>
      </c>
      <c r="CF148" s="26">
        <f t="shared" ref="CF148:CG148" si="1265">CF147+CF139+CF141</f>
        <v>15445.7</v>
      </c>
      <c r="CG148" s="26">
        <f t="shared" si="1265"/>
        <v>15952.119999999999</v>
      </c>
      <c r="CH148" s="26">
        <f t="shared" ref="CH148:CI148" si="1266">CH147+CH139+CH141</f>
        <v>15599.8442</v>
      </c>
      <c r="CI148" s="26">
        <f t="shared" si="1266"/>
        <v>16023.886699999997</v>
      </c>
      <c r="CJ148" s="26">
        <f t="shared" ref="CJ148:DB148" si="1267">CJ147+CJ139+CJ141</f>
        <v>16794.670000000002</v>
      </c>
      <c r="CK148" s="26">
        <f t="shared" si="1267"/>
        <v>17052.66</v>
      </c>
      <c r="CL148" s="26">
        <f t="shared" ref="CL148" si="1268">CL147+CL139+CL141</f>
        <v>16322.76</v>
      </c>
      <c r="CM148" s="27">
        <f t="shared" si="1267"/>
        <v>16404.29391366335</v>
      </c>
      <c r="CN148" s="27">
        <f t="shared" si="1267"/>
        <v>16539.61133354111</v>
      </c>
      <c r="CO148" s="27">
        <f t="shared" si="1267"/>
        <v>16779.608384279989</v>
      </c>
      <c r="CP148" s="27">
        <f t="shared" si="1267"/>
        <v>17030.206987586349</v>
      </c>
      <c r="CQ148" s="27">
        <f t="shared" si="1267"/>
        <v>17227.238895291041</v>
      </c>
      <c r="CR148" s="27">
        <f t="shared" si="1267"/>
        <v>17397.45865221589</v>
      </c>
      <c r="CS148" s="27">
        <f t="shared" si="1267"/>
        <v>17686.689992783427</v>
      </c>
      <c r="CT148" s="27">
        <f t="shared" si="1267"/>
        <v>17988.7897401714</v>
      </c>
      <c r="CU148" s="27">
        <f t="shared" si="1267"/>
        <v>18233.189746457483</v>
      </c>
      <c r="CV148" s="27">
        <f t="shared" si="1267"/>
        <v>18449.337649985013</v>
      </c>
      <c r="CW148" s="27">
        <f t="shared" si="1267"/>
        <v>18797.657925444681</v>
      </c>
      <c r="CX148" s="27">
        <f t="shared" si="1267"/>
        <v>19161.412187208189</v>
      </c>
      <c r="CY148" s="27">
        <f t="shared" si="1267"/>
        <v>19462.995338214041</v>
      </c>
      <c r="CZ148" s="27">
        <f t="shared" si="1267"/>
        <v>19734.820418269916</v>
      </c>
      <c r="DA148" s="27">
        <f t="shared" si="1267"/>
        <v>20153.375774826898</v>
      </c>
      <c r="DB148" s="27">
        <f t="shared" si="1267"/>
        <v>20590.271412826325</v>
      </c>
      <c r="DE148" s="121"/>
      <c r="DF148" s="26">
        <v>16322.767</v>
      </c>
    </row>
    <row r="149" spans="1:110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50</v>
      </c>
      <c r="B150" s="23">
        <f>'Annual Raw'!C62</f>
        <v>0</v>
      </c>
      <c r="C150" s="23">
        <f>'Annual Raw'!D62</f>
        <v>0</v>
      </c>
      <c r="D150" s="23">
        <f>'Annual Raw'!E62</f>
        <v>0</v>
      </c>
      <c r="E150" s="23">
        <f>'Annual Raw'!F62-E154</f>
        <v>0</v>
      </c>
      <c r="F150" s="23">
        <f>'Annual Raw'!G62-F154</f>
        <v>0</v>
      </c>
      <c r="G150" s="23">
        <f>'Annual Raw'!H62-G154</f>
        <v>0</v>
      </c>
      <c r="H150" s="23">
        <f>'Annual Raw'!I62-H154</f>
        <v>0</v>
      </c>
      <c r="I150" s="23">
        <f>'Annual Raw'!J62-I154</f>
        <v>0</v>
      </c>
      <c r="J150" s="23">
        <f>'Annual Raw'!K62-J154</f>
        <v>0</v>
      </c>
      <c r="K150" s="23">
        <f>'Annual Raw'!L62-K154</f>
        <v>2947.9216000000001</v>
      </c>
      <c r="L150" s="23">
        <f>'Annual Raw'!M62-L154</f>
        <v>3184.7194000000004</v>
      </c>
      <c r="M150" s="23">
        <f>'Annual Raw'!N62-M154</f>
        <v>3544.0907999999999</v>
      </c>
      <c r="N150" s="23">
        <f>'Annual Raw'!O62-N154</f>
        <v>5196.4378999999999</v>
      </c>
      <c r="O150" s="23">
        <f>'Annual Raw'!P62-O154</f>
        <v>7120.0578999999998</v>
      </c>
      <c r="P150" s="23">
        <f>'Annual Raw'!Q62-P154</f>
        <v>8665.3144000000011</v>
      </c>
      <c r="Q150" s="23">
        <f>'Annual Raw'!R62-Q154</f>
        <v>8706.1849999999995</v>
      </c>
      <c r="R150" s="23">
        <f>'Annual Raw'!S62-R154</f>
        <v>8490.1610000000001</v>
      </c>
      <c r="S150" s="23">
        <f>'Annual Raw'!T62-S154</f>
        <v>8450.8546000000006</v>
      </c>
      <c r="T150" s="23">
        <f>'Annual Raw'!U62-T154</f>
        <v>8858.2152999999998</v>
      </c>
      <c r="U150" s="23">
        <f>'Annual Raw'!V62-U154</f>
        <v>9643.0149999999994</v>
      </c>
      <c r="V150" s="23">
        <f>'Annual Raw'!W62-V154</f>
        <v>9836.3050000000003</v>
      </c>
      <c r="W150" s="23">
        <f>'Annual Raw'!X62-W154</f>
        <v>10304.9452</v>
      </c>
      <c r="X150" s="23">
        <f>'Annual Raw'!Y62-X154</f>
        <v>10663.536699999999</v>
      </c>
      <c r="Y150" s="23">
        <f>'Annual Raw'!Z62-Y154</f>
        <v>12534.041099999999</v>
      </c>
      <c r="Z150" s="23">
        <f>'Annual Raw'!AA62-Z154</f>
        <v>13488.467299999998</v>
      </c>
      <c r="AA150" s="23">
        <f>'Annual Raw'!AB62-AA154</f>
        <v>15201.2922</v>
      </c>
      <c r="AB150" s="24">
        <f t="shared" ref="AB150:AB156" si="1269">+CP150</f>
        <v>15753.195</v>
      </c>
      <c r="AC150" s="24">
        <f t="shared" ref="AC150:AC156" si="1270">+CT150</f>
        <v>16953.195</v>
      </c>
      <c r="AD150" s="24">
        <f t="shared" ref="AD150:AD156" si="1271">+CX150</f>
        <v>18153.195</v>
      </c>
      <c r="AE150" s="24">
        <f t="shared" ref="AE150:AE156" si="1272">+DB150</f>
        <v>19353.195</v>
      </c>
      <c r="AJ150" s="23">
        <f>+'QTR Raw'!D68</f>
        <v>3190.18</v>
      </c>
      <c r="AL150" s="23">
        <f>+'QTR Raw'!F68</f>
        <v>5503.1</v>
      </c>
      <c r="AN150" s="23">
        <f>+'QTR Raw'!H68</f>
        <v>3740.19</v>
      </c>
      <c r="AP150" s="23">
        <f>+'QTR Raw'!J68</f>
        <v>6032.15</v>
      </c>
      <c r="AR150" s="23">
        <f>+'QTR Raw'!L68</f>
        <v>3754.65</v>
      </c>
      <c r="AT150" s="23">
        <f>+'QTR Raw'!N68</f>
        <v>8252.81</v>
      </c>
      <c r="AV150" s="23">
        <f>+'QTR Raw'!P68</f>
        <v>3917.3</v>
      </c>
      <c r="AX150" s="23">
        <f>+'QTR Raw'!R68</f>
        <v>7970.1</v>
      </c>
      <c r="AZ150" s="23">
        <f>+'QTR Raw'!T68</f>
        <v>5667.06</v>
      </c>
      <c r="BB150" s="23">
        <f>+'QTR Raw'!V68</f>
        <v>7454.66</v>
      </c>
      <c r="BD150" s="23">
        <f>+'QTR Raw'!X68</f>
        <v>5671.33</v>
      </c>
      <c r="BF150" s="23">
        <f>+'QTR Raw'!Z68</f>
        <v>7120.19</v>
      </c>
      <c r="BH150" s="23">
        <f>+'QTR Raw'!AB68</f>
        <v>5560.2</v>
      </c>
      <c r="BJ150" s="23">
        <f>+'QTR Raw'!AD68</f>
        <v>7162.78</v>
      </c>
      <c r="BL150" s="23">
        <f>+'QTR Raw'!AF68</f>
        <v>7029.67</v>
      </c>
      <c r="BN150" s="23">
        <f>+'QTR Raw'!AH68</f>
        <v>7216.11</v>
      </c>
      <c r="BP150" s="23">
        <f>+'QTR Raw'!AJ68</f>
        <v>7098.55</v>
      </c>
      <c r="BR150" s="23">
        <f>+'QTR Raw'!AL68</f>
        <v>7070.04</v>
      </c>
      <c r="BT150" s="23">
        <f>+'QTR Raw'!AN68</f>
        <v>7028.87</v>
      </c>
      <c r="BV150" s="23">
        <f>+'QTR Raw'!AP68</f>
        <v>7122.56</v>
      </c>
      <c r="BX150" s="23">
        <f>+'QTR Raw'!AR68</f>
        <v>7105.27</v>
      </c>
      <c r="BZ150" s="23">
        <f>+'QTR Raw'!AT68</f>
        <v>7239.92</v>
      </c>
      <c r="CB150" s="23">
        <f>+'QTR Raw'!AV68</f>
        <v>8532.06</v>
      </c>
      <c r="CD150" s="23">
        <f>+'QTR Raw'!AX68</f>
        <v>8617.7199999999993</v>
      </c>
      <c r="CF150" s="23">
        <f>+'QTR Raw'!AZ68</f>
        <v>8560.61</v>
      </c>
      <c r="CH150" s="23">
        <f t="shared" ref="CH150:CH156" si="1273">Z150</f>
        <v>13488.467299999998</v>
      </c>
      <c r="CI150" s="23">
        <f>CH150</f>
        <v>13488.467299999998</v>
      </c>
      <c r="CJ150" s="23">
        <f>+CJ151+CJ153</f>
        <v>13792.064999999999</v>
      </c>
      <c r="CK150" s="23">
        <f>+CJ150</f>
        <v>13792.064999999999</v>
      </c>
      <c r="CL150" s="23">
        <f>+CL151+CL153</f>
        <v>14553.195</v>
      </c>
      <c r="CM150" s="24">
        <f t="shared" ref="CM150:DB150" si="1274">+CL150+300</f>
        <v>14853.195</v>
      </c>
      <c r="CN150" s="24">
        <f t="shared" si="1274"/>
        <v>15153.195</v>
      </c>
      <c r="CO150" s="24">
        <f t="shared" si="1274"/>
        <v>15453.195</v>
      </c>
      <c r="CP150" s="24">
        <f t="shared" si="1274"/>
        <v>15753.195</v>
      </c>
      <c r="CQ150" s="24">
        <f t="shared" si="1274"/>
        <v>16053.195</v>
      </c>
      <c r="CR150" s="24">
        <f t="shared" si="1274"/>
        <v>16353.195</v>
      </c>
      <c r="CS150" s="24">
        <f t="shared" si="1274"/>
        <v>16653.195</v>
      </c>
      <c r="CT150" s="24">
        <f t="shared" si="1274"/>
        <v>16953.195</v>
      </c>
      <c r="CU150" s="24">
        <f t="shared" si="1274"/>
        <v>17253.195</v>
      </c>
      <c r="CV150" s="24">
        <f t="shared" si="1274"/>
        <v>17553.195</v>
      </c>
      <c r="CW150" s="24">
        <f t="shared" si="1274"/>
        <v>17853.195</v>
      </c>
      <c r="CX150" s="24">
        <f t="shared" si="1274"/>
        <v>18153.195</v>
      </c>
      <c r="CY150" s="24">
        <f t="shared" si="1274"/>
        <v>18453.195</v>
      </c>
      <c r="CZ150" s="24">
        <f t="shared" si="1274"/>
        <v>18753.195</v>
      </c>
      <c r="DA150" s="24">
        <f t="shared" si="1274"/>
        <v>19053.195</v>
      </c>
      <c r="DB150" s="24">
        <f t="shared" si="1274"/>
        <v>19353.195</v>
      </c>
      <c r="DE150" s="123"/>
      <c r="DF150" s="23">
        <v>15201.2922</v>
      </c>
    </row>
    <row r="151" spans="1:110" s="23" customFormat="1" outlineLevel="1" x14ac:dyDescent="0.2">
      <c r="A151" s="23" t="s">
        <v>51</v>
      </c>
      <c r="B151" s="23">
        <f>'Annual Raw'!C63</f>
        <v>0</v>
      </c>
      <c r="C151" s="23">
        <f>'Annual Raw'!D63</f>
        <v>0</v>
      </c>
      <c r="D151" s="23">
        <f>'Annual Raw'!E63</f>
        <v>0</v>
      </c>
      <c r="E151" s="23">
        <f>'Annual Raw'!F63</f>
        <v>0</v>
      </c>
      <c r="F151" s="23">
        <f>'Annual Raw'!G63</f>
        <v>0</v>
      </c>
      <c r="G151" s="23">
        <f>'Annual Raw'!H63</f>
        <v>0</v>
      </c>
      <c r="H151" s="23">
        <f>'Annual Raw'!I63</f>
        <v>0</v>
      </c>
      <c r="I151" s="23">
        <f>'Annual Raw'!J63</f>
        <v>0</v>
      </c>
      <c r="J151" s="23">
        <f>'Annual Raw'!K63</f>
        <v>0</v>
      </c>
      <c r="K151" s="23">
        <f>'Annual Raw'!L63</f>
        <v>571.45759999999996</v>
      </c>
      <c r="L151" s="23">
        <f>'Annual Raw'!M63</f>
        <v>734.37180000000001</v>
      </c>
      <c r="M151" s="23">
        <f>'Annual Raw'!N63</f>
        <v>897.21870000000001</v>
      </c>
      <c r="N151" s="23">
        <f>'Annual Raw'!O63</f>
        <v>1103.0543</v>
      </c>
      <c r="O151" s="23">
        <f>'Annual Raw'!P63</f>
        <v>1430.6072999999999</v>
      </c>
      <c r="P151" s="23">
        <f>'Annual Raw'!Q63</f>
        <v>440.16559999999998</v>
      </c>
      <c r="Q151" s="23">
        <f>'Annual Raw'!R63</f>
        <v>736.08929999999998</v>
      </c>
      <c r="R151" s="23">
        <f>'Annual Raw'!S63</f>
        <v>1035.4998000000001</v>
      </c>
      <c r="S151" s="23">
        <f>'Annual Raw'!T63</f>
        <v>1330.6635000000001</v>
      </c>
      <c r="T151" s="23">
        <f>'Annual Raw'!U63</f>
        <v>1695.4384</v>
      </c>
      <c r="U151" s="23">
        <f>'Annual Raw'!V63</f>
        <v>2151.7899000000002</v>
      </c>
      <c r="V151" s="23">
        <f>'Annual Raw'!W63</f>
        <v>2520.7289999999998</v>
      </c>
      <c r="W151" s="23">
        <f>'Annual Raw'!X63</f>
        <v>2948.1858000000002</v>
      </c>
      <c r="X151" s="23">
        <f>'Annual Raw'!Y63</f>
        <v>3240.4562999999998</v>
      </c>
      <c r="Y151" s="23">
        <f>'Annual Raw'!Z63</f>
        <v>3742.1916999999999</v>
      </c>
      <c r="Z151" s="23">
        <f>'Annual Raw'!AA63</f>
        <v>4208.5050000000001</v>
      </c>
      <c r="AA151" s="23">
        <f>'Annual Raw'!AB63</f>
        <v>4853.8134</v>
      </c>
      <c r="AB151" s="24">
        <f t="shared" si="1269"/>
        <v>5562.6881064197514</v>
      </c>
      <c r="AC151" s="24">
        <f t="shared" si="1270"/>
        <v>6320.2712907154928</v>
      </c>
      <c r="AD151" s="24">
        <f t="shared" si="1271"/>
        <v>7109.3332139082559</v>
      </c>
      <c r="AE151" s="24">
        <f t="shared" si="1272"/>
        <v>7927.6341080521297</v>
      </c>
      <c r="AJ151" s="23">
        <f>+'QTR Raw'!D69</f>
        <v>0</v>
      </c>
      <c r="AL151" s="23">
        <f>+'QTR Raw'!F69</f>
        <v>0</v>
      </c>
      <c r="AN151" s="23">
        <f>+'QTR Raw'!H69</f>
        <v>0</v>
      </c>
      <c r="AP151" s="23">
        <f>+'QTR Raw'!J69</f>
        <v>0</v>
      </c>
      <c r="AR151" s="23">
        <f>+'QTR Raw'!L69</f>
        <v>0</v>
      </c>
      <c r="AT151" s="23">
        <f>+'QTR Raw'!N69</f>
        <v>0</v>
      </c>
      <c r="AV151" s="23">
        <f>+'QTR Raw'!P69</f>
        <v>0</v>
      </c>
      <c r="AX151" s="23">
        <f>+'QTR Raw'!R69</f>
        <v>0</v>
      </c>
      <c r="AZ151" s="23">
        <f>+'QTR Raw'!T69</f>
        <v>0</v>
      </c>
      <c r="BB151" s="23">
        <f>+'QTR Raw'!V69</f>
        <v>0</v>
      </c>
      <c r="BD151" s="23">
        <f>+'QTR Raw'!X69</f>
        <v>0</v>
      </c>
      <c r="BF151" s="23">
        <f>+'QTR Raw'!Z69</f>
        <v>0</v>
      </c>
      <c r="BH151" s="23">
        <f>+'QTR Raw'!AB69</f>
        <v>0</v>
      </c>
      <c r="BJ151" s="23">
        <f>+'QTR Raw'!AD69</f>
        <v>0</v>
      </c>
      <c r="BL151" s="23">
        <f>+'QTR Raw'!AF69</f>
        <v>0</v>
      </c>
      <c r="BN151" s="23">
        <f>+'QTR Raw'!AH69</f>
        <v>0</v>
      </c>
      <c r="BP151" s="23">
        <f>+'QTR Raw'!AJ69</f>
        <v>0</v>
      </c>
      <c r="BR151" s="23">
        <f>+'QTR Raw'!AL69</f>
        <v>0</v>
      </c>
      <c r="BT151" s="23">
        <f>+'QTR Raw'!AN69</f>
        <v>0</v>
      </c>
      <c r="BV151" s="23">
        <f>+'QTR Raw'!AP69</f>
        <v>0</v>
      </c>
      <c r="BX151" s="23">
        <f>+'QTR Raw'!AR69</f>
        <v>0</v>
      </c>
      <c r="BZ151" s="23">
        <f>+'QTR Raw'!AT69</f>
        <v>0</v>
      </c>
      <c r="CB151" s="23">
        <f>+'QTR Raw'!AV69</f>
        <v>0</v>
      </c>
      <c r="CD151" s="23">
        <f>+'QTR Raw'!AX69</f>
        <v>0</v>
      </c>
      <c r="CF151" s="23">
        <f>+'QTR Raw'!AZ69</f>
        <v>0</v>
      </c>
      <c r="CH151" s="23">
        <f t="shared" si="1273"/>
        <v>4208.5050000000001</v>
      </c>
      <c r="CI151" s="23">
        <f t="shared" ref="CI151:DB151" si="1275">CH151+CI51</f>
        <v>4361.835</v>
      </c>
      <c r="CJ151" s="23">
        <f t="shared" si="1275"/>
        <v>4517.3450000000003</v>
      </c>
      <c r="CK151" s="23">
        <f t="shared" si="1275"/>
        <v>4672.2550000000001</v>
      </c>
      <c r="CL151" s="23">
        <f t="shared" si="1275"/>
        <v>4838.9949999999999</v>
      </c>
      <c r="CM151" s="24">
        <f t="shared" si="1275"/>
        <v>5016.6023962067193</v>
      </c>
      <c r="CN151" s="24">
        <f t="shared" si="1275"/>
        <v>5196.4475301246948</v>
      </c>
      <c r="CO151" s="24">
        <f t="shared" si="1275"/>
        <v>5378.4894885785452</v>
      </c>
      <c r="CP151" s="24">
        <f t="shared" si="1275"/>
        <v>5562.6881064197514</v>
      </c>
      <c r="CQ151" s="24">
        <f t="shared" si="1275"/>
        <v>5749.0039528502766</v>
      </c>
      <c r="CR151" s="24">
        <f t="shared" si="1275"/>
        <v>5937.3983179962333</v>
      </c>
      <c r="CS151" s="24">
        <f t="shared" si="1275"/>
        <v>6127.833199727027</v>
      </c>
      <c r="CT151" s="24">
        <f t="shared" si="1275"/>
        <v>6320.2712907154928</v>
      </c>
      <c r="CU151" s="24">
        <f t="shared" si="1275"/>
        <v>6514.6759657346101</v>
      </c>
      <c r="CV151" s="24">
        <f t="shared" si="1275"/>
        <v>6711.0112691864815</v>
      </c>
      <c r="CW151" s="24">
        <f t="shared" si="1275"/>
        <v>6909.2419028593149</v>
      </c>
      <c r="CX151" s="24">
        <f t="shared" si="1275"/>
        <v>7109.3332139082559</v>
      </c>
      <c r="CY151" s="24">
        <f t="shared" si="1275"/>
        <v>7311.2511830559615</v>
      </c>
      <c r="CZ151" s="24">
        <f t="shared" si="1275"/>
        <v>7514.962413008916</v>
      </c>
      <c r="DA151" s="24">
        <f t="shared" si="1275"/>
        <v>7720.4341170855241</v>
      </c>
      <c r="DB151" s="24">
        <f t="shared" si="1275"/>
        <v>7927.6341080521297</v>
      </c>
      <c r="DE151" s="123"/>
      <c r="DF151" s="23">
        <v>4853.8134</v>
      </c>
    </row>
    <row r="152" spans="1:110" s="23" customFormat="1" outlineLevel="1" x14ac:dyDescent="0.2">
      <c r="A152" s="23" t="s">
        <v>52</v>
      </c>
      <c r="B152" s="23">
        <f>'Annual Raw'!C64</f>
        <v>0</v>
      </c>
      <c r="C152" s="23">
        <f>'Annual Raw'!D64</f>
        <v>0</v>
      </c>
      <c r="D152" s="23">
        <f>'Annual Raw'!E64</f>
        <v>0</v>
      </c>
      <c r="E152" s="23">
        <f>'Annual Raw'!F64</f>
        <v>0</v>
      </c>
      <c r="F152" s="23">
        <f>'Annual Raw'!G64</f>
        <v>0</v>
      </c>
      <c r="G152" s="23">
        <f>'Annual Raw'!H64</f>
        <v>0</v>
      </c>
      <c r="H152" s="23">
        <f>'Annual Raw'!I64</f>
        <v>0</v>
      </c>
      <c r="I152" s="23">
        <f>'Annual Raw'!J64</f>
        <v>0</v>
      </c>
      <c r="J152" s="23">
        <f>'Annual Raw'!K64</f>
        <v>0</v>
      </c>
      <c r="K152" s="23">
        <f>'Annual Raw'!L64</f>
        <v>0</v>
      </c>
      <c r="L152" s="23">
        <f>'Annual Raw'!M64</f>
        <v>0</v>
      </c>
      <c r="M152" s="23">
        <f>'Annual Raw'!N64</f>
        <v>0</v>
      </c>
      <c r="N152" s="23">
        <f>'Annual Raw'!O64</f>
        <v>0</v>
      </c>
      <c r="O152" s="23">
        <f>'Annual Raw'!P64</f>
        <v>0</v>
      </c>
      <c r="P152" s="23">
        <f>'Annual Raw'!Q64</f>
        <v>0</v>
      </c>
      <c r="Q152" s="23">
        <f>'Annual Raw'!R64</f>
        <v>0</v>
      </c>
      <c r="R152" s="23">
        <f>'Annual Raw'!S64</f>
        <v>0</v>
      </c>
      <c r="S152" s="23">
        <f>'Annual Raw'!T64</f>
        <v>0</v>
      </c>
      <c r="T152" s="23">
        <f>'Annual Raw'!U64</f>
        <v>0</v>
      </c>
      <c r="U152" s="23">
        <f>'Annual Raw'!V64</f>
        <v>0</v>
      </c>
      <c r="V152" s="23">
        <f>'Annual Raw'!W64</f>
        <v>0</v>
      </c>
      <c r="W152" s="23">
        <f>'Annual Raw'!X64</f>
        <v>0</v>
      </c>
      <c r="X152" s="23">
        <f>'Annual Raw'!Y64</f>
        <v>0</v>
      </c>
      <c r="Y152" s="23">
        <f>'Annual Raw'!Z64</f>
        <v>0</v>
      </c>
      <c r="Z152" s="23">
        <f>'Annual Raw'!AA64</f>
        <v>0</v>
      </c>
      <c r="AA152" s="23">
        <f>'Annual Raw'!AB64</f>
        <v>0</v>
      </c>
      <c r="AB152" s="24">
        <f t="shared" si="1269"/>
        <v>0</v>
      </c>
      <c r="AC152" s="24">
        <f t="shared" si="1270"/>
        <v>0</v>
      </c>
      <c r="AD152" s="24">
        <f t="shared" si="1271"/>
        <v>0</v>
      </c>
      <c r="AE152" s="24">
        <f t="shared" si="1272"/>
        <v>0</v>
      </c>
      <c r="AJ152" s="23">
        <f>+'QTR Raw'!D70</f>
        <v>0</v>
      </c>
      <c r="AL152" s="23">
        <f>+'QTR Raw'!F70</f>
        <v>0</v>
      </c>
      <c r="AN152" s="23">
        <f>+'QTR Raw'!H70</f>
        <v>0</v>
      </c>
      <c r="AP152" s="23">
        <f>+'QTR Raw'!J70</f>
        <v>0</v>
      </c>
      <c r="AR152" s="23">
        <f>+'QTR Raw'!L70</f>
        <v>0</v>
      </c>
      <c r="AT152" s="23">
        <f>+'QTR Raw'!N70</f>
        <v>0</v>
      </c>
      <c r="AV152" s="23">
        <f>+'QTR Raw'!P70</f>
        <v>0</v>
      </c>
      <c r="AX152" s="23">
        <f>+'QTR Raw'!R70</f>
        <v>0</v>
      </c>
      <c r="AZ152" s="23">
        <f>+'QTR Raw'!T70</f>
        <v>0</v>
      </c>
      <c r="BB152" s="23">
        <f>+'QTR Raw'!V70</f>
        <v>0</v>
      </c>
      <c r="BD152" s="23">
        <f>+'QTR Raw'!X70</f>
        <v>0</v>
      </c>
      <c r="BF152" s="23">
        <f>+'QTR Raw'!Z70</f>
        <v>0</v>
      </c>
      <c r="BH152" s="23">
        <f>+'QTR Raw'!AB70</f>
        <v>0</v>
      </c>
      <c r="BJ152" s="23">
        <f>+'QTR Raw'!AD70</f>
        <v>0</v>
      </c>
      <c r="BL152" s="23">
        <f>+'QTR Raw'!AF70</f>
        <v>0</v>
      </c>
      <c r="BN152" s="23">
        <f>+'QTR Raw'!AH70</f>
        <v>0</v>
      </c>
      <c r="BP152" s="23">
        <f>+'QTR Raw'!AJ70</f>
        <v>0</v>
      </c>
      <c r="BR152" s="23">
        <f>+'QTR Raw'!AL70</f>
        <v>0</v>
      </c>
      <c r="BT152" s="23">
        <f>+'QTR Raw'!AN70</f>
        <v>0</v>
      </c>
      <c r="BV152" s="23">
        <f>+'QTR Raw'!AP70</f>
        <v>0</v>
      </c>
      <c r="BX152" s="23">
        <f>+'QTR Raw'!AR70</f>
        <v>0</v>
      </c>
      <c r="BZ152" s="23">
        <f>+'QTR Raw'!AT70</f>
        <v>0</v>
      </c>
      <c r="CB152" s="23">
        <f>+'QTR Raw'!AV70</f>
        <v>0</v>
      </c>
      <c r="CD152" s="23">
        <f>+'QTR Raw'!AX70</f>
        <v>0</v>
      </c>
      <c r="CF152" s="23">
        <f>+'QTR Raw'!AZ70</f>
        <v>0</v>
      </c>
      <c r="CH152" s="23">
        <f t="shared" si="1273"/>
        <v>0</v>
      </c>
      <c r="CI152" s="23">
        <f>CH152</f>
        <v>0</v>
      </c>
      <c r="CJ152" s="23">
        <f>+'QTR Raw'!BD70</f>
        <v>0</v>
      </c>
      <c r="CK152" s="23">
        <f t="shared" ref="CK152:DB152" si="1276">CJ152</f>
        <v>0</v>
      </c>
      <c r="CL152" s="23">
        <f>+'QTR Raw'!BF70</f>
        <v>0</v>
      </c>
      <c r="CM152" s="24">
        <f t="shared" si="1276"/>
        <v>0</v>
      </c>
      <c r="CN152" s="24">
        <f t="shared" si="1276"/>
        <v>0</v>
      </c>
      <c r="CO152" s="24">
        <f t="shared" si="1276"/>
        <v>0</v>
      </c>
      <c r="CP152" s="24">
        <f t="shared" si="1276"/>
        <v>0</v>
      </c>
      <c r="CQ152" s="24">
        <f t="shared" si="1276"/>
        <v>0</v>
      </c>
      <c r="CR152" s="24">
        <f t="shared" si="1276"/>
        <v>0</v>
      </c>
      <c r="CS152" s="24">
        <f t="shared" si="1276"/>
        <v>0</v>
      </c>
      <c r="CT152" s="24">
        <f t="shared" si="1276"/>
        <v>0</v>
      </c>
      <c r="CU152" s="24">
        <f t="shared" si="1276"/>
        <v>0</v>
      </c>
      <c r="CV152" s="24">
        <f t="shared" si="1276"/>
        <v>0</v>
      </c>
      <c r="CW152" s="24">
        <f t="shared" si="1276"/>
        <v>0</v>
      </c>
      <c r="CX152" s="24">
        <f t="shared" si="1276"/>
        <v>0</v>
      </c>
      <c r="CY152" s="24">
        <f t="shared" si="1276"/>
        <v>0</v>
      </c>
      <c r="CZ152" s="24">
        <f t="shared" si="1276"/>
        <v>0</v>
      </c>
      <c r="DA152" s="24">
        <f t="shared" si="1276"/>
        <v>0</v>
      </c>
      <c r="DB152" s="24">
        <f t="shared" si="1276"/>
        <v>0</v>
      </c>
      <c r="DE152" s="123"/>
      <c r="DF152" s="23">
        <v>0</v>
      </c>
    </row>
    <row r="153" spans="1:110" s="22" customFormat="1" outlineLevel="1" x14ac:dyDescent="0.2">
      <c r="A153" s="22" t="s">
        <v>53</v>
      </c>
      <c r="B153" s="22">
        <f>+B150-B151-B152</f>
        <v>0</v>
      </c>
      <c r="C153" s="22">
        <f t="shared" ref="C153:W153" si="1277">+C150-C151-C152</f>
        <v>0</v>
      </c>
      <c r="D153" s="22">
        <f t="shared" si="1277"/>
        <v>0</v>
      </c>
      <c r="E153" s="22">
        <f t="shared" si="1277"/>
        <v>0</v>
      </c>
      <c r="F153" s="22">
        <f t="shared" si="1277"/>
        <v>0</v>
      </c>
      <c r="G153" s="22">
        <f t="shared" si="1277"/>
        <v>0</v>
      </c>
      <c r="H153" s="22">
        <f t="shared" si="1277"/>
        <v>0</v>
      </c>
      <c r="I153" s="22">
        <f t="shared" si="1277"/>
        <v>0</v>
      </c>
      <c r="J153" s="22">
        <f t="shared" si="1277"/>
        <v>0</v>
      </c>
      <c r="K153" s="22">
        <f t="shared" si="1277"/>
        <v>2376.4639999999999</v>
      </c>
      <c r="L153" s="22">
        <f t="shared" si="1277"/>
        <v>2450.3476000000005</v>
      </c>
      <c r="M153" s="22">
        <f t="shared" si="1277"/>
        <v>2646.8721</v>
      </c>
      <c r="N153" s="22">
        <f t="shared" si="1277"/>
        <v>4093.3836000000001</v>
      </c>
      <c r="O153" s="22">
        <f t="shared" si="1277"/>
        <v>5689.4506000000001</v>
      </c>
      <c r="P153" s="22">
        <f t="shared" si="1277"/>
        <v>8225.1488000000008</v>
      </c>
      <c r="Q153" s="22">
        <f t="shared" si="1277"/>
        <v>7970.0956999999999</v>
      </c>
      <c r="R153" s="22">
        <f t="shared" si="1277"/>
        <v>7454.6612000000005</v>
      </c>
      <c r="S153" s="22">
        <f t="shared" si="1277"/>
        <v>7120.1911</v>
      </c>
      <c r="T153" s="22">
        <f t="shared" si="1277"/>
        <v>7162.7768999999998</v>
      </c>
      <c r="U153" s="22">
        <f t="shared" si="1277"/>
        <v>7491.2250999999997</v>
      </c>
      <c r="V153" s="22">
        <f t="shared" si="1277"/>
        <v>7315.5760000000009</v>
      </c>
      <c r="W153" s="22">
        <f t="shared" si="1277"/>
        <v>7356.7593999999999</v>
      </c>
      <c r="X153" s="22">
        <f t="shared" ref="X153:Y153" si="1278">+X150-X151-X152</f>
        <v>7423.0803999999989</v>
      </c>
      <c r="Y153" s="22">
        <f t="shared" si="1278"/>
        <v>8791.8493999999992</v>
      </c>
      <c r="Z153" s="22">
        <f t="shared" ref="Z153:AE153" si="1279">+Z150-Z151-Z152</f>
        <v>9279.9622999999992</v>
      </c>
      <c r="AA153" s="22">
        <f t="shared" ref="AA153" si="1280">+AA150-AA151-AA152</f>
        <v>10347.478800000001</v>
      </c>
      <c r="AB153" s="21">
        <f t="shared" si="1279"/>
        <v>10190.506893580248</v>
      </c>
      <c r="AC153" s="21">
        <f t="shared" si="1279"/>
        <v>10632.923709284507</v>
      </c>
      <c r="AD153" s="21">
        <f t="shared" si="1279"/>
        <v>11043.861786091744</v>
      </c>
      <c r="AE153" s="21">
        <f t="shared" si="1279"/>
        <v>11425.560891947869</v>
      </c>
      <c r="AJ153" s="22">
        <f t="shared" ref="AJ153:AL153" si="1281">+AJ150-AJ151-AJ152</f>
        <v>3190.18</v>
      </c>
      <c r="AK153" s="22">
        <f t="shared" ref="AK153:CE153" si="1282">+AJ153</f>
        <v>3190.18</v>
      </c>
      <c r="AL153" s="22">
        <f t="shared" si="1281"/>
        <v>5503.1</v>
      </c>
      <c r="AM153" s="22">
        <f t="shared" si="1282"/>
        <v>5503.1</v>
      </c>
      <c r="AN153" s="22">
        <f t="shared" ref="AN153" si="1283">+AN150-AN151-AN152</f>
        <v>3740.19</v>
      </c>
      <c r="AO153" s="22">
        <f t="shared" si="1282"/>
        <v>3740.19</v>
      </c>
      <c r="AP153" s="22">
        <f t="shared" ref="AP153:CD153" si="1284">+AP150-AP151-AP152</f>
        <v>6032.15</v>
      </c>
      <c r="AQ153" s="22">
        <f t="shared" si="1282"/>
        <v>6032.15</v>
      </c>
      <c r="AR153" s="22">
        <f t="shared" si="1284"/>
        <v>3754.65</v>
      </c>
      <c r="AS153" s="22">
        <f t="shared" si="1282"/>
        <v>3754.65</v>
      </c>
      <c r="AT153" s="22">
        <f t="shared" si="1284"/>
        <v>8252.81</v>
      </c>
      <c r="AU153" s="22">
        <f t="shared" si="1282"/>
        <v>8252.81</v>
      </c>
      <c r="AV153" s="22">
        <f t="shared" si="1284"/>
        <v>3917.3</v>
      </c>
      <c r="AW153" s="22">
        <f t="shared" si="1282"/>
        <v>3917.3</v>
      </c>
      <c r="AX153" s="22">
        <f t="shared" si="1284"/>
        <v>7970.1</v>
      </c>
      <c r="AY153" s="22">
        <f t="shared" si="1282"/>
        <v>7970.1</v>
      </c>
      <c r="AZ153" s="22">
        <f t="shared" si="1284"/>
        <v>5667.06</v>
      </c>
      <c r="BA153" s="22">
        <f t="shared" si="1282"/>
        <v>5667.06</v>
      </c>
      <c r="BB153" s="22">
        <f t="shared" si="1284"/>
        <v>7454.66</v>
      </c>
      <c r="BC153" s="22">
        <f t="shared" si="1282"/>
        <v>7454.66</v>
      </c>
      <c r="BD153" s="22">
        <f t="shared" si="1284"/>
        <v>5671.33</v>
      </c>
      <c r="BE153" s="22">
        <f t="shared" si="1282"/>
        <v>5671.33</v>
      </c>
      <c r="BF153" s="22">
        <f t="shared" si="1284"/>
        <v>7120.19</v>
      </c>
      <c r="BG153" s="22">
        <f t="shared" si="1282"/>
        <v>7120.19</v>
      </c>
      <c r="BH153" s="22">
        <f t="shared" si="1284"/>
        <v>5560.2</v>
      </c>
      <c r="BI153" s="22">
        <f t="shared" si="1282"/>
        <v>5560.2</v>
      </c>
      <c r="BJ153" s="22">
        <f t="shared" si="1284"/>
        <v>7162.78</v>
      </c>
      <c r="BK153" s="22">
        <f t="shared" si="1282"/>
        <v>7162.78</v>
      </c>
      <c r="BL153" s="22">
        <f t="shared" si="1284"/>
        <v>7029.67</v>
      </c>
      <c r="BM153" s="22">
        <f t="shared" si="1282"/>
        <v>7029.67</v>
      </c>
      <c r="BN153" s="22">
        <f t="shared" si="1284"/>
        <v>7216.11</v>
      </c>
      <c r="BO153" s="22">
        <f t="shared" si="1282"/>
        <v>7216.11</v>
      </c>
      <c r="BP153" s="22">
        <f t="shared" si="1284"/>
        <v>7098.55</v>
      </c>
      <c r="BQ153" s="22">
        <f t="shared" si="1282"/>
        <v>7098.55</v>
      </c>
      <c r="BR153" s="22">
        <f t="shared" si="1284"/>
        <v>7070.04</v>
      </c>
      <c r="BS153" s="22">
        <f t="shared" si="1282"/>
        <v>7070.04</v>
      </c>
      <c r="BT153" s="22">
        <f t="shared" si="1284"/>
        <v>7028.87</v>
      </c>
      <c r="BU153" s="22">
        <f t="shared" si="1282"/>
        <v>7028.87</v>
      </c>
      <c r="BV153" s="22">
        <f t="shared" si="1284"/>
        <v>7122.56</v>
      </c>
      <c r="BW153" s="22">
        <f t="shared" si="1282"/>
        <v>7122.56</v>
      </c>
      <c r="BX153" s="22">
        <f t="shared" si="1284"/>
        <v>7105.27</v>
      </c>
      <c r="BY153" s="22">
        <f t="shared" si="1282"/>
        <v>7105.27</v>
      </c>
      <c r="BZ153" s="22">
        <f t="shared" si="1284"/>
        <v>7239.92</v>
      </c>
      <c r="CA153" s="22">
        <f t="shared" si="1282"/>
        <v>7239.92</v>
      </c>
      <c r="CB153" s="22">
        <f t="shared" si="1284"/>
        <v>8532.06</v>
      </c>
      <c r="CC153" s="22">
        <f t="shared" si="1282"/>
        <v>8532.06</v>
      </c>
      <c r="CD153" s="22">
        <f t="shared" si="1284"/>
        <v>8617.7199999999993</v>
      </c>
      <c r="CE153" s="22">
        <f t="shared" si="1282"/>
        <v>8617.7199999999993</v>
      </c>
      <c r="CF153" s="22">
        <f t="shared" ref="CF153:CI153" si="1285">+CF150-CF151-CF152</f>
        <v>8560.61</v>
      </c>
      <c r="CG153" s="22">
        <f t="shared" ref="CG153:CI156" si="1286">+CF153</f>
        <v>8560.61</v>
      </c>
      <c r="CH153" s="22">
        <f t="shared" si="1285"/>
        <v>9279.9622999999992</v>
      </c>
      <c r="CI153" s="22">
        <f t="shared" si="1285"/>
        <v>9126.6322999999975</v>
      </c>
      <c r="CJ153" s="23">
        <f>+'QTR Raw'!BD68</f>
        <v>9274.7199999999993</v>
      </c>
      <c r="CK153" s="23">
        <f t="shared" ref="CK153:DB153" si="1287">+CK150-CK151-CK152</f>
        <v>9119.8099999999977</v>
      </c>
      <c r="CL153" s="23">
        <f>+'QTR Raw'!BF68</f>
        <v>9714.2000000000007</v>
      </c>
      <c r="CM153" s="21">
        <f t="shared" si="1287"/>
        <v>9836.5926037932804</v>
      </c>
      <c r="CN153" s="21">
        <f t="shared" si="1287"/>
        <v>9956.7474698753049</v>
      </c>
      <c r="CO153" s="21">
        <f t="shared" si="1287"/>
        <v>10074.705511421455</v>
      </c>
      <c r="CP153" s="21">
        <f t="shared" si="1287"/>
        <v>10190.506893580248</v>
      </c>
      <c r="CQ153" s="21">
        <f t="shared" si="1287"/>
        <v>10304.191047149723</v>
      </c>
      <c r="CR153" s="21">
        <f t="shared" si="1287"/>
        <v>10415.796682003765</v>
      </c>
      <c r="CS153" s="21">
        <f t="shared" si="1287"/>
        <v>10525.361800272973</v>
      </c>
      <c r="CT153" s="21">
        <f t="shared" si="1287"/>
        <v>10632.923709284507</v>
      </c>
      <c r="CU153" s="21">
        <f t="shared" si="1287"/>
        <v>10738.51903426539</v>
      </c>
      <c r="CV153" s="21">
        <f t="shared" si="1287"/>
        <v>10842.183730813518</v>
      </c>
      <c r="CW153" s="21">
        <f t="shared" si="1287"/>
        <v>10943.953097140686</v>
      </c>
      <c r="CX153" s="21">
        <f t="shared" si="1287"/>
        <v>11043.861786091744</v>
      </c>
      <c r="CY153" s="21">
        <f t="shared" si="1287"/>
        <v>11141.943816944038</v>
      </c>
      <c r="CZ153" s="21">
        <f t="shared" si="1287"/>
        <v>11238.232586991084</v>
      </c>
      <c r="DA153" s="21">
        <f t="shared" si="1287"/>
        <v>11332.760882914476</v>
      </c>
      <c r="DB153" s="21">
        <f t="shared" si="1287"/>
        <v>11425.560891947869</v>
      </c>
      <c r="DE153" s="126"/>
      <c r="DF153" s="22">
        <v>10347.478800000001</v>
      </c>
    </row>
    <row r="154" spans="1:110" s="23" customFormat="1" outlineLevel="1" x14ac:dyDescent="0.2">
      <c r="A154" s="23" t="s">
        <v>54</v>
      </c>
      <c r="B154" s="23">
        <f>'Annual Raw'!C86</f>
        <v>0</v>
      </c>
      <c r="C154" s="23">
        <f>'Annual Raw'!D86</f>
        <v>0</v>
      </c>
      <c r="D154" s="23">
        <f>'Annual Raw'!E86</f>
        <v>0</v>
      </c>
      <c r="E154" s="23">
        <f>'Annual Raw'!F86</f>
        <v>0</v>
      </c>
      <c r="F154" s="23">
        <f>'Annual Raw'!G86</f>
        <v>0</v>
      </c>
      <c r="G154" s="23">
        <f>'Annual Raw'!H86</f>
        <v>0</v>
      </c>
      <c r="H154" s="23">
        <f>'Annual Raw'!I86</f>
        <v>0</v>
      </c>
      <c r="I154" s="23">
        <f>'Annual Raw'!J86</f>
        <v>0</v>
      </c>
      <c r="J154" s="23">
        <f>'Annual Raw'!K86</f>
        <v>0</v>
      </c>
      <c r="K154" s="23">
        <f>'Annual Raw'!L86</f>
        <v>24.2075</v>
      </c>
      <c r="L154" s="23">
        <f>'Annual Raw'!M86</f>
        <v>47.993600000000001</v>
      </c>
      <c r="M154" s="23">
        <f>'Annual Raw'!N86</f>
        <v>153.1455</v>
      </c>
      <c r="N154" s="23">
        <f>'Annual Raw'!O86</f>
        <v>153.58109999999999</v>
      </c>
      <c r="O154" s="23">
        <f>'Annual Raw'!P86</f>
        <v>153.58109999999999</v>
      </c>
      <c r="P154" s="23">
        <f>'Annual Raw'!Q86</f>
        <v>13.5343</v>
      </c>
      <c r="Q154" s="23">
        <f>'Annual Raw'!R86</f>
        <v>7.2141999999999999</v>
      </c>
      <c r="R154" s="23">
        <f>'Annual Raw'!S86</f>
        <v>0</v>
      </c>
      <c r="S154" s="23">
        <f>'Annual Raw'!T86</f>
        <v>0</v>
      </c>
      <c r="T154" s="23">
        <f>'Annual Raw'!U86</f>
        <v>0</v>
      </c>
      <c r="U154" s="23">
        <f>'Annual Raw'!V86</f>
        <v>0</v>
      </c>
      <c r="V154" s="23">
        <f>'Annual Raw'!W86</f>
        <v>0</v>
      </c>
      <c r="W154" s="23">
        <f>'Annual Raw'!X86</f>
        <v>0</v>
      </c>
      <c r="X154" s="23">
        <f>'Annual Raw'!Y86</f>
        <v>61.052100000000003</v>
      </c>
      <c r="Y154" s="23">
        <f>'Annual Raw'!Z86</f>
        <v>61.052100000000003</v>
      </c>
      <c r="Z154" s="23">
        <f>'Annual Raw'!AA86</f>
        <v>61.052100000000003</v>
      </c>
      <c r="AA154" s="23">
        <f>'Annual Raw'!AB86</f>
        <v>61.052100000000003</v>
      </c>
      <c r="AB154" s="24">
        <f t="shared" si="1269"/>
        <v>61.05</v>
      </c>
      <c r="AC154" s="24">
        <f t="shared" si="1270"/>
        <v>61.05</v>
      </c>
      <c r="AD154" s="24">
        <f t="shared" si="1271"/>
        <v>61.05</v>
      </c>
      <c r="AE154" s="24">
        <f t="shared" si="1272"/>
        <v>61.05</v>
      </c>
      <c r="AJ154" s="23">
        <f>+'QTR Raw'!D72</f>
        <v>0</v>
      </c>
      <c r="AK154" s="23">
        <f>+AJ154</f>
        <v>0</v>
      </c>
      <c r="AL154" s="23">
        <f>+'QTR Raw'!F72</f>
        <v>153.58000000000001</v>
      </c>
      <c r="AM154" s="23">
        <f t="shared" ref="AK154:CE156" si="1288">+AL154</f>
        <v>153.58000000000001</v>
      </c>
      <c r="AN154" s="23">
        <f>+'QTR Raw'!H72</f>
        <v>0</v>
      </c>
      <c r="AO154" s="23">
        <f t="shared" si="1288"/>
        <v>0</v>
      </c>
      <c r="AP154" s="23">
        <f>+'QTR Raw'!J72</f>
        <v>153.58000000000001</v>
      </c>
      <c r="AQ154" s="23">
        <f t="shared" si="1288"/>
        <v>153.58000000000001</v>
      </c>
      <c r="AR154" s="23">
        <f>+'QTR Raw'!L72</f>
        <v>0</v>
      </c>
      <c r="AS154" s="23">
        <f t="shared" si="1288"/>
        <v>0</v>
      </c>
      <c r="AT154" s="23">
        <f>+'QTR Raw'!N72</f>
        <v>13.53</v>
      </c>
      <c r="AU154" s="23">
        <f t="shared" si="1288"/>
        <v>13.53</v>
      </c>
      <c r="AV154" s="23">
        <f>+'QTR Raw'!P72</f>
        <v>0</v>
      </c>
      <c r="AW154" s="23">
        <f t="shared" si="1288"/>
        <v>0</v>
      </c>
      <c r="AX154" s="23">
        <f>+'QTR Raw'!R72</f>
        <v>7.21</v>
      </c>
      <c r="AY154" s="23">
        <f t="shared" si="1288"/>
        <v>7.21</v>
      </c>
      <c r="AZ154" s="23">
        <f>+'QTR Raw'!T72</f>
        <v>0</v>
      </c>
      <c r="BA154" s="23">
        <f t="shared" si="1288"/>
        <v>0</v>
      </c>
      <c r="BB154" s="23">
        <f>+'QTR Raw'!V72</f>
        <v>0</v>
      </c>
      <c r="BC154" s="23">
        <f t="shared" si="1288"/>
        <v>0</v>
      </c>
      <c r="BD154" s="23">
        <f>+'QTR Raw'!X72</f>
        <v>0</v>
      </c>
      <c r="BE154" s="23">
        <f t="shared" si="1288"/>
        <v>0</v>
      </c>
      <c r="BF154" s="23">
        <f>+'QTR Raw'!Z72</f>
        <v>0</v>
      </c>
      <c r="BG154" s="23">
        <f t="shared" si="1288"/>
        <v>0</v>
      </c>
      <c r="BH154" s="23">
        <f>+'QTR Raw'!AB72</f>
        <v>0</v>
      </c>
      <c r="BI154" s="23">
        <f t="shared" si="1288"/>
        <v>0</v>
      </c>
      <c r="BJ154" s="23">
        <f>+'QTR Raw'!AD72</f>
        <v>0</v>
      </c>
      <c r="BK154" s="23">
        <f t="shared" si="1288"/>
        <v>0</v>
      </c>
      <c r="BL154" s="23">
        <f>+'QTR Raw'!AF72</f>
        <v>0</v>
      </c>
      <c r="BM154" s="23">
        <f t="shared" si="1288"/>
        <v>0</v>
      </c>
      <c r="BN154" s="23">
        <f>+'QTR Raw'!AH72</f>
        <v>0</v>
      </c>
      <c r="BO154" s="23">
        <f t="shared" si="1288"/>
        <v>0</v>
      </c>
      <c r="BP154" s="23">
        <f>+'QTR Raw'!AJ72</f>
        <v>0</v>
      </c>
      <c r="BQ154" s="23">
        <f t="shared" si="1288"/>
        <v>0</v>
      </c>
      <c r="BR154" s="23">
        <f>+'QTR Raw'!AL72</f>
        <v>0</v>
      </c>
      <c r="BS154" s="23">
        <f t="shared" si="1288"/>
        <v>0</v>
      </c>
      <c r="BT154" s="23">
        <f>+'QTR Raw'!AN72</f>
        <v>0</v>
      </c>
      <c r="BU154" s="23">
        <f t="shared" si="1288"/>
        <v>0</v>
      </c>
      <c r="BV154" s="23">
        <f>+'QTR Raw'!AP72</f>
        <v>0</v>
      </c>
      <c r="BW154" s="23">
        <f t="shared" si="1288"/>
        <v>0</v>
      </c>
      <c r="BX154" s="23">
        <f>+'QTR Raw'!AR72</f>
        <v>0</v>
      </c>
      <c r="BY154" s="23">
        <f t="shared" si="1288"/>
        <v>0</v>
      </c>
      <c r="BZ154" s="23">
        <f>+'QTR Raw'!AT72</f>
        <v>61.05</v>
      </c>
      <c r="CA154" s="23">
        <f t="shared" si="1288"/>
        <v>61.05</v>
      </c>
      <c r="CB154" s="23">
        <f>+'QTR Raw'!AV72</f>
        <v>0</v>
      </c>
      <c r="CC154" s="23">
        <f t="shared" si="1288"/>
        <v>0</v>
      </c>
      <c r="CD154" s="23">
        <f>+'QTR Raw'!AX72</f>
        <v>61.05</v>
      </c>
      <c r="CE154" s="23">
        <f t="shared" si="1288"/>
        <v>61.05</v>
      </c>
      <c r="CF154" s="23">
        <f>+'QTR Raw'!AZ72</f>
        <v>61.05</v>
      </c>
      <c r="CG154" s="23">
        <f t="shared" si="1286"/>
        <v>61.05</v>
      </c>
      <c r="CH154" s="23">
        <f t="shared" si="1273"/>
        <v>61.052100000000003</v>
      </c>
      <c r="CI154" s="23">
        <f t="shared" si="1286"/>
        <v>61.052100000000003</v>
      </c>
      <c r="CJ154" s="23">
        <f>+'QTR Raw'!BD72</f>
        <v>61.05</v>
      </c>
      <c r="CK154" s="23">
        <f t="shared" ref="CK154:CK156" si="1289">+CJ154</f>
        <v>61.05</v>
      </c>
      <c r="CL154" s="23">
        <f>+'QTR Raw'!BF72</f>
        <v>61.05</v>
      </c>
      <c r="CM154" s="24">
        <f t="shared" ref="CM154:CM156" si="1290">+CL154</f>
        <v>61.05</v>
      </c>
      <c r="CN154" s="24">
        <f t="shared" ref="CN154:CN156" si="1291">+CM154</f>
        <v>61.05</v>
      </c>
      <c r="CO154" s="24">
        <f t="shared" ref="CO154:CO156" si="1292">+CN154</f>
        <v>61.05</v>
      </c>
      <c r="CP154" s="24">
        <f t="shared" ref="CP154:CP156" si="1293">+CO154</f>
        <v>61.05</v>
      </c>
      <c r="CQ154" s="24">
        <f t="shared" ref="CQ154:CQ156" si="1294">+CP154</f>
        <v>61.05</v>
      </c>
      <c r="CR154" s="24">
        <f t="shared" ref="CR154:CR156" si="1295">+CQ154</f>
        <v>61.05</v>
      </c>
      <c r="CS154" s="24">
        <f t="shared" ref="CS154:CS156" si="1296">+CR154</f>
        <v>61.05</v>
      </c>
      <c r="CT154" s="24">
        <f t="shared" ref="CT154:CT156" si="1297">+CS154</f>
        <v>61.05</v>
      </c>
      <c r="CU154" s="24">
        <f t="shared" ref="CU154:CU156" si="1298">+CT154</f>
        <v>61.05</v>
      </c>
      <c r="CV154" s="24">
        <f t="shared" ref="CV154:CV156" si="1299">+CU154</f>
        <v>61.05</v>
      </c>
      <c r="CW154" s="24">
        <f t="shared" ref="CW154:CW156" si="1300">+CV154</f>
        <v>61.05</v>
      </c>
      <c r="CX154" s="24">
        <f t="shared" ref="CX154:CX156" si="1301">+CW154</f>
        <v>61.05</v>
      </c>
      <c r="CY154" s="24">
        <f t="shared" ref="CY154:CY156" si="1302">+CX154</f>
        <v>61.05</v>
      </c>
      <c r="CZ154" s="24">
        <f t="shared" ref="CZ154:CZ156" si="1303">+CY154</f>
        <v>61.05</v>
      </c>
      <c r="DA154" s="24">
        <f t="shared" ref="DA154:DA156" si="1304">+CZ154</f>
        <v>61.05</v>
      </c>
      <c r="DB154" s="24">
        <f t="shared" ref="DB154:DB156" si="1305">+DA154</f>
        <v>61.05</v>
      </c>
      <c r="DE154" s="123"/>
      <c r="DF154" s="23">
        <v>61.052100000000003</v>
      </c>
    </row>
    <row r="155" spans="1:110" s="23" customFormat="1" outlineLevel="1" x14ac:dyDescent="0.2">
      <c r="A155" s="23" t="s">
        <v>55</v>
      </c>
      <c r="B155" s="23">
        <f>'Annual Raw'!C68</f>
        <v>0</v>
      </c>
      <c r="C155" s="23">
        <f>'Annual Raw'!D68</f>
        <v>0</v>
      </c>
      <c r="D155" s="23">
        <f>'Annual Raw'!E68</f>
        <v>0</v>
      </c>
      <c r="E155" s="23">
        <f>'Annual Raw'!F68</f>
        <v>0</v>
      </c>
      <c r="F155" s="23">
        <f>'Annual Raw'!G68</f>
        <v>0</v>
      </c>
      <c r="G155" s="23">
        <f>'Annual Raw'!H68</f>
        <v>0</v>
      </c>
      <c r="H155" s="23">
        <f>'Annual Raw'!I68</f>
        <v>0</v>
      </c>
      <c r="I155" s="23">
        <f>'Annual Raw'!J68</f>
        <v>0</v>
      </c>
      <c r="J155" s="23">
        <f>'Annual Raw'!K68</f>
        <v>0</v>
      </c>
      <c r="K155" s="23">
        <f>'Annual Raw'!L68</f>
        <v>0</v>
      </c>
      <c r="L155" s="23">
        <f>'Annual Raw'!M68</f>
        <v>0</v>
      </c>
      <c r="M155" s="23">
        <f>'Annual Raw'!N68</f>
        <v>0</v>
      </c>
      <c r="N155" s="23">
        <f>'Annual Raw'!O68</f>
        <v>0.13389999999999999</v>
      </c>
      <c r="O155" s="23">
        <f>'Annual Raw'!P68</f>
        <v>0.1583</v>
      </c>
      <c r="P155" s="23">
        <f>'Annual Raw'!Q68</f>
        <v>27.669499999999999</v>
      </c>
      <c r="Q155" s="23">
        <f>'Annual Raw'!R68</f>
        <v>0</v>
      </c>
      <c r="R155" s="23">
        <f>'Annual Raw'!S68</f>
        <v>0</v>
      </c>
      <c r="S155" s="23">
        <f>'Annual Raw'!T68</f>
        <v>0</v>
      </c>
      <c r="T155" s="23">
        <f>'Annual Raw'!U68</f>
        <v>0</v>
      </c>
      <c r="U155" s="23">
        <f>'Annual Raw'!V68</f>
        <v>0</v>
      </c>
      <c r="V155" s="23">
        <f>'Annual Raw'!W68</f>
        <v>0</v>
      </c>
      <c r="W155" s="23">
        <f>'Annual Raw'!X68</f>
        <v>0</v>
      </c>
      <c r="X155" s="23">
        <f>'Annual Raw'!Y68</f>
        <v>0</v>
      </c>
      <c r="Y155" s="23">
        <f>'Annual Raw'!Z68</f>
        <v>0</v>
      </c>
      <c r="Z155" s="23">
        <f>'Annual Raw'!AA68</f>
        <v>0</v>
      </c>
      <c r="AA155" s="23">
        <f>'Annual Raw'!AB68</f>
        <v>0</v>
      </c>
      <c r="AB155" s="24">
        <f t="shared" si="1269"/>
        <v>0</v>
      </c>
      <c r="AC155" s="24">
        <f t="shared" si="1270"/>
        <v>0</v>
      </c>
      <c r="AD155" s="24">
        <f t="shared" si="1271"/>
        <v>0</v>
      </c>
      <c r="AE155" s="24">
        <f t="shared" si="1272"/>
        <v>0</v>
      </c>
      <c r="AK155" s="23">
        <f t="shared" si="1288"/>
        <v>0</v>
      </c>
      <c r="AM155" s="23">
        <f t="shared" si="1288"/>
        <v>0</v>
      </c>
      <c r="AO155" s="23">
        <f t="shared" si="1288"/>
        <v>0</v>
      </c>
      <c r="AQ155" s="23">
        <f t="shared" si="1288"/>
        <v>0</v>
      </c>
      <c r="AS155" s="23">
        <f t="shared" si="1288"/>
        <v>0</v>
      </c>
      <c r="AU155" s="23">
        <f t="shared" si="1288"/>
        <v>0</v>
      </c>
      <c r="AW155" s="23">
        <f t="shared" si="1288"/>
        <v>0</v>
      </c>
      <c r="AY155" s="23">
        <f t="shared" si="1288"/>
        <v>0</v>
      </c>
      <c r="BA155" s="23">
        <f t="shared" si="1288"/>
        <v>0</v>
      </c>
      <c r="BC155" s="23">
        <f t="shared" si="1288"/>
        <v>0</v>
      </c>
      <c r="BE155" s="23">
        <f t="shared" si="1288"/>
        <v>0</v>
      </c>
      <c r="BG155" s="23">
        <f t="shared" si="1288"/>
        <v>0</v>
      </c>
      <c r="BI155" s="23">
        <f t="shared" si="1288"/>
        <v>0</v>
      </c>
      <c r="BK155" s="23">
        <f t="shared" si="1288"/>
        <v>0</v>
      </c>
      <c r="BM155" s="23">
        <f t="shared" si="1288"/>
        <v>0</v>
      </c>
      <c r="BO155" s="23">
        <f t="shared" si="1288"/>
        <v>0</v>
      </c>
      <c r="BQ155" s="23">
        <f t="shared" si="1288"/>
        <v>0</v>
      </c>
      <c r="BS155" s="23">
        <f t="shared" si="1288"/>
        <v>0</v>
      </c>
      <c r="BU155" s="23">
        <f t="shared" si="1288"/>
        <v>0</v>
      </c>
      <c r="BW155" s="23">
        <f t="shared" si="1288"/>
        <v>0</v>
      </c>
      <c r="BY155" s="23">
        <f t="shared" si="1288"/>
        <v>0</v>
      </c>
      <c r="CA155" s="23">
        <f t="shared" si="1288"/>
        <v>0</v>
      </c>
      <c r="CC155" s="23">
        <f t="shared" si="1288"/>
        <v>0</v>
      </c>
      <c r="CE155" s="23">
        <f t="shared" si="1288"/>
        <v>0</v>
      </c>
      <c r="CG155" s="23">
        <f t="shared" si="1286"/>
        <v>0</v>
      </c>
      <c r="CH155" s="23">
        <f t="shared" si="1273"/>
        <v>0</v>
      </c>
      <c r="CI155" s="23">
        <f t="shared" si="1286"/>
        <v>0</v>
      </c>
      <c r="CK155" s="23">
        <f t="shared" si="1289"/>
        <v>0</v>
      </c>
      <c r="CM155" s="24">
        <f t="shared" si="1290"/>
        <v>0</v>
      </c>
      <c r="CN155" s="24">
        <f t="shared" si="1291"/>
        <v>0</v>
      </c>
      <c r="CO155" s="24">
        <f t="shared" si="1292"/>
        <v>0</v>
      </c>
      <c r="CP155" s="24">
        <f t="shared" si="1293"/>
        <v>0</v>
      </c>
      <c r="CQ155" s="24">
        <f t="shared" si="1294"/>
        <v>0</v>
      </c>
      <c r="CR155" s="24">
        <f t="shared" si="1295"/>
        <v>0</v>
      </c>
      <c r="CS155" s="24">
        <f t="shared" si="1296"/>
        <v>0</v>
      </c>
      <c r="CT155" s="24">
        <f t="shared" si="1297"/>
        <v>0</v>
      </c>
      <c r="CU155" s="24">
        <f t="shared" si="1298"/>
        <v>0</v>
      </c>
      <c r="CV155" s="24">
        <f t="shared" si="1299"/>
        <v>0</v>
      </c>
      <c r="CW155" s="24">
        <f t="shared" si="1300"/>
        <v>0</v>
      </c>
      <c r="CX155" s="24">
        <f t="shared" si="1301"/>
        <v>0</v>
      </c>
      <c r="CY155" s="24">
        <f t="shared" si="1302"/>
        <v>0</v>
      </c>
      <c r="CZ155" s="24">
        <f t="shared" si="1303"/>
        <v>0</v>
      </c>
      <c r="DA155" s="24">
        <f t="shared" si="1304"/>
        <v>0</v>
      </c>
      <c r="DB155" s="24">
        <f t="shared" si="1305"/>
        <v>0</v>
      </c>
      <c r="DE155" s="123"/>
      <c r="DF155" s="23">
        <v>0</v>
      </c>
    </row>
    <row r="156" spans="1:110" s="23" customFormat="1" outlineLevel="1" x14ac:dyDescent="0.2">
      <c r="A156" s="23" t="s">
        <v>56</v>
      </c>
      <c r="B156" s="23">
        <f>'Annual Raw'!C67+'Annual Raw'!C66+'Annual Raw'!C69+'Annual Raw'!C70</f>
        <v>0</v>
      </c>
      <c r="C156" s="23">
        <f>'Annual Raw'!D67+'Annual Raw'!D66+'Annual Raw'!D69+'Annual Raw'!D70</f>
        <v>0</v>
      </c>
      <c r="D156" s="23">
        <f>'Annual Raw'!E67+'Annual Raw'!E66+'Annual Raw'!E69+'Annual Raw'!E70</f>
        <v>0</v>
      </c>
      <c r="E156" s="23">
        <f>'Annual Raw'!F67+'Annual Raw'!F66+'Annual Raw'!F69+'Annual Raw'!F70</f>
        <v>0</v>
      </c>
      <c r="F156" s="23">
        <f>'Annual Raw'!G67+'Annual Raw'!G66+'Annual Raw'!G69+'Annual Raw'!G70</f>
        <v>0</v>
      </c>
      <c r="G156" s="23">
        <f>'Annual Raw'!H67+'Annual Raw'!H66+'Annual Raw'!H69+'Annual Raw'!H70</f>
        <v>0</v>
      </c>
      <c r="H156" s="23">
        <f>'Annual Raw'!I67+'Annual Raw'!I66+'Annual Raw'!I69+'Annual Raw'!I70</f>
        <v>0</v>
      </c>
      <c r="I156" s="23">
        <f>'Annual Raw'!J67+'Annual Raw'!J66+'Annual Raw'!J69+'Annual Raw'!J70</f>
        <v>0</v>
      </c>
      <c r="J156" s="23">
        <f>'Annual Raw'!K67+'Annual Raw'!K66+'Annual Raw'!K69+'Annual Raw'!K70</f>
        <v>0</v>
      </c>
      <c r="K156" s="23">
        <f>'Annual Raw'!L67+'Annual Raw'!L66+'Annual Raw'!L69+'Annual Raw'!L70</f>
        <v>366.82249999999999</v>
      </c>
      <c r="L156" s="23">
        <f>'Annual Raw'!M67+'Annual Raw'!M66+'Annual Raw'!M69+'Annual Raw'!M70</f>
        <v>665.05349999999999</v>
      </c>
      <c r="M156" s="23">
        <f>'Annual Raw'!N67+'Annual Raw'!N66+'Annual Raw'!N69+'Annual Raw'!N70</f>
        <v>1502.0259000000001</v>
      </c>
      <c r="N156" s="23">
        <f>'Annual Raw'!O67+'Annual Raw'!O66+'Annual Raw'!O69+'Annual Raw'!O70</f>
        <v>1409.5925</v>
      </c>
      <c r="O156" s="23">
        <f>'Annual Raw'!P67+'Annual Raw'!P66+'Annual Raw'!P69+'Annual Raw'!P70</f>
        <v>342.54430000000002</v>
      </c>
      <c r="P156" s="23">
        <f>'Annual Raw'!Q67+'Annual Raw'!Q66+'Annual Raw'!Q69+'Annual Raw'!Q70</f>
        <v>503.21749999999997</v>
      </c>
      <c r="Q156" s="23">
        <f>'Annual Raw'!R67+'Annual Raw'!R66+'Annual Raw'!R69+'Annual Raw'!R70</f>
        <v>254.43729999999999</v>
      </c>
      <c r="R156" s="23">
        <f>'Annual Raw'!S67+'Annual Raw'!S66+'Annual Raw'!S69+'Annual Raw'!S70</f>
        <v>101.9295</v>
      </c>
      <c r="S156" s="23">
        <f>'Annual Raw'!T67+'Annual Raw'!T66+'Annual Raw'!T69+'Annual Raw'!T70</f>
        <v>126.384</v>
      </c>
      <c r="T156" s="23">
        <f>'Annual Raw'!U67+'Annual Raw'!U66+'Annual Raw'!U69+'Annual Raw'!U70</f>
        <v>259.78719999999998</v>
      </c>
      <c r="U156" s="23">
        <f>'Annual Raw'!V67+'Annual Raw'!V66+'Annual Raw'!V69+'Annual Raw'!V70</f>
        <v>422.62720000000002</v>
      </c>
      <c r="V156" s="23">
        <f>'Annual Raw'!W67+'Annual Raw'!W66+'Annual Raw'!W69+'Annual Raw'!W70</f>
        <v>403.70429999999999</v>
      </c>
      <c r="W156" s="23">
        <f>'Annual Raw'!X67+'Annual Raw'!X66+'Annual Raw'!X69+'Annual Raw'!X70</f>
        <v>293.0942</v>
      </c>
      <c r="X156" s="23">
        <f>'Annual Raw'!Y67+'Annual Raw'!Y66+'Annual Raw'!Y69+'Annual Raw'!Y70</f>
        <v>299.87349999999998</v>
      </c>
      <c r="Y156" s="23">
        <f>'Annual Raw'!Z67+'Annual Raw'!Z66+'Annual Raw'!Z69+'Annual Raw'!Z70</f>
        <v>632.19970000000001</v>
      </c>
      <c r="Z156" s="23">
        <f>'Annual Raw'!AA67+'Annual Raw'!AA66+'Annual Raw'!AA69+'Annual Raw'!AA70</f>
        <v>640.89080000000001</v>
      </c>
      <c r="AA156" s="23">
        <f>'Annual Raw'!AB67+'Annual Raw'!AB66+'Annual Raw'!AB69+'Annual Raw'!AB70</f>
        <v>452.87790000000001</v>
      </c>
      <c r="AB156" s="24">
        <f t="shared" si="1269"/>
        <v>452.88</v>
      </c>
      <c r="AC156" s="24">
        <f t="shared" si="1270"/>
        <v>452.88</v>
      </c>
      <c r="AD156" s="24">
        <f t="shared" si="1271"/>
        <v>452.88</v>
      </c>
      <c r="AE156" s="24">
        <f t="shared" si="1272"/>
        <v>452.88</v>
      </c>
      <c r="AJ156" s="23">
        <f>+'QTR Raw'!D74+'QTR Raw'!D75</f>
        <v>0</v>
      </c>
      <c r="AK156" s="23">
        <f t="shared" si="1288"/>
        <v>0</v>
      </c>
      <c r="AL156" s="23">
        <f>+'QTR Raw'!F74+'QTR Raw'!F75</f>
        <v>0</v>
      </c>
      <c r="AM156" s="23">
        <f t="shared" si="1288"/>
        <v>0</v>
      </c>
      <c r="AN156" s="23">
        <f>+'QTR Raw'!H74+'QTR Raw'!H75</f>
        <v>0</v>
      </c>
      <c r="AO156" s="23">
        <f t="shared" si="1288"/>
        <v>0</v>
      </c>
      <c r="AP156" s="23">
        <f>+'QTR Raw'!J74+'QTR Raw'!J75</f>
        <v>0</v>
      </c>
      <c r="AQ156" s="23">
        <f t="shared" si="1288"/>
        <v>0</v>
      </c>
      <c r="AR156" s="23">
        <f>+'QTR Raw'!L74+'QTR Raw'!L75</f>
        <v>0</v>
      </c>
      <c r="AS156" s="23">
        <f t="shared" si="1288"/>
        <v>0</v>
      </c>
      <c r="AT156" s="23">
        <f>+'QTR Raw'!N74+'QTR Raw'!N75</f>
        <v>503.22</v>
      </c>
      <c r="AU156" s="23">
        <f t="shared" si="1288"/>
        <v>503.22</v>
      </c>
      <c r="AV156" s="23">
        <f>+'QTR Raw'!P74+'QTR Raw'!P75</f>
        <v>0</v>
      </c>
      <c r="AW156" s="23">
        <f t="shared" si="1288"/>
        <v>0</v>
      </c>
      <c r="AX156" s="23">
        <f>+'QTR Raw'!R74+'QTR Raw'!R75</f>
        <v>254.44</v>
      </c>
      <c r="AY156" s="23">
        <f t="shared" si="1288"/>
        <v>254.44</v>
      </c>
      <c r="AZ156" s="23">
        <f>+'QTR Raw'!T74+'QTR Raw'!T75</f>
        <v>257.55</v>
      </c>
      <c r="BA156" s="23">
        <f t="shared" si="1288"/>
        <v>257.55</v>
      </c>
      <c r="BB156" s="23">
        <f>+'QTR Raw'!V74+'QTR Raw'!V75</f>
        <v>101.93</v>
      </c>
      <c r="BC156" s="23">
        <f t="shared" si="1288"/>
        <v>101.93</v>
      </c>
      <c r="BD156" s="23">
        <f>+'QTR Raw'!X74+'QTR Raw'!X75</f>
        <v>109.69</v>
      </c>
      <c r="BE156" s="23">
        <f t="shared" si="1288"/>
        <v>109.69</v>
      </c>
      <c r="BF156" s="23">
        <f>+'QTR Raw'!Z74+'QTR Raw'!Z75</f>
        <v>126.38</v>
      </c>
      <c r="BG156" s="23">
        <f t="shared" si="1288"/>
        <v>126.38</v>
      </c>
      <c r="BH156" s="23">
        <f>+'QTR Raw'!AB74+'QTR Raw'!AB75</f>
        <v>255.42</v>
      </c>
      <c r="BI156" s="23">
        <f t="shared" si="1288"/>
        <v>255.42</v>
      </c>
      <c r="BJ156" s="23">
        <f>+'QTR Raw'!AD74+'QTR Raw'!AD75</f>
        <v>259.77999999999997</v>
      </c>
      <c r="BK156" s="23">
        <f t="shared" si="1288"/>
        <v>259.77999999999997</v>
      </c>
      <c r="BL156" s="23">
        <f>+'QTR Raw'!AF74+'QTR Raw'!AF75</f>
        <v>379.26</v>
      </c>
      <c r="BM156" s="23">
        <f t="shared" si="1288"/>
        <v>379.26</v>
      </c>
      <c r="BN156" s="23">
        <f>+'QTR Raw'!AH74+'QTR Raw'!AH75</f>
        <v>422.64</v>
      </c>
      <c r="BO156" s="23">
        <f t="shared" si="1288"/>
        <v>422.64</v>
      </c>
      <c r="BP156" s="23">
        <f>+'QTR Raw'!AJ74+'QTR Raw'!AJ75</f>
        <v>347.31</v>
      </c>
      <c r="BQ156" s="23">
        <f t="shared" si="1288"/>
        <v>347.31</v>
      </c>
      <c r="BR156" s="23">
        <f>+'QTR Raw'!AL74+'QTR Raw'!AL75</f>
        <v>403.7</v>
      </c>
      <c r="BS156" s="23">
        <f t="shared" si="1288"/>
        <v>403.7</v>
      </c>
      <c r="BT156" s="23">
        <f>+'QTR Raw'!AN74+'QTR Raw'!AN75</f>
        <v>330.8</v>
      </c>
      <c r="BU156" s="23">
        <f t="shared" si="1288"/>
        <v>330.8</v>
      </c>
      <c r="BV156" s="23">
        <f>+'QTR Raw'!AP74+'QTR Raw'!AP75</f>
        <v>293.08999999999997</v>
      </c>
      <c r="BW156" s="23">
        <f t="shared" si="1288"/>
        <v>293.08999999999997</v>
      </c>
      <c r="BX156" s="23">
        <f>+'QTR Raw'!AR74+'QTR Raw'!AR75</f>
        <v>316.38</v>
      </c>
      <c r="BY156" s="23">
        <f t="shared" si="1288"/>
        <v>316.38</v>
      </c>
      <c r="BZ156" s="23">
        <f>+'QTR Raw'!AT74+'QTR Raw'!AT75</f>
        <v>299.87</v>
      </c>
      <c r="CA156" s="23">
        <f t="shared" si="1288"/>
        <v>299.87</v>
      </c>
      <c r="CB156" s="23">
        <f>+'QTR Raw'!AV74+'QTR Raw'!AV75</f>
        <v>464.47</v>
      </c>
      <c r="CC156" s="23">
        <f t="shared" si="1288"/>
        <v>464.47</v>
      </c>
      <c r="CD156" s="23">
        <f>+'QTR Raw'!AX74+'QTR Raw'!AX75</f>
        <v>632.20000000000005</v>
      </c>
      <c r="CE156" s="23">
        <f t="shared" si="1288"/>
        <v>632.20000000000005</v>
      </c>
      <c r="CF156" s="23">
        <f>+'QTR Raw'!AZ74+'QTR Raw'!AZ75</f>
        <v>864.33</v>
      </c>
      <c r="CG156" s="23">
        <f t="shared" si="1286"/>
        <v>864.33</v>
      </c>
      <c r="CH156" s="23">
        <f t="shared" si="1273"/>
        <v>640.89080000000001</v>
      </c>
      <c r="CI156" s="23">
        <f t="shared" si="1286"/>
        <v>640.89080000000001</v>
      </c>
      <c r="CJ156" s="23">
        <f>+'QTR Raw'!BD74+'QTR Raw'!BD75</f>
        <v>659.54</v>
      </c>
      <c r="CK156" s="23">
        <f t="shared" si="1289"/>
        <v>659.54</v>
      </c>
      <c r="CL156" s="23">
        <f>+'QTR Raw'!BF74+'QTR Raw'!BF75</f>
        <v>452.88</v>
      </c>
      <c r="CM156" s="24">
        <f t="shared" si="1290"/>
        <v>452.88</v>
      </c>
      <c r="CN156" s="24">
        <f t="shared" si="1291"/>
        <v>452.88</v>
      </c>
      <c r="CO156" s="24">
        <f t="shared" si="1292"/>
        <v>452.88</v>
      </c>
      <c r="CP156" s="24">
        <f t="shared" si="1293"/>
        <v>452.88</v>
      </c>
      <c r="CQ156" s="24">
        <f t="shared" si="1294"/>
        <v>452.88</v>
      </c>
      <c r="CR156" s="24">
        <f t="shared" si="1295"/>
        <v>452.88</v>
      </c>
      <c r="CS156" s="24">
        <f t="shared" si="1296"/>
        <v>452.88</v>
      </c>
      <c r="CT156" s="24">
        <f t="shared" si="1297"/>
        <v>452.88</v>
      </c>
      <c r="CU156" s="24">
        <f t="shared" si="1298"/>
        <v>452.88</v>
      </c>
      <c r="CV156" s="24">
        <f t="shared" si="1299"/>
        <v>452.88</v>
      </c>
      <c r="CW156" s="24">
        <f t="shared" si="1300"/>
        <v>452.88</v>
      </c>
      <c r="CX156" s="24">
        <f t="shared" si="1301"/>
        <v>452.88</v>
      </c>
      <c r="CY156" s="24">
        <f t="shared" si="1302"/>
        <v>452.88</v>
      </c>
      <c r="CZ156" s="24">
        <f t="shared" si="1303"/>
        <v>452.88</v>
      </c>
      <c r="DA156" s="24">
        <f t="shared" si="1304"/>
        <v>452.88</v>
      </c>
      <c r="DB156" s="24">
        <f t="shared" si="1305"/>
        <v>452.88</v>
      </c>
      <c r="DE156" s="123"/>
      <c r="DF156" s="23">
        <v>452.87790000000001</v>
      </c>
    </row>
    <row r="157" spans="1:110" s="22" customFormat="1" x14ac:dyDescent="0.2">
      <c r="A157" s="22" t="s">
        <v>57</v>
      </c>
      <c r="B157" s="22">
        <f>B153+B156+B155</f>
        <v>0</v>
      </c>
      <c r="C157" s="22">
        <f t="shared" ref="C157:D157" si="1306">C153+C156+C155</f>
        <v>0</v>
      </c>
      <c r="D157" s="22">
        <f t="shared" si="1306"/>
        <v>0</v>
      </c>
      <c r="E157" s="22">
        <f t="shared" ref="E157:Y157" si="1307">E153+E156+E155+E154</f>
        <v>0</v>
      </c>
      <c r="F157" s="22">
        <f t="shared" si="1307"/>
        <v>0</v>
      </c>
      <c r="G157" s="22">
        <f t="shared" si="1307"/>
        <v>0</v>
      </c>
      <c r="H157" s="22">
        <f t="shared" si="1307"/>
        <v>0</v>
      </c>
      <c r="I157" s="22">
        <f t="shared" si="1307"/>
        <v>0</v>
      </c>
      <c r="J157" s="22">
        <f t="shared" si="1307"/>
        <v>0</v>
      </c>
      <c r="K157" s="22">
        <f t="shared" si="1307"/>
        <v>2767.4940000000001</v>
      </c>
      <c r="L157" s="22">
        <f t="shared" si="1307"/>
        <v>3163.3947000000003</v>
      </c>
      <c r="M157" s="22">
        <f t="shared" si="1307"/>
        <v>4302.0434999999998</v>
      </c>
      <c r="N157" s="22">
        <f t="shared" si="1307"/>
        <v>5656.6911</v>
      </c>
      <c r="O157" s="22">
        <f t="shared" si="1307"/>
        <v>6185.7343000000001</v>
      </c>
      <c r="P157" s="22">
        <f t="shared" si="1307"/>
        <v>8769.5701000000008</v>
      </c>
      <c r="Q157" s="22">
        <f t="shared" si="1307"/>
        <v>8231.7471999999998</v>
      </c>
      <c r="R157" s="22">
        <f t="shared" si="1307"/>
        <v>7556.5907000000007</v>
      </c>
      <c r="S157" s="22">
        <f t="shared" si="1307"/>
        <v>7246.5751</v>
      </c>
      <c r="T157" s="22">
        <f t="shared" si="1307"/>
        <v>7422.5640999999996</v>
      </c>
      <c r="U157" s="22">
        <f t="shared" si="1307"/>
        <v>7913.8522999999996</v>
      </c>
      <c r="V157" s="22">
        <f t="shared" si="1307"/>
        <v>7719.2803000000013</v>
      </c>
      <c r="W157" s="22">
        <f t="shared" si="1307"/>
        <v>7649.8536000000004</v>
      </c>
      <c r="X157" s="22">
        <f t="shared" si="1307"/>
        <v>7784.0059999999985</v>
      </c>
      <c r="Y157" s="22">
        <f t="shared" si="1307"/>
        <v>9485.1011999999992</v>
      </c>
      <c r="Z157" s="22">
        <f>Z153+Z156+Z155+Z154</f>
        <v>9981.9051999999992</v>
      </c>
      <c r="AA157" s="22">
        <f>AA153+AA156+AA155+AA154</f>
        <v>10861.408800000001</v>
      </c>
      <c r="AB157" s="21">
        <f t="shared" ref="AB157:AE157" si="1308">AB153+AB156+AB155+AB154</f>
        <v>10704.436893580247</v>
      </c>
      <c r="AC157" s="21">
        <f t="shared" si="1308"/>
        <v>11146.853709284505</v>
      </c>
      <c r="AD157" s="21">
        <f t="shared" si="1308"/>
        <v>11557.791786091742</v>
      </c>
      <c r="AE157" s="21">
        <f t="shared" si="1308"/>
        <v>11939.490891947868</v>
      </c>
      <c r="AJ157" s="22">
        <f t="shared" ref="AJ157" si="1309">AJ153+AJ156+AJ154+AJ155</f>
        <v>3190.18</v>
      </c>
      <c r="AK157" s="22">
        <f t="shared" ref="AK157" si="1310">AK153+AK156+AK154+AK155</f>
        <v>3190.18</v>
      </c>
      <c r="AL157" s="22">
        <f t="shared" ref="AL157:AM157" si="1311">AL153+AL156+AL154+AL155</f>
        <v>5656.68</v>
      </c>
      <c r="AM157" s="22">
        <f t="shared" si="1311"/>
        <v>5656.68</v>
      </c>
      <c r="AN157" s="22">
        <f t="shared" ref="AN157:AO157" si="1312">AN153+AN156+AN154+AN155</f>
        <v>3740.19</v>
      </c>
      <c r="AO157" s="22">
        <f t="shared" si="1312"/>
        <v>3740.19</v>
      </c>
      <c r="AP157" s="22">
        <f t="shared" ref="AP157:CE157" si="1313">AP153+AP156+AP154+AP155</f>
        <v>6185.73</v>
      </c>
      <c r="AQ157" s="22">
        <f t="shared" si="1313"/>
        <v>6185.73</v>
      </c>
      <c r="AR157" s="22">
        <f t="shared" si="1313"/>
        <v>3754.65</v>
      </c>
      <c r="AS157" s="22">
        <f t="shared" si="1313"/>
        <v>3754.65</v>
      </c>
      <c r="AT157" s="22">
        <f t="shared" si="1313"/>
        <v>8769.56</v>
      </c>
      <c r="AU157" s="22">
        <f t="shared" si="1313"/>
        <v>8769.56</v>
      </c>
      <c r="AV157" s="22">
        <f t="shared" si="1313"/>
        <v>3917.3</v>
      </c>
      <c r="AW157" s="22">
        <f t="shared" si="1313"/>
        <v>3917.3</v>
      </c>
      <c r="AX157" s="22">
        <f t="shared" si="1313"/>
        <v>8231.75</v>
      </c>
      <c r="AY157" s="22">
        <f t="shared" si="1313"/>
        <v>8231.75</v>
      </c>
      <c r="AZ157" s="22">
        <f t="shared" si="1313"/>
        <v>5924.6100000000006</v>
      </c>
      <c r="BA157" s="22">
        <f t="shared" si="1313"/>
        <v>5924.6100000000006</v>
      </c>
      <c r="BB157" s="22">
        <f t="shared" si="1313"/>
        <v>7556.59</v>
      </c>
      <c r="BC157" s="22">
        <f t="shared" si="1313"/>
        <v>7556.59</v>
      </c>
      <c r="BD157" s="22">
        <f t="shared" si="1313"/>
        <v>5781.0199999999995</v>
      </c>
      <c r="BE157" s="22">
        <f t="shared" si="1313"/>
        <v>5781.0199999999995</v>
      </c>
      <c r="BF157" s="22">
        <f t="shared" si="1313"/>
        <v>7246.57</v>
      </c>
      <c r="BG157" s="22">
        <f t="shared" si="1313"/>
        <v>7246.57</v>
      </c>
      <c r="BH157" s="22">
        <f t="shared" si="1313"/>
        <v>5815.62</v>
      </c>
      <c r="BI157" s="22">
        <f t="shared" si="1313"/>
        <v>5815.62</v>
      </c>
      <c r="BJ157" s="22">
        <f t="shared" si="1313"/>
        <v>7422.5599999999995</v>
      </c>
      <c r="BK157" s="22">
        <f t="shared" si="1313"/>
        <v>7422.5599999999995</v>
      </c>
      <c r="BL157" s="22">
        <f t="shared" si="1313"/>
        <v>7408.93</v>
      </c>
      <c r="BM157" s="22">
        <f t="shared" si="1313"/>
        <v>7408.93</v>
      </c>
      <c r="BN157" s="22">
        <f t="shared" si="1313"/>
        <v>7638.75</v>
      </c>
      <c r="BO157" s="22">
        <f t="shared" si="1313"/>
        <v>7638.75</v>
      </c>
      <c r="BP157" s="22">
        <f t="shared" si="1313"/>
        <v>7445.8600000000006</v>
      </c>
      <c r="BQ157" s="22">
        <f t="shared" si="1313"/>
        <v>7445.8600000000006</v>
      </c>
      <c r="BR157" s="22">
        <f t="shared" si="1313"/>
        <v>7473.74</v>
      </c>
      <c r="BS157" s="22">
        <f t="shared" si="1313"/>
        <v>7473.74</v>
      </c>
      <c r="BT157" s="22">
        <f t="shared" si="1313"/>
        <v>7359.67</v>
      </c>
      <c r="BU157" s="22">
        <f t="shared" si="1313"/>
        <v>7359.67</v>
      </c>
      <c r="BV157" s="22">
        <f t="shared" si="1313"/>
        <v>7415.6500000000005</v>
      </c>
      <c r="BW157" s="22">
        <f t="shared" si="1313"/>
        <v>7415.6500000000005</v>
      </c>
      <c r="BX157" s="22">
        <f t="shared" si="1313"/>
        <v>7421.6500000000005</v>
      </c>
      <c r="BY157" s="22">
        <f t="shared" si="1313"/>
        <v>7421.6500000000005</v>
      </c>
      <c r="BZ157" s="22">
        <f t="shared" si="1313"/>
        <v>7600.84</v>
      </c>
      <c r="CA157" s="22">
        <f t="shared" si="1313"/>
        <v>7600.84</v>
      </c>
      <c r="CB157" s="22">
        <f t="shared" si="1313"/>
        <v>8996.5299999999988</v>
      </c>
      <c r="CC157" s="22">
        <f t="shared" si="1313"/>
        <v>8996.5299999999988</v>
      </c>
      <c r="CD157" s="22">
        <f t="shared" si="1313"/>
        <v>9310.9699999999993</v>
      </c>
      <c r="CE157" s="22">
        <f t="shared" si="1313"/>
        <v>9310.9699999999993</v>
      </c>
      <c r="CF157" s="22">
        <f t="shared" ref="CF157:CG157" si="1314">CF153+CF156+CF154+CF155</f>
        <v>9485.99</v>
      </c>
      <c r="CG157" s="22">
        <f t="shared" si="1314"/>
        <v>9485.99</v>
      </c>
      <c r="CH157" s="22">
        <f t="shared" ref="CH157:CJ157" si="1315">CH153+CH156+CH154+CH155</f>
        <v>9981.9051999999992</v>
      </c>
      <c r="CI157" s="22">
        <f t="shared" si="1315"/>
        <v>9828.5751999999975</v>
      </c>
      <c r="CJ157" s="22">
        <f t="shared" si="1315"/>
        <v>9995.3099999999977</v>
      </c>
      <c r="CK157" s="22">
        <f t="shared" ref="CK157:DB157" si="1316">CK153+CK156+CK154+CK155</f>
        <v>9840.3999999999978</v>
      </c>
      <c r="CL157" s="22">
        <f t="shared" si="1316"/>
        <v>10228.129999999999</v>
      </c>
      <c r="CM157" s="21">
        <f t="shared" si="1316"/>
        <v>10350.522603793279</v>
      </c>
      <c r="CN157" s="21">
        <f t="shared" si="1316"/>
        <v>10470.677469875303</v>
      </c>
      <c r="CO157" s="21">
        <f t="shared" si="1316"/>
        <v>10588.635511421453</v>
      </c>
      <c r="CP157" s="21">
        <f t="shared" si="1316"/>
        <v>10704.436893580247</v>
      </c>
      <c r="CQ157" s="21">
        <f t="shared" si="1316"/>
        <v>10818.121047149722</v>
      </c>
      <c r="CR157" s="21">
        <f t="shared" si="1316"/>
        <v>10929.726682003764</v>
      </c>
      <c r="CS157" s="21">
        <f t="shared" si="1316"/>
        <v>11039.291800272971</v>
      </c>
      <c r="CT157" s="21">
        <f t="shared" si="1316"/>
        <v>11146.853709284505</v>
      </c>
      <c r="CU157" s="21">
        <f t="shared" si="1316"/>
        <v>11252.449034265388</v>
      </c>
      <c r="CV157" s="21">
        <f t="shared" si="1316"/>
        <v>11356.113730813517</v>
      </c>
      <c r="CW157" s="21">
        <f t="shared" si="1316"/>
        <v>11457.883097140684</v>
      </c>
      <c r="CX157" s="21">
        <f t="shared" si="1316"/>
        <v>11557.791786091742</v>
      </c>
      <c r="CY157" s="21">
        <f t="shared" si="1316"/>
        <v>11655.873816944037</v>
      </c>
      <c r="CZ157" s="21">
        <f t="shared" si="1316"/>
        <v>11752.162586991082</v>
      </c>
      <c r="DA157" s="21">
        <f t="shared" si="1316"/>
        <v>11846.690882914474</v>
      </c>
      <c r="DB157" s="21">
        <f t="shared" si="1316"/>
        <v>11939.490891947868</v>
      </c>
      <c r="DE157" s="126"/>
      <c r="DF157" s="22">
        <v>10861.408800000001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x14ac:dyDescent="0.2">
      <c r="A159" s="23" t="s">
        <v>58</v>
      </c>
      <c r="B159" s="23">
        <f>'Annual Raw'!C71</f>
        <v>0</v>
      </c>
      <c r="C159" s="23">
        <f>'Annual Raw'!D71</f>
        <v>0</v>
      </c>
      <c r="D159" s="23">
        <f>'Annual Raw'!E71</f>
        <v>0</v>
      </c>
      <c r="E159" s="23">
        <f>'Annual Raw'!F71</f>
        <v>0</v>
      </c>
      <c r="F159" s="23">
        <f>'Annual Raw'!G71</f>
        <v>0</v>
      </c>
      <c r="G159" s="23">
        <f>'Annual Raw'!H71</f>
        <v>0</v>
      </c>
      <c r="H159" s="23">
        <f>'Annual Raw'!I71</f>
        <v>0</v>
      </c>
      <c r="I159" s="23">
        <f>'Annual Raw'!J71</f>
        <v>0</v>
      </c>
      <c r="J159" s="23">
        <f>'Annual Raw'!K71</f>
        <v>0</v>
      </c>
      <c r="K159" s="23">
        <f>'Annual Raw'!L71</f>
        <v>325.6841</v>
      </c>
      <c r="L159" s="23">
        <f>'Annual Raw'!M71</f>
        <v>84.836699999999993</v>
      </c>
      <c r="M159" s="23">
        <f>'Annual Raw'!N71</f>
        <v>12.4688</v>
      </c>
      <c r="N159" s="23">
        <f>'Annual Raw'!O71</f>
        <v>10.342499999999999</v>
      </c>
      <c r="O159" s="23">
        <f>'Annual Raw'!P71</f>
        <v>10.342499999999999</v>
      </c>
      <c r="P159" s="23">
        <f>'Annual Raw'!Q71</f>
        <v>18.691500000000001</v>
      </c>
      <c r="Q159" s="23">
        <f>'Annual Raw'!R71</f>
        <v>26.317</v>
      </c>
      <c r="R159" s="23">
        <f>'Annual Raw'!S71</f>
        <v>117.2392</v>
      </c>
      <c r="S159" s="23">
        <f>'Annual Raw'!T71</f>
        <v>108.9002</v>
      </c>
      <c r="T159" s="23">
        <f>'Annual Raw'!U71</f>
        <v>188.62049999999999</v>
      </c>
      <c r="U159" s="23">
        <f>'Annual Raw'!V71</f>
        <v>126.0087</v>
      </c>
      <c r="V159" s="23">
        <f>'Annual Raw'!W71</f>
        <v>132.89240000000001</v>
      </c>
      <c r="W159" s="23">
        <f>'Annual Raw'!X71</f>
        <v>213.1677</v>
      </c>
      <c r="X159" s="23">
        <f>'Annual Raw'!Y71</f>
        <v>169.6645</v>
      </c>
      <c r="Y159" s="23">
        <f>'Annual Raw'!Z71</f>
        <v>174.0171</v>
      </c>
      <c r="Z159" s="23">
        <f>'Annual Raw'!AA71</f>
        <v>166.07050000000001</v>
      </c>
      <c r="AA159" s="23">
        <f>'Annual Raw'!AB71</f>
        <v>92.698400000000007</v>
      </c>
      <c r="AB159" s="24">
        <f>+CP159</f>
        <v>92.7</v>
      </c>
      <c r="AC159" s="24">
        <f>+CT159</f>
        <v>92.7</v>
      </c>
      <c r="AD159" s="24">
        <f>+CX159</f>
        <v>92.7</v>
      </c>
      <c r="AE159" s="24">
        <f>+DB159</f>
        <v>92.7</v>
      </c>
      <c r="AJ159" s="23">
        <f>+'QTR Raw'!D77</f>
        <v>789.96</v>
      </c>
      <c r="AK159" s="23">
        <f t="shared" ref="AK159:CE159" si="1317">+AJ159</f>
        <v>789.96</v>
      </c>
      <c r="AL159" s="23">
        <f>+'QTR Raw'!F77</f>
        <v>10.34</v>
      </c>
      <c r="AM159" s="23">
        <f t="shared" si="1317"/>
        <v>10.34</v>
      </c>
      <c r="AN159" s="23">
        <f>+'QTR Raw'!H77</f>
        <v>760.93</v>
      </c>
      <c r="AO159" s="23">
        <f t="shared" si="1317"/>
        <v>760.93</v>
      </c>
      <c r="AP159" s="23">
        <f>+'QTR Raw'!J77</f>
        <v>10.34</v>
      </c>
      <c r="AQ159" s="23">
        <f t="shared" si="1317"/>
        <v>10.34</v>
      </c>
      <c r="AR159" s="23">
        <f>+'QTR Raw'!L77</f>
        <v>840.71</v>
      </c>
      <c r="AS159" s="23">
        <f t="shared" si="1317"/>
        <v>840.71</v>
      </c>
      <c r="AT159" s="23">
        <f>+'QTR Raw'!N77</f>
        <v>18.690000000000001</v>
      </c>
      <c r="AU159" s="23">
        <f t="shared" si="1317"/>
        <v>18.690000000000001</v>
      </c>
      <c r="AV159" s="23">
        <f>+'QTR Raw'!P77</f>
        <v>1052.93</v>
      </c>
      <c r="AW159" s="23">
        <f t="shared" si="1317"/>
        <v>1052.93</v>
      </c>
      <c r="AX159" s="23">
        <f>+'QTR Raw'!R77</f>
        <v>26.32</v>
      </c>
      <c r="AY159" s="23">
        <f t="shared" si="1317"/>
        <v>26.32</v>
      </c>
      <c r="AZ159" s="23">
        <f>+'QTR Raw'!T77</f>
        <v>601.23</v>
      </c>
      <c r="BA159" s="23">
        <f t="shared" si="1317"/>
        <v>601.23</v>
      </c>
      <c r="BB159" s="23">
        <f>+'QTR Raw'!V77</f>
        <v>117.24</v>
      </c>
      <c r="BC159" s="23">
        <f t="shared" si="1317"/>
        <v>117.24</v>
      </c>
      <c r="BD159" s="23">
        <f>+'QTR Raw'!X77</f>
        <v>618.88</v>
      </c>
      <c r="BE159" s="23">
        <f t="shared" si="1317"/>
        <v>618.88</v>
      </c>
      <c r="BF159" s="23">
        <f>+'QTR Raw'!Z77</f>
        <v>108.9</v>
      </c>
      <c r="BG159" s="23">
        <f t="shared" si="1317"/>
        <v>108.9</v>
      </c>
      <c r="BH159" s="23">
        <f>+'QTR Raw'!AB77</f>
        <v>655.49</v>
      </c>
      <c r="BI159" s="23">
        <f t="shared" si="1317"/>
        <v>655.49</v>
      </c>
      <c r="BJ159" s="23">
        <f>+'QTR Raw'!AD77</f>
        <v>188.62</v>
      </c>
      <c r="BK159" s="23">
        <f t="shared" si="1317"/>
        <v>188.62</v>
      </c>
      <c r="BL159" s="23">
        <f>+'QTR Raw'!AF77</f>
        <v>186.85</v>
      </c>
      <c r="BM159" s="23">
        <f t="shared" si="1317"/>
        <v>186.85</v>
      </c>
      <c r="BN159" s="23">
        <f>+'QTR Raw'!AH77</f>
        <v>126.01</v>
      </c>
      <c r="BO159" s="23">
        <f t="shared" si="1317"/>
        <v>126.01</v>
      </c>
      <c r="BP159" s="23">
        <f>+'QTR Raw'!AJ77</f>
        <v>127.72</v>
      </c>
      <c r="BQ159" s="23">
        <f t="shared" si="1317"/>
        <v>127.72</v>
      </c>
      <c r="BR159" s="23">
        <f>+'QTR Raw'!AL77</f>
        <v>132.88999999999999</v>
      </c>
      <c r="BS159" s="23">
        <f t="shared" si="1317"/>
        <v>132.88999999999999</v>
      </c>
      <c r="BT159" s="23">
        <f>+'QTR Raw'!AN77</f>
        <v>136.27000000000001</v>
      </c>
      <c r="BU159" s="23">
        <f t="shared" si="1317"/>
        <v>136.27000000000001</v>
      </c>
      <c r="BV159" s="23">
        <f>+'QTR Raw'!AP77</f>
        <v>213.17</v>
      </c>
      <c r="BW159" s="23">
        <f t="shared" si="1317"/>
        <v>213.17</v>
      </c>
      <c r="BX159" s="23">
        <f>+'QTR Raw'!AR77</f>
        <v>239.45</v>
      </c>
      <c r="BY159" s="23">
        <f t="shared" si="1317"/>
        <v>239.45</v>
      </c>
      <c r="BZ159" s="23">
        <f>+'QTR Raw'!AT77</f>
        <v>169.66</v>
      </c>
      <c r="CA159" s="23">
        <f t="shared" si="1317"/>
        <v>169.66</v>
      </c>
      <c r="CB159" s="23">
        <f>+'QTR Raw'!AV77</f>
        <v>246.97</v>
      </c>
      <c r="CC159" s="23">
        <f t="shared" si="1317"/>
        <v>246.97</v>
      </c>
      <c r="CD159" s="23">
        <f>+'QTR Raw'!AX77</f>
        <v>174.02</v>
      </c>
      <c r="CE159" s="23">
        <f t="shared" si="1317"/>
        <v>174.02</v>
      </c>
      <c r="CF159" s="23">
        <f>+'QTR Raw'!AZ77</f>
        <v>146.38</v>
      </c>
      <c r="CG159" s="23">
        <f t="shared" ref="CG159:CI162" si="1318">+CF159</f>
        <v>146.38</v>
      </c>
      <c r="CH159" s="23">
        <f t="shared" ref="CH159:CH174" si="1319">Z159</f>
        <v>166.07050000000001</v>
      </c>
      <c r="CI159" s="23">
        <f t="shared" si="1318"/>
        <v>166.07050000000001</v>
      </c>
      <c r="CJ159" s="23">
        <f>+'QTR Raw'!BD77</f>
        <v>191.95</v>
      </c>
      <c r="CK159" s="23">
        <f t="shared" ref="CK159" si="1320">+CJ159</f>
        <v>191.95</v>
      </c>
      <c r="CL159" s="23">
        <f>+'QTR Raw'!BF77</f>
        <v>92.7</v>
      </c>
      <c r="CM159" s="24">
        <f t="shared" ref="CM159" si="1321">+CL159</f>
        <v>92.7</v>
      </c>
      <c r="CN159" s="24">
        <f t="shared" ref="CN159" si="1322">+CM159</f>
        <v>92.7</v>
      </c>
      <c r="CO159" s="24">
        <f t="shared" ref="CO159" si="1323">+CN159</f>
        <v>92.7</v>
      </c>
      <c r="CP159" s="24">
        <f t="shared" ref="CP159" si="1324">+CO159</f>
        <v>92.7</v>
      </c>
      <c r="CQ159" s="24">
        <f t="shared" ref="CQ159" si="1325">+CP159</f>
        <v>92.7</v>
      </c>
      <c r="CR159" s="24">
        <f t="shared" ref="CR159" si="1326">+CQ159</f>
        <v>92.7</v>
      </c>
      <c r="CS159" s="24">
        <f t="shared" ref="CS159" si="1327">+CR159</f>
        <v>92.7</v>
      </c>
      <c r="CT159" s="24">
        <f t="shared" ref="CT159" si="1328">+CS159</f>
        <v>92.7</v>
      </c>
      <c r="CU159" s="24">
        <f t="shared" ref="CU159" si="1329">+CT159</f>
        <v>92.7</v>
      </c>
      <c r="CV159" s="24">
        <f t="shared" ref="CV159" si="1330">+CU159</f>
        <v>92.7</v>
      </c>
      <c r="CW159" s="24">
        <f t="shared" ref="CW159" si="1331">+CV159</f>
        <v>92.7</v>
      </c>
      <c r="CX159" s="24">
        <f t="shared" ref="CX159" si="1332">+CW159</f>
        <v>92.7</v>
      </c>
      <c r="CY159" s="24">
        <f t="shared" ref="CY159" si="1333">+CX159</f>
        <v>92.7</v>
      </c>
      <c r="CZ159" s="24">
        <f t="shared" ref="CZ159" si="1334">+CY159</f>
        <v>92.7</v>
      </c>
      <c r="DA159" s="24">
        <f t="shared" ref="DA159" si="1335">+CZ159</f>
        <v>92.7</v>
      </c>
      <c r="DB159" s="24">
        <f t="shared" ref="DB159" si="1336">+DA159</f>
        <v>92.7</v>
      </c>
      <c r="DE159" s="123"/>
      <c r="DF159" s="23">
        <v>92.698400000000007</v>
      </c>
    </row>
    <row r="160" spans="1:110" s="23" customFormat="1" x14ac:dyDescent="0.2">
      <c r="AB160" s="24"/>
      <c r="AC160" s="24"/>
      <c r="AD160" s="24"/>
      <c r="AE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</row>
    <row r="161" spans="1:110" s="23" customFormat="1" outlineLevel="1" x14ac:dyDescent="0.2">
      <c r="A161" s="23" t="s">
        <v>59</v>
      </c>
      <c r="B161" s="23">
        <f>'Annual Raw'!C72</f>
        <v>0</v>
      </c>
      <c r="C161" s="23">
        <f>'Annual Raw'!D72</f>
        <v>0</v>
      </c>
      <c r="D161" s="23">
        <f>'Annual Raw'!E72</f>
        <v>0</v>
      </c>
      <c r="E161" s="23">
        <f>'Annual Raw'!F72+'Annual Raw'!F61</f>
        <v>0</v>
      </c>
      <c r="F161" s="23">
        <f>'Annual Raw'!G72+'Annual Raw'!G61</f>
        <v>0</v>
      </c>
      <c r="G161" s="23">
        <f>'Annual Raw'!H72+'Annual Raw'!H61</f>
        <v>0</v>
      </c>
      <c r="H161" s="23">
        <f>'Annual Raw'!I72+'Annual Raw'!I61</f>
        <v>0</v>
      </c>
      <c r="I161" s="23">
        <f>'Annual Raw'!J72+'Annual Raw'!J61</f>
        <v>0</v>
      </c>
      <c r="J161" s="23">
        <f>'Annual Raw'!K72+'Annual Raw'!K61</f>
        <v>0</v>
      </c>
      <c r="K161" s="23">
        <f>'Annual Raw'!L72+'Annual Raw'!L61</f>
        <v>0</v>
      </c>
      <c r="L161" s="23">
        <f>'Annual Raw'!M72+'Annual Raw'!M61</f>
        <v>458.15089999999998</v>
      </c>
      <c r="M161" s="23">
        <f>'Annual Raw'!N72+'Annual Raw'!N61</f>
        <v>211.98990000000001</v>
      </c>
      <c r="N161" s="23">
        <f>'Annual Raw'!O72+'Annual Raw'!O61</f>
        <v>213.72380000000001</v>
      </c>
      <c r="O161" s="23">
        <f>'Annual Raw'!P72+'Annual Raw'!P61</f>
        <v>208.03</v>
      </c>
      <c r="P161" s="23">
        <f>'Annual Raw'!Q72+'Annual Raw'!Q61</f>
        <v>245.00640000000001</v>
      </c>
      <c r="Q161" s="23">
        <f>'Annual Raw'!R72+'Annual Raw'!R61</f>
        <v>236.2559</v>
      </c>
      <c r="R161" s="23">
        <f>'Annual Raw'!S72+'Annual Raw'!S61</f>
        <v>377.68680000000001</v>
      </c>
      <c r="S161" s="23">
        <f>'Annual Raw'!T72+'Annual Raw'!T61</f>
        <v>344.38639999999998</v>
      </c>
      <c r="T161" s="23">
        <f>'Annual Raw'!U72+'Annual Raw'!U61</f>
        <v>581.01459999999997</v>
      </c>
      <c r="U161" s="23">
        <f>'Annual Raw'!V72+'Annual Raw'!V61</f>
        <v>1054.0333000000001</v>
      </c>
      <c r="V161" s="23">
        <f>'Annual Raw'!W72+'Annual Raw'!W61</f>
        <v>1059.8675000000001</v>
      </c>
      <c r="W161" s="23">
        <f>'Annual Raw'!X72+'Annual Raw'!X61</f>
        <v>1111.9082000000001</v>
      </c>
      <c r="X161" s="23">
        <f>'Annual Raw'!Y72+'Annual Raw'!Y61</f>
        <v>772.42430000000002</v>
      </c>
      <c r="Y161" s="23">
        <f>'Annual Raw'!Z72+'Annual Raw'!Z61</f>
        <v>647.58839999999998</v>
      </c>
      <c r="Z161" s="23">
        <f>'Annual Raw'!AA72+'Annual Raw'!AA61</f>
        <v>305.90719999999999</v>
      </c>
      <c r="AA161" s="23">
        <f>'Annual Raw'!AB72+'Annual Raw'!AB61</f>
        <v>586.62580000000003</v>
      </c>
      <c r="AB161" s="24">
        <f t="shared" ref="AB161:AB166" si="1337">+CP161</f>
        <v>0</v>
      </c>
      <c r="AC161" s="24">
        <f t="shared" ref="AC161:AC166" si="1338">+CT161</f>
        <v>0</v>
      </c>
      <c r="AD161" s="24">
        <f t="shared" ref="AD161:AD166" si="1339">+CX161</f>
        <v>0</v>
      </c>
      <c r="AE161" s="24">
        <f t="shared" ref="AE161:AE166" si="1340">+DB161</f>
        <v>0</v>
      </c>
      <c r="AJ161" s="23">
        <f>+'QTR Raw'!D78</f>
        <v>249.98</v>
      </c>
      <c r="AK161" s="23">
        <f t="shared" ref="AK161:CE166" si="1341">+AJ161</f>
        <v>249.98</v>
      </c>
      <c r="AL161" s="23">
        <f>+'QTR Raw'!F78</f>
        <v>213.72</v>
      </c>
      <c r="AM161" s="23">
        <f t="shared" si="1341"/>
        <v>213.72</v>
      </c>
      <c r="AN161" s="23">
        <f>+'QTR Raw'!H78</f>
        <v>232.96</v>
      </c>
      <c r="AO161" s="23">
        <f t="shared" si="1341"/>
        <v>232.96</v>
      </c>
      <c r="AP161" s="23">
        <f>+'QTR Raw'!J78</f>
        <v>208.03</v>
      </c>
      <c r="AQ161" s="23">
        <f t="shared" si="1341"/>
        <v>208.03</v>
      </c>
      <c r="AR161" s="23">
        <f>+'QTR Raw'!L78</f>
        <v>287.64</v>
      </c>
      <c r="AS161" s="23">
        <f t="shared" si="1341"/>
        <v>287.64</v>
      </c>
      <c r="AT161" s="23">
        <f>+'QTR Raw'!N78</f>
        <v>158.13999999999999</v>
      </c>
      <c r="AU161" s="23">
        <f t="shared" si="1341"/>
        <v>158.13999999999999</v>
      </c>
      <c r="AV161" s="23">
        <f>+'QTR Raw'!P78</f>
        <v>325.52</v>
      </c>
      <c r="AW161" s="23">
        <f t="shared" si="1341"/>
        <v>325.52</v>
      </c>
      <c r="AX161" s="23">
        <f>+'QTR Raw'!R78</f>
        <v>157.01</v>
      </c>
      <c r="AY161" s="23">
        <f t="shared" si="1341"/>
        <v>157.01</v>
      </c>
      <c r="AZ161" s="23">
        <f>+'QTR Raw'!T78</f>
        <v>159.57</v>
      </c>
      <c r="BA161" s="23">
        <f t="shared" si="1341"/>
        <v>159.57</v>
      </c>
      <c r="BB161" s="23">
        <f>+'QTR Raw'!V78</f>
        <v>302.08</v>
      </c>
      <c r="BC161" s="23">
        <f t="shared" si="1341"/>
        <v>302.08</v>
      </c>
      <c r="BD161" s="23">
        <f>+'QTR Raw'!X78</f>
        <v>186.77</v>
      </c>
      <c r="BE161" s="23">
        <f t="shared" si="1341"/>
        <v>186.77</v>
      </c>
      <c r="BF161" s="23">
        <f>+'QTR Raw'!Z78</f>
        <v>274.93</v>
      </c>
      <c r="BG161" s="23">
        <f t="shared" si="1341"/>
        <v>274.93</v>
      </c>
      <c r="BH161" s="23">
        <f>+'QTR Raw'!AB78</f>
        <v>218.32</v>
      </c>
      <c r="BI161" s="23">
        <f t="shared" si="1341"/>
        <v>218.32</v>
      </c>
      <c r="BJ161" s="23">
        <f>+'QTR Raw'!AD78</f>
        <v>507.58</v>
      </c>
      <c r="BK161" s="23">
        <f t="shared" si="1341"/>
        <v>507.58</v>
      </c>
      <c r="BL161" s="23">
        <f>+'QTR Raw'!AF78</f>
        <v>512.52</v>
      </c>
      <c r="BM161" s="23">
        <f t="shared" si="1341"/>
        <v>512.52</v>
      </c>
      <c r="BN161" s="23">
        <f>+'QTR Raw'!AH78</f>
        <v>508.4</v>
      </c>
      <c r="BO161" s="23">
        <f t="shared" si="1341"/>
        <v>508.4</v>
      </c>
      <c r="BP161" s="23">
        <f>+'QTR Raw'!AJ78</f>
        <v>549.13</v>
      </c>
      <c r="BQ161" s="23">
        <f t="shared" si="1341"/>
        <v>549.13</v>
      </c>
      <c r="BR161" s="23">
        <f>+'QTR Raw'!AL78</f>
        <v>341.15</v>
      </c>
      <c r="BS161" s="23">
        <f t="shared" si="1341"/>
        <v>341.15</v>
      </c>
      <c r="BT161" s="23">
        <f>+'QTR Raw'!AN78</f>
        <v>688.93</v>
      </c>
      <c r="BU161" s="23">
        <f t="shared" si="1341"/>
        <v>688.93</v>
      </c>
      <c r="BV161" s="23">
        <f>+'QTR Raw'!AP78</f>
        <v>198.2</v>
      </c>
      <c r="BW161" s="23">
        <f t="shared" si="1341"/>
        <v>198.2</v>
      </c>
      <c r="BX161" s="23">
        <f>+'QTR Raw'!AR78</f>
        <v>70.02</v>
      </c>
      <c r="BY161" s="23">
        <f t="shared" si="1341"/>
        <v>70.02</v>
      </c>
      <c r="BZ161" s="23">
        <f>+'QTR Raw'!AT78</f>
        <v>35.659999999999997</v>
      </c>
      <c r="CA161" s="23">
        <f t="shared" si="1341"/>
        <v>35.659999999999997</v>
      </c>
      <c r="CB161" s="23">
        <f>+'QTR Raw'!AV78</f>
        <v>60.06</v>
      </c>
      <c r="CC161" s="23">
        <f t="shared" si="1341"/>
        <v>60.06</v>
      </c>
      <c r="CD161" s="23">
        <f>+'QTR Raw'!AX78</f>
        <v>81.22</v>
      </c>
      <c r="CE161" s="23">
        <f t="shared" si="1341"/>
        <v>81.22</v>
      </c>
      <c r="CF161" s="23">
        <f>+'QTR Raw'!AZ78</f>
        <v>86.17</v>
      </c>
      <c r="CG161" s="23">
        <f t="shared" si="1318"/>
        <v>86.17</v>
      </c>
      <c r="CH161" s="23">
        <f t="shared" si="1319"/>
        <v>305.90719999999999</v>
      </c>
      <c r="CJ161" s="23">
        <f>+'QTR Raw'!BD78</f>
        <v>73.31</v>
      </c>
      <c r="CL161" s="23">
        <f>+'QTR Raw'!BF78</f>
        <v>77.790000000000006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586.62580000000003</v>
      </c>
    </row>
    <row r="162" spans="1:110" s="23" customFormat="1" outlineLevel="1" x14ac:dyDescent="0.2">
      <c r="A162" s="23" t="s">
        <v>60</v>
      </c>
      <c r="B162" s="23">
        <f>'Annual Raw'!C73+'Annual Raw'!C81</f>
        <v>0</v>
      </c>
      <c r="C162" s="23">
        <f>'Annual Raw'!D73+'Annual Raw'!D81</f>
        <v>0</v>
      </c>
      <c r="D162" s="23">
        <f>'Annual Raw'!E73+'Annual Raw'!E81</f>
        <v>0</v>
      </c>
      <c r="E162" s="23">
        <f>'Annual Raw'!F73+'Annual Raw'!F81</f>
        <v>0</v>
      </c>
      <c r="F162" s="23">
        <f>'Annual Raw'!G73+'Annual Raw'!G81</f>
        <v>0</v>
      </c>
      <c r="G162" s="23">
        <f>'Annual Raw'!H73+'Annual Raw'!H81</f>
        <v>0</v>
      </c>
      <c r="H162" s="23">
        <f>'Annual Raw'!I73+'Annual Raw'!I81</f>
        <v>0</v>
      </c>
      <c r="I162" s="23">
        <f>'Annual Raw'!J73+'Annual Raw'!J81</f>
        <v>0</v>
      </c>
      <c r="J162" s="23">
        <f>'Annual Raw'!K73+'Annual Raw'!K81</f>
        <v>0</v>
      </c>
      <c r="K162" s="23">
        <f>'Annual Raw'!L73+'Annual Raw'!L81</f>
        <v>0</v>
      </c>
      <c r="L162" s="23">
        <f>'Annual Raw'!M73+'Annual Raw'!M81</f>
        <v>10.2135</v>
      </c>
      <c r="M162" s="23">
        <f>'Annual Raw'!N73+'Annual Raw'!N81</f>
        <v>0</v>
      </c>
      <c r="N162" s="23">
        <f>'Annual Raw'!O73+'Annual Raw'!O81</f>
        <v>0</v>
      </c>
      <c r="O162" s="23">
        <f>'Annual Raw'!P73+'Annual Raw'!P81</f>
        <v>0</v>
      </c>
      <c r="P162" s="23">
        <f>'Annual Raw'!Q73+'Annual Raw'!Q81</f>
        <v>132.86969999999999</v>
      </c>
      <c r="Q162" s="23">
        <f>'Annual Raw'!R73+'Annual Raw'!R81</f>
        <v>240.41050000000001</v>
      </c>
      <c r="R162" s="23">
        <f>'Annual Raw'!S73+'Annual Raw'!S81</f>
        <v>125.1129</v>
      </c>
      <c r="S162" s="23">
        <f>'Annual Raw'!T73+'Annual Raw'!T81</f>
        <v>159.71770000000001</v>
      </c>
      <c r="T162" s="23">
        <f>'Annual Raw'!U73+'Annual Raw'!U81</f>
        <v>159.73310000000001</v>
      </c>
      <c r="U162" s="23">
        <f>'Annual Raw'!V73+'Annual Raw'!V81</f>
        <v>169.82060000000001</v>
      </c>
      <c r="V162" s="23">
        <f>'Annual Raw'!W73+'Annual Raw'!W81</f>
        <v>186.0566</v>
      </c>
      <c r="W162" s="23">
        <f>'Annual Raw'!X73+'Annual Raw'!X81</f>
        <v>201.1797</v>
      </c>
      <c r="X162" s="23">
        <f>'Annual Raw'!Y73+'Annual Raw'!Y81</f>
        <v>253.35079999999999</v>
      </c>
      <c r="Y162" s="23">
        <f>'Annual Raw'!Z73+'Annual Raw'!Z81</f>
        <v>68.247</v>
      </c>
      <c r="Z162" s="23">
        <f>'Annual Raw'!AA73+'Annual Raw'!AA81</f>
        <v>105.9862</v>
      </c>
      <c r="AA162" s="23">
        <f>'Annual Raw'!AB73+'Annual Raw'!AB81</f>
        <v>58.623199999999997</v>
      </c>
      <c r="AB162" s="24">
        <f t="shared" si="1337"/>
        <v>0</v>
      </c>
      <c r="AC162" s="24">
        <f t="shared" si="1338"/>
        <v>0</v>
      </c>
      <c r="AD162" s="24">
        <f t="shared" si="1339"/>
        <v>0</v>
      </c>
      <c r="AE162" s="24">
        <f t="shared" si="1340"/>
        <v>0</v>
      </c>
      <c r="AJ162" s="23">
        <f>+'QTR Raw'!D79+'QTR Raw'!D76</f>
        <v>22.68</v>
      </c>
      <c r="AK162" s="23">
        <f t="shared" si="1341"/>
        <v>22.68</v>
      </c>
      <c r="AL162" s="23">
        <f>+'QTR Raw'!F79+'QTR Raw'!F76</f>
        <v>0</v>
      </c>
      <c r="AM162" s="23">
        <f t="shared" si="1341"/>
        <v>0</v>
      </c>
      <c r="AN162" s="23">
        <f>+'QTR Raw'!H79+'QTR Raw'!H76</f>
        <v>0</v>
      </c>
      <c r="AO162" s="23">
        <f t="shared" si="1341"/>
        <v>0</v>
      </c>
      <c r="AP162" s="23">
        <f>+'QTR Raw'!J79+'QTR Raw'!J76</f>
        <v>0</v>
      </c>
      <c r="AQ162" s="23">
        <f t="shared" si="1341"/>
        <v>0</v>
      </c>
      <c r="AR162" s="23">
        <f>+'QTR Raw'!L79+'QTR Raw'!L76</f>
        <v>0</v>
      </c>
      <c r="AS162" s="23">
        <f t="shared" si="1341"/>
        <v>0</v>
      </c>
      <c r="AT162" s="23">
        <f>+'QTR Raw'!N79+'QTR Raw'!N76</f>
        <v>219.73</v>
      </c>
      <c r="AU162" s="23">
        <f t="shared" si="1341"/>
        <v>219.73</v>
      </c>
      <c r="AV162" s="23">
        <f>+'QTR Raw'!P79+'QTR Raw'!P76</f>
        <v>0</v>
      </c>
      <c r="AW162" s="23">
        <f t="shared" si="1341"/>
        <v>0</v>
      </c>
      <c r="AX162" s="23">
        <f>+'QTR Raw'!R79+'QTR Raw'!R76</f>
        <v>222.32</v>
      </c>
      <c r="AY162" s="23">
        <f t="shared" si="1341"/>
        <v>222.32</v>
      </c>
      <c r="AZ162" s="23">
        <f>+'QTR Raw'!T79+'QTR Raw'!T76</f>
        <v>69.37</v>
      </c>
      <c r="BA162" s="23">
        <f t="shared" si="1341"/>
        <v>69.37</v>
      </c>
      <c r="BB162" s="23">
        <f>+'QTR Raw'!V79+'QTR Raw'!V76</f>
        <v>200.36</v>
      </c>
      <c r="BC162" s="23">
        <f t="shared" si="1341"/>
        <v>200.36</v>
      </c>
      <c r="BD162" s="23">
        <f>+'QTR Raw'!X79+'QTR Raw'!X76</f>
        <v>57.87</v>
      </c>
      <c r="BE162" s="23">
        <f t="shared" si="1341"/>
        <v>57.87</v>
      </c>
      <c r="BF162" s="23">
        <f>+'QTR Raw'!Z79+'QTR Raw'!Z76</f>
        <v>227.14</v>
      </c>
      <c r="BG162" s="23">
        <f t="shared" si="1341"/>
        <v>227.14</v>
      </c>
      <c r="BH162" s="23">
        <f>+'QTR Raw'!AB79+'QTR Raw'!AB76</f>
        <v>85.62</v>
      </c>
      <c r="BI162" s="23">
        <f t="shared" si="1341"/>
        <v>85.62</v>
      </c>
      <c r="BJ162" s="23">
        <f>+'QTR Raw'!AD79+'QTR Raw'!AD76</f>
        <v>232.96</v>
      </c>
      <c r="BK162" s="23">
        <f t="shared" si="1341"/>
        <v>232.96</v>
      </c>
      <c r="BL162" s="23">
        <f>+'QTR Raw'!AF79+'QTR Raw'!AF76</f>
        <v>416.44</v>
      </c>
      <c r="BM162" s="23">
        <f t="shared" si="1341"/>
        <v>416.44</v>
      </c>
      <c r="BN162" s="23">
        <f>+'QTR Raw'!AH79+'QTR Raw'!AH76</f>
        <v>990.36</v>
      </c>
      <c r="BO162" s="23">
        <f t="shared" si="1341"/>
        <v>990.36</v>
      </c>
      <c r="BP162" s="23">
        <f>+'QTR Raw'!AJ79+'QTR Raw'!AJ76</f>
        <v>1046.79</v>
      </c>
      <c r="BQ162" s="23">
        <f t="shared" si="1341"/>
        <v>1046.79</v>
      </c>
      <c r="BR162" s="23">
        <f>+'QTR Raw'!AL79+'QTR Raw'!AL76</f>
        <v>1150.31</v>
      </c>
      <c r="BS162" s="23">
        <f t="shared" si="1341"/>
        <v>1150.31</v>
      </c>
      <c r="BT162" s="23">
        <f>+'QTR Raw'!AN79+'QTR Raw'!AN76</f>
        <v>1097.53</v>
      </c>
      <c r="BU162" s="23">
        <f t="shared" si="1341"/>
        <v>1097.53</v>
      </c>
      <c r="BV162" s="23">
        <f>+'QTR Raw'!AP79+'QTR Raw'!AP76</f>
        <v>1349.08</v>
      </c>
      <c r="BW162" s="23">
        <f t="shared" si="1341"/>
        <v>1349.08</v>
      </c>
      <c r="BX162" s="23">
        <f>+'QTR Raw'!AR79+'QTR Raw'!AR76</f>
        <v>1363.85</v>
      </c>
      <c r="BY162" s="23">
        <f t="shared" si="1341"/>
        <v>1363.85</v>
      </c>
      <c r="BZ162" s="23">
        <f>+'QTR Raw'!AT79+'QTR Raw'!AT76</f>
        <v>1173.27</v>
      </c>
      <c r="CA162" s="23">
        <f t="shared" si="1341"/>
        <v>1173.27</v>
      </c>
      <c r="CB162" s="23">
        <f>+'QTR Raw'!AV79+'QTR Raw'!AV76</f>
        <v>1137.24</v>
      </c>
      <c r="CC162" s="23">
        <f t="shared" si="1341"/>
        <v>1137.24</v>
      </c>
      <c r="CD162" s="23">
        <f>+'QTR Raw'!AX79+'QTR Raw'!AX76</f>
        <v>808.75</v>
      </c>
      <c r="CE162" s="23">
        <f t="shared" si="1341"/>
        <v>808.75</v>
      </c>
      <c r="CF162" s="23">
        <f>+'QTR Raw'!AZ79+'QTR Raw'!AZ76</f>
        <v>566.16</v>
      </c>
      <c r="CG162" s="23">
        <f t="shared" si="1318"/>
        <v>566.16</v>
      </c>
      <c r="CH162" s="23">
        <f t="shared" si="1319"/>
        <v>105.9862</v>
      </c>
      <c r="CJ162" s="23">
        <f>+'QTR Raw'!BD79+'QTR Raw'!BD76</f>
        <v>770.57</v>
      </c>
      <c r="CL162" s="23">
        <f>+'QTR Raw'!BF79+'QTR Raw'!BF76</f>
        <v>1200.74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58.623199999999997</v>
      </c>
    </row>
    <row r="163" spans="1:110" s="23" customFormat="1" outlineLevel="1" x14ac:dyDescent="0.2">
      <c r="A163" s="23" t="s">
        <v>61</v>
      </c>
      <c r="B163" s="23">
        <f>'Annual Raw'!C76</f>
        <v>0</v>
      </c>
      <c r="C163" s="23">
        <f>'Annual Raw'!D76</f>
        <v>0</v>
      </c>
      <c r="D163" s="23">
        <f>'Annual Raw'!E76</f>
        <v>0</v>
      </c>
      <c r="E163" s="23">
        <f>'Annual Raw'!F76</f>
        <v>0</v>
      </c>
      <c r="F163" s="23">
        <f>'Annual Raw'!G76</f>
        <v>0</v>
      </c>
      <c r="G163" s="23">
        <f>'Annual Raw'!H76</f>
        <v>0</v>
      </c>
      <c r="H163" s="23">
        <f>'Annual Raw'!I76</f>
        <v>0</v>
      </c>
      <c r="I163" s="23">
        <f>'Annual Raw'!J76</f>
        <v>0</v>
      </c>
      <c r="J163" s="23">
        <f>'Annual Raw'!K76</f>
        <v>0</v>
      </c>
      <c r="K163" s="23">
        <f>'Annual Raw'!L76</f>
        <v>807.08069999999998</v>
      </c>
      <c r="L163" s="23">
        <f>'Annual Raw'!M76</f>
        <v>1706.3527999999999</v>
      </c>
      <c r="M163" s="23">
        <f>'Annual Raw'!N76</f>
        <v>2144.5805</v>
      </c>
      <c r="N163" s="23">
        <f>'Annual Raw'!O76</f>
        <v>1785.8758</v>
      </c>
      <c r="O163" s="23">
        <f>'Annual Raw'!P76</f>
        <v>1919.0572999999999</v>
      </c>
      <c r="P163" s="23">
        <f>'Annual Raw'!Q76</f>
        <v>2988.1015000000002</v>
      </c>
      <c r="Q163" s="23">
        <f>'Annual Raw'!R76</f>
        <v>2465.6235000000001</v>
      </c>
      <c r="R163" s="23">
        <f>'Annual Raw'!S76</f>
        <v>2309.8575999999998</v>
      </c>
      <c r="S163" s="23">
        <f>'Annual Raw'!T76</f>
        <v>2463.1113999999998</v>
      </c>
      <c r="T163" s="23">
        <f>'Annual Raw'!U76</f>
        <v>3187.4958000000001</v>
      </c>
      <c r="U163" s="23">
        <f>'Annual Raw'!V76</f>
        <v>2687.2489999999998</v>
      </c>
      <c r="V163" s="23">
        <f>'Annual Raw'!W76</f>
        <v>2918.5814999999998</v>
      </c>
      <c r="W163" s="23">
        <f>'Annual Raw'!X76</f>
        <v>3755.5077999999999</v>
      </c>
      <c r="X163" s="23">
        <f>'Annual Raw'!Y76</f>
        <v>4104.8244000000004</v>
      </c>
      <c r="Y163" s="23">
        <f>'Annual Raw'!Z76</f>
        <v>4895.2817999999997</v>
      </c>
      <c r="Z163" s="23">
        <f>'Annual Raw'!AA76</f>
        <v>4920.5083999999997</v>
      </c>
      <c r="AA163" s="23">
        <f>'Annual Raw'!AB76</f>
        <v>5267.2893000000004</v>
      </c>
      <c r="AB163" s="24">
        <f t="shared" si="1337"/>
        <v>5284.4368251121077</v>
      </c>
      <c r="AC163" s="24">
        <f t="shared" si="1338"/>
        <v>5756.7778708520182</v>
      </c>
      <c r="AD163" s="24">
        <f t="shared" si="1339"/>
        <v>6276.353021165919</v>
      </c>
      <c r="AE163" s="24">
        <f t="shared" si="1340"/>
        <v>6847.8856865112111</v>
      </c>
      <c r="AJ163" s="23">
        <f>+'QTR Raw'!D81</f>
        <v>1931.7</v>
      </c>
      <c r="AK163" s="23">
        <f>+AK198*AK29/90</f>
        <v>2032.9504261025211</v>
      </c>
      <c r="AL163" s="23">
        <f>+'QTR Raw'!F81</f>
        <v>1785.88</v>
      </c>
      <c r="AM163" s="23">
        <f>+AM198*AM29/90</f>
        <v>2199.4092450539251</v>
      </c>
      <c r="AN163" s="23">
        <f>+'QTR Raw'!H81</f>
        <v>1574.01</v>
      </c>
      <c r="AO163" s="23">
        <f>+AO198*AO29/90</f>
        <v>2188.8442529221811</v>
      </c>
      <c r="AP163" s="23">
        <f>+'QTR Raw'!J81</f>
        <v>1919.06</v>
      </c>
      <c r="AQ163" s="23">
        <f>+AQ198*AQ29/90</f>
        <v>1617.1653105795037</v>
      </c>
      <c r="AR163" s="23">
        <f>+'QTR Raw'!L81</f>
        <v>1575.84</v>
      </c>
      <c r="AS163" s="23">
        <f>+AS198*AS29/90</f>
        <v>1760.0953217373817</v>
      </c>
      <c r="AT163" s="23">
        <f>+'QTR Raw'!N81</f>
        <v>2988.1</v>
      </c>
      <c r="AU163" s="23">
        <f>+AU198*AU29/90</f>
        <v>2778.4997964918175</v>
      </c>
      <c r="AV163" s="23">
        <f>+'QTR Raw'!P81</f>
        <v>2013.49</v>
      </c>
      <c r="AW163" s="23">
        <f>+AW198*AW29/90</f>
        <v>1547.1864967453532</v>
      </c>
      <c r="AX163" s="23">
        <f>+'QTR Raw'!R81</f>
        <v>2465.62</v>
      </c>
      <c r="AY163" s="23">
        <f>+AY198*AY29/90</f>
        <v>1697.0113628318586</v>
      </c>
      <c r="AZ163" s="23">
        <f>+'QTR Raw'!T81</f>
        <v>1685.27</v>
      </c>
      <c r="BA163" s="23">
        <f>+BA198*BA29/90</f>
        <v>1634.3811767475372</v>
      </c>
      <c r="BB163" s="23">
        <f>+'QTR Raw'!V81</f>
        <v>2309.84</v>
      </c>
      <c r="BC163" s="23">
        <f>+BC198*BC29/90</f>
        <v>1820.9229760124595</v>
      </c>
      <c r="BD163" s="23">
        <f>+'QTR Raw'!X81</f>
        <v>1936.02</v>
      </c>
      <c r="BE163" s="23">
        <f>+BE198*BE29/90</f>
        <v>3098.7837735677681</v>
      </c>
      <c r="BF163" s="23">
        <f>+'QTR Raw'!Z81</f>
        <v>2463.11</v>
      </c>
      <c r="BG163" s="23">
        <f>+BG198*BG29/90</f>
        <v>2768.0576924611009</v>
      </c>
      <c r="BH163" s="23">
        <f>+'QTR Raw'!AB81</f>
        <v>2228.66</v>
      </c>
      <c r="BI163" s="23">
        <f>+BI198*BI29/90</f>
        <v>2227.1542096942012</v>
      </c>
      <c r="BJ163" s="23">
        <f>+'QTR Raw'!AD81</f>
        <v>3187.49</v>
      </c>
      <c r="BK163" s="23">
        <f>+BK198*BK29/90</f>
        <v>2834.0971513099335</v>
      </c>
      <c r="BL163" s="23">
        <f>+'QTR Raw'!AF81</f>
        <v>3027.06</v>
      </c>
      <c r="BM163" s="23">
        <f>+BM198*BM29/90</f>
        <v>3372.9110222666395</v>
      </c>
      <c r="BN163" s="23">
        <f>+'QTR Raw'!AH81</f>
        <v>2687.25</v>
      </c>
      <c r="BO163" s="23">
        <f>+BO198*BO29/90</f>
        <v>1519.8836710880998</v>
      </c>
      <c r="BP163" s="23">
        <f>+'QTR Raw'!AJ81</f>
        <v>2718.27</v>
      </c>
      <c r="BQ163" s="23">
        <f>+BQ198*BQ29/90</f>
        <v>3279.6647897503285</v>
      </c>
      <c r="BR163" s="23">
        <f>+'QTR Raw'!AL81</f>
        <v>2918.58</v>
      </c>
      <c r="BS163" s="23">
        <f>+BS198*BS29/90</f>
        <v>2224.965542503006</v>
      </c>
      <c r="BT163" s="23">
        <f>+'QTR Raw'!AN81</f>
        <v>3136.19</v>
      </c>
      <c r="BU163" s="23">
        <f>+BU198*BU29/90</f>
        <v>3661.715554479159</v>
      </c>
      <c r="BV163" s="23">
        <f>+'QTR Raw'!AP81</f>
        <v>3755.51</v>
      </c>
      <c r="BW163" s="23">
        <f>+BW198*BW29/90</f>
        <v>3290.4393870878362</v>
      </c>
      <c r="BX163" s="23">
        <f>+'QTR Raw'!AR81</f>
        <v>4588.53</v>
      </c>
      <c r="BY163" s="23">
        <f>+BY198*BY29/90</f>
        <v>5853.1292946774356</v>
      </c>
      <c r="BZ163" s="23">
        <f>+'QTR Raw'!AT81</f>
        <v>4104.82</v>
      </c>
      <c r="CA163" s="23">
        <f>+CA198*CA29/90</f>
        <v>3489.36877741134</v>
      </c>
      <c r="CB163" s="23">
        <f>+'QTR Raw'!AV81</f>
        <v>4706.42</v>
      </c>
      <c r="CC163" s="23">
        <f>+CC198*CC29/90</f>
        <v>4869.8982290870099</v>
      </c>
      <c r="CD163" s="23">
        <f>+'QTR Raw'!AX81</f>
        <v>4895.28</v>
      </c>
      <c r="CE163" s="23">
        <f>+CE198*CE29/90</f>
        <v>4456.6758477906642</v>
      </c>
      <c r="CF163" s="23">
        <f>+'QTR Raw'!AZ81</f>
        <v>5035.72</v>
      </c>
      <c r="CG163" s="23">
        <f>+CG198*CG29/90</f>
        <v>4764.0294254045284</v>
      </c>
      <c r="CH163" s="23">
        <f t="shared" si="1319"/>
        <v>4920.5083999999997</v>
      </c>
      <c r="CI163" s="23">
        <f>+CI198*CI29/90</f>
        <v>3982.6303011165951</v>
      </c>
      <c r="CJ163" s="23">
        <f>+'QTR Raw'!BD81</f>
        <v>5528.69</v>
      </c>
      <c r="CK163" s="23">
        <f t="shared" ref="CK163:DB163" si="1342">+CK198*CK29/90</f>
        <v>6455.6362039162868</v>
      </c>
      <c r="CL163" s="23">
        <f>+'QTR Raw'!BF81</f>
        <v>5267.29</v>
      </c>
      <c r="CM163" s="24">
        <f t="shared" si="1342"/>
        <v>4347.8305112107619</v>
      </c>
      <c r="CN163" s="24">
        <f t="shared" si="1342"/>
        <v>4038.310950672645</v>
      </c>
      <c r="CO163" s="24">
        <f t="shared" si="1342"/>
        <v>4952.1365919282507</v>
      </c>
      <c r="CP163" s="24">
        <f t="shared" si="1342"/>
        <v>5284.4368251121077</v>
      </c>
      <c r="CQ163" s="24">
        <f t="shared" si="1342"/>
        <v>4816.8429255605379</v>
      </c>
      <c r="CR163" s="24">
        <f t="shared" si="1342"/>
        <v>4386.0394089686097</v>
      </c>
      <c r="CS163" s="24">
        <f t="shared" si="1342"/>
        <v>5391.2476143497761</v>
      </c>
      <c r="CT163" s="24">
        <f t="shared" si="1342"/>
        <v>5756.7778708520182</v>
      </c>
      <c r="CU163" s="24">
        <f t="shared" si="1342"/>
        <v>5242.4245813452926</v>
      </c>
      <c r="CV163" s="24">
        <f t="shared" si="1342"/>
        <v>4768.5407130941703</v>
      </c>
      <c r="CW163" s="24">
        <f t="shared" si="1342"/>
        <v>5874.2697390134554</v>
      </c>
      <c r="CX163" s="24">
        <f t="shared" si="1342"/>
        <v>6276.353021165919</v>
      </c>
      <c r="CY163" s="24">
        <f t="shared" si="1342"/>
        <v>5710.56440270852</v>
      </c>
      <c r="CZ163" s="24">
        <f t="shared" si="1342"/>
        <v>5189.2921476322872</v>
      </c>
      <c r="DA163" s="24">
        <f t="shared" si="1342"/>
        <v>6405.5940761435004</v>
      </c>
      <c r="DB163" s="24">
        <f t="shared" si="1342"/>
        <v>6847.8856865112111</v>
      </c>
      <c r="DE163" s="123"/>
      <c r="DF163" s="23">
        <v>5267.2893000000004</v>
      </c>
    </row>
    <row r="164" spans="1:110" s="23" customFormat="1" outlineLevel="1" x14ac:dyDescent="0.2">
      <c r="A164" s="23" t="s">
        <v>62</v>
      </c>
      <c r="B164" s="23">
        <f>'Annual Raw'!C77</f>
        <v>0</v>
      </c>
      <c r="C164" s="23">
        <f>'Annual Raw'!D77</f>
        <v>0</v>
      </c>
      <c r="D164" s="23">
        <f>'Annual Raw'!E77</f>
        <v>0</v>
      </c>
      <c r="E164" s="23">
        <f>'Annual Raw'!F77</f>
        <v>0</v>
      </c>
      <c r="F164" s="23">
        <f>'Annual Raw'!G77</f>
        <v>0</v>
      </c>
      <c r="G164" s="23">
        <f>'Annual Raw'!H77</f>
        <v>0</v>
      </c>
      <c r="H164" s="23">
        <f>'Annual Raw'!I77</f>
        <v>0</v>
      </c>
      <c r="I164" s="23">
        <f>'Annual Raw'!J77</f>
        <v>0</v>
      </c>
      <c r="J164" s="23">
        <f>'Annual Raw'!K77</f>
        <v>0</v>
      </c>
      <c r="K164" s="23">
        <f>'Annual Raw'!L77</f>
        <v>844.10799999999995</v>
      </c>
      <c r="L164" s="23">
        <f>'Annual Raw'!M77</f>
        <v>1294.9321</v>
      </c>
      <c r="M164" s="23">
        <f>'Annual Raw'!N77</f>
        <v>1555.1768</v>
      </c>
      <c r="N164" s="23">
        <f>'Annual Raw'!O77</f>
        <v>1678.6832999999999</v>
      </c>
      <c r="O164" s="23">
        <f>'Annual Raw'!P77</f>
        <v>1744.6647</v>
      </c>
      <c r="P164" s="23">
        <f>'Annual Raw'!Q77</f>
        <v>2042.4809</v>
      </c>
      <c r="Q164" s="23">
        <f>'Annual Raw'!R77</f>
        <v>1745.6679999999999</v>
      </c>
      <c r="R164" s="23">
        <f>'Annual Raw'!S77</f>
        <v>1389.1559999999999</v>
      </c>
      <c r="S164" s="23">
        <f>'Annual Raw'!T77</f>
        <v>1945.8217</v>
      </c>
      <c r="T164" s="23">
        <f>'Annual Raw'!U77</f>
        <v>2217.8595999999998</v>
      </c>
      <c r="U164" s="23">
        <f>'Annual Raw'!V77</f>
        <v>1865.4403</v>
      </c>
      <c r="V164" s="23">
        <f>'Annual Raw'!W77</f>
        <v>2125.1904</v>
      </c>
      <c r="W164" s="23">
        <f>'Annual Raw'!X77</f>
        <v>1805.7652</v>
      </c>
      <c r="X164" s="23">
        <f>'Annual Raw'!Y77</f>
        <v>3562.9128999999998</v>
      </c>
      <c r="Y164" s="23">
        <f>'Annual Raw'!Z77</f>
        <v>3469.4967999999999</v>
      </c>
      <c r="Z164" s="23">
        <f>'Annual Raw'!AA77</f>
        <v>3563.8220000000001</v>
      </c>
      <c r="AA164" s="23">
        <f>'Annual Raw'!AB77</f>
        <v>3093.5472</v>
      </c>
      <c r="AB164" s="24">
        <f t="shared" si="1337"/>
        <v>3528.1623186731276</v>
      </c>
      <c r="AC164" s="24">
        <f t="shared" si="1338"/>
        <v>3843.5215393989533</v>
      </c>
      <c r="AD164" s="24">
        <f t="shared" si="1339"/>
        <v>4190.4166821973622</v>
      </c>
      <c r="AE164" s="24">
        <f t="shared" si="1340"/>
        <v>4572.0013392756118</v>
      </c>
      <c r="AJ164" s="23">
        <f>+'QTR Raw'!D82</f>
        <v>1361.16</v>
      </c>
      <c r="AK164" s="23">
        <f>+AK199*AK29/90</f>
        <v>1432.5054625426865</v>
      </c>
      <c r="AL164" s="23">
        <f>+'QTR Raw'!F82</f>
        <v>1678.68</v>
      </c>
      <c r="AM164" s="23">
        <f>+AM199*AM29/90</f>
        <v>2067.3865609599316</v>
      </c>
      <c r="AN164" s="23">
        <f>+'QTR Raw'!H82</f>
        <v>1531.91</v>
      </c>
      <c r="AO164" s="23">
        <f>+AO199*AO29/90</f>
        <v>2130.2992989206027</v>
      </c>
      <c r="AP164" s="23">
        <f>+'QTR Raw'!J82</f>
        <v>1744.67</v>
      </c>
      <c r="AQ164" s="23">
        <f>+AQ199*AQ29/90</f>
        <v>1470.2092703765086</v>
      </c>
      <c r="AR164" s="23">
        <f>+'QTR Raw'!L82</f>
        <v>1425.03</v>
      </c>
      <c r="AS164" s="23">
        <f>+AS199*AS29/90</f>
        <v>1591.6518405012066</v>
      </c>
      <c r="AT164" s="23">
        <f>+'QTR Raw'!N82</f>
        <v>2041.89</v>
      </c>
      <c r="AU164" s="23">
        <f>+AU199*AU29/90</f>
        <v>1898.6616744615901</v>
      </c>
      <c r="AV164" s="23">
        <f>+'QTR Raw'!P82</f>
        <v>1521.4</v>
      </c>
      <c r="AW164" s="23">
        <f>+AW199*AW29/90</f>
        <v>1169.0594620029804</v>
      </c>
      <c r="AX164" s="23">
        <f>+'QTR Raw'!R82</f>
        <v>1745.67</v>
      </c>
      <c r="AY164" s="23">
        <f>+AY199*AY29/90</f>
        <v>1201.4916433816607</v>
      </c>
      <c r="AZ164" s="23">
        <f>+'QTR Raw'!T82</f>
        <v>1441.82</v>
      </c>
      <c r="BA164" s="23">
        <f>+BA199*BA29/90</f>
        <v>1398.2824522231656</v>
      </c>
      <c r="BB164" s="23">
        <f>+'QTR Raw'!V82</f>
        <v>1370.43</v>
      </c>
      <c r="BC164" s="23">
        <f>+BC199*BC29/90</f>
        <v>1080.3551215741154</v>
      </c>
      <c r="BD164" s="23">
        <f>+'QTR Raw'!X82</f>
        <v>1215.6099999999999</v>
      </c>
      <c r="BE164" s="23">
        <f>+BE199*BE29/90</f>
        <v>1945.6991885345785</v>
      </c>
      <c r="BF164" s="23">
        <f>+'QTR Raw'!Z82</f>
        <v>1929.79</v>
      </c>
      <c r="BG164" s="23">
        <f>+BG199*BG29/90</f>
        <v>2168.7094991025601</v>
      </c>
      <c r="BH164" s="23">
        <f>+'QTR Raw'!AB82</f>
        <v>1896.64</v>
      </c>
      <c r="BI164" s="23">
        <f>+BI199*BI29/90</f>
        <v>1895.3585384376311</v>
      </c>
      <c r="BJ164" s="23">
        <f>+'QTR Raw'!AD82</f>
        <v>2212.61</v>
      </c>
      <c r="BK164" s="23">
        <f>+BK199*BK29/90</f>
        <v>1967.3008222645003</v>
      </c>
      <c r="BL164" s="23">
        <f>+'QTR Raw'!AF82</f>
        <v>1767.45</v>
      </c>
      <c r="BM164" s="23">
        <f>+BM199*BM29/90</f>
        <v>1969.3866610854006</v>
      </c>
      <c r="BN164" s="23">
        <f>+'QTR Raw'!AH82</f>
        <v>1863.87</v>
      </c>
      <c r="BO164" s="23">
        <f>+BO199*BO29/90</f>
        <v>1054.1875813679326</v>
      </c>
      <c r="BP164" s="23">
        <f>+'QTR Raw'!AJ82</f>
        <v>1549.67</v>
      </c>
      <c r="BQ164" s="23">
        <f>+BQ199*BQ29/90</f>
        <v>1869.7179215943931</v>
      </c>
      <c r="BR164" s="23">
        <f>+'QTR Raw'!AL82</f>
        <v>2125.19</v>
      </c>
      <c r="BS164" s="23">
        <f>+BS199*BS29/90</f>
        <v>1620.128460166233</v>
      </c>
      <c r="BT164" s="23">
        <f>+'QTR Raw'!AN82</f>
        <v>1478.28</v>
      </c>
      <c r="BU164" s="23">
        <f>+BU199*BU29/90</f>
        <v>1725.9926439008636</v>
      </c>
      <c r="BV164" s="23">
        <f>+'QTR Raw'!AP82</f>
        <v>1805.77</v>
      </c>
      <c r="BW164" s="23">
        <f>+BW199*BW29/90</f>
        <v>1582.1490908083329</v>
      </c>
      <c r="BX164" s="23">
        <f>+'QTR Raw'!AR82</f>
        <v>2154.4299999999998</v>
      </c>
      <c r="BY164" s="23">
        <f>+BY199*BY29/90</f>
        <v>2748.1911083357645</v>
      </c>
      <c r="BZ164" s="23">
        <f>+'QTR Raw'!AT82</f>
        <v>3562.91</v>
      </c>
      <c r="CA164" s="23">
        <f>+CA199*CA29/90</f>
        <v>3028.7093979094425</v>
      </c>
      <c r="CB164" s="23">
        <f>+'QTR Raw'!AV82</f>
        <v>3154.1</v>
      </c>
      <c r="CC164" s="23">
        <f>+CC199*CC29/90</f>
        <v>3263.6581529832315</v>
      </c>
      <c r="CD164" s="23">
        <f>+'QTR Raw'!AX82</f>
        <v>3469.5</v>
      </c>
      <c r="CE164" s="23">
        <f>+CE199*CE29/90</f>
        <v>3158.6419681631514</v>
      </c>
      <c r="CF164" s="23">
        <f>+'QTR Raw'!AZ82</f>
        <v>3678.36</v>
      </c>
      <c r="CG164" s="23">
        <f>+CG199*CG29/90</f>
        <v>3479.9026310499798</v>
      </c>
      <c r="CH164" s="23">
        <f t="shared" si="1319"/>
        <v>3563.8220000000001</v>
      </c>
      <c r="CI164" s="23">
        <f>+CI199*CI29/90</f>
        <v>2884.5363794086697</v>
      </c>
      <c r="CJ164" s="23">
        <f>+'QTR Raw'!BD82</f>
        <v>3073.75</v>
      </c>
      <c r="CK164" s="23">
        <f t="shared" ref="CK164:DB164" si="1343">+CK199*CK29/90</f>
        <v>3589.0982821948223</v>
      </c>
      <c r="CL164" s="23">
        <f>+'QTR Raw'!BF82</f>
        <v>3093.55</v>
      </c>
      <c r="CM164" s="24">
        <f t="shared" si="1343"/>
        <v>2902.835682458121</v>
      </c>
      <c r="CN164" s="24">
        <f t="shared" si="1343"/>
        <v>2696.1844750497175</v>
      </c>
      <c r="CO164" s="24">
        <f t="shared" si="1343"/>
        <v>3306.3015603735512</v>
      </c>
      <c r="CP164" s="24">
        <f t="shared" si="1343"/>
        <v>3528.1623186731276</v>
      </c>
      <c r="CQ164" s="24">
        <f t="shared" si="1343"/>
        <v>3215.9725373515812</v>
      </c>
      <c r="CR164" s="24">
        <f t="shared" si="1343"/>
        <v>2928.3459114132024</v>
      </c>
      <c r="CS164" s="24">
        <f t="shared" si="1343"/>
        <v>3599.4747052694197</v>
      </c>
      <c r="CT164" s="24">
        <f t="shared" si="1343"/>
        <v>3843.5215393989533</v>
      </c>
      <c r="CU164" s="24">
        <f t="shared" si="1343"/>
        <v>3500.1127799452534</v>
      </c>
      <c r="CV164" s="24">
        <f t="shared" si="1343"/>
        <v>3183.7234914130358</v>
      </c>
      <c r="CW164" s="24">
        <f t="shared" si="1343"/>
        <v>3921.9651646548759</v>
      </c>
      <c r="CX164" s="24">
        <f t="shared" si="1343"/>
        <v>4190.4166821973622</v>
      </c>
      <c r="CY164" s="24">
        <f t="shared" si="1343"/>
        <v>3812.6670467982908</v>
      </c>
      <c r="CZ164" s="24">
        <f t="shared" si="1343"/>
        <v>3464.6388294128528</v>
      </c>
      <c r="DA164" s="24">
        <f t="shared" si="1343"/>
        <v>4276.7046699788771</v>
      </c>
      <c r="DB164" s="24">
        <f t="shared" si="1343"/>
        <v>4572.0013392756118</v>
      </c>
      <c r="DE164" s="123"/>
      <c r="DF164" s="23">
        <v>3093.5472</v>
      </c>
    </row>
    <row r="165" spans="1:110" s="23" customFormat="1" outlineLevel="1" x14ac:dyDescent="0.2">
      <c r="A165" s="23" t="s">
        <v>63</v>
      </c>
      <c r="B165" s="23">
        <f>'Annual Raw'!C79</f>
        <v>0</v>
      </c>
      <c r="C165" s="23">
        <f>'Annual Raw'!D79</f>
        <v>0</v>
      </c>
      <c r="D165" s="23">
        <f>'Annual Raw'!E79</f>
        <v>0</v>
      </c>
      <c r="E165" s="23">
        <f>'Annual Raw'!F79</f>
        <v>0</v>
      </c>
      <c r="F165" s="23">
        <f>'Annual Raw'!G79</f>
        <v>0</v>
      </c>
      <c r="G165" s="23">
        <f>'Annual Raw'!H79</f>
        <v>0</v>
      </c>
      <c r="H165" s="23">
        <f>'Annual Raw'!I79</f>
        <v>0</v>
      </c>
      <c r="I165" s="23">
        <f>'Annual Raw'!J79</f>
        <v>0</v>
      </c>
      <c r="J165" s="23">
        <f>'Annual Raw'!K79</f>
        <v>0</v>
      </c>
      <c r="K165" s="23">
        <f>'Annual Raw'!L79</f>
        <v>47.2361</v>
      </c>
      <c r="L165" s="23">
        <f>'Annual Raw'!M79</f>
        <v>2.5579999999999998</v>
      </c>
      <c r="M165" s="23">
        <f>'Annual Raw'!N79</f>
        <v>2.3370000000000002</v>
      </c>
      <c r="N165" s="23">
        <f>'Annual Raw'!O79</f>
        <v>3.3342000000000001</v>
      </c>
      <c r="O165" s="23">
        <f>'Annual Raw'!P79</f>
        <v>5.6615000000000002</v>
      </c>
      <c r="P165" s="23">
        <f>'Annual Raw'!Q79</f>
        <v>828.32849999999996</v>
      </c>
      <c r="Q165" s="23">
        <f>'Annual Raw'!R79</f>
        <v>589.59820000000002</v>
      </c>
      <c r="R165" s="23">
        <f>'Annual Raw'!S79</f>
        <v>108.2022</v>
      </c>
      <c r="S165" s="23">
        <f>'Annual Raw'!T79</f>
        <v>78.774699999999996</v>
      </c>
      <c r="T165" s="23">
        <f>'Annual Raw'!U79</f>
        <v>97.814899999999994</v>
      </c>
      <c r="U165" s="23">
        <f>'Annual Raw'!V79</f>
        <v>111.1314</v>
      </c>
      <c r="V165" s="23">
        <f>'Annual Raw'!W79</f>
        <v>99.177099999999996</v>
      </c>
      <c r="W165" s="23">
        <f>'Annual Raw'!X79</f>
        <v>70.392399999999995</v>
      </c>
      <c r="X165" s="23">
        <f>'Annual Raw'!Y79</f>
        <v>256.33870000000002</v>
      </c>
      <c r="Y165" s="23">
        <f>'Annual Raw'!Z79</f>
        <v>243.23150000000001</v>
      </c>
      <c r="Z165" s="23">
        <f>'Annual Raw'!AA79</f>
        <v>67.951700000000002</v>
      </c>
      <c r="AA165" s="23">
        <f>'Annual Raw'!AB79</f>
        <v>71.974100000000007</v>
      </c>
      <c r="AB165" s="24">
        <f t="shared" si="1337"/>
        <v>1761.4789417040358</v>
      </c>
      <c r="AC165" s="24">
        <f t="shared" si="1338"/>
        <v>1918.9259569506726</v>
      </c>
      <c r="AD165" s="24">
        <f t="shared" si="1339"/>
        <v>2092.117673721973</v>
      </c>
      <c r="AE165" s="24">
        <f t="shared" si="1340"/>
        <v>2282.6285621704037</v>
      </c>
      <c r="AJ165" s="23">
        <f>+'QTR Raw'!D84</f>
        <v>9.49</v>
      </c>
      <c r="AK165" s="23">
        <f t="shared" si="1341"/>
        <v>9.49</v>
      </c>
      <c r="AL165" s="23">
        <f>+'QTR Raw'!F84</f>
        <v>5.93</v>
      </c>
      <c r="AM165" s="23">
        <f t="shared" si="1341"/>
        <v>5.93</v>
      </c>
      <c r="AN165" s="23">
        <f>+'QTR Raw'!H84</f>
        <v>2.4700000000000002</v>
      </c>
      <c r="AO165" s="23">
        <f t="shared" si="1341"/>
        <v>2.4700000000000002</v>
      </c>
      <c r="AP165" s="23">
        <f>+'QTR Raw'!J84</f>
        <v>8.08</v>
      </c>
      <c r="AQ165" s="23">
        <f t="shared" si="1341"/>
        <v>8.08</v>
      </c>
      <c r="AR165" s="23">
        <f>+'QTR Raw'!L84</f>
        <v>3.83</v>
      </c>
      <c r="AS165" s="23">
        <f t="shared" si="1341"/>
        <v>3.83</v>
      </c>
      <c r="AT165" s="23">
        <f>+'QTR Raw'!N84</f>
        <v>1175.17</v>
      </c>
      <c r="AU165" s="23">
        <f t="shared" si="1341"/>
        <v>1175.17</v>
      </c>
      <c r="AV165" s="23">
        <f>+'QTR Raw'!P84</f>
        <v>5.08</v>
      </c>
      <c r="AW165" s="23">
        <f t="shared" si="1341"/>
        <v>5.08</v>
      </c>
      <c r="AX165" s="23">
        <f>+'QTR Raw'!R84</f>
        <v>940.11</v>
      </c>
      <c r="AY165" s="23">
        <f t="shared" si="1341"/>
        <v>940.11</v>
      </c>
      <c r="AZ165" s="23">
        <f>+'QTR Raw'!T84</f>
        <v>599.38</v>
      </c>
      <c r="BA165" s="23">
        <f t="shared" si="1341"/>
        <v>599.38</v>
      </c>
      <c r="BB165" s="23">
        <f>+'QTR Raw'!V84</f>
        <v>702.07</v>
      </c>
      <c r="BC165" s="23">
        <f t="shared" si="1341"/>
        <v>702.07</v>
      </c>
      <c r="BD165" s="23">
        <f>+'QTR Raw'!X84</f>
        <v>482.66</v>
      </c>
      <c r="BE165" s="23">
        <f t="shared" si="1341"/>
        <v>482.66</v>
      </c>
      <c r="BF165" s="23">
        <f>+'QTR Raw'!Z84</f>
        <v>609.32000000000005</v>
      </c>
      <c r="BG165" s="23">
        <f t="shared" si="1341"/>
        <v>609.32000000000005</v>
      </c>
      <c r="BH165" s="23">
        <f>+'QTR Raw'!AB84</f>
        <v>459.36</v>
      </c>
      <c r="BI165" s="23">
        <f t="shared" si="1341"/>
        <v>459.36</v>
      </c>
      <c r="BJ165" s="23">
        <f>+'QTR Raw'!AD84</f>
        <v>680.37</v>
      </c>
      <c r="BK165" s="23">
        <f t="shared" si="1341"/>
        <v>680.37</v>
      </c>
      <c r="BL165" s="23">
        <f>+'QTR Raw'!AF84</f>
        <v>778.07</v>
      </c>
      <c r="BM165" s="23">
        <f t="shared" si="1341"/>
        <v>778.07</v>
      </c>
      <c r="BN165" s="23">
        <f>+'QTR Raw'!AH84</f>
        <v>863.29</v>
      </c>
      <c r="BO165" s="23">
        <f t="shared" si="1341"/>
        <v>863.29</v>
      </c>
      <c r="BP165" s="23">
        <f>+'QTR Raw'!AJ84</f>
        <v>1044.76</v>
      </c>
      <c r="BQ165" s="23">
        <f t="shared" si="1341"/>
        <v>1044.76</v>
      </c>
      <c r="BR165" s="23">
        <f>+'QTR Raw'!AL84</f>
        <v>831</v>
      </c>
      <c r="BS165" s="23">
        <f t="shared" si="1341"/>
        <v>831</v>
      </c>
      <c r="BT165" s="23">
        <f>+'QTR Raw'!AN84</f>
        <v>933.34</v>
      </c>
      <c r="BU165" s="23">
        <f t="shared" si="1341"/>
        <v>933.34</v>
      </c>
      <c r="BV165" s="23">
        <f>+'QTR Raw'!AP84</f>
        <v>958.05</v>
      </c>
      <c r="BW165" s="23">
        <f t="shared" si="1341"/>
        <v>958.05</v>
      </c>
      <c r="BX165" s="23">
        <f>+'QTR Raw'!AR84</f>
        <v>1015.28</v>
      </c>
      <c r="BY165" s="23">
        <f t="shared" si="1341"/>
        <v>1015.28</v>
      </c>
      <c r="BZ165" s="23">
        <f>+'QTR Raw'!AT84</f>
        <v>925.81</v>
      </c>
      <c r="CA165" s="23">
        <f t="shared" si="1341"/>
        <v>925.81</v>
      </c>
      <c r="CB165" s="23">
        <f>+'QTR Raw'!AV84</f>
        <v>1214.1500000000001</v>
      </c>
      <c r="CC165" s="23">
        <f t="shared" si="1341"/>
        <v>1214.1500000000001</v>
      </c>
      <c r="CD165" s="23">
        <f>+'QTR Raw'!AX84</f>
        <v>980.08</v>
      </c>
      <c r="CE165" s="23">
        <f t="shared" si="1341"/>
        <v>980.08</v>
      </c>
      <c r="CF165" s="23">
        <f>+'QTR Raw'!AZ84</f>
        <v>1005.61</v>
      </c>
      <c r="CG165" s="23">
        <f t="shared" ref="CG165:CG166" si="1344">+CF165</f>
        <v>1005.61</v>
      </c>
      <c r="CH165" s="23">
        <f t="shared" si="1319"/>
        <v>67.951700000000002</v>
      </c>
      <c r="CI165" s="23">
        <f>CI29/90*CI200</f>
        <v>1020.5583409042536</v>
      </c>
      <c r="CJ165" s="23">
        <f>+'QTR Raw'!BD84</f>
        <v>1195</v>
      </c>
      <c r="CK165" s="23">
        <f t="shared" ref="CK165:DB165" si="1345">CK29/90*CK200</f>
        <v>2427.6374703798192</v>
      </c>
      <c r="CL165" s="23">
        <f>+'QTR Raw'!BF84</f>
        <v>1017.69</v>
      </c>
      <c r="CM165" s="24">
        <f t="shared" si="1345"/>
        <v>1449.2768370702538</v>
      </c>
      <c r="CN165" s="24">
        <f t="shared" si="1345"/>
        <v>1346.103650224215</v>
      </c>
      <c r="CO165" s="24">
        <f t="shared" si="1345"/>
        <v>1650.712197309417</v>
      </c>
      <c r="CP165" s="24">
        <f t="shared" si="1345"/>
        <v>1761.4789417040358</v>
      </c>
      <c r="CQ165" s="24">
        <f t="shared" si="1345"/>
        <v>1605.6143085201793</v>
      </c>
      <c r="CR165" s="24">
        <f t="shared" si="1345"/>
        <v>1462.0131363228697</v>
      </c>
      <c r="CS165" s="24">
        <f t="shared" si="1345"/>
        <v>1797.0825381165921</v>
      </c>
      <c r="CT165" s="24">
        <f t="shared" si="1345"/>
        <v>1918.9259569506726</v>
      </c>
      <c r="CU165" s="24">
        <f t="shared" si="1345"/>
        <v>1747.4748604484307</v>
      </c>
      <c r="CV165" s="24">
        <f t="shared" si="1345"/>
        <v>1589.51357103139</v>
      </c>
      <c r="CW165" s="24">
        <f t="shared" si="1345"/>
        <v>1958.089913004485</v>
      </c>
      <c r="CX165" s="24">
        <f t="shared" si="1345"/>
        <v>2092.117673721973</v>
      </c>
      <c r="CY165" s="24">
        <f t="shared" si="1345"/>
        <v>1903.5214675695067</v>
      </c>
      <c r="CZ165" s="24">
        <f t="shared" si="1345"/>
        <v>1729.7640492107623</v>
      </c>
      <c r="DA165" s="24">
        <f t="shared" si="1345"/>
        <v>2135.1980253811666</v>
      </c>
      <c r="DB165" s="24">
        <f t="shared" si="1345"/>
        <v>2282.6285621704037</v>
      </c>
      <c r="DE165" s="123"/>
      <c r="DF165" s="23">
        <v>71.974100000000007</v>
      </c>
    </row>
    <row r="166" spans="1:110" s="23" customFormat="1" outlineLevel="1" x14ac:dyDescent="0.2">
      <c r="A166" s="23" t="s">
        <v>64</v>
      </c>
      <c r="B166" s="23">
        <f>'Annual Raw'!C80</f>
        <v>0</v>
      </c>
      <c r="C166" s="23">
        <f>'Annual Raw'!D80</f>
        <v>0</v>
      </c>
      <c r="D166" s="23">
        <f>'Annual Raw'!E80</f>
        <v>0</v>
      </c>
      <c r="E166" s="23">
        <f>'Annual Raw'!F80</f>
        <v>0</v>
      </c>
      <c r="F166" s="23">
        <f>'Annual Raw'!G80</f>
        <v>0</v>
      </c>
      <c r="G166" s="23">
        <f>'Annual Raw'!H80</f>
        <v>0</v>
      </c>
      <c r="H166" s="23">
        <f>'Annual Raw'!I80</f>
        <v>0</v>
      </c>
      <c r="I166" s="23">
        <f>'Annual Raw'!J80</f>
        <v>0</v>
      </c>
      <c r="J166" s="23">
        <f>'Annual Raw'!K80</f>
        <v>0</v>
      </c>
      <c r="K166" s="23">
        <f>'Annual Raw'!L80</f>
        <v>521.20240000000001</v>
      </c>
      <c r="L166" s="23">
        <f>'Annual Raw'!M80</f>
        <v>523.4194</v>
      </c>
      <c r="M166" s="23">
        <f>'Annual Raw'!N80</f>
        <v>769.61400000000003</v>
      </c>
      <c r="N166" s="23">
        <f>'Annual Raw'!O80</f>
        <v>931.32150000000001</v>
      </c>
      <c r="O166" s="23">
        <f>'Annual Raw'!P80</f>
        <v>1136.0619999999999</v>
      </c>
      <c r="P166" s="23">
        <f>'Annual Raw'!Q80</f>
        <v>351.3956</v>
      </c>
      <c r="Q166" s="23">
        <f>'Annual Raw'!R80</f>
        <v>474.58280000000002</v>
      </c>
      <c r="R166" s="23">
        <f>'Annual Raw'!S80</f>
        <v>737.75609999999995</v>
      </c>
      <c r="S166" s="23">
        <f>'Annual Raw'!T80</f>
        <v>703.98299999999995</v>
      </c>
      <c r="T166" s="23">
        <f>'Annual Raw'!U80</f>
        <v>692.95659999999998</v>
      </c>
      <c r="U166" s="23">
        <f>'Annual Raw'!V80</f>
        <v>808.10310000000004</v>
      </c>
      <c r="V166" s="23">
        <f>'Annual Raw'!W80</f>
        <v>785.31060000000002</v>
      </c>
      <c r="W166" s="23">
        <f>'Annual Raw'!X80</f>
        <v>952.56119999999999</v>
      </c>
      <c r="X166" s="23">
        <f>'Annual Raw'!Y80</f>
        <v>761.15700000000004</v>
      </c>
      <c r="Y166" s="23">
        <f>'Annual Raw'!Z80</f>
        <v>797.39980000000003</v>
      </c>
      <c r="Z166" s="23">
        <f>'Annual Raw'!AA80</f>
        <v>781.04669999999999</v>
      </c>
      <c r="AA166" s="23">
        <f>'Annual Raw'!AB80</f>
        <v>984.42939999999999</v>
      </c>
      <c r="AB166" s="24">
        <f t="shared" si="1337"/>
        <v>0</v>
      </c>
      <c r="AC166" s="24">
        <f t="shared" si="1338"/>
        <v>0</v>
      </c>
      <c r="AD166" s="24">
        <f t="shared" si="1339"/>
        <v>0</v>
      </c>
      <c r="AE166" s="24">
        <f t="shared" si="1340"/>
        <v>0</v>
      </c>
      <c r="AJ166" s="23">
        <f>+'QTR Raw'!D85</f>
        <v>885.96</v>
      </c>
      <c r="AK166" s="23">
        <f t="shared" si="1341"/>
        <v>885.96</v>
      </c>
      <c r="AL166" s="23">
        <f>+'QTR Raw'!F85</f>
        <v>928.74</v>
      </c>
      <c r="AM166" s="23">
        <f t="shared" si="1341"/>
        <v>928.74</v>
      </c>
      <c r="AN166" s="23">
        <f>+'QTR Raw'!H85</f>
        <v>918.34</v>
      </c>
      <c r="AO166" s="23">
        <f t="shared" si="1341"/>
        <v>918.34</v>
      </c>
      <c r="AP166" s="23">
        <f>+'QTR Raw'!J85</f>
        <v>1133.6400000000001</v>
      </c>
      <c r="AQ166" s="23">
        <f t="shared" si="1341"/>
        <v>1133.6400000000001</v>
      </c>
      <c r="AR166" s="23">
        <f>+'QTR Raw'!L85</f>
        <v>1192.28</v>
      </c>
      <c r="AS166" s="23">
        <f t="shared" si="1341"/>
        <v>1192.28</v>
      </c>
      <c r="AT166" s="23">
        <f>+'QTR Raw'!N85</f>
        <v>5.13</v>
      </c>
      <c r="AU166" s="23">
        <f t="shared" si="1341"/>
        <v>5.13</v>
      </c>
      <c r="AV166" s="23">
        <f>+'QTR Raw'!P85</f>
        <v>1937.11</v>
      </c>
      <c r="AW166" s="23">
        <f t="shared" si="1341"/>
        <v>1937.11</v>
      </c>
      <c r="AX166" s="23">
        <f>+'QTR Raw'!R85</f>
        <v>221.41</v>
      </c>
      <c r="AY166" s="23">
        <f t="shared" si="1341"/>
        <v>221.41</v>
      </c>
      <c r="AZ166" s="23">
        <f>+'QTR Raw'!T85</f>
        <v>609.80999999999995</v>
      </c>
      <c r="BA166" s="23">
        <f t="shared" si="1341"/>
        <v>609.80999999999995</v>
      </c>
      <c r="BB166" s="23">
        <f>+'QTR Raw'!V85</f>
        <v>163.05000000000001</v>
      </c>
      <c r="BC166" s="23">
        <f t="shared" si="1341"/>
        <v>163.05000000000001</v>
      </c>
      <c r="BD166" s="23">
        <f>+'QTR Raw'!X85</f>
        <v>990.25</v>
      </c>
      <c r="BE166" s="23">
        <f t="shared" si="1341"/>
        <v>990.25</v>
      </c>
      <c r="BF166" s="23">
        <f>+'QTR Raw'!Z85</f>
        <v>191.72</v>
      </c>
      <c r="BG166" s="23">
        <f t="shared" si="1341"/>
        <v>191.72</v>
      </c>
      <c r="BH166" s="23">
        <f>+'QTR Raw'!AB85</f>
        <v>1108.9000000000001</v>
      </c>
      <c r="BI166" s="23">
        <f t="shared" si="1341"/>
        <v>1108.9000000000001</v>
      </c>
      <c r="BJ166" s="23">
        <f>+'QTR Raw'!AD85</f>
        <v>115.99</v>
      </c>
      <c r="BK166" s="23">
        <f t="shared" si="1341"/>
        <v>115.99</v>
      </c>
      <c r="BL166" s="23">
        <f>+'QTR Raw'!AF85</f>
        <v>101.09</v>
      </c>
      <c r="BM166" s="23">
        <f t="shared" si="1341"/>
        <v>101.09</v>
      </c>
      <c r="BN166" s="23">
        <f>+'QTR Raw'!AH85</f>
        <v>58.8</v>
      </c>
      <c r="BO166" s="23">
        <f t="shared" si="1341"/>
        <v>58.8</v>
      </c>
      <c r="BP166" s="23">
        <f>+'QTR Raw'!AJ85</f>
        <v>60.52</v>
      </c>
      <c r="BQ166" s="23">
        <f t="shared" si="1341"/>
        <v>60.52</v>
      </c>
      <c r="BR166" s="23">
        <f>+'QTR Raw'!AL85</f>
        <v>53.5</v>
      </c>
      <c r="BS166" s="23">
        <f t="shared" si="1341"/>
        <v>53.5</v>
      </c>
      <c r="BT166" s="23">
        <f>+'QTR Raw'!AN85</f>
        <v>92.51</v>
      </c>
      <c r="BU166" s="23">
        <f t="shared" si="1341"/>
        <v>92.51</v>
      </c>
      <c r="BV166" s="23">
        <f>+'QTR Raw'!AP85</f>
        <v>64.900000000000006</v>
      </c>
      <c r="BW166" s="23">
        <f t="shared" si="1341"/>
        <v>64.900000000000006</v>
      </c>
      <c r="BX166" s="23">
        <f>+'QTR Raw'!AR85</f>
        <v>68.48</v>
      </c>
      <c r="BY166" s="23">
        <f t="shared" si="1341"/>
        <v>68.48</v>
      </c>
      <c r="BZ166" s="23">
        <f>+'QTR Raw'!AT85</f>
        <v>91.7</v>
      </c>
      <c r="CA166" s="23">
        <f t="shared" si="1341"/>
        <v>91.7</v>
      </c>
      <c r="CB166" s="23">
        <f>+'QTR Raw'!AV85</f>
        <v>90.04</v>
      </c>
      <c r="CC166" s="23">
        <f t="shared" si="1341"/>
        <v>90.04</v>
      </c>
      <c r="CD166" s="23">
        <f>+'QTR Raw'!AX85</f>
        <v>60.55</v>
      </c>
      <c r="CE166" s="23">
        <f t="shared" si="1341"/>
        <v>60.55</v>
      </c>
      <c r="CF166" s="23">
        <f>+'QTR Raw'!AZ85</f>
        <v>54.35</v>
      </c>
      <c r="CG166" s="23">
        <f t="shared" si="1344"/>
        <v>54.35</v>
      </c>
      <c r="CH166" s="23">
        <f t="shared" si="1319"/>
        <v>781.04669999999999</v>
      </c>
      <c r="CJ166" s="23">
        <f>+'QTR Raw'!BD85</f>
        <v>40.18</v>
      </c>
      <c r="CL166" s="23">
        <f>+'QTR Raw'!BF85</f>
        <v>38.72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984.42939999999999</v>
      </c>
    </row>
    <row r="167" spans="1:110" s="22" customFormat="1" x14ac:dyDescent="0.2">
      <c r="A167" s="22" t="s">
        <v>65</v>
      </c>
      <c r="B167" s="22">
        <f>SUM(B161:B166)</f>
        <v>0</v>
      </c>
      <c r="C167" s="22">
        <f t="shared" ref="C167:V167" si="1346">SUM(C161:C166)</f>
        <v>0</v>
      </c>
      <c r="D167" s="22">
        <f t="shared" si="1346"/>
        <v>0</v>
      </c>
      <c r="E167" s="22">
        <f t="shared" si="1346"/>
        <v>0</v>
      </c>
      <c r="F167" s="22">
        <f t="shared" si="1346"/>
        <v>0</v>
      </c>
      <c r="G167" s="22">
        <f t="shared" si="1346"/>
        <v>0</v>
      </c>
      <c r="H167" s="22">
        <f t="shared" si="1346"/>
        <v>0</v>
      </c>
      <c r="I167" s="22">
        <f t="shared" si="1346"/>
        <v>0</v>
      </c>
      <c r="J167" s="22">
        <f t="shared" si="1346"/>
        <v>0</v>
      </c>
      <c r="K167" s="22">
        <f t="shared" si="1346"/>
        <v>2219.6271999999999</v>
      </c>
      <c r="L167" s="22">
        <f>SUM(L161:L166)</f>
        <v>3995.6266999999998</v>
      </c>
      <c r="M167" s="22">
        <f>SUM(M161:M166)</f>
        <v>4683.6981999999998</v>
      </c>
      <c r="N167" s="22">
        <f t="shared" si="1346"/>
        <v>4612.9385999999995</v>
      </c>
      <c r="O167" s="22">
        <f t="shared" si="1346"/>
        <v>5013.4755000000005</v>
      </c>
      <c r="P167" s="22">
        <f t="shared" si="1346"/>
        <v>6588.1826000000001</v>
      </c>
      <c r="Q167" s="22">
        <f t="shared" si="1346"/>
        <v>5752.1389000000008</v>
      </c>
      <c r="R167" s="22">
        <f t="shared" si="1346"/>
        <v>5047.7715999999991</v>
      </c>
      <c r="S167" s="22">
        <f t="shared" si="1346"/>
        <v>5695.7948999999999</v>
      </c>
      <c r="T167" s="22">
        <f t="shared" si="1346"/>
        <v>6936.874600000001</v>
      </c>
      <c r="U167" s="22">
        <f t="shared" si="1346"/>
        <v>6695.7777000000006</v>
      </c>
      <c r="V167" s="22">
        <f t="shared" si="1346"/>
        <v>7174.1836999999996</v>
      </c>
      <c r="W167" s="22">
        <f t="shared" ref="W167" si="1347">SUM(W161:W166)</f>
        <v>7897.3144999999995</v>
      </c>
      <c r="X167" s="22">
        <f t="shared" ref="X167:Y167" si="1348">SUM(X161:X166)</f>
        <v>9711.0080999999991</v>
      </c>
      <c r="Y167" s="22">
        <f t="shared" si="1348"/>
        <v>10121.245299999999</v>
      </c>
      <c r="Z167" s="22">
        <f t="shared" ref="Z167:AA167" si="1349">SUM(Z161:Z166)</f>
        <v>9745.2222000000002</v>
      </c>
      <c r="AA167" s="22">
        <f t="shared" si="1349"/>
        <v>10062.489000000001</v>
      </c>
      <c r="AB167" s="21">
        <f t="shared" ref="AB167:AD167" si="1350">SUM(AB161:AB166)</f>
        <v>10574.078085489271</v>
      </c>
      <c r="AC167" s="21">
        <f t="shared" si="1350"/>
        <v>11519.225367201643</v>
      </c>
      <c r="AD167" s="21">
        <f t="shared" si="1350"/>
        <v>12558.887377085255</v>
      </c>
      <c r="AE167" s="21">
        <f t="shared" ref="AE167" si="1351">SUM(AE161:AE166)</f>
        <v>13702.515587957227</v>
      </c>
      <c r="AJ167" s="22">
        <f t="shared" ref="AJ167" si="1352">SUM(AJ161:AJ166)</f>
        <v>4460.97</v>
      </c>
      <c r="AK167" s="22">
        <f t="shared" ref="AK167" si="1353">SUM(AK161:AK166)</f>
        <v>4633.5658886452075</v>
      </c>
      <c r="AL167" s="22">
        <f t="shared" ref="AL167:AM167" si="1354">SUM(AL161:AL166)</f>
        <v>4612.95</v>
      </c>
      <c r="AM167" s="22">
        <f t="shared" si="1354"/>
        <v>5415.1858060138566</v>
      </c>
      <c r="AN167" s="22">
        <f t="shared" ref="AN167:AO167" si="1355">SUM(AN161:AN166)</f>
        <v>4259.6899999999996</v>
      </c>
      <c r="AO167" s="22">
        <f t="shared" si="1355"/>
        <v>5472.9135518427838</v>
      </c>
      <c r="AP167" s="22">
        <f t="shared" ref="AP167:CE167" si="1356">SUM(AP161:AP166)</f>
        <v>5013.4800000000005</v>
      </c>
      <c r="AQ167" s="22">
        <f t="shared" si="1356"/>
        <v>4437.1245809560123</v>
      </c>
      <c r="AR167" s="22">
        <f t="shared" si="1356"/>
        <v>4484.62</v>
      </c>
      <c r="AS167" s="22">
        <f t="shared" si="1356"/>
        <v>4835.4971622385883</v>
      </c>
      <c r="AT167" s="22">
        <f t="shared" si="1356"/>
        <v>6588.16</v>
      </c>
      <c r="AU167" s="22">
        <f t="shared" si="1356"/>
        <v>6235.3314709534079</v>
      </c>
      <c r="AV167" s="22">
        <f t="shared" si="1356"/>
        <v>5802.6</v>
      </c>
      <c r="AW167" s="22">
        <f t="shared" si="1356"/>
        <v>4983.9559587483336</v>
      </c>
      <c r="AX167" s="22">
        <f t="shared" si="1356"/>
        <v>5752.1399999999994</v>
      </c>
      <c r="AY167" s="22">
        <f t="shared" si="1356"/>
        <v>4439.3530062135187</v>
      </c>
      <c r="AZ167" s="22">
        <f t="shared" si="1356"/>
        <v>4565.2199999999993</v>
      </c>
      <c r="BA167" s="22">
        <f t="shared" si="1356"/>
        <v>4470.7936289707031</v>
      </c>
      <c r="BB167" s="22">
        <f t="shared" si="1356"/>
        <v>5047.83</v>
      </c>
      <c r="BC167" s="22">
        <f t="shared" si="1356"/>
        <v>4268.8380975865748</v>
      </c>
      <c r="BD167" s="22">
        <f t="shared" si="1356"/>
        <v>4869.1799999999994</v>
      </c>
      <c r="BE167" s="22">
        <f t="shared" si="1356"/>
        <v>6762.0329621023466</v>
      </c>
      <c r="BF167" s="22">
        <f t="shared" si="1356"/>
        <v>5696.01</v>
      </c>
      <c r="BG167" s="22">
        <f t="shared" si="1356"/>
        <v>6239.8771915636617</v>
      </c>
      <c r="BH167" s="22">
        <f t="shared" si="1356"/>
        <v>5997.5</v>
      </c>
      <c r="BI167" s="22">
        <f t="shared" si="1356"/>
        <v>5994.712748131833</v>
      </c>
      <c r="BJ167" s="22">
        <f t="shared" si="1356"/>
        <v>6936.9999999999991</v>
      </c>
      <c r="BK167" s="22">
        <f t="shared" si="1356"/>
        <v>6338.2979735744329</v>
      </c>
      <c r="BL167" s="22">
        <f t="shared" si="1356"/>
        <v>6602.63</v>
      </c>
      <c r="BM167" s="22">
        <f t="shared" si="1356"/>
        <v>7150.4176833520396</v>
      </c>
      <c r="BN167" s="22">
        <f t="shared" si="1356"/>
        <v>6971.97</v>
      </c>
      <c r="BO167" s="22">
        <f t="shared" si="1356"/>
        <v>4994.9212524560326</v>
      </c>
      <c r="BP167" s="22">
        <f t="shared" si="1356"/>
        <v>6969.1400000000012</v>
      </c>
      <c r="BQ167" s="22">
        <f t="shared" si="1356"/>
        <v>7850.5827113447222</v>
      </c>
      <c r="BR167" s="22">
        <f t="shared" si="1356"/>
        <v>7419.73</v>
      </c>
      <c r="BS167" s="22">
        <f t="shared" si="1356"/>
        <v>6221.0540026692388</v>
      </c>
      <c r="BT167" s="22">
        <f t="shared" si="1356"/>
        <v>7426.78</v>
      </c>
      <c r="BU167" s="22">
        <f t="shared" si="1356"/>
        <v>8200.018198380023</v>
      </c>
      <c r="BV167" s="22">
        <f t="shared" si="1356"/>
        <v>8131.5099999999993</v>
      </c>
      <c r="BW167" s="22">
        <f t="shared" si="1356"/>
        <v>7442.8184778961686</v>
      </c>
      <c r="BX167" s="22">
        <f t="shared" si="1356"/>
        <v>9260.59</v>
      </c>
      <c r="BY167" s="22">
        <f t="shared" si="1356"/>
        <v>11118.950403013199</v>
      </c>
      <c r="BZ167" s="22">
        <f t="shared" si="1356"/>
        <v>9894.17</v>
      </c>
      <c r="CA167" s="22">
        <f t="shared" si="1356"/>
        <v>8744.5181753207835</v>
      </c>
      <c r="CB167" s="22">
        <f t="shared" si="1356"/>
        <v>10362.01</v>
      </c>
      <c r="CC167" s="22">
        <f t="shared" si="1356"/>
        <v>10635.046382070243</v>
      </c>
      <c r="CD167" s="22">
        <f t="shared" si="1356"/>
        <v>10295.379999999999</v>
      </c>
      <c r="CE167" s="22">
        <f t="shared" si="1356"/>
        <v>9545.9178159538151</v>
      </c>
      <c r="CF167" s="22">
        <f t="shared" ref="CF167:CG167" si="1357">SUM(CF161:CF166)</f>
        <v>10426.370000000001</v>
      </c>
      <c r="CG167" s="22">
        <f t="shared" si="1357"/>
        <v>9956.2220564545096</v>
      </c>
      <c r="CH167" s="22">
        <f t="shared" ref="CH167:CI167" si="1358">SUM(CH161:CH166)</f>
        <v>9745.2222000000002</v>
      </c>
      <c r="CI167" s="22">
        <f t="shared" si="1358"/>
        <v>7887.7250214295182</v>
      </c>
      <c r="CJ167" s="22">
        <f t="shared" ref="CJ167:DB167" si="1359">SUM(CJ161:CJ166)</f>
        <v>10681.5</v>
      </c>
      <c r="CK167" s="22">
        <f t="shared" si="1359"/>
        <v>12472.371956490928</v>
      </c>
      <c r="CL167" s="22">
        <f t="shared" ref="CL167" si="1360">SUM(CL161:CL166)</f>
        <v>10695.779999999999</v>
      </c>
      <c r="CM167" s="21">
        <f t="shared" si="1359"/>
        <v>8699.9430307391376</v>
      </c>
      <c r="CN167" s="21">
        <f t="shared" si="1359"/>
        <v>8080.5990759465776</v>
      </c>
      <c r="CO167" s="21">
        <f t="shared" si="1359"/>
        <v>9909.1503496112182</v>
      </c>
      <c r="CP167" s="21">
        <f t="shared" si="1359"/>
        <v>10574.078085489271</v>
      </c>
      <c r="CQ167" s="21">
        <f t="shared" si="1359"/>
        <v>9638.4297714322984</v>
      </c>
      <c r="CR167" s="21">
        <f t="shared" si="1359"/>
        <v>8776.3984567046828</v>
      </c>
      <c r="CS167" s="21">
        <f t="shared" si="1359"/>
        <v>10787.804857735788</v>
      </c>
      <c r="CT167" s="21">
        <f t="shared" si="1359"/>
        <v>11519.225367201643</v>
      </c>
      <c r="CU167" s="21">
        <f t="shared" si="1359"/>
        <v>10490.012221738976</v>
      </c>
      <c r="CV167" s="21">
        <f t="shared" si="1359"/>
        <v>9541.777775538596</v>
      </c>
      <c r="CW167" s="21">
        <f t="shared" si="1359"/>
        <v>11754.324816672817</v>
      </c>
      <c r="CX167" s="21">
        <f t="shared" si="1359"/>
        <v>12558.887377085255</v>
      </c>
      <c r="CY167" s="21">
        <f t="shared" si="1359"/>
        <v>11426.752917076317</v>
      </c>
      <c r="CZ167" s="21">
        <f t="shared" si="1359"/>
        <v>10383.695026255902</v>
      </c>
      <c r="DA167" s="21">
        <f t="shared" si="1359"/>
        <v>12817.496771503545</v>
      </c>
      <c r="DB167" s="21">
        <f t="shared" si="1359"/>
        <v>13702.515587957227</v>
      </c>
      <c r="DE167" s="126"/>
      <c r="DF167" s="22">
        <v>10062.489000000001</v>
      </c>
    </row>
    <row r="168" spans="1:110" s="23" customFormat="1" outlineLevel="1" x14ac:dyDescent="0.2">
      <c r="A168" s="23" t="s">
        <v>66</v>
      </c>
      <c r="B168" s="23">
        <f>'Annual Raw'!C50+'Annual Raw'!C58</f>
        <v>0</v>
      </c>
      <c r="C168" s="23">
        <f>'Annual Raw'!D50+'Annual Raw'!D58</f>
        <v>0</v>
      </c>
      <c r="D168" s="23">
        <f>'Annual Raw'!E50+'Annual Raw'!E58</f>
        <v>0</v>
      </c>
      <c r="E168" s="23">
        <f>'Annual Raw'!F50+'Annual Raw'!F58</f>
        <v>0</v>
      </c>
      <c r="F168" s="23">
        <f>'Annual Raw'!G50+'Annual Raw'!G58</f>
        <v>0</v>
      </c>
      <c r="G168" s="23">
        <f>'Annual Raw'!H50+'Annual Raw'!H58</f>
        <v>0</v>
      </c>
      <c r="H168" s="23">
        <f>'Annual Raw'!I50+'Annual Raw'!I58</f>
        <v>0</v>
      </c>
      <c r="I168" s="23">
        <f>'Annual Raw'!J50+'Annual Raw'!J58</f>
        <v>0</v>
      </c>
      <c r="J168" s="23">
        <f>'Annual Raw'!K50+'Annual Raw'!K58</f>
        <v>0</v>
      </c>
      <c r="K168" s="23">
        <f>'Annual Raw'!L50+'Annual Raw'!L58</f>
        <v>0</v>
      </c>
      <c r="L168" s="23">
        <f>'Annual Raw'!M50+'Annual Raw'!M58</f>
        <v>20.298200000000001</v>
      </c>
      <c r="M168" s="23">
        <f>'Annual Raw'!N50+'Annual Raw'!N58</f>
        <v>22.134699999999999</v>
      </c>
      <c r="N168" s="23">
        <f>'Annual Raw'!O50+'Annual Raw'!O58</f>
        <v>26.395499999999998</v>
      </c>
      <c r="O168" s="23">
        <f>'Annual Raw'!P50+'Annual Raw'!P58</f>
        <v>86.546599999999998</v>
      </c>
      <c r="P168" s="23">
        <f>'Annual Raw'!Q50+'Annual Raw'!Q58</f>
        <v>210.3544</v>
      </c>
      <c r="Q168" s="23">
        <f>'Annual Raw'!R50+'Annual Raw'!R58</f>
        <v>311.0564</v>
      </c>
      <c r="R168" s="23">
        <f>'Annual Raw'!S50+'Annual Raw'!S58</f>
        <v>145.2704</v>
      </c>
      <c r="S168" s="23">
        <f>'Annual Raw'!T50+'Annual Raw'!T58</f>
        <v>147.2543</v>
      </c>
      <c r="T168" s="23">
        <f>'Annual Raw'!U50+'Annual Raw'!U58</f>
        <v>164.1052</v>
      </c>
      <c r="U168" s="23">
        <f>'Annual Raw'!V50+'Annual Raw'!V58</f>
        <v>390.80630000000002</v>
      </c>
      <c r="V168" s="23">
        <f>'Annual Raw'!W50+'Annual Raw'!W58</f>
        <v>362.9375</v>
      </c>
      <c r="W168" s="23">
        <f>'Annual Raw'!X50+'Annual Raw'!X58</f>
        <v>348.31240000000003</v>
      </c>
      <c r="X168" s="23">
        <f>'Annual Raw'!Y50+'Annual Raw'!Y58</f>
        <v>442.85219999999998</v>
      </c>
      <c r="Y168" s="23">
        <f>'Annual Raw'!Z50+'Annual Raw'!Z58</f>
        <v>289.51330000000002</v>
      </c>
      <c r="Z168" s="23">
        <f>'Annual Raw'!AA50+'Annual Raw'!AA58</f>
        <v>328.2149</v>
      </c>
      <c r="AA168" s="23">
        <f>'Annual Raw'!AB50+'Annual Raw'!AB58</f>
        <v>755.27409999999998</v>
      </c>
      <c r="AB168" s="24">
        <f t="shared" ref="AB168:AB174" si="1361">+CP168</f>
        <v>0</v>
      </c>
      <c r="AC168" s="24">
        <f t="shared" ref="AC168:AC174" si="1362">+CT168</f>
        <v>0</v>
      </c>
      <c r="AD168" s="24">
        <f t="shared" ref="AD168:AD174" si="1363">+CX168</f>
        <v>0</v>
      </c>
      <c r="AE168" s="24">
        <f t="shared" ref="AE168:AE174" si="1364">+DB168</f>
        <v>0</v>
      </c>
      <c r="AJ168" s="23">
        <f>+'QTR Raw'!D64</f>
        <v>0.08</v>
      </c>
      <c r="AK168" s="23">
        <f t="shared" ref="AK168:CE174" si="1365">+AJ168</f>
        <v>0.08</v>
      </c>
      <c r="AL168" s="23">
        <f>+'QTR Raw'!F64</f>
        <v>101.96</v>
      </c>
      <c r="AM168" s="23">
        <f t="shared" si="1365"/>
        <v>101.96</v>
      </c>
      <c r="AN168" s="23">
        <f>+'QTR Raw'!H64</f>
        <v>0</v>
      </c>
      <c r="AO168" s="23">
        <f t="shared" si="1365"/>
        <v>0</v>
      </c>
      <c r="AP168" s="23">
        <f>+'QTR Raw'!J64</f>
        <v>187.99</v>
      </c>
      <c r="AQ168" s="23">
        <f t="shared" si="1365"/>
        <v>187.99</v>
      </c>
      <c r="AR168" s="23">
        <f>+'QTR Raw'!L64</f>
        <v>29.41</v>
      </c>
      <c r="AS168" s="23">
        <f t="shared" si="1365"/>
        <v>29.41</v>
      </c>
      <c r="AT168" s="23">
        <f>+'QTR Raw'!N64</f>
        <v>210.35</v>
      </c>
      <c r="AU168" s="23">
        <f t="shared" si="1365"/>
        <v>210.35</v>
      </c>
      <c r="AV168" s="23">
        <f>+'QTR Raw'!P64</f>
        <v>29.41</v>
      </c>
      <c r="AW168" s="23">
        <f t="shared" si="1365"/>
        <v>29.41</v>
      </c>
      <c r="AX168" s="23">
        <f>+'QTR Raw'!R64</f>
        <v>184.46</v>
      </c>
      <c r="AY168" s="23">
        <f t="shared" si="1365"/>
        <v>184.46</v>
      </c>
      <c r="AZ168" s="23">
        <f>+'QTR Raw'!T64</f>
        <v>128.91999999999999</v>
      </c>
      <c r="BA168" s="23">
        <f t="shared" si="1365"/>
        <v>128.91999999999999</v>
      </c>
      <c r="BB168" s="23">
        <f>+'QTR Raw'!V64</f>
        <v>145.27000000000001</v>
      </c>
      <c r="BC168" s="23">
        <f t="shared" si="1365"/>
        <v>145.27000000000001</v>
      </c>
      <c r="BD168" s="23">
        <f>+'QTR Raw'!X64</f>
        <v>131.91999999999999</v>
      </c>
      <c r="BE168" s="23">
        <f t="shared" si="1365"/>
        <v>131.91999999999999</v>
      </c>
      <c r="BF168" s="23">
        <f>+'QTR Raw'!Z64</f>
        <v>147.27000000000001</v>
      </c>
      <c r="BG168" s="23">
        <f t="shared" si="1365"/>
        <v>147.27000000000001</v>
      </c>
      <c r="BH168" s="23">
        <f>+'QTR Raw'!AB64</f>
        <v>136.85</v>
      </c>
      <c r="BI168" s="23">
        <f t="shared" si="1365"/>
        <v>136.85</v>
      </c>
      <c r="BJ168" s="23">
        <f>+'QTR Raw'!AD64</f>
        <v>189.47</v>
      </c>
      <c r="BK168" s="23">
        <f t="shared" si="1365"/>
        <v>189.47</v>
      </c>
      <c r="BL168" s="23">
        <f>+'QTR Raw'!AF64</f>
        <v>346.02</v>
      </c>
      <c r="BM168" s="23">
        <f t="shared" si="1365"/>
        <v>346.02</v>
      </c>
      <c r="BN168" s="23">
        <f>+'QTR Raw'!AH64</f>
        <v>390.8</v>
      </c>
      <c r="BO168" s="23">
        <f t="shared" si="1365"/>
        <v>390.8</v>
      </c>
      <c r="BP168" s="23">
        <f>+'QTR Raw'!AJ64</f>
        <v>392.39</v>
      </c>
      <c r="BQ168" s="23">
        <f t="shared" si="1365"/>
        <v>392.39</v>
      </c>
      <c r="BR168" s="23">
        <f>+'QTR Raw'!AL64</f>
        <v>362.94</v>
      </c>
      <c r="BS168" s="23">
        <f t="shared" si="1365"/>
        <v>362.94</v>
      </c>
      <c r="BT168" s="23">
        <f>+'QTR Raw'!AN64</f>
        <v>356.31</v>
      </c>
      <c r="BU168" s="23">
        <f t="shared" si="1365"/>
        <v>356.31</v>
      </c>
      <c r="BV168" s="23">
        <f>+'QTR Raw'!AP64</f>
        <v>348.31</v>
      </c>
      <c r="BW168" s="23">
        <f t="shared" si="1365"/>
        <v>348.31</v>
      </c>
      <c r="BX168" s="23">
        <f>+'QTR Raw'!AR64</f>
        <v>349.75</v>
      </c>
      <c r="BY168" s="23">
        <f t="shared" si="1365"/>
        <v>349.75</v>
      </c>
      <c r="BZ168" s="23">
        <f>+'QTR Raw'!AT64</f>
        <v>442.85</v>
      </c>
      <c r="CA168" s="23">
        <f t="shared" si="1365"/>
        <v>442.85</v>
      </c>
      <c r="CB168" s="23">
        <f>+'QTR Raw'!AV64</f>
        <v>330.53</v>
      </c>
      <c r="CC168" s="23">
        <f t="shared" si="1365"/>
        <v>330.53</v>
      </c>
      <c r="CD168" s="23">
        <f>+'QTR Raw'!AX64</f>
        <v>289.51</v>
      </c>
      <c r="CE168" s="23">
        <f t="shared" si="1365"/>
        <v>289.51</v>
      </c>
      <c r="CF168" s="23">
        <f>+'QTR Raw'!AZ64</f>
        <v>326.83</v>
      </c>
      <c r="CG168" s="23">
        <f t="shared" ref="CG168:CG171" si="1366">+CF168</f>
        <v>326.83</v>
      </c>
      <c r="CH168" s="23">
        <f t="shared" si="1319"/>
        <v>328.2149</v>
      </c>
      <c r="CJ168" s="23">
        <f>+'QTR Raw'!BD64</f>
        <v>327.85</v>
      </c>
      <c r="CL168" s="23">
        <f>+'QTR Raw'!BF64</f>
        <v>755.28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755.27409999999998</v>
      </c>
    </row>
    <row r="169" spans="1:110" s="23" customFormat="1" outlineLevel="1" x14ac:dyDescent="0.2">
      <c r="A169" s="23" t="s">
        <v>67</v>
      </c>
      <c r="B169" s="23">
        <f>'Annual Raw'!C51</f>
        <v>0</v>
      </c>
      <c r="C169" s="23">
        <f>'Annual Raw'!D51</f>
        <v>0</v>
      </c>
      <c r="D169" s="23">
        <f>'Annual Raw'!E51</f>
        <v>0</v>
      </c>
      <c r="E169" s="23">
        <f>'Annual Raw'!F51</f>
        <v>0</v>
      </c>
      <c r="F169" s="23">
        <f>'Annual Raw'!G51</f>
        <v>0</v>
      </c>
      <c r="G169" s="23">
        <f>'Annual Raw'!H51</f>
        <v>0</v>
      </c>
      <c r="H169" s="23">
        <f>'Annual Raw'!I51</f>
        <v>0</v>
      </c>
      <c r="I169" s="23">
        <f>'Annual Raw'!J51</f>
        <v>0</v>
      </c>
      <c r="J169" s="23">
        <f>'Annual Raw'!K51</f>
        <v>0</v>
      </c>
      <c r="K169" s="23">
        <f>'Annual Raw'!L51</f>
        <v>0</v>
      </c>
      <c r="L169" s="23">
        <f>'Annual Raw'!M51</f>
        <v>0</v>
      </c>
      <c r="M169" s="23">
        <f>'Annual Raw'!N51</f>
        <v>97.727099999999993</v>
      </c>
      <c r="N169" s="23">
        <f>'Annual Raw'!O51</f>
        <v>75.566000000000003</v>
      </c>
      <c r="O169" s="23">
        <f>'Annual Raw'!P51</f>
        <v>101.4474</v>
      </c>
      <c r="P169" s="23">
        <f>'Annual Raw'!Q51</f>
        <v>64.991600000000005</v>
      </c>
      <c r="Q169" s="23">
        <f>'Annual Raw'!R51</f>
        <v>47.261099999999999</v>
      </c>
      <c r="R169" s="23">
        <f>'Annual Raw'!S51</f>
        <v>46.352699999999999</v>
      </c>
      <c r="S169" s="23">
        <f>'Annual Raw'!T51</f>
        <v>49.737499999999997</v>
      </c>
      <c r="T169" s="23">
        <f>'Annual Raw'!U51</f>
        <v>0</v>
      </c>
      <c r="U169" s="23">
        <f>'Annual Raw'!V51</f>
        <v>0</v>
      </c>
      <c r="V169" s="23">
        <f>'Annual Raw'!W51</f>
        <v>0</v>
      </c>
      <c r="W169" s="23">
        <f>'Annual Raw'!X51</f>
        <v>0</v>
      </c>
      <c r="X169" s="23">
        <f>'Annual Raw'!Y51</f>
        <v>0</v>
      </c>
      <c r="Y169" s="23">
        <f>'Annual Raw'!Z51</f>
        <v>0</v>
      </c>
      <c r="Z169" s="23">
        <f>'Annual Raw'!AA51</f>
        <v>0</v>
      </c>
      <c r="AA169" s="23">
        <f>'Annual Raw'!AB51</f>
        <v>0</v>
      </c>
      <c r="AB169" s="24">
        <f t="shared" si="1361"/>
        <v>0</v>
      </c>
      <c r="AC169" s="24">
        <f t="shared" si="1362"/>
        <v>0</v>
      </c>
      <c r="AD169" s="24">
        <f t="shared" si="1363"/>
        <v>0</v>
      </c>
      <c r="AE169" s="24">
        <f t="shared" si="1364"/>
        <v>0</v>
      </c>
      <c r="AJ169" s="23">
        <f>+'QTR Raw'!D65</f>
        <v>0</v>
      </c>
      <c r="AK169" s="23">
        <f t="shared" si="1365"/>
        <v>0</v>
      </c>
      <c r="AL169" s="23">
        <f>+'QTR Raw'!F65</f>
        <v>0</v>
      </c>
      <c r="AM169" s="23">
        <f t="shared" si="1365"/>
        <v>0</v>
      </c>
      <c r="AN169" s="23">
        <f>+'QTR Raw'!H65</f>
        <v>0</v>
      </c>
      <c r="AO169" s="23">
        <f t="shared" si="1365"/>
        <v>0</v>
      </c>
      <c r="AP169" s="23">
        <f>+'QTR Raw'!J65</f>
        <v>0</v>
      </c>
      <c r="AQ169" s="23">
        <f t="shared" si="1365"/>
        <v>0</v>
      </c>
      <c r="AR169" s="23">
        <f>+'QTR Raw'!L65</f>
        <v>0</v>
      </c>
      <c r="AS169" s="23">
        <f t="shared" si="1365"/>
        <v>0</v>
      </c>
      <c r="AT169" s="23">
        <f>+'QTR Raw'!N65</f>
        <v>64.989999999999995</v>
      </c>
      <c r="AU169" s="23">
        <f t="shared" si="1365"/>
        <v>64.989999999999995</v>
      </c>
      <c r="AV169" s="23">
        <f>+'QTR Raw'!P65</f>
        <v>0</v>
      </c>
      <c r="AW169" s="23">
        <f t="shared" si="1365"/>
        <v>0</v>
      </c>
      <c r="AX169" s="23">
        <f>+'QTR Raw'!R65</f>
        <v>47.26</v>
      </c>
      <c r="AY169" s="23">
        <f t="shared" si="1365"/>
        <v>47.26</v>
      </c>
      <c r="AZ169" s="23">
        <f>+'QTR Raw'!T65</f>
        <v>0</v>
      </c>
      <c r="BA169" s="23">
        <f t="shared" si="1365"/>
        <v>0</v>
      </c>
      <c r="BB169" s="23">
        <f>+'QTR Raw'!V65</f>
        <v>46.35</v>
      </c>
      <c r="BC169" s="23">
        <f t="shared" si="1365"/>
        <v>46.35</v>
      </c>
      <c r="BD169" s="23">
        <f>+'QTR Raw'!X65</f>
        <v>0</v>
      </c>
      <c r="BE169" s="23">
        <f t="shared" si="1365"/>
        <v>0</v>
      </c>
      <c r="BF169" s="23">
        <f>+'QTR Raw'!Z65</f>
        <v>49.74</v>
      </c>
      <c r="BG169" s="23">
        <f t="shared" si="1365"/>
        <v>49.74</v>
      </c>
      <c r="BH169" s="23">
        <f>+'QTR Raw'!AB65</f>
        <v>0</v>
      </c>
      <c r="BI169" s="23">
        <f t="shared" si="1365"/>
        <v>0</v>
      </c>
      <c r="BJ169" s="23">
        <f>+'QTR Raw'!AD65</f>
        <v>0</v>
      </c>
      <c r="BK169" s="23">
        <f t="shared" si="1365"/>
        <v>0</v>
      </c>
      <c r="BL169" s="23">
        <f>+'QTR Raw'!AF65</f>
        <v>0</v>
      </c>
      <c r="BM169" s="23">
        <f t="shared" si="1365"/>
        <v>0</v>
      </c>
      <c r="BN169" s="23">
        <f>+'QTR Raw'!AH65</f>
        <v>0</v>
      </c>
      <c r="BO169" s="23">
        <f t="shared" si="1365"/>
        <v>0</v>
      </c>
      <c r="BP169" s="23">
        <f>+'QTR Raw'!AJ65</f>
        <v>0</v>
      </c>
      <c r="BQ169" s="23">
        <f t="shared" si="1365"/>
        <v>0</v>
      </c>
      <c r="BR169" s="23">
        <f>+'QTR Raw'!AL65</f>
        <v>0</v>
      </c>
      <c r="BS169" s="23">
        <f t="shared" si="1365"/>
        <v>0</v>
      </c>
      <c r="BT169" s="23">
        <f>+'QTR Raw'!AN65</f>
        <v>0</v>
      </c>
      <c r="BU169" s="23">
        <f t="shared" si="1365"/>
        <v>0</v>
      </c>
      <c r="BV169" s="23">
        <f>+'QTR Raw'!AP65</f>
        <v>0</v>
      </c>
      <c r="BW169" s="23">
        <f t="shared" si="1365"/>
        <v>0</v>
      </c>
      <c r="BX169" s="23">
        <f>+'QTR Raw'!AR65</f>
        <v>0</v>
      </c>
      <c r="BY169" s="23">
        <f t="shared" si="1365"/>
        <v>0</v>
      </c>
      <c r="BZ169" s="23">
        <f>+'QTR Raw'!AT65</f>
        <v>0</v>
      </c>
      <c r="CA169" s="23">
        <f t="shared" si="1365"/>
        <v>0</v>
      </c>
      <c r="CB169" s="23">
        <f>+'QTR Raw'!AV65</f>
        <v>0</v>
      </c>
      <c r="CC169" s="23">
        <f t="shared" si="1365"/>
        <v>0</v>
      </c>
      <c r="CD169" s="23">
        <f>+'QTR Raw'!AX65</f>
        <v>0</v>
      </c>
      <c r="CE169" s="23">
        <f t="shared" si="1365"/>
        <v>0</v>
      </c>
      <c r="CF169" s="23">
        <f>+'QTR Raw'!AZ65</f>
        <v>0</v>
      </c>
      <c r="CG169" s="23">
        <f t="shared" si="1366"/>
        <v>0</v>
      </c>
      <c r="CH169" s="23">
        <f t="shared" si="1319"/>
        <v>0</v>
      </c>
      <c r="CJ169" s="23">
        <f>+'QTR Raw'!BD65</f>
        <v>0</v>
      </c>
      <c r="CL169" s="23">
        <f>+'QTR Raw'!BF65</f>
        <v>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3" customFormat="1" outlineLevel="1" x14ac:dyDescent="0.2">
      <c r="A170" s="23" t="s">
        <v>68</v>
      </c>
      <c r="B170" s="23">
        <f>'Annual Raw'!C52</f>
        <v>0</v>
      </c>
      <c r="C170" s="23">
        <f>'Annual Raw'!D52</f>
        <v>0</v>
      </c>
      <c r="D170" s="23">
        <f>'Annual Raw'!E52</f>
        <v>0</v>
      </c>
      <c r="E170" s="23">
        <f>'Annual Raw'!F52</f>
        <v>0</v>
      </c>
      <c r="F170" s="23">
        <f>'Annual Raw'!G52</f>
        <v>0</v>
      </c>
      <c r="G170" s="23">
        <f>'Annual Raw'!H52</f>
        <v>0</v>
      </c>
      <c r="H170" s="23">
        <f>'Annual Raw'!I52</f>
        <v>0</v>
      </c>
      <c r="I170" s="23">
        <f>'Annual Raw'!J52</f>
        <v>0</v>
      </c>
      <c r="J170" s="23">
        <f>'Annual Raw'!K52</f>
        <v>0</v>
      </c>
      <c r="K170" s="23">
        <f>'Annual Raw'!L52</f>
        <v>0</v>
      </c>
      <c r="L170" s="23">
        <f>'Annual Raw'!M52</f>
        <v>24.607500000000002</v>
      </c>
      <c r="M170" s="23">
        <f>'Annual Raw'!N52</f>
        <v>32.457999999999998</v>
      </c>
      <c r="N170" s="23">
        <f>'Annual Raw'!O52</f>
        <v>34.4816</v>
      </c>
      <c r="O170" s="23">
        <f>'Annual Raw'!P52</f>
        <v>36.631</v>
      </c>
      <c r="P170" s="23">
        <f>'Annual Raw'!Q52</f>
        <v>54.9878</v>
      </c>
      <c r="Q170" s="23">
        <f>'Annual Raw'!R52</f>
        <v>59.874699999999997</v>
      </c>
      <c r="R170" s="23">
        <f>'Annual Raw'!S52</f>
        <v>87.489000000000004</v>
      </c>
      <c r="S170" s="23">
        <f>'Annual Raw'!T52</f>
        <v>100.0853</v>
      </c>
      <c r="T170" s="23">
        <f>'Annual Raw'!U52</f>
        <v>105.9609</v>
      </c>
      <c r="U170" s="23">
        <f>'Annual Raw'!V52</f>
        <v>146.78579999999999</v>
      </c>
      <c r="V170" s="23">
        <f>'Annual Raw'!W52</f>
        <v>67.475499999999997</v>
      </c>
      <c r="W170" s="23">
        <f>'Annual Raw'!X52</f>
        <v>52.076999999999998</v>
      </c>
      <c r="X170" s="23">
        <f>'Annual Raw'!Y52</f>
        <v>44.607700000000001</v>
      </c>
      <c r="Y170" s="23">
        <f>'Annual Raw'!Z52</f>
        <v>36.498800000000003</v>
      </c>
      <c r="Z170" s="23">
        <f>'Annual Raw'!AA52</f>
        <v>24.650400000000001</v>
      </c>
      <c r="AA170" s="23">
        <f>'Annual Raw'!AB52</f>
        <v>31.135300000000001</v>
      </c>
      <c r="AB170" s="24">
        <f t="shared" si="1361"/>
        <v>0</v>
      </c>
      <c r="AC170" s="24">
        <f t="shared" si="1362"/>
        <v>0</v>
      </c>
      <c r="AD170" s="24">
        <f t="shared" si="1363"/>
        <v>0</v>
      </c>
      <c r="AE170" s="24">
        <f t="shared" si="1364"/>
        <v>0</v>
      </c>
      <c r="AJ170" s="23">
        <f>+'QTR Raw'!D66</f>
        <v>28.88</v>
      </c>
      <c r="AK170" s="23">
        <f t="shared" si="1365"/>
        <v>28.88</v>
      </c>
      <c r="AL170" s="23">
        <f>+'QTR Raw'!F66</f>
        <v>34.479999999999997</v>
      </c>
      <c r="AM170" s="23">
        <f t="shared" si="1365"/>
        <v>34.479999999999997</v>
      </c>
      <c r="AN170" s="23">
        <f>+'QTR Raw'!H66</f>
        <v>29.87</v>
      </c>
      <c r="AO170" s="23">
        <f t="shared" si="1365"/>
        <v>29.87</v>
      </c>
      <c r="AP170" s="23">
        <f>+'QTR Raw'!J66</f>
        <v>36.630000000000003</v>
      </c>
      <c r="AQ170" s="23">
        <f t="shared" si="1365"/>
        <v>36.630000000000003</v>
      </c>
      <c r="AR170" s="23">
        <f>+'QTR Raw'!L66</f>
        <v>31.48</v>
      </c>
      <c r="AS170" s="23">
        <f t="shared" si="1365"/>
        <v>31.48</v>
      </c>
      <c r="AT170" s="23">
        <f>+'QTR Raw'!N66</f>
        <v>54.99</v>
      </c>
      <c r="AU170" s="23">
        <f t="shared" si="1365"/>
        <v>54.99</v>
      </c>
      <c r="AV170" s="23">
        <f>+'QTR Raw'!P66</f>
        <v>50.22</v>
      </c>
      <c r="AW170" s="23">
        <f t="shared" si="1365"/>
        <v>50.22</v>
      </c>
      <c r="AX170" s="23">
        <f>+'QTR Raw'!R66</f>
        <v>59.87</v>
      </c>
      <c r="AY170" s="23">
        <f t="shared" si="1365"/>
        <v>59.87</v>
      </c>
      <c r="AZ170" s="23">
        <f>+'QTR Raw'!T66</f>
        <v>58.42</v>
      </c>
      <c r="BA170" s="23">
        <f t="shared" si="1365"/>
        <v>58.42</v>
      </c>
      <c r="BB170" s="23">
        <f>+'QTR Raw'!V66</f>
        <v>87.49</v>
      </c>
      <c r="BC170" s="23">
        <f t="shared" si="1365"/>
        <v>87.49</v>
      </c>
      <c r="BD170" s="23">
        <f>+'QTR Raw'!X66</f>
        <v>88.59</v>
      </c>
      <c r="BE170" s="23">
        <f t="shared" si="1365"/>
        <v>88.59</v>
      </c>
      <c r="BF170" s="23">
        <f>+'QTR Raw'!Z66</f>
        <v>100.09</v>
      </c>
      <c r="BG170" s="23">
        <f t="shared" si="1365"/>
        <v>100.09</v>
      </c>
      <c r="BH170" s="23">
        <f>+'QTR Raw'!AB66</f>
        <v>78.59</v>
      </c>
      <c r="BI170" s="23">
        <f t="shared" si="1365"/>
        <v>78.59</v>
      </c>
      <c r="BJ170" s="23">
        <f>+'QTR Raw'!AD66</f>
        <v>105.96</v>
      </c>
      <c r="BK170" s="23">
        <f t="shared" si="1365"/>
        <v>105.96</v>
      </c>
      <c r="BL170" s="23">
        <f>+'QTR Raw'!AF66</f>
        <v>106.1</v>
      </c>
      <c r="BM170" s="23">
        <f t="shared" si="1365"/>
        <v>106.1</v>
      </c>
      <c r="BN170" s="23">
        <f>+'QTR Raw'!AH66</f>
        <v>146.79</v>
      </c>
      <c r="BO170" s="23">
        <f t="shared" si="1365"/>
        <v>146.79</v>
      </c>
      <c r="BP170" s="23">
        <f>+'QTR Raw'!AJ66</f>
        <v>159.4</v>
      </c>
      <c r="BQ170" s="23">
        <f t="shared" si="1365"/>
        <v>159.4</v>
      </c>
      <c r="BR170" s="23">
        <f>+'QTR Raw'!AL66</f>
        <v>67.48</v>
      </c>
      <c r="BS170" s="23">
        <f t="shared" si="1365"/>
        <v>67.48</v>
      </c>
      <c r="BT170" s="23">
        <f>+'QTR Raw'!AN66</f>
        <v>125.72</v>
      </c>
      <c r="BU170" s="23">
        <f t="shared" si="1365"/>
        <v>125.72</v>
      </c>
      <c r="BV170" s="23">
        <f>+'QTR Raw'!AP66</f>
        <v>52.08</v>
      </c>
      <c r="BW170" s="23">
        <f t="shared" si="1365"/>
        <v>52.08</v>
      </c>
      <c r="BX170" s="23">
        <f>+'QTR Raw'!AR66</f>
        <v>28.44</v>
      </c>
      <c r="BY170" s="23">
        <f t="shared" si="1365"/>
        <v>28.44</v>
      </c>
      <c r="BZ170" s="23">
        <f>+'QTR Raw'!AT66</f>
        <v>44.61</v>
      </c>
      <c r="CA170" s="23">
        <f t="shared" si="1365"/>
        <v>44.61</v>
      </c>
      <c r="CB170" s="23">
        <f>+'QTR Raw'!AV66</f>
        <v>28.16</v>
      </c>
      <c r="CC170" s="23">
        <f t="shared" si="1365"/>
        <v>28.16</v>
      </c>
      <c r="CD170" s="23">
        <f>+'QTR Raw'!AX66</f>
        <v>36.5</v>
      </c>
      <c r="CE170" s="23">
        <f t="shared" si="1365"/>
        <v>36.5</v>
      </c>
      <c r="CF170" s="23">
        <f>+'QTR Raw'!AZ66</f>
        <v>21.52</v>
      </c>
      <c r="CG170" s="23">
        <f t="shared" si="1366"/>
        <v>21.52</v>
      </c>
      <c r="CH170" s="23">
        <f t="shared" si="1319"/>
        <v>24.650400000000001</v>
      </c>
      <c r="CJ170" s="23">
        <f>+'QTR Raw'!BD66</f>
        <v>23.59</v>
      </c>
      <c r="CL170" s="23">
        <f>+'QTR Raw'!BF66</f>
        <v>31.14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31.135300000000001</v>
      </c>
    </row>
    <row r="171" spans="1:110" s="23" customFormat="1" outlineLevel="1" x14ac:dyDescent="0.2">
      <c r="A171" s="23" t="s">
        <v>69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4">
        <f t="shared" si="1361"/>
        <v>1467.8991180866965</v>
      </c>
      <c r="AC171" s="24">
        <f t="shared" si="1362"/>
        <v>1599.1049641255606</v>
      </c>
      <c r="AD171" s="24">
        <f t="shared" si="1363"/>
        <v>1743.4313947683108</v>
      </c>
      <c r="AE171" s="24">
        <f t="shared" si="1364"/>
        <v>1902.1904684753363</v>
      </c>
      <c r="AJ171" s="23">
        <f>+'QTR Raw'!D87</f>
        <v>1577.96</v>
      </c>
      <c r="AK171" s="23">
        <f t="shared" si="1365"/>
        <v>1577.96</v>
      </c>
      <c r="AL171" s="23">
        <f>+'QTR Raw'!F87</f>
        <v>0</v>
      </c>
      <c r="AM171" s="23">
        <f t="shared" si="1365"/>
        <v>0</v>
      </c>
      <c r="AN171" s="23">
        <f>+'QTR Raw'!H87</f>
        <v>0</v>
      </c>
      <c r="AO171" s="23">
        <f t="shared" si="1365"/>
        <v>0</v>
      </c>
      <c r="AP171" s="23">
        <f>+'QTR Raw'!J87</f>
        <v>0</v>
      </c>
      <c r="AQ171" s="23">
        <f t="shared" si="1365"/>
        <v>0</v>
      </c>
      <c r="AR171" s="23">
        <f>+'QTR Raw'!L87</f>
        <v>0</v>
      </c>
      <c r="AS171" s="23">
        <f t="shared" si="1365"/>
        <v>0</v>
      </c>
      <c r="AT171" s="23">
        <f>+'QTR Raw'!N87</f>
        <v>0</v>
      </c>
      <c r="AU171" s="23">
        <f t="shared" si="1365"/>
        <v>0</v>
      </c>
      <c r="AV171" s="23">
        <f>+'QTR Raw'!P87</f>
        <v>0</v>
      </c>
      <c r="AW171" s="23">
        <f t="shared" si="1365"/>
        <v>0</v>
      </c>
      <c r="AX171" s="23">
        <f>+'QTR Raw'!R87</f>
        <v>0</v>
      </c>
      <c r="AY171" s="23">
        <f t="shared" si="1365"/>
        <v>0</v>
      </c>
      <c r="AZ171" s="23">
        <f>+'QTR Raw'!T87</f>
        <v>0</v>
      </c>
      <c r="BA171" s="23">
        <f t="shared" si="1365"/>
        <v>0</v>
      </c>
      <c r="BB171" s="23">
        <f>+'QTR Raw'!V87</f>
        <v>0</v>
      </c>
      <c r="BC171" s="23">
        <f t="shared" si="1365"/>
        <v>0</v>
      </c>
      <c r="BD171" s="23">
        <f>+'QTR Raw'!X87</f>
        <v>0</v>
      </c>
      <c r="BE171" s="23">
        <f t="shared" si="1365"/>
        <v>0</v>
      </c>
      <c r="BF171" s="23">
        <f>+'QTR Raw'!Z87</f>
        <v>0</v>
      </c>
      <c r="BG171" s="23">
        <f t="shared" si="1365"/>
        <v>0</v>
      </c>
      <c r="BH171" s="23">
        <f>+'QTR Raw'!AB87</f>
        <v>0</v>
      </c>
      <c r="BI171" s="23">
        <f t="shared" si="1365"/>
        <v>0</v>
      </c>
      <c r="BJ171" s="23">
        <f>+'QTR Raw'!AD87</f>
        <v>0</v>
      </c>
      <c r="BK171" s="23">
        <f t="shared" si="1365"/>
        <v>0</v>
      </c>
      <c r="BL171" s="23">
        <f>+'QTR Raw'!AF87</f>
        <v>0</v>
      </c>
      <c r="BM171" s="23">
        <f t="shared" si="1365"/>
        <v>0</v>
      </c>
      <c r="BN171" s="23">
        <f>+'QTR Raw'!AH87</f>
        <v>0</v>
      </c>
      <c r="BO171" s="23">
        <f t="shared" si="1365"/>
        <v>0</v>
      </c>
      <c r="BP171" s="23">
        <f>+'QTR Raw'!AJ87</f>
        <v>0</v>
      </c>
      <c r="BQ171" s="23">
        <f t="shared" si="1365"/>
        <v>0</v>
      </c>
      <c r="BR171" s="23">
        <f>+'QTR Raw'!AL87</f>
        <v>0</v>
      </c>
      <c r="BS171" s="23">
        <f t="shared" si="1365"/>
        <v>0</v>
      </c>
      <c r="BT171" s="23">
        <f>+'QTR Raw'!AN87</f>
        <v>0</v>
      </c>
      <c r="BU171" s="23">
        <f t="shared" si="1365"/>
        <v>0</v>
      </c>
      <c r="BV171" s="23">
        <f>+'QTR Raw'!AP87</f>
        <v>0</v>
      </c>
      <c r="BW171" s="23">
        <f t="shared" si="1365"/>
        <v>0</v>
      </c>
      <c r="BX171" s="23">
        <f>+'QTR Raw'!AR87</f>
        <v>0</v>
      </c>
      <c r="BY171" s="23">
        <f t="shared" si="1365"/>
        <v>0</v>
      </c>
      <c r="BZ171" s="23">
        <f>+'QTR Raw'!AT87</f>
        <v>0</v>
      </c>
      <c r="CA171" s="23">
        <f t="shared" si="1365"/>
        <v>0</v>
      </c>
      <c r="CB171" s="23">
        <f>+'QTR Raw'!AV87</f>
        <v>0</v>
      </c>
      <c r="CC171" s="23">
        <f t="shared" si="1365"/>
        <v>0</v>
      </c>
      <c r="CD171" s="23">
        <f>+'QTR Raw'!AX87</f>
        <v>0</v>
      </c>
      <c r="CE171" s="23">
        <f t="shared" si="1365"/>
        <v>0</v>
      </c>
      <c r="CF171" s="23">
        <f>+'QTR Raw'!AZ87</f>
        <v>0</v>
      </c>
      <c r="CG171" s="23">
        <f t="shared" si="1366"/>
        <v>0</v>
      </c>
      <c r="CH171" s="23">
        <f t="shared" si="1319"/>
        <v>0</v>
      </c>
      <c r="CI171" s="23">
        <f>CI29/90*CI203</f>
        <v>1417.608056935079</v>
      </c>
      <c r="CJ171" s="23">
        <f>+'QTR Raw'!BD87</f>
        <v>0</v>
      </c>
      <c r="CK171" s="23">
        <f t="shared" ref="CK171:DB171" si="1367">CK29/90*CK203</f>
        <v>1589.1984231150791</v>
      </c>
      <c r="CL171" s="23">
        <f>+'QTR Raw'!BF87</f>
        <v>0</v>
      </c>
      <c r="CM171" s="24">
        <f t="shared" si="1367"/>
        <v>1207.730697558545</v>
      </c>
      <c r="CN171" s="24">
        <f t="shared" si="1367"/>
        <v>1121.7530418535125</v>
      </c>
      <c r="CO171" s="24">
        <f t="shared" si="1367"/>
        <v>1375.5934977578474</v>
      </c>
      <c r="CP171" s="24">
        <f t="shared" si="1367"/>
        <v>1467.8991180866965</v>
      </c>
      <c r="CQ171" s="24">
        <f t="shared" si="1367"/>
        <v>1338.0119237668162</v>
      </c>
      <c r="CR171" s="24">
        <f t="shared" si="1367"/>
        <v>1218.3442802690581</v>
      </c>
      <c r="CS171" s="24">
        <f t="shared" si="1367"/>
        <v>1497.5687817638268</v>
      </c>
      <c r="CT171" s="24">
        <f t="shared" si="1367"/>
        <v>1599.1049641255606</v>
      </c>
      <c r="CU171" s="24">
        <f t="shared" si="1367"/>
        <v>1456.2290503736924</v>
      </c>
      <c r="CV171" s="24">
        <f t="shared" si="1367"/>
        <v>1324.5946425261584</v>
      </c>
      <c r="CW171" s="24">
        <f t="shared" si="1367"/>
        <v>1631.7415941704041</v>
      </c>
      <c r="CX171" s="24">
        <f t="shared" si="1367"/>
        <v>1743.4313947683108</v>
      </c>
      <c r="CY171" s="24">
        <f t="shared" si="1367"/>
        <v>1586.2678896412556</v>
      </c>
      <c r="CZ171" s="24">
        <f t="shared" si="1367"/>
        <v>1441.4700410089686</v>
      </c>
      <c r="DA171" s="24">
        <f t="shared" si="1367"/>
        <v>1779.3316878176388</v>
      </c>
      <c r="DB171" s="24">
        <f t="shared" si="1367"/>
        <v>1902.1904684753363</v>
      </c>
      <c r="DE171" s="123"/>
      <c r="DF171" s="23">
        <v>0</v>
      </c>
    </row>
    <row r="172" spans="1:110" s="23" customFormat="1" outlineLevel="1" x14ac:dyDescent="0.2">
      <c r="A172" s="23" t="s">
        <v>70</v>
      </c>
      <c r="B172" s="23">
        <f>'Annual Raw'!C54</f>
        <v>0</v>
      </c>
      <c r="C172" s="23">
        <f>'Annual Raw'!D54</f>
        <v>0</v>
      </c>
      <c r="D172" s="23">
        <f>'Annual Raw'!E54</f>
        <v>0</v>
      </c>
      <c r="E172" s="23">
        <f>'Annual Raw'!F54</f>
        <v>0</v>
      </c>
      <c r="F172" s="23">
        <f>'Annual Raw'!G54</f>
        <v>0</v>
      </c>
      <c r="G172" s="23">
        <f>'Annual Raw'!H54</f>
        <v>0</v>
      </c>
      <c r="H172" s="23">
        <f>'Annual Raw'!I54</f>
        <v>0</v>
      </c>
      <c r="I172" s="23">
        <f>'Annual Raw'!J54</f>
        <v>0</v>
      </c>
      <c r="J172" s="23">
        <f>'Annual Raw'!K54</f>
        <v>0</v>
      </c>
      <c r="K172" s="23">
        <f>'Annual Raw'!L54</f>
        <v>677.64409999999998</v>
      </c>
      <c r="L172" s="23">
        <f>'Annual Raw'!M54</f>
        <v>413.11989999999997</v>
      </c>
      <c r="M172" s="23">
        <f>'Annual Raw'!N54</f>
        <v>743.93669999999997</v>
      </c>
      <c r="N172" s="23">
        <f>'Annual Raw'!O54</f>
        <v>793.08230000000003</v>
      </c>
      <c r="O172" s="23">
        <f>'Annual Raw'!P54</f>
        <v>679.702</v>
      </c>
      <c r="P172" s="23">
        <f>'Annual Raw'!Q54</f>
        <v>893.10929999999996</v>
      </c>
      <c r="Q172" s="23">
        <f>'Annual Raw'!R54</f>
        <v>499.5</v>
      </c>
      <c r="R172" s="23">
        <f>'Annual Raw'!S54</f>
        <v>411.40679999999998</v>
      </c>
      <c r="S172" s="23">
        <f>'Annual Raw'!T54</f>
        <v>567.94839999999999</v>
      </c>
      <c r="T172" s="23">
        <f>'Annual Raw'!U54</f>
        <v>1804.4974999999999</v>
      </c>
      <c r="U172" s="23">
        <f>'Annual Raw'!V54</f>
        <v>1403.2239999999999</v>
      </c>
      <c r="V172" s="23">
        <f>'Annual Raw'!W54</f>
        <v>1936.6831</v>
      </c>
      <c r="W172" s="23">
        <f>'Annual Raw'!X54</f>
        <v>1540.1202000000001</v>
      </c>
      <c r="X172" s="23">
        <f>'Annual Raw'!Y54</f>
        <v>3004.1507999999999</v>
      </c>
      <c r="Y172" s="23">
        <f>'Annual Raw'!Z54</f>
        <v>2953.1190000000001</v>
      </c>
      <c r="Z172" s="23">
        <f>'Annual Raw'!AA54</f>
        <v>2522.2165</v>
      </c>
      <c r="AA172" s="23">
        <f>'Annual Raw'!AB54</f>
        <v>2623.1197000000002</v>
      </c>
      <c r="AB172" s="24">
        <f t="shared" si="1361"/>
        <v>2991.6416871742354</v>
      </c>
      <c r="AC172" s="24">
        <f t="shared" si="1362"/>
        <v>3259.044857987808</v>
      </c>
      <c r="AD172" s="24">
        <f t="shared" si="1363"/>
        <v>3553.1883458827378</v>
      </c>
      <c r="AE172" s="24">
        <f t="shared" si="1364"/>
        <v>3876.7461825671612</v>
      </c>
      <c r="AJ172" s="23">
        <f>+'QTR Raw'!D89</f>
        <v>0</v>
      </c>
      <c r="AK172" s="23">
        <f>+AK202*AK29/90</f>
        <v>0</v>
      </c>
      <c r="AL172" s="23">
        <f>+'QTR Raw'!F89</f>
        <v>793.08</v>
      </c>
      <c r="AM172" s="23">
        <f>+AM202*AM29/90</f>
        <v>976.72155131776321</v>
      </c>
      <c r="AN172" s="23">
        <f>+'QTR Raw'!H89</f>
        <v>459.67</v>
      </c>
      <c r="AO172" s="23">
        <f>+AO202*AO29/90</f>
        <v>639.22467947518692</v>
      </c>
      <c r="AP172" s="23">
        <f>+'QTR Raw'!J89</f>
        <v>679.7</v>
      </c>
      <c r="AQ172" s="23">
        <f>+AQ202*AQ29/90</f>
        <v>572.77378591648448</v>
      </c>
      <c r="AR172" s="23">
        <f>+'QTR Raw'!L89</f>
        <v>294.95</v>
      </c>
      <c r="AS172" s="23">
        <f>+AS202*AS29/90</f>
        <v>329.43707174994972</v>
      </c>
      <c r="AT172" s="23">
        <f>+'QTR Raw'!N89</f>
        <v>893.1</v>
      </c>
      <c r="AU172" s="23">
        <f>+AU202*AU29/90</f>
        <v>830.45352171843047</v>
      </c>
      <c r="AV172" s="23">
        <f>+'QTR Raw'!P89</f>
        <v>286.25</v>
      </c>
      <c r="AW172" s="23">
        <f>+AW202*AW29/90</f>
        <v>219.95745431730845</v>
      </c>
      <c r="AX172" s="23">
        <f>+'QTR Raw'!R89</f>
        <v>499.5</v>
      </c>
      <c r="AY172" s="23">
        <f>+AY202*AY29/90</f>
        <v>343.79067972133316</v>
      </c>
      <c r="AZ172" s="23">
        <f>+'QTR Raw'!T89</f>
        <v>271.95999999999998</v>
      </c>
      <c r="BA172" s="23">
        <f>+BA202*BA29/90</f>
        <v>263.74782962270746</v>
      </c>
      <c r="BB172" s="23">
        <f>+'QTR Raw'!V89</f>
        <v>411.41</v>
      </c>
      <c r="BC172" s="23">
        <f>+BC202*BC29/90</f>
        <v>324.32805803055015</v>
      </c>
      <c r="BD172" s="23">
        <f>+'QTR Raw'!X89</f>
        <v>257.25</v>
      </c>
      <c r="BE172" s="23">
        <f>+BE202*BE29/90</f>
        <v>411.75304271149497</v>
      </c>
      <c r="BF172" s="23">
        <f>+'QTR Raw'!Z89</f>
        <v>566.28</v>
      </c>
      <c r="BG172" s="23">
        <f>+BG202*BG29/90</f>
        <v>636.38883772420729</v>
      </c>
      <c r="BH172" s="23">
        <f>+'QTR Raw'!AB89</f>
        <v>1391.25</v>
      </c>
      <c r="BI172" s="23">
        <f>+BI202*BI29/90</f>
        <v>1390.3100043241491</v>
      </c>
      <c r="BJ172" s="23">
        <f>+'QTR Raw'!AD89</f>
        <v>1803.76</v>
      </c>
      <c r="BK172" s="23">
        <f>+BK202*BK29/90</f>
        <v>1603.7794871973886</v>
      </c>
      <c r="BL172" s="23">
        <f>+'QTR Raw'!AF89</f>
        <v>1184.97</v>
      </c>
      <c r="BM172" s="23">
        <f>+BM202*BM29/90</f>
        <v>1320.3565089741533</v>
      </c>
      <c r="BN172" s="23">
        <f>+'QTR Raw'!AH89</f>
        <v>1401.4</v>
      </c>
      <c r="BO172" s="23">
        <f>+BO202*BO29/90</f>
        <v>792.61883958056137</v>
      </c>
      <c r="BP172" s="23">
        <f>+'QTR Raw'!AJ89</f>
        <v>951.17</v>
      </c>
      <c r="BQ172" s="23">
        <f>+BQ202*BQ29/90</f>
        <v>1147.6118112133156</v>
      </c>
      <c r="BR172" s="23">
        <f>+'QTR Raw'!AL89</f>
        <v>1936.69</v>
      </c>
      <c r="BS172" s="23">
        <f>+BS202*BS29/90</f>
        <v>1476.4263842382759</v>
      </c>
      <c r="BT172" s="23">
        <f>+'QTR Raw'!AN89</f>
        <v>1217.0999999999999</v>
      </c>
      <c r="BU172" s="23">
        <f>+BU202*BU29/90</f>
        <v>1421.0471946395412</v>
      </c>
      <c r="BV172" s="23">
        <f>+'QTR Raw'!AP89</f>
        <v>1540.12</v>
      </c>
      <c r="BW172" s="23">
        <f>+BW202*BW29/90</f>
        <v>1349.3963559787401</v>
      </c>
      <c r="BX172" s="23">
        <f>+'QTR Raw'!AR89</f>
        <v>2055.3000000000002</v>
      </c>
      <c r="BY172" s="23">
        <f>+BY202*BY29/90</f>
        <v>2621.7408711178819</v>
      </c>
      <c r="BZ172" s="23">
        <f>+'QTR Raw'!AT89</f>
        <v>3004.15</v>
      </c>
      <c r="CA172" s="23">
        <f>+CA202*CA29/90</f>
        <v>2553.7264027802139</v>
      </c>
      <c r="CB172" s="23">
        <f>+'QTR Raw'!AV89</f>
        <v>2591.69</v>
      </c>
      <c r="CC172" s="23">
        <f>+CC202*CC29/90</f>
        <v>2681.7127543530996</v>
      </c>
      <c r="CD172" s="23">
        <f>+'QTR Raw'!AX89</f>
        <v>2953.12</v>
      </c>
      <c r="CE172" s="23">
        <f>+CE202*CE29/90</f>
        <v>2688.5282516276015</v>
      </c>
      <c r="CF172" s="23">
        <f>+'QTR Raw'!AZ89</f>
        <v>2529</v>
      </c>
      <c r="CG172" s="23">
        <f>+CG202*CG29/90</f>
        <v>2392.5536798805438</v>
      </c>
      <c r="CH172" s="23">
        <f t="shared" si="1319"/>
        <v>2522.2165</v>
      </c>
      <c r="CI172" s="23">
        <f>+CI202*CI29/90</f>
        <v>2041.4670684997193</v>
      </c>
      <c r="CJ172" s="23">
        <f>+'QTR Raw'!BD89</f>
        <v>2125.19</v>
      </c>
      <c r="CK172" s="23">
        <f t="shared" ref="CK172:DB172" si="1368">+CK202*CK29/90</f>
        <v>2481.5016765636806</v>
      </c>
      <c r="CL172" s="23">
        <f>+'QTR Raw'!BF89</f>
        <v>2623.12</v>
      </c>
      <c r="CM172" s="24">
        <f t="shared" si="1368"/>
        <v>2461.4072296777313</v>
      </c>
      <c r="CN172" s="24">
        <f t="shared" si="1368"/>
        <v>2286.1810606560148</v>
      </c>
      <c r="CO172" s="24">
        <f t="shared" si="1368"/>
        <v>2803.5188534360427</v>
      </c>
      <c r="CP172" s="24">
        <f t="shared" si="1368"/>
        <v>2991.6416871742354</v>
      </c>
      <c r="CQ172" s="24">
        <f t="shared" si="1368"/>
        <v>2726.9259854140646</v>
      </c>
      <c r="CR172" s="24">
        <f t="shared" si="1368"/>
        <v>2483.0381688177658</v>
      </c>
      <c r="CS172" s="24">
        <f t="shared" si="1368"/>
        <v>3052.1097408757964</v>
      </c>
      <c r="CT172" s="24">
        <f t="shared" si="1368"/>
        <v>3259.044857987808</v>
      </c>
      <c r="CU172" s="24">
        <f t="shared" si="1368"/>
        <v>2967.8575860516212</v>
      </c>
      <c r="CV172" s="24">
        <f t="shared" si="1368"/>
        <v>2699.5809877956917</v>
      </c>
      <c r="CW172" s="24">
        <f t="shared" si="1368"/>
        <v>3325.5597170595265</v>
      </c>
      <c r="CX172" s="24">
        <f t="shared" si="1368"/>
        <v>3553.1883458827378</v>
      </c>
      <c r="CY172" s="24">
        <f t="shared" si="1368"/>
        <v>3232.8823467529319</v>
      </c>
      <c r="CZ172" s="24">
        <f t="shared" si="1368"/>
        <v>2937.7780886714108</v>
      </c>
      <c r="DA172" s="24">
        <f t="shared" si="1368"/>
        <v>3626.354690861629</v>
      </c>
      <c r="DB172" s="24">
        <f t="shared" si="1368"/>
        <v>3876.7461825671612</v>
      </c>
      <c r="DE172" s="123"/>
      <c r="DF172" s="23">
        <v>2623.1197000000002</v>
      </c>
    </row>
    <row r="173" spans="1:110" s="23" customFormat="1" outlineLevel="1" x14ac:dyDescent="0.2">
      <c r="A173" s="23" t="s">
        <v>71</v>
      </c>
      <c r="B173" s="23">
        <f>'Annual Raw'!C55-Template!B145</f>
        <v>0</v>
      </c>
      <c r="C173" s="23">
        <f>'Annual Raw'!D55-Template!C145</f>
        <v>0</v>
      </c>
      <c r="D173" s="23">
        <f>'Annual Raw'!E55-Template!D145</f>
        <v>0</v>
      </c>
      <c r="E173" s="23">
        <f>'Annual Raw'!F55-Template!E145</f>
        <v>0</v>
      </c>
      <c r="F173" s="23">
        <f>'Annual Raw'!G55-Template!F145</f>
        <v>0</v>
      </c>
      <c r="G173" s="23">
        <f>'Annual Raw'!H55-Template!G145</f>
        <v>0</v>
      </c>
      <c r="H173" s="23">
        <f>'Annual Raw'!I55-Template!H145</f>
        <v>0</v>
      </c>
      <c r="I173" s="23">
        <f>'Annual Raw'!J55-Template!I145</f>
        <v>0</v>
      </c>
      <c r="J173" s="23">
        <f>'Annual Raw'!K55-Template!J145</f>
        <v>0</v>
      </c>
      <c r="K173" s="23">
        <f>'Annual Raw'!L55-Template!K145</f>
        <v>240.745</v>
      </c>
      <c r="L173" s="23">
        <f>'Annual Raw'!M55-Template!L145</f>
        <v>615.99850000000004</v>
      </c>
      <c r="M173" s="23">
        <f>'Annual Raw'!N55-Template!M145</f>
        <v>1030.7173</v>
      </c>
      <c r="N173" s="23">
        <f>'Annual Raw'!O55-Template!N145</f>
        <v>654.17920000000004</v>
      </c>
      <c r="O173" s="23">
        <f>'Annual Raw'!P55-Template!O145</f>
        <v>643.61760000000004</v>
      </c>
      <c r="P173" s="23">
        <f>'Annual Raw'!Q55-Template!P145</f>
        <v>1002.6827000000001</v>
      </c>
      <c r="Q173" s="23">
        <f>'Annual Raw'!R55-Template!Q145</f>
        <v>587.75220000000013</v>
      </c>
      <c r="R173" s="23">
        <f>'Annual Raw'!S55-Template!R145</f>
        <v>480.33489999999995</v>
      </c>
      <c r="S173" s="23">
        <f>'Annual Raw'!T55-Template!S145</f>
        <v>571.01089999999999</v>
      </c>
      <c r="T173" s="23">
        <f>'Annual Raw'!U55-Template!T145</f>
        <v>838.30460000000016</v>
      </c>
      <c r="U173" s="23">
        <f>'Annual Raw'!V55-Template!U145</f>
        <v>1368.5624</v>
      </c>
      <c r="V173" s="23">
        <f>'Annual Raw'!W55-Template!V145</f>
        <v>1584.0450999999998</v>
      </c>
      <c r="W173" s="23">
        <f>'Annual Raw'!X55-Template!W145</f>
        <v>1522.394</v>
      </c>
      <c r="X173" s="23">
        <f>'Annual Raw'!Y55-Template!X145</f>
        <v>1876.1307999999999</v>
      </c>
      <c r="Y173" s="23">
        <f>'Annual Raw'!Z55-Template!Y145</f>
        <v>1728.6647000000003</v>
      </c>
      <c r="Z173" s="23">
        <f>'Annual Raw'!AA55-Template!Z145</f>
        <v>1216.3067000000001</v>
      </c>
      <c r="AA173" s="23">
        <f>'Annual Raw'!AB55-Template!AA145</f>
        <v>845.16250000000002</v>
      </c>
      <c r="AB173" s="24">
        <f t="shared" si="1361"/>
        <v>0</v>
      </c>
      <c r="AC173" s="24">
        <f t="shared" si="1362"/>
        <v>0</v>
      </c>
      <c r="AD173" s="24">
        <f t="shared" si="1363"/>
        <v>0</v>
      </c>
      <c r="AE173" s="24">
        <f t="shared" si="1364"/>
        <v>0</v>
      </c>
      <c r="AJ173" s="23">
        <f>+'QTR Raw'!D91</f>
        <v>0</v>
      </c>
      <c r="AK173" s="23">
        <f t="shared" si="1365"/>
        <v>0</v>
      </c>
      <c r="AL173" s="23">
        <f>+'QTR Raw'!F91</f>
        <v>867.3</v>
      </c>
      <c r="AM173" s="23">
        <f t="shared" si="1365"/>
        <v>867.3</v>
      </c>
      <c r="AN173" s="23">
        <f>+'QTR Raw'!H91</f>
        <v>674.85</v>
      </c>
      <c r="AO173" s="23">
        <f t="shared" si="1365"/>
        <v>674.85</v>
      </c>
      <c r="AP173" s="23">
        <f>+'QTR Raw'!J91</f>
        <v>857.69</v>
      </c>
      <c r="AQ173" s="23">
        <f t="shared" si="1365"/>
        <v>857.69</v>
      </c>
      <c r="AR173" s="23">
        <f>+'QTR Raw'!L91</f>
        <v>1011.3</v>
      </c>
      <c r="AS173" s="23">
        <f t="shared" si="1365"/>
        <v>1011.3</v>
      </c>
      <c r="AT173" s="23">
        <f>+'QTR Raw'!N91</f>
        <v>1495.21</v>
      </c>
      <c r="AU173" s="23">
        <f t="shared" si="1365"/>
        <v>1495.21</v>
      </c>
      <c r="AV173" s="23">
        <f>+'QTR Raw'!P91</f>
        <v>904.57</v>
      </c>
      <c r="AW173" s="23">
        <f t="shared" si="1365"/>
        <v>904.57</v>
      </c>
      <c r="AX173" s="23">
        <f>+'QTR Raw'!R91</f>
        <v>1295.6199999999999</v>
      </c>
      <c r="AY173" s="23">
        <f t="shared" si="1365"/>
        <v>1295.6199999999999</v>
      </c>
      <c r="AZ173" s="23">
        <f>+'QTR Raw'!T91</f>
        <v>994.27</v>
      </c>
      <c r="BA173" s="23">
        <f t="shared" si="1365"/>
        <v>994.27</v>
      </c>
      <c r="BB173" s="23">
        <f>+'QTR Raw'!V91</f>
        <v>1203.05</v>
      </c>
      <c r="BC173" s="23">
        <f t="shared" si="1365"/>
        <v>1203.05</v>
      </c>
      <c r="BD173" s="23">
        <f>+'QTR Raw'!X91</f>
        <v>608.75</v>
      </c>
      <c r="BE173" s="23">
        <f t="shared" si="1365"/>
        <v>608.75</v>
      </c>
      <c r="BF173" s="23">
        <f>+'QTR Raw'!Z91</f>
        <v>912.77</v>
      </c>
      <c r="BG173" s="23">
        <f t="shared" si="1365"/>
        <v>912.77</v>
      </c>
      <c r="BH173" s="23">
        <f>+'QTR Raw'!AB91</f>
        <v>722.78</v>
      </c>
      <c r="BI173" s="23">
        <f t="shared" si="1365"/>
        <v>722.78</v>
      </c>
      <c r="BJ173" s="23">
        <f>+'QTR Raw'!AD91</f>
        <v>1253.18</v>
      </c>
      <c r="BK173" s="23">
        <f t="shared" si="1365"/>
        <v>1253.18</v>
      </c>
      <c r="BL173" s="23">
        <f>+'QTR Raw'!AF91</f>
        <v>1261.47</v>
      </c>
      <c r="BM173" s="23">
        <f t="shared" si="1365"/>
        <v>1261.47</v>
      </c>
      <c r="BN173" s="23">
        <f>+'QTR Raw'!AH91</f>
        <v>1866.4</v>
      </c>
      <c r="BO173" s="23">
        <f t="shared" si="1365"/>
        <v>1866.4</v>
      </c>
      <c r="BP173" s="23">
        <f>+'QTR Raw'!AJ91</f>
        <v>2063.39</v>
      </c>
      <c r="BQ173" s="23">
        <f t="shared" si="1365"/>
        <v>2063.39</v>
      </c>
      <c r="BR173" s="23">
        <f>+'QTR Raw'!AL91</f>
        <v>1607.38</v>
      </c>
      <c r="BS173" s="23">
        <f t="shared" si="1365"/>
        <v>1607.38</v>
      </c>
      <c r="BT173" s="23">
        <f>+'QTR Raw'!AN91</f>
        <v>1516.46</v>
      </c>
      <c r="BU173" s="23">
        <f t="shared" si="1365"/>
        <v>1516.46</v>
      </c>
      <c r="BV173" s="23">
        <f>+'QTR Raw'!AP91</f>
        <v>1548.68</v>
      </c>
      <c r="BW173" s="23">
        <f t="shared" si="1365"/>
        <v>1548.68</v>
      </c>
      <c r="BX173" s="23">
        <f>+'QTR Raw'!AR91</f>
        <v>1749.52</v>
      </c>
      <c r="BY173" s="23">
        <f t="shared" si="1365"/>
        <v>1749.52</v>
      </c>
      <c r="BZ173" s="23">
        <f>+'QTR Raw'!AT91</f>
        <v>1906.46</v>
      </c>
      <c r="CA173" s="23">
        <f t="shared" si="1365"/>
        <v>1906.46</v>
      </c>
      <c r="CB173" s="23">
        <f>+'QTR Raw'!AV91</f>
        <v>2193.54</v>
      </c>
      <c r="CC173" s="23">
        <f t="shared" si="1365"/>
        <v>2193.54</v>
      </c>
      <c r="CD173" s="23">
        <f>+'QTR Raw'!AX91</f>
        <v>1782.51</v>
      </c>
      <c r="CE173" s="23">
        <f t="shared" si="1365"/>
        <v>1782.51</v>
      </c>
      <c r="CF173" s="23">
        <f>+'QTR Raw'!AZ91</f>
        <v>1805.3</v>
      </c>
      <c r="CG173" s="23">
        <f t="shared" ref="CG173:CG174" si="1369">+CF173</f>
        <v>1805.3</v>
      </c>
      <c r="CH173" s="23">
        <f t="shared" si="1319"/>
        <v>1216.3067000000001</v>
      </c>
      <c r="CJ173" s="23">
        <f>+'QTR Raw'!BD91</f>
        <v>891.99</v>
      </c>
      <c r="CL173" s="23">
        <f>+'QTR Raw'!BF91</f>
        <v>893.9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845.16250000000002</v>
      </c>
    </row>
    <row r="174" spans="1:110" s="23" customFormat="1" outlineLevel="1" x14ac:dyDescent="0.2">
      <c r="A174" s="23" t="s">
        <v>72</v>
      </c>
      <c r="B174" s="23">
        <f>'Annual Raw'!C57</f>
        <v>0</v>
      </c>
      <c r="C174" s="23">
        <f>'Annual Raw'!D57</f>
        <v>0</v>
      </c>
      <c r="D174" s="23">
        <f>'Annual Raw'!E57</f>
        <v>0</v>
      </c>
      <c r="E174" s="23">
        <f>'Annual Raw'!F57</f>
        <v>0</v>
      </c>
      <c r="F174" s="23">
        <f>'Annual Raw'!G57</f>
        <v>0</v>
      </c>
      <c r="G174" s="23">
        <f>'Annual Raw'!H57</f>
        <v>0</v>
      </c>
      <c r="H174" s="23">
        <f>'Annual Raw'!I57</f>
        <v>0</v>
      </c>
      <c r="I174" s="23">
        <f>'Annual Raw'!J57</f>
        <v>0</v>
      </c>
      <c r="J174" s="23">
        <f>'Annual Raw'!K57</f>
        <v>0</v>
      </c>
      <c r="K174" s="23">
        <f>'Annual Raw'!L57</f>
        <v>92.027199999999993</v>
      </c>
      <c r="L174" s="23">
        <f>'Annual Raw'!M57</f>
        <v>38.0563</v>
      </c>
      <c r="M174" s="23">
        <f>'Annual Raw'!N57</f>
        <v>39.653599999999997</v>
      </c>
      <c r="N174" s="23">
        <f>'Annual Raw'!O57</f>
        <v>39.651400000000002</v>
      </c>
      <c r="O174" s="23">
        <f>'Annual Raw'!P57</f>
        <v>36.890799999999999</v>
      </c>
      <c r="P174" s="23">
        <f>'Annual Raw'!Q57</f>
        <v>6.3493000000000004</v>
      </c>
      <c r="Q174" s="23">
        <f>'Annual Raw'!R57</f>
        <v>24.0015</v>
      </c>
      <c r="R174" s="23">
        <f>'Annual Raw'!S57</f>
        <v>12.6448</v>
      </c>
      <c r="S174" s="23">
        <f>'Annual Raw'!T57</f>
        <v>44.1569</v>
      </c>
      <c r="T174" s="23">
        <f>'Annual Raw'!U57</f>
        <v>59.357199999999999</v>
      </c>
      <c r="U174" s="23">
        <f>'Annual Raw'!V57</f>
        <v>34.1815</v>
      </c>
      <c r="V174" s="23">
        <f>'Annual Raw'!W57</f>
        <v>118.6859</v>
      </c>
      <c r="W174" s="23">
        <f>'Annual Raw'!X57</f>
        <v>121.74769999999999</v>
      </c>
      <c r="X174" s="23">
        <f>'Annual Raw'!Y57</f>
        <v>126.3531</v>
      </c>
      <c r="Y174" s="23">
        <f>'Annual Raw'!Z57</f>
        <v>164.92580000000001</v>
      </c>
      <c r="Z174" s="23">
        <f>'Annual Raw'!AA57</f>
        <v>182.27160000000001</v>
      </c>
      <c r="AA174" s="23">
        <f>'Annual Raw'!AB57</f>
        <v>169.75239999999999</v>
      </c>
      <c r="AB174" s="24">
        <f t="shared" si="1361"/>
        <v>0</v>
      </c>
      <c r="AC174" s="24">
        <f t="shared" si="1362"/>
        <v>0</v>
      </c>
      <c r="AD174" s="24">
        <f t="shared" si="1363"/>
        <v>0</v>
      </c>
      <c r="AE174" s="24">
        <f t="shared" si="1364"/>
        <v>0</v>
      </c>
      <c r="AJ174" s="23">
        <f>+'QTR Raw'!D92</f>
        <v>38.630000000000003</v>
      </c>
      <c r="AK174" s="23">
        <f t="shared" si="1365"/>
        <v>38.630000000000003</v>
      </c>
      <c r="AL174" s="23">
        <f>+'QTR Raw'!F92</f>
        <v>39.659999999999997</v>
      </c>
      <c r="AM174" s="23">
        <f t="shared" si="1365"/>
        <v>39.659999999999997</v>
      </c>
      <c r="AN174" s="23">
        <f>+'QTR Raw'!H92</f>
        <v>41.45</v>
      </c>
      <c r="AO174" s="23">
        <f t="shared" si="1365"/>
        <v>41.45</v>
      </c>
      <c r="AP174" s="23">
        <f>+'QTR Raw'!J92</f>
        <v>36.89</v>
      </c>
      <c r="AQ174" s="23">
        <f t="shared" si="1365"/>
        <v>36.89</v>
      </c>
      <c r="AR174" s="23">
        <f>+'QTR Raw'!L92</f>
        <v>3.42</v>
      </c>
      <c r="AS174" s="23">
        <f t="shared" si="1365"/>
        <v>3.42</v>
      </c>
      <c r="AT174" s="23">
        <f>+'QTR Raw'!N92</f>
        <v>6.35</v>
      </c>
      <c r="AU174" s="23">
        <f t="shared" si="1365"/>
        <v>6.35</v>
      </c>
      <c r="AV174" s="23">
        <f>+'QTR Raw'!P92</f>
        <v>16.79</v>
      </c>
      <c r="AW174" s="23">
        <f t="shared" si="1365"/>
        <v>16.79</v>
      </c>
      <c r="AX174" s="23">
        <f>+'QTR Raw'!R92</f>
        <v>10.4</v>
      </c>
      <c r="AY174" s="23">
        <f t="shared" si="1365"/>
        <v>10.4</v>
      </c>
      <c r="AZ174" s="23">
        <f>+'QTR Raw'!T92</f>
        <v>8.14</v>
      </c>
      <c r="BA174" s="23">
        <f t="shared" si="1365"/>
        <v>8.14</v>
      </c>
      <c r="BB174" s="23">
        <f>+'QTR Raw'!V92</f>
        <v>11.61</v>
      </c>
      <c r="BC174" s="23">
        <f t="shared" si="1365"/>
        <v>11.61</v>
      </c>
      <c r="BD174" s="23">
        <f>+'QTR Raw'!X92</f>
        <v>8.67</v>
      </c>
      <c r="BE174" s="23">
        <f t="shared" si="1365"/>
        <v>8.67</v>
      </c>
      <c r="BF174" s="23">
        <f>+'QTR Raw'!Z92</f>
        <v>14.76</v>
      </c>
      <c r="BG174" s="23">
        <f t="shared" si="1365"/>
        <v>14.76</v>
      </c>
      <c r="BH174" s="23">
        <f>+'QTR Raw'!AB92</f>
        <v>11.11</v>
      </c>
      <c r="BI174" s="23">
        <f t="shared" si="1365"/>
        <v>11.11</v>
      </c>
      <c r="BJ174" s="23">
        <f>+'QTR Raw'!AD92</f>
        <v>18.2</v>
      </c>
      <c r="BK174" s="23">
        <f t="shared" si="1365"/>
        <v>18.2</v>
      </c>
      <c r="BL174" s="23">
        <f>+'QTR Raw'!AF92</f>
        <v>25.87</v>
      </c>
      <c r="BM174" s="23">
        <f t="shared" si="1365"/>
        <v>25.87</v>
      </c>
      <c r="BN174" s="23">
        <f>+'QTR Raw'!AH92</f>
        <v>22.87</v>
      </c>
      <c r="BO174" s="23">
        <f t="shared" si="1365"/>
        <v>22.87</v>
      </c>
      <c r="BP174" s="23">
        <f>+'QTR Raw'!AJ92</f>
        <v>36.619999999999997</v>
      </c>
      <c r="BQ174" s="23">
        <f t="shared" si="1365"/>
        <v>36.619999999999997</v>
      </c>
      <c r="BR174" s="23">
        <f>+'QTR Raw'!AL92</f>
        <v>95.34</v>
      </c>
      <c r="BS174" s="23">
        <f t="shared" si="1365"/>
        <v>95.34</v>
      </c>
      <c r="BT174" s="23">
        <f>+'QTR Raw'!AN92</f>
        <v>28.38</v>
      </c>
      <c r="BU174" s="23">
        <f t="shared" si="1365"/>
        <v>28.38</v>
      </c>
      <c r="BV174" s="23">
        <f>+'QTR Raw'!AP92</f>
        <v>95.46</v>
      </c>
      <c r="BW174" s="23">
        <f t="shared" si="1365"/>
        <v>95.46</v>
      </c>
      <c r="BX174" s="23">
        <f>+'QTR Raw'!AR92</f>
        <v>97.46</v>
      </c>
      <c r="BY174" s="23">
        <f t="shared" si="1365"/>
        <v>97.46</v>
      </c>
      <c r="BZ174" s="23">
        <f>+'QTR Raw'!AT92</f>
        <v>96.02</v>
      </c>
      <c r="CA174" s="23">
        <f t="shared" si="1365"/>
        <v>96.02</v>
      </c>
      <c r="CB174" s="23">
        <f>+'QTR Raw'!AV92</f>
        <v>91.23</v>
      </c>
      <c r="CC174" s="23">
        <f t="shared" si="1365"/>
        <v>91.23</v>
      </c>
      <c r="CD174" s="23">
        <f>+'QTR Raw'!AX92</f>
        <v>111.09</v>
      </c>
      <c r="CE174" s="23">
        <f t="shared" si="1365"/>
        <v>111.09</v>
      </c>
      <c r="CF174" s="23">
        <f>+'QTR Raw'!AZ92</f>
        <v>107.69</v>
      </c>
      <c r="CG174" s="23">
        <f t="shared" si="1369"/>
        <v>107.69</v>
      </c>
      <c r="CH174" s="23">
        <f t="shared" si="1319"/>
        <v>182.27160000000001</v>
      </c>
      <c r="CJ174" s="23">
        <f>+'QTR Raw'!BD92</f>
        <v>117.58</v>
      </c>
      <c r="CL174" s="23">
        <f>+'QTR Raw'!BF92</f>
        <v>121.02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169.75239999999999</v>
      </c>
    </row>
    <row r="175" spans="1:110" s="22" customFormat="1" x14ac:dyDescent="0.2">
      <c r="A175" s="22" t="s">
        <v>73</v>
      </c>
      <c r="B175" s="22">
        <f>SUM(B168:B174)</f>
        <v>0</v>
      </c>
      <c r="C175" s="22">
        <f t="shared" ref="C175:V175" si="1370">SUM(C168:C174)</f>
        <v>0</v>
      </c>
      <c r="D175" s="22">
        <f t="shared" si="1370"/>
        <v>0</v>
      </c>
      <c r="E175" s="22">
        <f t="shared" si="1370"/>
        <v>0</v>
      </c>
      <c r="F175" s="22">
        <f t="shared" si="1370"/>
        <v>0</v>
      </c>
      <c r="G175" s="22">
        <f t="shared" si="1370"/>
        <v>0</v>
      </c>
      <c r="H175" s="22">
        <f t="shared" si="1370"/>
        <v>0</v>
      </c>
      <c r="I175" s="22">
        <f t="shared" si="1370"/>
        <v>0</v>
      </c>
      <c r="J175" s="22">
        <f t="shared" si="1370"/>
        <v>0</v>
      </c>
      <c r="K175" s="22">
        <f t="shared" si="1370"/>
        <v>1010.4163</v>
      </c>
      <c r="L175" s="22">
        <f t="shared" si="1370"/>
        <v>1112.0804000000001</v>
      </c>
      <c r="M175" s="22">
        <f t="shared" si="1370"/>
        <v>1966.6274000000001</v>
      </c>
      <c r="N175" s="22">
        <f t="shared" si="1370"/>
        <v>1623.356</v>
      </c>
      <c r="O175" s="22">
        <f t="shared" si="1370"/>
        <v>1584.8353999999999</v>
      </c>
      <c r="P175" s="22">
        <f t="shared" si="1370"/>
        <v>2232.4750999999997</v>
      </c>
      <c r="Q175" s="22">
        <f t="shared" si="1370"/>
        <v>1529.4459000000002</v>
      </c>
      <c r="R175" s="22">
        <f t="shared" si="1370"/>
        <v>1183.4985999999999</v>
      </c>
      <c r="S175" s="22">
        <f t="shared" si="1370"/>
        <v>1480.1932999999999</v>
      </c>
      <c r="T175" s="22">
        <f t="shared" si="1370"/>
        <v>2972.2253999999998</v>
      </c>
      <c r="U175" s="22">
        <f t="shared" si="1370"/>
        <v>3343.56</v>
      </c>
      <c r="V175" s="22">
        <f t="shared" si="1370"/>
        <v>4069.8270999999995</v>
      </c>
      <c r="W175" s="22">
        <f t="shared" ref="W175" si="1371">SUM(W168:W174)</f>
        <v>3584.6513</v>
      </c>
      <c r="X175" s="22">
        <f t="shared" ref="X175:Y175" si="1372">SUM(X168:X174)</f>
        <v>5494.0946000000004</v>
      </c>
      <c r="Y175" s="22">
        <f t="shared" si="1372"/>
        <v>5172.7215999999999</v>
      </c>
      <c r="Z175" s="22">
        <f t="shared" ref="Z175:AA175" si="1373">SUM(Z168:Z174)</f>
        <v>4273.6601000000001</v>
      </c>
      <c r="AA175" s="22">
        <f t="shared" si="1373"/>
        <v>4424.4440000000004</v>
      </c>
      <c r="AB175" s="21">
        <f t="shared" ref="AB175:AD175" si="1374">SUM(AB168:AB174)</f>
        <v>4459.5408052609318</v>
      </c>
      <c r="AC175" s="21">
        <f t="shared" si="1374"/>
        <v>4858.1498221133688</v>
      </c>
      <c r="AD175" s="21">
        <f t="shared" si="1374"/>
        <v>5296.6197406510491</v>
      </c>
      <c r="AE175" s="21">
        <f t="shared" ref="AE175" si="1375">SUM(AE168:AE174)</f>
        <v>5778.936651042497</v>
      </c>
      <c r="AJ175" s="22">
        <f t="shared" ref="AJ175" si="1376">SUM(AJ168:AJ174)</f>
        <v>1645.5500000000002</v>
      </c>
      <c r="AK175" s="22">
        <f t="shared" ref="AK175" si="1377">SUM(AK168:AK174)</f>
        <v>1645.5500000000002</v>
      </c>
      <c r="AL175" s="22">
        <f t="shared" ref="AL175:AM175" si="1378">SUM(AL168:AL174)</f>
        <v>1836.48</v>
      </c>
      <c r="AM175" s="22">
        <f t="shared" si="1378"/>
        <v>2020.1215513177633</v>
      </c>
      <c r="AN175" s="22">
        <f t="shared" ref="AN175:AO175" si="1379">SUM(AN168:AN174)</f>
        <v>1205.8400000000001</v>
      </c>
      <c r="AO175" s="22">
        <f t="shared" si="1379"/>
        <v>1385.3946794751871</v>
      </c>
      <c r="AP175" s="22">
        <f t="shared" ref="AP175:CE175" si="1380">SUM(AP168:AP174)</f>
        <v>1798.9000000000003</v>
      </c>
      <c r="AQ175" s="22">
        <f t="shared" si="1380"/>
        <v>1691.9737859164845</v>
      </c>
      <c r="AR175" s="22">
        <f t="shared" si="1380"/>
        <v>1370.56</v>
      </c>
      <c r="AS175" s="22">
        <f t="shared" si="1380"/>
        <v>1405.0470717499497</v>
      </c>
      <c r="AT175" s="22">
        <f t="shared" si="1380"/>
        <v>2724.9900000000002</v>
      </c>
      <c r="AU175" s="22">
        <f t="shared" si="1380"/>
        <v>2662.3435217184301</v>
      </c>
      <c r="AV175" s="22">
        <f t="shared" si="1380"/>
        <v>1287.24</v>
      </c>
      <c r="AW175" s="22">
        <f t="shared" si="1380"/>
        <v>1220.9474543173085</v>
      </c>
      <c r="AX175" s="22">
        <f t="shared" si="1380"/>
        <v>2097.11</v>
      </c>
      <c r="AY175" s="22">
        <f t="shared" si="1380"/>
        <v>1941.4006797213331</v>
      </c>
      <c r="AZ175" s="22">
        <f t="shared" si="1380"/>
        <v>1461.71</v>
      </c>
      <c r="BA175" s="22">
        <f t="shared" si="1380"/>
        <v>1453.4978296227075</v>
      </c>
      <c r="BB175" s="22">
        <f t="shared" si="1380"/>
        <v>1905.1799999999998</v>
      </c>
      <c r="BC175" s="22">
        <f t="shared" si="1380"/>
        <v>1818.09805803055</v>
      </c>
      <c r="BD175" s="22">
        <f t="shared" si="1380"/>
        <v>1095.18</v>
      </c>
      <c r="BE175" s="22">
        <f t="shared" si="1380"/>
        <v>1249.6830427114951</v>
      </c>
      <c r="BF175" s="22">
        <f t="shared" si="1380"/>
        <v>1790.91</v>
      </c>
      <c r="BG175" s="22">
        <f t="shared" si="1380"/>
        <v>1861.0188377242073</v>
      </c>
      <c r="BH175" s="22">
        <f t="shared" ref="BH175" si="1381">SUM(BH168:BH174)</f>
        <v>2340.5800000000004</v>
      </c>
      <c r="BI175" s="22">
        <f t="shared" si="1380"/>
        <v>2339.6400043241492</v>
      </c>
      <c r="BJ175" s="22">
        <f t="shared" si="1380"/>
        <v>3370.5699999999997</v>
      </c>
      <c r="BK175" s="22">
        <f t="shared" si="1380"/>
        <v>3170.5894871973887</v>
      </c>
      <c r="BL175" s="22">
        <f t="shared" si="1380"/>
        <v>2924.4300000000003</v>
      </c>
      <c r="BM175" s="22">
        <f t="shared" si="1380"/>
        <v>3059.8165089741533</v>
      </c>
      <c r="BN175" s="22">
        <f t="shared" si="1380"/>
        <v>3828.26</v>
      </c>
      <c r="BO175" s="22">
        <f t="shared" si="1380"/>
        <v>3219.4788395805613</v>
      </c>
      <c r="BP175" s="22">
        <f t="shared" si="1380"/>
        <v>3602.97</v>
      </c>
      <c r="BQ175" s="22">
        <f t="shared" si="1380"/>
        <v>3799.4118112133156</v>
      </c>
      <c r="BR175" s="22">
        <f t="shared" si="1380"/>
        <v>4069.8300000000004</v>
      </c>
      <c r="BS175" s="22">
        <f t="shared" si="1380"/>
        <v>3609.5663842382764</v>
      </c>
      <c r="BT175" s="22">
        <f t="shared" si="1380"/>
        <v>3243.9700000000003</v>
      </c>
      <c r="BU175" s="22">
        <f t="shared" si="1380"/>
        <v>3447.9171946395413</v>
      </c>
      <c r="BV175" s="22">
        <f t="shared" si="1380"/>
        <v>3584.6499999999996</v>
      </c>
      <c r="BW175" s="22">
        <f t="shared" si="1380"/>
        <v>3393.9263559787405</v>
      </c>
      <c r="BX175" s="22">
        <f t="shared" si="1380"/>
        <v>4280.47</v>
      </c>
      <c r="BY175" s="22">
        <f t="shared" si="1380"/>
        <v>4846.9108711178824</v>
      </c>
      <c r="BZ175" s="22">
        <f t="shared" si="1380"/>
        <v>5494.09</v>
      </c>
      <c r="CA175" s="22">
        <f t="shared" si="1380"/>
        <v>5043.6664027802144</v>
      </c>
      <c r="CB175" s="22">
        <f t="shared" si="1380"/>
        <v>5235.1499999999996</v>
      </c>
      <c r="CC175" s="22">
        <f t="shared" si="1380"/>
        <v>5325.1727543530997</v>
      </c>
      <c r="CD175" s="22">
        <f t="shared" si="1380"/>
        <v>5172.7300000000005</v>
      </c>
      <c r="CE175" s="22">
        <f t="shared" si="1380"/>
        <v>4908.1382516276017</v>
      </c>
      <c r="CF175" s="22">
        <f t="shared" ref="CF175:CG175" si="1382">SUM(CF168:CF174)</f>
        <v>4790.3399999999992</v>
      </c>
      <c r="CG175" s="22">
        <f t="shared" si="1382"/>
        <v>4653.8936798805435</v>
      </c>
      <c r="CH175" s="22">
        <f t="shared" ref="CH175:CI175" si="1383">SUM(CH168:CH174)</f>
        <v>4273.6601000000001</v>
      </c>
      <c r="CI175" s="22">
        <f t="shared" si="1383"/>
        <v>3459.0751254347983</v>
      </c>
      <c r="CJ175" s="22">
        <f t="shared" ref="CJ175:DB175" si="1384">SUM(CJ168:CJ174)</f>
        <v>3486.2</v>
      </c>
      <c r="CK175" s="22">
        <f t="shared" si="1384"/>
        <v>4070.7000996787597</v>
      </c>
      <c r="CL175" s="22">
        <f t="shared" ref="CL175" si="1385">SUM(CL168:CL174)</f>
        <v>4424.46</v>
      </c>
      <c r="CM175" s="21">
        <f t="shared" si="1384"/>
        <v>3669.1379272362765</v>
      </c>
      <c r="CN175" s="21">
        <f t="shared" si="1384"/>
        <v>3407.9341025095273</v>
      </c>
      <c r="CO175" s="21">
        <f t="shared" si="1384"/>
        <v>4179.1123511938904</v>
      </c>
      <c r="CP175" s="21">
        <f t="shared" si="1384"/>
        <v>4459.5408052609318</v>
      </c>
      <c r="CQ175" s="21">
        <f t="shared" si="1384"/>
        <v>4064.9379091808805</v>
      </c>
      <c r="CR175" s="21">
        <f t="shared" si="1384"/>
        <v>3701.3824490868237</v>
      </c>
      <c r="CS175" s="21">
        <f t="shared" si="1384"/>
        <v>4549.6785226396232</v>
      </c>
      <c r="CT175" s="21">
        <f t="shared" si="1384"/>
        <v>4858.1498221133688</v>
      </c>
      <c r="CU175" s="21">
        <f t="shared" si="1384"/>
        <v>4424.0866364253134</v>
      </c>
      <c r="CV175" s="21">
        <f t="shared" si="1384"/>
        <v>4024.1756303218499</v>
      </c>
      <c r="CW175" s="21">
        <f t="shared" si="1384"/>
        <v>4957.3013112299304</v>
      </c>
      <c r="CX175" s="21">
        <f t="shared" si="1384"/>
        <v>5296.6197406510491</v>
      </c>
      <c r="CY175" s="21">
        <f t="shared" si="1384"/>
        <v>4819.1502363941872</v>
      </c>
      <c r="CZ175" s="21">
        <f t="shared" si="1384"/>
        <v>4379.2481296803799</v>
      </c>
      <c r="DA175" s="21">
        <f t="shared" si="1384"/>
        <v>5405.6863786792674</v>
      </c>
      <c r="DB175" s="21">
        <f t="shared" si="1384"/>
        <v>5778.936651042497</v>
      </c>
      <c r="DE175" s="126"/>
      <c r="DF175" s="22">
        <v>4424.4440000000004</v>
      </c>
    </row>
    <row r="176" spans="1:110" s="22" customFormat="1" x14ac:dyDescent="0.2">
      <c r="A176" s="22" t="s">
        <v>74</v>
      </c>
      <c r="B176" s="22">
        <f>B167-B175</f>
        <v>0</v>
      </c>
      <c r="C176" s="22">
        <f t="shared" ref="C176:V176" si="1386">C167-C175</f>
        <v>0</v>
      </c>
      <c r="D176" s="22">
        <f t="shared" si="1386"/>
        <v>0</v>
      </c>
      <c r="E176" s="22">
        <f t="shared" si="1386"/>
        <v>0</v>
      </c>
      <c r="F176" s="22">
        <f t="shared" si="1386"/>
        <v>0</v>
      </c>
      <c r="G176" s="22">
        <f t="shared" si="1386"/>
        <v>0</v>
      </c>
      <c r="H176" s="22">
        <f t="shared" si="1386"/>
        <v>0</v>
      </c>
      <c r="I176" s="22">
        <f t="shared" si="1386"/>
        <v>0</v>
      </c>
      <c r="J176" s="22">
        <f t="shared" si="1386"/>
        <v>0</v>
      </c>
      <c r="K176" s="22">
        <f t="shared" si="1386"/>
        <v>1209.2109</v>
      </c>
      <c r="L176" s="22">
        <f t="shared" si="1386"/>
        <v>2883.5463</v>
      </c>
      <c r="M176" s="22">
        <f t="shared" si="1386"/>
        <v>2717.0707999999995</v>
      </c>
      <c r="N176" s="22">
        <f t="shared" si="1386"/>
        <v>2989.5825999999997</v>
      </c>
      <c r="O176" s="22">
        <f t="shared" si="1386"/>
        <v>3428.6401000000005</v>
      </c>
      <c r="P176" s="22">
        <f t="shared" si="1386"/>
        <v>4355.7075000000004</v>
      </c>
      <c r="Q176" s="22">
        <f t="shared" si="1386"/>
        <v>4222.6930000000011</v>
      </c>
      <c r="R176" s="22">
        <f t="shared" si="1386"/>
        <v>3864.2729999999992</v>
      </c>
      <c r="S176" s="22">
        <f t="shared" si="1386"/>
        <v>4215.6016</v>
      </c>
      <c r="T176" s="22">
        <f t="shared" si="1386"/>
        <v>3964.6492000000012</v>
      </c>
      <c r="U176" s="22">
        <f t="shared" si="1386"/>
        <v>3352.2177000000006</v>
      </c>
      <c r="V176" s="22">
        <f t="shared" si="1386"/>
        <v>3104.3566000000001</v>
      </c>
      <c r="W176" s="22">
        <f t="shared" ref="W176" si="1387">W167-W175</f>
        <v>4312.6631999999991</v>
      </c>
      <c r="X176" s="22">
        <f t="shared" ref="X176:Y176" si="1388">X167-X175</f>
        <v>4216.9134999999987</v>
      </c>
      <c r="Y176" s="22">
        <f t="shared" si="1388"/>
        <v>4948.5236999999988</v>
      </c>
      <c r="Z176" s="22">
        <f t="shared" ref="Z176:AA176" si="1389">Z167-Z175</f>
        <v>5471.5621000000001</v>
      </c>
      <c r="AA176" s="22">
        <f t="shared" si="1389"/>
        <v>5638.045000000001</v>
      </c>
      <c r="AB176" s="21">
        <f t="shared" ref="AB176:AD176" si="1390">AB167-AB175</f>
        <v>6114.5372802283391</v>
      </c>
      <c r="AC176" s="21">
        <f t="shared" si="1390"/>
        <v>6661.0755450882743</v>
      </c>
      <c r="AD176" s="21">
        <f t="shared" si="1390"/>
        <v>7262.267636434206</v>
      </c>
      <c r="AE176" s="21">
        <f t="shared" ref="AE176" si="1391">AE167-AE175</f>
        <v>7923.5789369147296</v>
      </c>
      <c r="AJ176" s="22">
        <f t="shared" ref="AJ176" si="1392">AJ167-AJ175</f>
        <v>2815.42</v>
      </c>
      <c r="AK176" s="22">
        <f t="shared" ref="AK176" si="1393">AK167-AK175</f>
        <v>2988.0158886452073</v>
      </c>
      <c r="AL176" s="22">
        <f t="shared" ref="AL176:AM176" si="1394">AL167-AL175</f>
        <v>2776.47</v>
      </c>
      <c r="AM176" s="22">
        <f t="shared" si="1394"/>
        <v>3395.0642546960935</v>
      </c>
      <c r="AN176" s="22">
        <f t="shared" ref="AN176:AO176" si="1395">AN167-AN175</f>
        <v>3053.8499999999995</v>
      </c>
      <c r="AO176" s="22">
        <f t="shared" si="1395"/>
        <v>4087.5188723675965</v>
      </c>
      <c r="AP176" s="22">
        <f t="shared" ref="AP176:CE176" si="1396">AP167-AP175</f>
        <v>3214.58</v>
      </c>
      <c r="AQ176" s="22">
        <f t="shared" si="1396"/>
        <v>2745.150795039528</v>
      </c>
      <c r="AR176" s="22">
        <f t="shared" si="1396"/>
        <v>3114.06</v>
      </c>
      <c r="AS176" s="22">
        <f t="shared" si="1396"/>
        <v>3430.4500904886386</v>
      </c>
      <c r="AT176" s="22">
        <f t="shared" si="1396"/>
        <v>3863.1699999999996</v>
      </c>
      <c r="AU176" s="22">
        <f t="shared" si="1396"/>
        <v>3572.9879492349778</v>
      </c>
      <c r="AV176" s="22">
        <f t="shared" si="1396"/>
        <v>4515.3600000000006</v>
      </c>
      <c r="AW176" s="22">
        <f t="shared" si="1396"/>
        <v>3763.0085044310254</v>
      </c>
      <c r="AX176" s="22">
        <f t="shared" si="1396"/>
        <v>3655.0299999999993</v>
      </c>
      <c r="AY176" s="22">
        <f t="shared" si="1396"/>
        <v>2497.9523264921854</v>
      </c>
      <c r="AZ176" s="22">
        <f t="shared" si="1396"/>
        <v>3103.5099999999993</v>
      </c>
      <c r="BA176" s="22">
        <f t="shared" si="1396"/>
        <v>3017.2957993479959</v>
      </c>
      <c r="BB176" s="22">
        <f t="shared" si="1396"/>
        <v>3142.65</v>
      </c>
      <c r="BC176" s="22">
        <f t="shared" si="1396"/>
        <v>2450.7400395560248</v>
      </c>
      <c r="BD176" s="22">
        <f t="shared" si="1396"/>
        <v>3773.9999999999991</v>
      </c>
      <c r="BE176" s="22">
        <f t="shared" si="1396"/>
        <v>5512.3499193908519</v>
      </c>
      <c r="BF176" s="22">
        <f t="shared" si="1396"/>
        <v>3905.1000000000004</v>
      </c>
      <c r="BG176" s="22">
        <f t="shared" si="1396"/>
        <v>4378.8583538394541</v>
      </c>
      <c r="BH176" s="22">
        <f t="shared" ref="BH176" si="1397">BH167-BH175</f>
        <v>3656.9199999999996</v>
      </c>
      <c r="BI176" s="22">
        <f t="shared" si="1396"/>
        <v>3655.0727438076838</v>
      </c>
      <c r="BJ176" s="22">
        <f t="shared" si="1396"/>
        <v>3566.4299999999994</v>
      </c>
      <c r="BK176" s="22">
        <f t="shared" si="1396"/>
        <v>3167.7084863770442</v>
      </c>
      <c r="BL176" s="22">
        <f t="shared" si="1396"/>
        <v>3678.2</v>
      </c>
      <c r="BM176" s="22">
        <f t="shared" si="1396"/>
        <v>4090.6011743778863</v>
      </c>
      <c r="BN176" s="22">
        <f t="shared" si="1396"/>
        <v>3143.71</v>
      </c>
      <c r="BO176" s="22">
        <f t="shared" si="1396"/>
        <v>1775.4424128754713</v>
      </c>
      <c r="BP176" s="22">
        <f t="shared" si="1396"/>
        <v>3366.1700000000014</v>
      </c>
      <c r="BQ176" s="22">
        <f t="shared" si="1396"/>
        <v>4051.1709001314066</v>
      </c>
      <c r="BR176" s="22">
        <f t="shared" si="1396"/>
        <v>3349.8999999999992</v>
      </c>
      <c r="BS176" s="22">
        <f t="shared" si="1396"/>
        <v>2611.4876184309624</v>
      </c>
      <c r="BT176" s="22">
        <f t="shared" si="1396"/>
        <v>4182.8099999999995</v>
      </c>
      <c r="BU176" s="22">
        <f t="shared" si="1396"/>
        <v>4752.1010037404812</v>
      </c>
      <c r="BV176" s="22">
        <f t="shared" si="1396"/>
        <v>4546.8599999999997</v>
      </c>
      <c r="BW176" s="22">
        <f t="shared" si="1396"/>
        <v>4048.8921219174281</v>
      </c>
      <c r="BX176" s="22">
        <f t="shared" si="1396"/>
        <v>4980.12</v>
      </c>
      <c r="BY176" s="22">
        <f t="shared" si="1396"/>
        <v>6272.0395318953169</v>
      </c>
      <c r="BZ176" s="22">
        <f t="shared" si="1396"/>
        <v>4400.08</v>
      </c>
      <c r="CA176" s="22">
        <f t="shared" si="1396"/>
        <v>3700.8517725405691</v>
      </c>
      <c r="CB176" s="22">
        <f t="shared" si="1396"/>
        <v>5126.8600000000006</v>
      </c>
      <c r="CC176" s="22">
        <f t="shared" si="1396"/>
        <v>5309.8736277171429</v>
      </c>
      <c r="CD176" s="22">
        <f t="shared" si="1396"/>
        <v>5122.6499999999987</v>
      </c>
      <c r="CE176" s="22">
        <f t="shared" si="1396"/>
        <v>4637.7795643262134</v>
      </c>
      <c r="CF176" s="22">
        <f t="shared" ref="CF176:CG176" si="1398">CF167-CF175</f>
        <v>5636.0300000000016</v>
      </c>
      <c r="CG176" s="22">
        <f t="shared" si="1398"/>
        <v>5302.3283765739661</v>
      </c>
      <c r="CH176" s="22">
        <f t="shared" ref="CH176:CI176" si="1399">CH167-CH175</f>
        <v>5471.5621000000001</v>
      </c>
      <c r="CI176" s="22">
        <f t="shared" si="1399"/>
        <v>4428.6498959947203</v>
      </c>
      <c r="CJ176" s="22">
        <f t="shared" ref="CJ176:DB176" si="1400">CJ167-CJ175</f>
        <v>7195.3</v>
      </c>
      <c r="CK176" s="22">
        <f t="shared" si="1400"/>
        <v>8401.6718568121687</v>
      </c>
      <c r="CL176" s="22">
        <f t="shared" ref="CL176" si="1401">CL167-CL175</f>
        <v>6271.3199999999988</v>
      </c>
      <c r="CM176" s="21">
        <f t="shared" si="1400"/>
        <v>5030.8051035028611</v>
      </c>
      <c r="CN176" s="21">
        <f t="shared" si="1400"/>
        <v>4672.6649734370503</v>
      </c>
      <c r="CO176" s="21">
        <f t="shared" si="1400"/>
        <v>5730.0379984173278</v>
      </c>
      <c r="CP176" s="21">
        <f t="shared" si="1400"/>
        <v>6114.5372802283391</v>
      </c>
      <c r="CQ176" s="21">
        <f t="shared" si="1400"/>
        <v>5573.4918622514178</v>
      </c>
      <c r="CR176" s="21">
        <f t="shared" si="1400"/>
        <v>5075.016007617859</v>
      </c>
      <c r="CS176" s="21">
        <f t="shared" si="1400"/>
        <v>6238.1263350961644</v>
      </c>
      <c r="CT176" s="21">
        <f t="shared" si="1400"/>
        <v>6661.0755450882743</v>
      </c>
      <c r="CU176" s="21">
        <f t="shared" si="1400"/>
        <v>6065.9255853136629</v>
      </c>
      <c r="CV176" s="21">
        <f t="shared" si="1400"/>
        <v>5517.6021452167461</v>
      </c>
      <c r="CW176" s="21">
        <f t="shared" si="1400"/>
        <v>6797.0235054428867</v>
      </c>
      <c r="CX176" s="21">
        <f t="shared" si="1400"/>
        <v>7262.267636434206</v>
      </c>
      <c r="CY176" s="21">
        <f t="shared" si="1400"/>
        <v>6607.6026806821301</v>
      </c>
      <c r="CZ176" s="21">
        <f t="shared" si="1400"/>
        <v>6004.4468965755223</v>
      </c>
      <c r="DA176" s="21">
        <f t="shared" si="1400"/>
        <v>7411.8103928242781</v>
      </c>
      <c r="DB176" s="21">
        <f t="shared" si="1400"/>
        <v>7923.5789369147296</v>
      </c>
      <c r="DE176" s="126"/>
      <c r="DF176" s="22">
        <v>5638.045000000001</v>
      </c>
    </row>
    <row r="177" spans="1:110" s="23" customFormat="1" x14ac:dyDescent="0.2">
      <c r="AB177" s="24"/>
      <c r="AC177" s="24"/>
      <c r="AD177" s="24"/>
      <c r="AE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outlineLevel="1" x14ac:dyDescent="0.2">
      <c r="A178" s="23" t="s">
        <v>75</v>
      </c>
      <c r="B178" s="23">
        <f>'Annual Raw'!C75</f>
        <v>0</v>
      </c>
      <c r="C178" s="23">
        <f>'Annual Raw'!D75</f>
        <v>0</v>
      </c>
      <c r="D178" s="23">
        <f>'Annual Raw'!E75</f>
        <v>0</v>
      </c>
      <c r="E178" s="23">
        <f>'Annual Raw'!F75</f>
        <v>0</v>
      </c>
      <c r="F178" s="23">
        <f>'Annual Raw'!G75</f>
        <v>0</v>
      </c>
      <c r="G178" s="23">
        <f>'Annual Raw'!H75</f>
        <v>0</v>
      </c>
      <c r="H178" s="23">
        <f>'Annual Raw'!I75</f>
        <v>0</v>
      </c>
      <c r="I178" s="23">
        <f>'Annual Raw'!J75</f>
        <v>0</v>
      </c>
      <c r="J178" s="23">
        <f>'Annual Raw'!K75</f>
        <v>0</v>
      </c>
      <c r="K178" s="23">
        <f>'Annual Raw'!L75</f>
        <v>0</v>
      </c>
      <c r="L178" s="23">
        <f>'Annual Raw'!M75</f>
        <v>190.83019999999999</v>
      </c>
      <c r="M178" s="23">
        <f>'Annual Raw'!N75</f>
        <v>32.2913</v>
      </c>
      <c r="N178" s="23">
        <f>'Annual Raw'!O75</f>
        <v>143.19759999999999</v>
      </c>
      <c r="O178" s="23">
        <f>'Annual Raw'!P75</f>
        <v>64.252899999999997</v>
      </c>
      <c r="P178" s="23">
        <f>'Annual Raw'!Q75</f>
        <v>289.88260000000002</v>
      </c>
      <c r="Q178" s="23">
        <f>'Annual Raw'!R75</f>
        <v>127.3006</v>
      </c>
      <c r="R178" s="23">
        <f>'Annual Raw'!S75</f>
        <v>1.8123</v>
      </c>
      <c r="S178" s="23">
        <f>'Annual Raw'!T75</f>
        <v>1.3426</v>
      </c>
      <c r="T178" s="23">
        <f>'Annual Raw'!U75</f>
        <v>1.7686999999999999</v>
      </c>
      <c r="U178" s="23">
        <f>'Annual Raw'!V75</f>
        <v>2.7864</v>
      </c>
      <c r="V178" s="23">
        <f>'Annual Raw'!W75</f>
        <v>65.234800000000007</v>
      </c>
      <c r="W178" s="23">
        <f>'Annual Raw'!X75</f>
        <v>10.3772</v>
      </c>
      <c r="X178" s="23">
        <f>'Annual Raw'!Y75</f>
        <v>4.9302000000000001</v>
      </c>
      <c r="Y178" s="23">
        <f>'Annual Raw'!Z75</f>
        <v>3.7299000000000002</v>
      </c>
      <c r="Z178" s="23">
        <f>'Annual Raw'!AA75</f>
        <v>1.8003</v>
      </c>
      <c r="AA178" s="23">
        <f>'Annual Raw'!AB75</f>
        <v>12.3011</v>
      </c>
      <c r="AB178" s="24">
        <f t="shared" ref="AB178:AB179" si="1402">+CP178</f>
        <v>0</v>
      </c>
      <c r="AC178" s="24">
        <f t="shared" ref="AC178:AC179" si="1403">+CT178</f>
        <v>0</v>
      </c>
      <c r="AD178" s="24">
        <f t="shared" ref="AD178:AD179" si="1404">+CX178</f>
        <v>0</v>
      </c>
      <c r="AE178" s="24">
        <f t="shared" ref="AE178:AE179" si="1405">+DB178</f>
        <v>0</v>
      </c>
      <c r="AJ178" s="23">
        <f>+'QTR Raw'!D80</f>
        <v>0</v>
      </c>
      <c r="AL178" s="23">
        <f>+'QTR Raw'!F80</f>
        <v>143.19999999999999</v>
      </c>
      <c r="AN178" s="23">
        <f>+'QTR Raw'!H80</f>
        <v>0</v>
      </c>
      <c r="AP178" s="23">
        <f>+'QTR Raw'!J80</f>
        <v>64.25</v>
      </c>
      <c r="AR178" s="23">
        <f>+'QTR Raw'!L80</f>
        <v>50</v>
      </c>
      <c r="AT178" s="23">
        <f>+'QTR Raw'!N80</f>
        <v>289.88</v>
      </c>
      <c r="AV178" s="23">
        <f>+'QTR Raw'!P80</f>
        <v>0</v>
      </c>
      <c r="AX178" s="23">
        <f>+'QTR Raw'!R80</f>
        <v>127.3</v>
      </c>
      <c r="AZ178" s="23">
        <f>+'QTR Raw'!T80</f>
        <v>0</v>
      </c>
      <c r="BB178" s="23">
        <f>+'QTR Raw'!V80</f>
        <v>1.81</v>
      </c>
      <c r="BD178" s="23">
        <f>+'QTR Raw'!X80</f>
        <v>0</v>
      </c>
      <c r="BF178" s="23">
        <f>+'QTR Raw'!Z80</f>
        <v>1.34</v>
      </c>
      <c r="BH178" s="23">
        <f>+'QTR Raw'!AB80</f>
        <v>0</v>
      </c>
      <c r="BJ178" s="23">
        <f>+'QTR Raw'!AD80</f>
        <v>1.77</v>
      </c>
      <c r="BL178" s="23">
        <f>+'QTR Raw'!AF80</f>
        <v>6.21</v>
      </c>
      <c r="BN178" s="23">
        <f>+'QTR Raw'!AH80</f>
        <v>2.79</v>
      </c>
      <c r="BP178" s="23">
        <f>+'QTR Raw'!AJ80</f>
        <v>20.09</v>
      </c>
      <c r="BR178" s="23">
        <f>+'QTR Raw'!AL80</f>
        <v>65.23</v>
      </c>
      <c r="BT178" s="23">
        <f>+'QTR Raw'!AN80</f>
        <v>3.49</v>
      </c>
      <c r="BV178" s="23">
        <f>+'QTR Raw'!AP80</f>
        <v>10.38</v>
      </c>
      <c r="BX178" s="23">
        <f>+'QTR Raw'!AR80</f>
        <v>9.7200000000000006</v>
      </c>
      <c r="BZ178" s="23">
        <f>+'QTR Raw'!AT80</f>
        <v>4.93</v>
      </c>
      <c r="CB178" s="23">
        <f>+'QTR Raw'!AV80</f>
        <v>4.24</v>
      </c>
      <c r="CD178" s="23">
        <f>+'QTR Raw'!AX80</f>
        <v>3.73</v>
      </c>
      <c r="CF178" s="23">
        <f>+'QTR Raw'!AZ80</f>
        <v>1.1499999999999999</v>
      </c>
      <c r="CH178" s="23">
        <f t="shared" ref="CH178:CH179" si="1406">Z178</f>
        <v>1.8003</v>
      </c>
      <c r="CJ178" s="23">
        <f>+'QTR Raw'!BD80</f>
        <v>5.17</v>
      </c>
      <c r="CL178" s="23">
        <f>+'QTR Raw'!BF80</f>
        <v>12.3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12.3011</v>
      </c>
    </row>
    <row r="179" spans="1:110" s="23" customFormat="1" outlineLevel="1" x14ac:dyDescent="0.2">
      <c r="A179" s="23" t="s">
        <v>76</v>
      </c>
      <c r="B179" s="23">
        <f>'Annual Raw'!C78</f>
        <v>0</v>
      </c>
      <c r="C179" s="23">
        <f>'Annual Raw'!D78</f>
        <v>0</v>
      </c>
      <c r="D179" s="23">
        <f>'Annual Raw'!E78</f>
        <v>0</v>
      </c>
      <c r="E179" s="23">
        <f>'Annual Raw'!F78</f>
        <v>0</v>
      </c>
      <c r="F179" s="23">
        <f>'Annual Raw'!G78</f>
        <v>0</v>
      </c>
      <c r="G179" s="23">
        <f>'Annual Raw'!H78</f>
        <v>0</v>
      </c>
      <c r="H179" s="23">
        <f>'Annual Raw'!I78</f>
        <v>0</v>
      </c>
      <c r="I179" s="23">
        <f>'Annual Raw'!J78</f>
        <v>0</v>
      </c>
      <c r="J179" s="23">
        <f>'Annual Raw'!K78</f>
        <v>0</v>
      </c>
      <c r="K179" s="23">
        <f>'Annual Raw'!L78</f>
        <v>599.15279999999996</v>
      </c>
      <c r="L179" s="23">
        <f>'Annual Raw'!M78</f>
        <v>211.87549999999999</v>
      </c>
      <c r="M179" s="23">
        <f>'Annual Raw'!N78</f>
        <v>294.98570000000001</v>
      </c>
      <c r="N179" s="23">
        <f>'Annual Raw'!O78</f>
        <v>289.70929999999998</v>
      </c>
      <c r="O179" s="23">
        <f>'Annual Raw'!P78</f>
        <v>141.99959999999999</v>
      </c>
      <c r="P179" s="23">
        <f>'Annual Raw'!Q78</f>
        <v>333.13819999999998</v>
      </c>
      <c r="Q179" s="23">
        <f>'Annual Raw'!R78</f>
        <v>208.38300000000001</v>
      </c>
      <c r="R179" s="23">
        <f>'Annual Raw'!S78</f>
        <v>132.4547</v>
      </c>
      <c r="S179" s="23">
        <f>'Annual Raw'!T78</f>
        <v>143.90029999999999</v>
      </c>
      <c r="T179" s="23">
        <f>'Annual Raw'!U78</f>
        <v>231.64689999999999</v>
      </c>
      <c r="U179" s="23">
        <f>'Annual Raw'!V78</f>
        <v>343.19990000000001</v>
      </c>
      <c r="V179" s="23">
        <f>'Annual Raw'!W78</f>
        <v>723.58090000000004</v>
      </c>
      <c r="W179" s="23">
        <f>'Annual Raw'!X78</f>
        <v>672.50360000000001</v>
      </c>
      <c r="X179" s="23">
        <f>'Annual Raw'!Y78</f>
        <v>213.2244</v>
      </c>
      <c r="Y179" s="23">
        <f>'Annual Raw'!Z78</f>
        <v>894.62019999999995</v>
      </c>
      <c r="Z179" s="23">
        <f>'Annual Raw'!AA78</f>
        <v>770.28449999999998</v>
      </c>
      <c r="AA179" s="23">
        <f>'Annual Raw'!AB78</f>
        <v>543.02340000000004</v>
      </c>
      <c r="AB179" s="24">
        <f t="shared" si="1402"/>
        <v>943.24281377775833</v>
      </c>
      <c r="AC179" s="24">
        <f t="shared" si="1403"/>
        <v>912.87048579861846</v>
      </c>
      <c r="AD179" s="24">
        <f t="shared" si="1404"/>
        <v>1073.3627646822404</v>
      </c>
      <c r="AE179" s="24">
        <f t="shared" si="1405"/>
        <v>1459.211583963724</v>
      </c>
      <c r="AJ179" s="23">
        <f>+'QTR Raw'!D83</f>
        <v>73.03</v>
      </c>
      <c r="AK179" s="23">
        <f t="shared" ref="AK179:AM179" si="1407">+AK229</f>
        <v>-39.535888645207237</v>
      </c>
      <c r="AL179" s="23">
        <f>+'QTR Raw'!F83</f>
        <v>289.70999999999998</v>
      </c>
      <c r="AM179" s="23">
        <f t="shared" si="1407"/>
        <v>-170.47425469609379</v>
      </c>
      <c r="AN179" s="23">
        <f>+'QTR Raw'!H83</f>
        <v>53.48</v>
      </c>
      <c r="AO179" s="23">
        <f t="shared" ref="AO179" si="1408">+AO229</f>
        <v>-930.14887236759728</v>
      </c>
      <c r="AP179" s="23">
        <f>+'QTR Raw'!J83</f>
        <v>142</v>
      </c>
      <c r="AQ179" s="23">
        <f t="shared" ref="AQ179" si="1409">+AQ229</f>
        <v>730.57920496047268</v>
      </c>
      <c r="AR179" s="23">
        <f>+'QTR Raw'!L83</f>
        <v>62.45</v>
      </c>
      <c r="AS179" s="23">
        <f t="shared" ref="AS179" si="1410">+AS229</f>
        <v>-142.02009048863891</v>
      </c>
      <c r="AT179" s="23">
        <f>+'QTR Raw'!N83</f>
        <v>333.14</v>
      </c>
      <c r="AU179" s="23">
        <f t="shared" ref="AU179" si="1411">+AU229</f>
        <v>1010.4020507650216</v>
      </c>
      <c r="AV179" s="23">
        <f>+'QTR Raw'!P83</f>
        <v>58.03</v>
      </c>
      <c r="AW179" s="23">
        <f t="shared" ref="AW179" si="1412">+AW229</f>
        <v>794.61149556897499</v>
      </c>
      <c r="AX179" s="23">
        <f>+'QTR Raw'!R83</f>
        <v>208.38</v>
      </c>
      <c r="AY179" s="23">
        <f t="shared" ref="AY179" si="1413">+AY229</f>
        <v>1558.5376735078135</v>
      </c>
      <c r="AZ179" s="23">
        <f>+'QTR Raw'!T83</f>
        <v>26.03</v>
      </c>
      <c r="BA179" s="23">
        <f t="shared" ref="BA179" si="1414">+BA229</f>
        <v>192.91420065200387</v>
      </c>
      <c r="BB179" s="23">
        <f>+'QTR Raw'!V83</f>
        <v>132.4</v>
      </c>
      <c r="BC179" s="23">
        <f t="shared" ref="BC179" si="1415">+BC229</f>
        <v>890.15996044397514</v>
      </c>
      <c r="BD179" s="23">
        <f>+'QTR Raw'!X83</f>
        <v>72.3</v>
      </c>
      <c r="BE179" s="23">
        <f t="shared" ref="BE179" si="1416">+BE229</f>
        <v>-1569.8199193908529</v>
      </c>
      <c r="BF179" s="23">
        <f>+'QTR Raw'!Z83</f>
        <v>143.69</v>
      </c>
      <c r="BG179" s="23">
        <f t="shared" ref="BG179" si="1417">+BG229</f>
        <v>-235.97835383945446</v>
      </c>
      <c r="BH179" s="23">
        <f>+'QTR Raw'!AB83</f>
        <v>72.03</v>
      </c>
      <c r="BI179" s="23">
        <f t="shared" ref="BI179" si="1418">+BI229</f>
        <v>212.78725619231531</v>
      </c>
      <c r="BJ179" s="23">
        <f>+'QTR Raw'!AD83</f>
        <v>231.52</v>
      </c>
      <c r="BK179" s="23">
        <f t="shared" ref="BK179" si="1419">+BK229</f>
        <v>763.38151362295503</v>
      </c>
      <c r="BL179" s="23">
        <f>+'QTR Raw'!AF83</f>
        <v>203.3</v>
      </c>
      <c r="BM179" s="23">
        <f t="shared" ref="BM179" si="1420">+BM229</f>
        <v>-113.34117437788663</v>
      </c>
      <c r="BN179" s="23">
        <f>+'QTR Raw'!AH83</f>
        <v>342.11</v>
      </c>
      <c r="BO179" s="23">
        <f t="shared" ref="BO179" si="1421">+BO229</f>
        <v>1703.9275871245286</v>
      </c>
      <c r="BP179" s="23">
        <f>+'QTR Raw'!AJ83</f>
        <v>335.82</v>
      </c>
      <c r="BQ179" s="23">
        <f t="shared" ref="BQ179" si="1422">+BQ229</f>
        <v>-263.32090013140538</v>
      </c>
      <c r="BR179" s="23">
        <f>+'QTR Raw'!AL83</f>
        <v>723.58</v>
      </c>
      <c r="BS179" s="23">
        <f t="shared" ref="BS179" si="1423">+BS229</f>
        <v>1679.3223815690371</v>
      </c>
      <c r="BT179" s="23">
        <f>+'QTR Raw'!AN83</f>
        <v>566.30999999999995</v>
      </c>
      <c r="BU179" s="23">
        <f t="shared" ref="BU179" si="1424">+BU229</f>
        <v>13.148996259518071</v>
      </c>
      <c r="BV179" s="23">
        <f>+'QTR Raw'!AP83</f>
        <v>672.5</v>
      </c>
      <c r="BW179" s="23">
        <f t="shared" ref="BW179" si="1425">+BW229</f>
        <v>1185.6978780825712</v>
      </c>
      <c r="BX179" s="23">
        <f>+'QTR Raw'!AR83</f>
        <v>396.5</v>
      </c>
      <c r="BY179" s="23">
        <f t="shared" ref="BY179" si="1426">+BY229</f>
        <v>-671.25953189531799</v>
      </c>
      <c r="BZ179" s="23">
        <f>+'QTR Raw'!AT83</f>
        <v>213.22</v>
      </c>
      <c r="CA179" s="23">
        <f t="shared" ref="CA179" si="1427">+CA229</f>
        <v>1181.9782274594315</v>
      </c>
      <c r="CB179" s="23">
        <f>+'QTR Raw'!AV83</f>
        <v>275.06</v>
      </c>
      <c r="CC179" s="23">
        <f t="shared" ref="CC179" si="1428">+CC229</f>
        <v>629.49637228285883</v>
      </c>
      <c r="CD179" s="23">
        <f>+'QTR Raw'!AX83</f>
        <v>894.62</v>
      </c>
      <c r="CE179" s="23">
        <f t="shared" ref="CE179" si="1429">+CE229</f>
        <v>1824.2804356737843</v>
      </c>
      <c r="CF179" s="23">
        <f>+'QTR Raw'!AZ83</f>
        <v>725.99</v>
      </c>
      <c r="CG179" s="23">
        <f t="shared" ref="CG179:CI179" si="1430">+CG229</f>
        <v>1567.2616234260363</v>
      </c>
      <c r="CH179" s="23">
        <f t="shared" si="1406"/>
        <v>770.28449999999998</v>
      </c>
      <c r="CI179" s="23">
        <f t="shared" si="1430"/>
        <v>2392.3695040052808</v>
      </c>
      <c r="CJ179" s="23">
        <f>+'QTR Raw'!BD83</f>
        <v>204.97</v>
      </c>
      <c r="CK179" s="23">
        <f t="shared" ref="CK179:DB179" si="1431">+CK229</f>
        <v>-583.33185681216719</v>
      </c>
      <c r="CL179" s="23">
        <f>+'QTR Raw'!BF83</f>
        <v>543.02</v>
      </c>
      <c r="CM179" s="24">
        <f t="shared" si="1431"/>
        <v>1754.9762063672047</v>
      </c>
      <c r="CN179" s="24">
        <f t="shared" si="1431"/>
        <v>2128.2788902287512</v>
      </c>
      <c r="CO179" s="24">
        <f t="shared" si="1431"/>
        <v>1192.944874441203</v>
      </c>
      <c r="CP179" s="24">
        <f t="shared" si="1431"/>
        <v>943.24281377775833</v>
      </c>
      <c r="CQ179" s="24">
        <f t="shared" si="1431"/>
        <v>1567.6359858898961</v>
      </c>
      <c r="CR179" s="24">
        <f t="shared" si="1431"/>
        <v>2124.7259625942638</v>
      </c>
      <c r="CS179" s="24">
        <f t="shared" si="1431"/>
        <v>1141.2818574142898</v>
      </c>
      <c r="CT179" s="24">
        <f t="shared" si="1431"/>
        <v>912.87048579861846</v>
      </c>
      <c r="CU179" s="24">
        <f t="shared" si="1431"/>
        <v>1646.8251268784293</v>
      </c>
      <c r="CV179" s="24">
        <f t="shared" si="1431"/>
        <v>2307.6317739547467</v>
      </c>
      <c r="CW179" s="24">
        <f t="shared" si="1431"/>
        <v>1274.7613228611067</v>
      </c>
      <c r="CX179" s="24">
        <f t="shared" si="1431"/>
        <v>1073.3627646822404</v>
      </c>
      <c r="CY179" s="24">
        <f t="shared" si="1431"/>
        <v>1931.5288405878734</v>
      </c>
      <c r="CZ179" s="24">
        <f t="shared" si="1431"/>
        <v>2710.2209347033086</v>
      </c>
      <c r="DA179" s="24">
        <f t="shared" si="1431"/>
        <v>1626.8844990881421</v>
      </c>
      <c r="DB179" s="24">
        <f t="shared" si="1431"/>
        <v>1459.211583963724</v>
      </c>
      <c r="DE179" s="123"/>
      <c r="DF179" s="23">
        <v>543.02340000000004</v>
      </c>
    </row>
    <row r="180" spans="1:110" s="22" customFormat="1" x14ac:dyDescent="0.2">
      <c r="A180" s="22" t="s">
        <v>77</v>
      </c>
      <c r="B180" s="22">
        <f>B178+B179</f>
        <v>0</v>
      </c>
      <c r="C180" s="22">
        <f t="shared" ref="C180:V180" si="1432">C178+C179</f>
        <v>0</v>
      </c>
      <c r="D180" s="22">
        <f t="shared" si="1432"/>
        <v>0</v>
      </c>
      <c r="E180" s="22">
        <f t="shared" si="1432"/>
        <v>0</v>
      </c>
      <c r="F180" s="22">
        <f t="shared" si="1432"/>
        <v>0</v>
      </c>
      <c r="G180" s="22">
        <f t="shared" si="1432"/>
        <v>0</v>
      </c>
      <c r="H180" s="22">
        <f t="shared" si="1432"/>
        <v>0</v>
      </c>
      <c r="I180" s="22">
        <f t="shared" si="1432"/>
        <v>0</v>
      </c>
      <c r="J180" s="22">
        <f t="shared" si="1432"/>
        <v>0</v>
      </c>
      <c r="K180" s="22">
        <f t="shared" si="1432"/>
        <v>599.15279999999996</v>
      </c>
      <c r="L180" s="22">
        <f t="shared" si="1432"/>
        <v>402.70569999999998</v>
      </c>
      <c r="M180" s="22">
        <f t="shared" si="1432"/>
        <v>327.27699999999999</v>
      </c>
      <c r="N180" s="22">
        <f t="shared" si="1432"/>
        <v>432.90689999999995</v>
      </c>
      <c r="O180" s="22">
        <f t="shared" si="1432"/>
        <v>206.2525</v>
      </c>
      <c r="P180" s="22">
        <f t="shared" si="1432"/>
        <v>623.02080000000001</v>
      </c>
      <c r="Q180" s="22">
        <f t="shared" si="1432"/>
        <v>335.68360000000001</v>
      </c>
      <c r="R180" s="22">
        <f t="shared" si="1432"/>
        <v>134.267</v>
      </c>
      <c r="S180" s="22">
        <f t="shared" si="1432"/>
        <v>145.24289999999999</v>
      </c>
      <c r="T180" s="22">
        <f t="shared" si="1432"/>
        <v>233.41559999999998</v>
      </c>
      <c r="U180" s="22">
        <f t="shared" si="1432"/>
        <v>345.98630000000003</v>
      </c>
      <c r="V180" s="22">
        <f t="shared" si="1432"/>
        <v>788.81570000000011</v>
      </c>
      <c r="W180" s="22">
        <f t="shared" ref="W180" si="1433">W178+W179</f>
        <v>682.88080000000002</v>
      </c>
      <c r="X180" s="22">
        <f t="shared" ref="X180:Y180" si="1434">X178+X179</f>
        <v>218.15460000000002</v>
      </c>
      <c r="Y180" s="22">
        <f t="shared" si="1434"/>
        <v>898.3501</v>
      </c>
      <c r="Z180" s="22">
        <f t="shared" ref="Z180:AA180" si="1435">Z178+Z179</f>
        <v>772.08479999999997</v>
      </c>
      <c r="AA180" s="22">
        <f t="shared" si="1435"/>
        <v>555.32450000000006</v>
      </c>
      <c r="AB180" s="21">
        <f t="shared" ref="AB180:AD180" si="1436">AB178+AB179</f>
        <v>943.24281377775833</v>
      </c>
      <c r="AC180" s="21">
        <f t="shared" si="1436"/>
        <v>912.87048579861846</v>
      </c>
      <c r="AD180" s="21">
        <f t="shared" si="1436"/>
        <v>1073.3627646822404</v>
      </c>
      <c r="AE180" s="21">
        <f t="shared" ref="AE180" si="1437">AE178+AE179</f>
        <v>1459.211583963724</v>
      </c>
      <c r="AJ180" s="22">
        <f t="shared" ref="AJ180" si="1438">AJ178+AJ179</f>
        <v>73.03</v>
      </c>
      <c r="AK180" s="22">
        <f t="shared" ref="AK180" si="1439">AK178+AK179</f>
        <v>-39.535888645207237</v>
      </c>
      <c r="AL180" s="22">
        <f t="shared" ref="AL180:AM180" si="1440">AL178+AL179</f>
        <v>432.90999999999997</v>
      </c>
      <c r="AM180" s="22">
        <f t="shared" si="1440"/>
        <v>-170.47425469609379</v>
      </c>
      <c r="AN180" s="22">
        <f t="shared" ref="AN180:AO180" si="1441">AN178+AN179</f>
        <v>53.48</v>
      </c>
      <c r="AO180" s="22">
        <f t="shared" si="1441"/>
        <v>-930.14887236759728</v>
      </c>
      <c r="AP180" s="22">
        <f t="shared" ref="AP180:CE180" si="1442">AP178+AP179</f>
        <v>206.25</v>
      </c>
      <c r="AQ180" s="22">
        <f t="shared" si="1442"/>
        <v>730.57920496047268</v>
      </c>
      <c r="AR180" s="22">
        <f t="shared" si="1442"/>
        <v>112.45</v>
      </c>
      <c r="AS180" s="22">
        <f t="shared" si="1442"/>
        <v>-142.02009048863891</v>
      </c>
      <c r="AT180" s="22">
        <f t="shared" si="1442"/>
        <v>623.02</v>
      </c>
      <c r="AU180" s="22">
        <f t="shared" si="1442"/>
        <v>1010.4020507650216</v>
      </c>
      <c r="AV180" s="22">
        <f t="shared" si="1442"/>
        <v>58.03</v>
      </c>
      <c r="AW180" s="22">
        <f t="shared" si="1442"/>
        <v>794.61149556897499</v>
      </c>
      <c r="AX180" s="22">
        <f t="shared" si="1442"/>
        <v>335.68</v>
      </c>
      <c r="AY180" s="22">
        <f t="shared" si="1442"/>
        <v>1558.5376735078135</v>
      </c>
      <c r="AZ180" s="22">
        <f t="shared" si="1442"/>
        <v>26.03</v>
      </c>
      <c r="BA180" s="22">
        <f t="shared" si="1442"/>
        <v>192.91420065200387</v>
      </c>
      <c r="BB180" s="22">
        <f t="shared" si="1442"/>
        <v>134.21</v>
      </c>
      <c r="BC180" s="22">
        <f t="shared" si="1442"/>
        <v>890.15996044397514</v>
      </c>
      <c r="BD180" s="22">
        <f t="shared" si="1442"/>
        <v>72.3</v>
      </c>
      <c r="BE180" s="22">
        <f t="shared" si="1442"/>
        <v>-1569.8199193908529</v>
      </c>
      <c r="BF180" s="22">
        <f t="shared" si="1442"/>
        <v>145.03</v>
      </c>
      <c r="BG180" s="22">
        <f t="shared" si="1442"/>
        <v>-235.97835383945446</v>
      </c>
      <c r="BH180" s="22">
        <f t="shared" si="1442"/>
        <v>72.03</v>
      </c>
      <c r="BI180" s="22">
        <f t="shared" si="1442"/>
        <v>212.78725619231531</v>
      </c>
      <c r="BJ180" s="22">
        <f t="shared" si="1442"/>
        <v>233.29000000000002</v>
      </c>
      <c r="BK180" s="22">
        <f t="shared" si="1442"/>
        <v>763.38151362295503</v>
      </c>
      <c r="BL180" s="22">
        <f t="shared" si="1442"/>
        <v>209.51000000000002</v>
      </c>
      <c r="BM180" s="22">
        <f t="shared" si="1442"/>
        <v>-113.34117437788663</v>
      </c>
      <c r="BN180" s="22">
        <f t="shared" si="1442"/>
        <v>344.90000000000003</v>
      </c>
      <c r="BO180" s="22">
        <f t="shared" si="1442"/>
        <v>1703.9275871245286</v>
      </c>
      <c r="BP180" s="22">
        <f t="shared" si="1442"/>
        <v>355.90999999999997</v>
      </c>
      <c r="BQ180" s="22">
        <f t="shared" si="1442"/>
        <v>-263.32090013140538</v>
      </c>
      <c r="BR180" s="22">
        <f t="shared" si="1442"/>
        <v>788.81000000000006</v>
      </c>
      <c r="BS180" s="22">
        <f t="shared" si="1442"/>
        <v>1679.3223815690371</v>
      </c>
      <c r="BT180" s="22">
        <f t="shared" si="1442"/>
        <v>569.79999999999995</v>
      </c>
      <c r="BU180" s="22">
        <f t="shared" si="1442"/>
        <v>13.148996259518071</v>
      </c>
      <c r="BV180" s="22">
        <f t="shared" si="1442"/>
        <v>682.88</v>
      </c>
      <c r="BW180" s="22">
        <f t="shared" si="1442"/>
        <v>1185.6978780825712</v>
      </c>
      <c r="BX180" s="22">
        <f t="shared" si="1442"/>
        <v>406.22</v>
      </c>
      <c r="BY180" s="22">
        <f t="shared" si="1442"/>
        <v>-671.25953189531799</v>
      </c>
      <c r="BZ180" s="22">
        <f t="shared" si="1442"/>
        <v>218.15</v>
      </c>
      <c r="CA180" s="22">
        <f t="shared" si="1442"/>
        <v>1181.9782274594315</v>
      </c>
      <c r="CB180" s="22">
        <f t="shared" si="1442"/>
        <v>279.3</v>
      </c>
      <c r="CC180" s="22">
        <f t="shared" si="1442"/>
        <v>629.49637228285883</v>
      </c>
      <c r="CD180" s="22">
        <f t="shared" si="1442"/>
        <v>898.35</v>
      </c>
      <c r="CE180" s="22">
        <f t="shared" si="1442"/>
        <v>1824.2804356737843</v>
      </c>
      <c r="CF180" s="22">
        <f t="shared" ref="CF180:CG180" si="1443">CF178+CF179</f>
        <v>727.14</v>
      </c>
      <c r="CG180" s="22">
        <f t="shared" si="1443"/>
        <v>1567.2616234260363</v>
      </c>
      <c r="CH180" s="22">
        <f t="shared" ref="CH180:CI180" si="1444">CH178+CH179</f>
        <v>772.08479999999997</v>
      </c>
      <c r="CI180" s="22">
        <f t="shared" si="1444"/>
        <v>2392.3695040052808</v>
      </c>
      <c r="CJ180" s="22">
        <f t="shared" ref="CJ180:DB180" si="1445">CJ178+CJ179</f>
        <v>210.14</v>
      </c>
      <c r="CK180" s="22">
        <f t="shared" si="1445"/>
        <v>-583.33185681216719</v>
      </c>
      <c r="CL180" s="22">
        <f t="shared" ref="CL180" si="1446">CL178+CL179</f>
        <v>555.31999999999994</v>
      </c>
      <c r="CM180" s="21">
        <f t="shared" si="1445"/>
        <v>1754.9762063672047</v>
      </c>
      <c r="CN180" s="21">
        <f t="shared" si="1445"/>
        <v>2128.2788902287512</v>
      </c>
      <c r="CO180" s="21">
        <f t="shared" si="1445"/>
        <v>1192.944874441203</v>
      </c>
      <c r="CP180" s="21">
        <f t="shared" si="1445"/>
        <v>943.24281377775833</v>
      </c>
      <c r="CQ180" s="21">
        <f t="shared" si="1445"/>
        <v>1567.6359858898961</v>
      </c>
      <c r="CR180" s="21">
        <f t="shared" si="1445"/>
        <v>2124.7259625942638</v>
      </c>
      <c r="CS180" s="21">
        <f t="shared" si="1445"/>
        <v>1141.2818574142898</v>
      </c>
      <c r="CT180" s="21">
        <f t="shared" si="1445"/>
        <v>912.87048579861846</v>
      </c>
      <c r="CU180" s="21">
        <f t="shared" si="1445"/>
        <v>1646.8251268784293</v>
      </c>
      <c r="CV180" s="21">
        <f t="shared" si="1445"/>
        <v>2307.6317739547467</v>
      </c>
      <c r="CW180" s="21">
        <f t="shared" si="1445"/>
        <v>1274.7613228611067</v>
      </c>
      <c r="CX180" s="21">
        <f t="shared" si="1445"/>
        <v>1073.3627646822404</v>
      </c>
      <c r="CY180" s="21">
        <f t="shared" si="1445"/>
        <v>1931.5288405878734</v>
      </c>
      <c r="CZ180" s="21">
        <f t="shared" si="1445"/>
        <v>2710.2209347033086</v>
      </c>
      <c r="DA180" s="21">
        <f t="shared" si="1445"/>
        <v>1626.8844990881421</v>
      </c>
      <c r="DB180" s="21">
        <f t="shared" si="1445"/>
        <v>1459.211583963724</v>
      </c>
      <c r="DE180" s="126"/>
      <c r="DF180" s="22">
        <v>555.32450000000006</v>
      </c>
    </row>
    <row r="181" spans="1:110" s="23" customFormat="1" x14ac:dyDescent="0.2"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x14ac:dyDescent="0.2">
      <c r="A182" s="23" t="s">
        <v>78</v>
      </c>
      <c r="B182" s="23">
        <f>-'Annual Raw'!C49</f>
        <v>0</v>
      </c>
      <c r="C182" s="23">
        <f>-'Annual Raw'!D49</f>
        <v>0</v>
      </c>
      <c r="D182" s="23">
        <f>-'Annual Raw'!E49</f>
        <v>0</v>
      </c>
      <c r="E182" s="23">
        <f>-'Annual Raw'!F49</f>
        <v>0</v>
      </c>
      <c r="F182" s="23">
        <f>-'Annual Raw'!G49</f>
        <v>0</v>
      </c>
      <c r="G182" s="23">
        <f>-'Annual Raw'!H49</f>
        <v>0</v>
      </c>
      <c r="H182" s="23">
        <f>-'Annual Raw'!I49</f>
        <v>0</v>
      </c>
      <c r="I182" s="23">
        <f>-'Annual Raw'!J49</f>
        <v>0</v>
      </c>
      <c r="J182" s="23">
        <f>-'Annual Raw'!K49</f>
        <v>0</v>
      </c>
      <c r="K182" s="23">
        <f>-'Annual Raw'!L49</f>
        <v>-127.1555</v>
      </c>
      <c r="L182" s="23">
        <f>-'Annual Raw'!M49</f>
        <v>-154.22880000000001</v>
      </c>
      <c r="M182" s="23">
        <f>-'Annual Raw'!N49</f>
        <v>-18.914400000000001</v>
      </c>
      <c r="N182" s="23">
        <f>-'Annual Raw'!O49</f>
        <v>-64.721500000000006</v>
      </c>
      <c r="O182" s="23">
        <f>-'Annual Raw'!P49</f>
        <v>-115.7869</v>
      </c>
      <c r="P182" s="23">
        <f>-'Annual Raw'!Q49</f>
        <v>-229.7465</v>
      </c>
      <c r="Q182" s="23">
        <f>-'Annual Raw'!R49</f>
        <v>-152.92529999999999</v>
      </c>
      <c r="R182" s="23">
        <f>-'Annual Raw'!S49</f>
        <v>-190.9358</v>
      </c>
      <c r="S182" s="23">
        <f>-'Annual Raw'!T49</f>
        <v>-168.61349999999999</v>
      </c>
      <c r="T182" s="23">
        <f>-'Annual Raw'!U49</f>
        <v>-193.80250000000001</v>
      </c>
      <c r="U182" s="23">
        <f>-'Annual Raw'!V49</f>
        <v>-53.780700000000003</v>
      </c>
      <c r="V182" s="23">
        <f>-'Annual Raw'!W49</f>
        <v>-122.5574</v>
      </c>
      <c r="W182" s="23">
        <f>-'Annual Raw'!X49</f>
        <v>-222.21629999999999</v>
      </c>
      <c r="X182" s="23">
        <f>-'Annual Raw'!Y49</f>
        <v>-327.62490000000003</v>
      </c>
      <c r="Y182" s="23">
        <f>-'Annual Raw'!Z49</f>
        <v>-552.30229999999995</v>
      </c>
      <c r="Z182" s="23">
        <f>-'Annual Raw'!AA49</f>
        <v>-791.77840000000003</v>
      </c>
      <c r="AA182" s="23">
        <f>-'Annual Raw'!AB49</f>
        <v>-824.7097</v>
      </c>
      <c r="AB182" s="24">
        <f t="shared" ref="AB182:AB183" si="1447">+CP182</f>
        <v>-824.71</v>
      </c>
      <c r="AC182" s="24">
        <f t="shared" ref="AC182:AC183" si="1448">+CT182</f>
        <v>-824.71</v>
      </c>
      <c r="AD182" s="24">
        <f t="shared" ref="AD182:AD183" si="1449">+CX182</f>
        <v>-824.71</v>
      </c>
      <c r="AE182" s="24">
        <f t="shared" ref="AE182:AE183" si="1450">+DB182</f>
        <v>-824.71</v>
      </c>
      <c r="AJ182" s="23">
        <f>+'QTR Raw'!D96</f>
        <v>-140.56</v>
      </c>
      <c r="AK182" s="23">
        <f t="shared" ref="AK182:CE182" si="1451">+AJ182</f>
        <v>-140.56</v>
      </c>
      <c r="AL182" s="23">
        <f>+'QTR Raw'!F96</f>
        <v>-64.72</v>
      </c>
      <c r="AM182" s="23">
        <f t="shared" si="1451"/>
        <v>-64.72</v>
      </c>
      <c r="AN182" s="23">
        <f>+'QTR Raw'!H96</f>
        <v>-188.16</v>
      </c>
      <c r="AO182" s="23">
        <f t="shared" si="1451"/>
        <v>-188.16</v>
      </c>
      <c r="AP182" s="23">
        <f>+'QTR Raw'!J96</f>
        <v>-115.79</v>
      </c>
      <c r="AQ182" s="23">
        <f t="shared" si="1451"/>
        <v>-115.79</v>
      </c>
      <c r="AR182" s="23">
        <f>+'QTR Raw'!L96</f>
        <v>-270.85000000000002</v>
      </c>
      <c r="AS182" s="23">
        <f t="shared" si="1451"/>
        <v>-270.85000000000002</v>
      </c>
      <c r="AT182" s="23">
        <f>+'QTR Raw'!N96</f>
        <v>-192.68</v>
      </c>
      <c r="AU182" s="23">
        <f t="shared" si="1451"/>
        <v>-192.68</v>
      </c>
      <c r="AV182" s="23">
        <f>+'QTR Raw'!P96</f>
        <v>-437.12</v>
      </c>
      <c r="AW182" s="23">
        <f t="shared" si="1451"/>
        <v>-437.12</v>
      </c>
      <c r="AX182" s="23">
        <f>+'QTR Raw'!R96</f>
        <v>-152.91999999999999</v>
      </c>
      <c r="AY182" s="23">
        <f t="shared" si="1451"/>
        <v>-152.91999999999999</v>
      </c>
      <c r="AZ182" s="23">
        <f>+'QTR Raw'!T96</f>
        <v>-349.52</v>
      </c>
      <c r="BA182" s="23">
        <f t="shared" si="1451"/>
        <v>-349.52</v>
      </c>
      <c r="BB182" s="23">
        <f>+'QTR Raw'!V96</f>
        <v>-190.93</v>
      </c>
      <c r="BC182" s="23">
        <f t="shared" si="1451"/>
        <v>-190.93</v>
      </c>
      <c r="BD182" s="23">
        <f>+'QTR Raw'!X96</f>
        <v>-415.26</v>
      </c>
      <c r="BE182" s="23">
        <f t="shared" si="1451"/>
        <v>-415.26</v>
      </c>
      <c r="BF182" s="23">
        <f>+'QTR Raw'!Z96</f>
        <v>-168.61</v>
      </c>
      <c r="BG182" s="23">
        <f t="shared" si="1451"/>
        <v>-168.61</v>
      </c>
      <c r="BH182" s="23">
        <f>+'QTR Raw'!AB96</f>
        <v>-488.57</v>
      </c>
      <c r="BI182" s="23">
        <f t="shared" si="1451"/>
        <v>-488.57</v>
      </c>
      <c r="BJ182" s="23">
        <f>+'QTR Raw'!AD96</f>
        <v>-193.8</v>
      </c>
      <c r="BK182" s="23">
        <f t="shared" si="1451"/>
        <v>-193.8</v>
      </c>
      <c r="BL182" s="23">
        <f>+'QTR Raw'!AF96</f>
        <v>-11.93</v>
      </c>
      <c r="BM182" s="23">
        <f t="shared" si="1451"/>
        <v>-11.93</v>
      </c>
      <c r="BN182" s="23">
        <f>+'QTR Raw'!AH96</f>
        <v>-53.790000000000099</v>
      </c>
      <c r="BO182" s="23">
        <f t="shared" si="1451"/>
        <v>-53.790000000000099</v>
      </c>
      <c r="BP182" s="23">
        <f>+'QTR Raw'!AJ96</f>
        <v>-65.87</v>
      </c>
      <c r="BQ182" s="23">
        <f t="shared" si="1451"/>
        <v>-65.87</v>
      </c>
      <c r="BR182" s="23">
        <f>+'QTR Raw'!AL96</f>
        <v>-122.56</v>
      </c>
      <c r="BS182" s="23">
        <f t="shared" si="1451"/>
        <v>-122.56</v>
      </c>
      <c r="BT182" s="23">
        <f>+'QTR Raw'!AN96</f>
        <v>-190.67</v>
      </c>
      <c r="BU182" s="23">
        <f t="shared" si="1451"/>
        <v>-190.67</v>
      </c>
      <c r="BV182" s="23">
        <f>+'QTR Raw'!AP96</f>
        <v>-222.21</v>
      </c>
      <c r="BW182" s="23">
        <f t="shared" si="1451"/>
        <v>-222.21</v>
      </c>
      <c r="BX182" s="23">
        <f>+'QTR Raw'!AR96</f>
        <v>-231.31</v>
      </c>
      <c r="BY182" s="23">
        <f t="shared" si="1451"/>
        <v>-231.31</v>
      </c>
      <c r="BZ182" s="23">
        <f>+'QTR Raw'!AT96</f>
        <v>-327.62</v>
      </c>
      <c r="CA182" s="23">
        <f t="shared" si="1451"/>
        <v>-327.62</v>
      </c>
      <c r="CB182" s="23">
        <f>+'QTR Raw'!AV96</f>
        <v>-359.51</v>
      </c>
      <c r="CC182" s="23">
        <f t="shared" si="1451"/>
        <v>-359.51</v>
      </c>
      <c r="CD182" s="23">
        <f>+'QTR Raw'!AX96</f>
        <v>-552.29999999999995</v>
      </c>
      <c r="CE182" s="23">
        <f t="shared" si="1451"/>
        <v>-552.29999999999995</v>
      </c>
      <c r="CF182" s="23">
        <f>+'QTR Raw'!AZ96</f>
        <v>-549.84</v>
      </c>
      <c r="CG182" s="23">
        <f t="shared" ref="CG182:CI183" si="1452">+CF182</f>
        <v>-549.84</v>
      </c>
      <c r="CH182" s="23">
        <f t="shared" ref="CH182:CH183" si="1453">Z182</f>
        <v>-791.77840000000003</v>
      </c>
      <c r="CI182" s="23">
        <f t="shared" si="1452"/>
        <v>-791.77840000000003</v>
      </c>
      <c r="CJ182" s="23">
        <f>+'QTR Raw'!BD96</f>
        <v>-798.03</v>
      </c>
      <c r="CK182" s="23">
        <f t="shared" ref="CK182:CK183" si="1454">+CJ182</f>
        <v>-798.03</v>
      </c>
      <c r="CL182" s="23">
        <f>+'QTR Raw'!BF96</f>
        <v>-824.71</v>
      </c>
      <c r="CM182" s="24">
        <f t="shared" ref="CM182:CM183" si="1455">+CL182</f>
        <v>-824.71</v>
      </c>
      <c r="CN182" s="24">
        <f t="shared" ref="CN182:CN183" si="1456">+CM182</f>
        <v>-824.71</v>
      </c>
      <c r="CO182" s="24">
        <f t="shared" ref="CO182:CO183" si="1457">+CN182</f>
        <v>-824.71</v>
      </c>
      <c r="CP182" s="24">
        <f t="shared" ref="CP182:CP183" si="1458">+CO182</f>
        <v>-824.71</v>
      </c>
      <c r="CQ182" s="24">
        <f t="shared" ref="CQ182:CQ183" si="1459">+CP182</f>
        <v>-824.71</v>
      </c>
      <c r="CR182" s="24">
        <f t="shared" ref="CR182:CR183" si="1460">+CQ182</f>
        <v>-824.71</v>
      </c>
      <c r="CS182" s="24">
        <f t="shared" ref="CS182:CS183" si="1461">+CR182</f>
        <v>-824.71</v>
      </c>
      <c r="CT182" s="24">
        <f t="shared" ref="CT182:CT183" si="1462">+CS182</f>
        <v>-824.71</v>
      </c>
      <c r="CU182" s="24">
        <f t="shared" ref="CU182:CU183" si="1463">+CT182</f>
        <v>-824.71</v>
      </c>
      <c r="CV182" s="24">
        <f t="shared" ref="CV182:CV183" si="1464">+CU182</f>
        <v>-824.71</v>
      </c>
      <c r="CW182" s="24">
        <f t="shared" ref="CW182:CW183" si="1465">+CV182</f>
        <v>-824.71</v>
      </c>
      <c r="CX182" s="24">
        <f t="shared" ref="CX182:CX183" si="1466">+CW182</f>
        <v>-824.71</v>
      </c>
      <c r="CY182" s="24">
        <f t="shared" ref="CY182:CY183" si="1467">+CX182</f>
        <v>-824.71</v>
      </c>
      <c r="CZ182" s="24">
        <f t="shared" ref="CZ182:CZ183" si="1468">+CY182</f>
        <v>-824.71</v>
      </c>
      <c r="DA182" s="24">
        <f t="shared" ref="DA182:DA183" si="1469">+CZ182</f>
        <v>-824.71</v>
      </c>
      <c r="DB182" s="24">
        <f t="shared" ref="DB182:DB183" si="1470">+DA182</f>
        <v>-824.71</v>
      </c>
      <c r="DE182" s="123"/>
      <c r="DF182" s="23">
        <v>-824.7097</v>
      </c>
    </row>
    <row r="183" spans="1:110" s="23" customFormat="1" x14ac:dyDescent="0.2">
      <c r="A183" s="23" t="s">
        <v>79</v>
      </c>
      <c r="B183" s="23">
        <f>'Annual Raw'!C83</f>
        <v>0</v>
      </c>
      <c r="C183" s="23">
        <f>'Annual Raw'!D83</f>
        <v>0</v>
      </c>
      <c r="D183" s="23">
        <f>'Annual Raw'!E83</f>
        <v>0</v>
      </c>
      <c r="E183" s="23">
        <f>'Annual Raw'!F83</f>
        <v>0</v>
      </c>
      <c r="F183" s="23">
        <f>'Annual Raw'!G83</f>
        <v>0</v>
      </c>
      <c r="G183" s="23">
        <f>'Annual Raw'!H83</f>
        <v>0</v>
      </c>
      <c r="H183" s="23">
        <f>'Annual Raw'!I83</f>
        <v>0</v>
      </c>
      <c r="I183" s="23">
        <f>'Annual Raw'!J83</f>
        <v>0</v>
      </c>
      <c r="J183" s="23">
        <f>'Annual Raw'!K83</f>
        <v>0</v>
      </c>
      <c r="K183" s="23">
        <f>'Annual Raw'!L83</f>
        <v>0</v>
      </c>
      <c r="L183" s="23">
        <f>'Annual Raw'!M83</f>
        <v>1.41E-2</v>
      </c>
      <c r="M183" s="23">
        <f>'Annual Raw'!N83</f>
        <v>0</v>
      </c>
      <c r="N183" s="23">
        <f>'Annual Raw'!O83</f>
        <v>0</v>
      </c>
      <c r="O183" s="23">
        <f>'Annual Raw'!P83</f>
        <v>0</v>
      </c>
      <c r="P183" s="23">
        <f>'Annual Raw'!Q83</f>
        <v>0</v>
      </c>
      <c r="Q183" s="23">
        <f>'Annual Raw'!R83</f>
        <v>0</v>
      </c>
      <c r="R183" s="23">
        <f>'Annual Raw'!S83</f>
        <v>0</v>
      </c>
      <c r="S183" s="23">
        <f>'Annual Raw'!T83</f>
        <v>0</v>
      </c>
      <c r="T183" s="23">
        <f>'Annual Raw'!U83</f>
        <v>0</v>
      </c>
      <c r="U183" s="23">
        <f>'Annual Raw'!V83</f>
        <v>0</v>
      </c>
      <c r="V183" s="23">
        <f>'Annual Raw'!W83</f>
        <v>0</v>
      </c>
      <c r="W183" s="23">
        <f>'Annual Raw'!X83</f>
        <v>0</v>
      </c>
      <c r="X183" s="23">
        <f>'Annual Raw'!Y83</f>
        <v>0</v>
      </c>
      <c r="Y183" s="23">
        <f>'Annual Raw'!Z83</f>
        <v>0</v>
      </c>
      <c r="Z183" s="23">
        <f>'Annual Raw'!AA83</f>
        <v>0</v>
      </c>
      <c r="AA183" s="23">
        <f>'Annual Raw'!AB83</f>
        <v>0</v>
      </c>
      <c r="AB183" s="24">
        <f t="shared" si="1447"/>
        <v>0</v>
      </c>
      <c r="AC183" s="24">
        <f t="shared" si="1448"/>
        <v>0</v>
      </c>
      <c r="AD183" s="24">
        <f t="shared" si="1449"/>
        <v>0</v>
      </c>
      <c r="AE183" s="24">
        <f t="shared" si="1450"/>
        <v>0</v>
      </c>
      <c r="AJ183" s="23">
        <f>+'QTR Raw'!D95</f>
        <v>0</v>
      </c>
      <c r="AK183" s="23">
        <f t="shared" ref="AK183:CE183" si="1471">+AJ183</f>
        <v>0</v>
      </c>
      <c r="AL183" s="23">
        <f>+'QTR Raw'!F95</f>
        <v>0</v>
      </c>
      <c r="AM183" s="23">
        <f t="shared" si="1471"/>
        <v>0</v>
      </c>
      <c r="AN183" s="23">
        <f>+'QTR Raw'!H95</f>
        <v>0</v>
      </c>
      <c r="AO183" s="23">
        <f t="shared" si="1471"/>
        <v>0</v>
      </c>
      <c r="AP183" s="23">
        <f>+'QTR Raw'!J95</f>
        <v>0</v>
      </c>
      <c r="AQ183" s="23">
        <f t="shared" si="1471"/>
        <v>0</v>
      </c>
      <c r="AR183" s="23">
        <f>+'QTR Raw'!L95</f>
        <v>0</v>
      </c>
      <c r="AS183" s="23">
        <f t="shared" si="1471"/>
        <v>0</v>
      </c>
      <c r="AT183" s="23">
        <f>+'QTR Raw'!N95</f>
        <v>0</v>
      </c>
      <c r="AU183" s="23">
        <f t="shared" si="1471"/>
        <v>0</v>
      </c>
      <c r="AV183" s="23">
        <f>+'QTR Raw'!P95</f>
        <v>0</v>
      </c>
      <c r="AW183" s="23">
        <f t="shared" si="1471"/>
        <v>0</v>
      </c>
      <c r="AX183" s="23">
        <f>+'QTR Raw'!R95</f>
        <v>0</v>
      </c>
      <c r="AY183" s="23">
        <f t="shared" si="1471"/>
        <v>0</v>
      </c>
      <c r="AZ183" s="23">
        <f>+'QTR Raw'!T95</f>
        <v>0</v>
      </c>
      <c r="BA183" s="23">
        <f t="shared" si="1471"/>
        <v>0</v>
      </c>
      <c r="BB183" s="23">
        <f>+'QTR Raw'!V95</f>
        <v>0</v>
      </c>
      <c r="BC183" s="23">
        <f t="shared" si="1471"/>
        <v>0</v>
      </c>
      <c r="BD183" s="23">
        <f>+'QTR Raw'!X95</f>
        <v>0</v>
      </c>
      <c r="BE183" s="23">
        <f t="shared" si="1471"/>
        <v>0</v>
      </c>
      <c r="BF183" s="23">
        <f>+'QTR Raw'!Z95</f>
        <v>0</v>
      </c>
      <c r="BG183" s="23">
        <f t="shared" si="1471"/>
        <v>0</v>
      </c>
      <c r="BH183" s="23">
        <f>+'QTR Raw'!AB95</f>
        <v>0</v>
      </c>
      <c r="BI183" s="23">
        <f t="shared" si="1471"/>
        <v>0</v>
      </c>
      <c r="BJ183" s="23">
        <f>+'QTR Raw'!AD95</f>
        <v>0</v>
      </c>
      <c r="BK183" s="23">
        <f t="shared" si="1471"/>
        <v>0</v>
      </c>
      <c r="BL183" s="23">
        <f>+'QTR Raw'!AF95</f>
        <v>0</v>
      </c>
      <c r="BM183" s="23">
        <f t="shared" si="1471"/>
        <v>0</v>
      </c>
      <c r="BN183" s="23">
        <f>+'QTR Raw'!AH95</f>
        <v>0</v>
      </c>
      <c r="BO183" s="23">
        <f t="shared" si="1471"/>
        <v>0</v>
      </c>
      <c r="BP183" s="23">
        <f>+'QTR Raw'!AJ95</f>
        <v>0</v>
      </c>
      <c r="BQ183" s="23">
        <f t="shared" si="1471"/>
        <v>0</v>
      </c>
      <c r="BR183" s="23">
        <f>+'QTR Raw'!AL95</f>
        <v>0</v>
      </c>
      <c r="BS183" s="23">
        <f t="shared" si="1471"/>
        <v>0</v>
      </c>
      <c r="BT183" s="23">
        <f>+'QTR Raw'!AN95</f>
        <v>0</v>
      </c>
      <c r="BU183" s="23">
        <f t="shared" si="1471"/>
        <v>0</v>
      </c>
      <c r="BV183" s="23">
        <f>+'QTR Raw'!AP95</f>
        <v>0</v>
      </c>
      <c r="BW183" s="23">
        <f t="shared" si="1471"/>
        <v>0</v>
      </c>
      <c r="BX183" s="23">
        <f>+'QTR Raw'!AR95</f>
        <v>0</v>
      </c>
      <c r="BY183" s="23">
        <f t="shared" si="1471"/>
        <v>0</v>
      </c>
      <c r="BZ183" s="23">
        <f>+'QTR Raw'!AT95</f>
        <v>0</v>
      </c>
      <c r="CA183" s="23">
        <f t="shared" si="1471"/>
        <v>0</v>
      </c>
      <c r="CB183" s="23">
        <f>+'QTR Raw'!AV95</f>
        <v>0</v>
      </c>
      <c r="CC183" s="23">
        <f t="shared" si="1471"/>
        <v>0</v>
      </c>
      <c r="CD183" s="23">
        <f>+'QTR Raw'!AX95</f>
        <v>0</v>
      </c>
      <c r="CE183" s="23">
        <f t="shared" si="1471"/>
        <v>0</v>
      </c>
      <c r="CF183" s="23">
        <f>+'QTR Raw'!AZ95</f>
        <v>0</v>
      </c>
      <c r="CG183" s="23">
        <f t="shared" si="1452"/>
        <v>0</v>
      </c>
      <c r="CH183" s="23">
        <f t="shared" si="1453"/>
        <v>0</v>
      </c>
      <c r="CI183" s="23">
        <f t="shared" si="1452"/>
        <v>0</v>
      </c>
      <c r="CJ183" s="23">
        <f>+'QTR Raw'!BD95</f>
        <v>0</v>
      </c>
      <c r="CK183" s="23">
        <f t="shared" si="1454"/>
        <v>0</v>
      </c>
      <c r="CL183" s="23">
        <f>+'QTR Raw'!BF95</f>
        <v>0</v>
      </c>
      <c r="CM183" s="24">
        <f t="shared" si="1455"/>
        <v>0</v>
      </c>
      <c r="CN183" s="24">
        <f t="shared" si="1456"/>
        <v>0</v>
      </c>
      <c r="CO183" s="24">
        <f t="shared" si="1457"/>
        <v>0</v>
      </c>
      <c r="CP183" s="24">
        <f t="shared" si="1458"/>
        <v>0</v>
      </c>
      <c r="CQ183" s="24">
        <f t="shared" si="1459"/>
        <v>0</v>
      </c>
      <c r="CR183" s="24">
        <f t="shared" si="1460"/>
        <v>0</v>
      </c>
      <c r="CS183" s="24">
        <f t="shared" si="1461"/>
        <v>0</v>
      </c>
      <c r="CT183" s="24">
        <f t="shared" si="1462"/>
        <v>0</v>
      </c>
      <c r="CU183" s="24">
        <f t="shared" si="1463"/>
        <v>0</v>
      </c>
      <c r="CV183" s="24">
        <f t="shared" si="1464"/>
        <v>0</v>
      </c>
      <c r="CW183" s="24">
        <f t="shared" si="1465"/>
        <v>0</v>
      </c>
      <c r="CX183" s="24">
        <f t="shared" si="1466"/>
        <v>0</v>
      </c>
      <c r="CY183" s="24">
        <f t="shared" si="1467"/>
        <v>0</v>
      </c>
      <c r="CZ183" s="24">
        <f t="shared" si="1468"/>
        <v>0</v>
      </c>
      <c r="DA183" s="24">
        <f t="shared" si="1469"/>
        <v>0</v>
      </c>
      <c r="DB183" s="24">
        <f t="shared" si="1470"/>
        <v>0</v>
      </c>
      <c r="DE183" s="123"/>
      <c r="DF183" s="23">
        <v>0</v>
      </c>
    </row>
    <row r="184" spans="1:110" s="26" customFormat="1" x14ac:dyDescent="0.2">
      <c r="A184" s="26" t="s">
        <v>438</v>
      </c>
      <c r="B184" s="26">
        <f t="shared" ref="B184:W184" si="1472">B182+B180+B176+B159+B157+B183</f>
        <v>0</v>
      </c>
      <c r="C184" s="26">
        <f t="shared" si="1472"/>
        <v>0</v>
      </c>
      <c r="D184" s="26">
        <f t="shared" si="1472"/>
        <v>0</v>
      </c>
      <c r="E184" s="26">
        <f t="shared" si="1472"/>
        <v>0</v>
      </c>
      <c r="F184" s="26">
        <f t="shared" si="1472"/>
        <v>0</v>
      </c>
      <c r="G184" s="26">
        <f t="shared" si="1472"/>
        <v>0</v>
      </c>
      <c r="H184" s="26">
        <f t="shared" si="1472"/>
        <v>0</v>
      </c>
      <c r="I184" s="26">
        <f t="shared" si="1472"/>
        <v>0</v>
      </c>
      <c r="J184" s="26">
        <f t="shared" si="1472"/>
        <v>0</v>
      </c>
      <c r="K184" s="26">
        <f t="shared" si="1472"/>
        <v>4774.3863000000001</v>
      </c>
      <c r="L184" s="26">
        <f t="shared" si="1472"/>
        <v>6380.2687000000005</v>
      </c>
      <c r="M184" s="26">
        <f t="shared" si="1472"/>
        <v>7339.9456999999993</v>
      </c>
      <c r="N184" s="26">
        <f t="shared" si="1472"/>
        <v>9024.8015999999989</v>
      </c>
      <c r="O184" s="26">
        <f t="shared" si="1472"/>
        <v>9715.1825000000008</v>
      </c>
      <c r="P184" s="26">
        <f t="shared" si="1472"/>
        <v>13537.243400000001</v>
      </c>
      <c r="Q184" s="26">
        <f t="shared" si="1472"/>
        <v>12663.515500000001</v>
      </c>
      <c r="R184" s="26">
        <f t="shared" si="1472"/>
        <v>11481.4341</v>
      </c>
      <c r="S184" s="26">
        <f t="shared" si="1472"/>
        <v>11547.7063</v>
      </c>
      <c r="T184" s="26">
        <f t="shared" si="1472"/>
        <v>11615.446900000001</v>
      </c>
      <c r="U184" s="26">
        <f t="shared" si="1472"/>
        <v>11684.284299999999</v>
      </c>
      <c r="V184" s="26">
        <f t="shared" si="1472"/>
        <v>11622.787600000001</v>
      </c>
      <c r="W184" s="26">
        <f t="shared" si="1472"/>
        <v>12636.348999999998</v>
      </c>
      <c r="X184" s="26">
        <f t="shared" ref="X184:Y184" si="1473">X182+X180+X176+X159+X157+X183</f>
        <v>12061.113699999998</v>
      </c>
      <c r="Y184" s="26">
        <f t="shared" si="1473"/>
        <v>14953.689799999998</v>
      </c>
      <c r="Z184" s="26">
        <f t="shared" ref="Z184:AA184" si="1474">Z182+Z180+Z176+Z159+Z157+Z183</f>
        <v>15599.8442</v>
      </c>
      <c r="AA184" s="26">
        <f t="shared" si="1474"/>
        <v>16322.767000000003</v>
      </c>
      <c r="AB184" s="27">
        <f t="shared" ref="AB184:AD184" si="1475">AB182+AB180+AB176+AB159+AB157+AB183</f>
        <v>17030.206987586345</v>
      </c>
      <c r="AC184" s="27">
        <f t="shared" si="1475"/>
        <v>17988.7897401714</v>
      </c>
      <c r="AD184" s="27">
        <f t="shared" si="1475"/>
        <v>19161.412187208189</v>
      </c>
      <c r="AE184" s="27">
        <f t="shared" ref="AE184" si="1476">AE182+AE180+AE176+AE159+AE157+AE183</f>
        <v>20590.271412826321</v>
      </c>
      <c r="AJ184" s="26">
        <f t="shared" ref="AJ184" si="1477">AJ182+AJ180+AJ176+AJ159+AJ157+AJ183</f>
        <v>6728.03</v>
      </c>
      <c r="AK184" s="26">
        <f t="shared" ref="AK184:AL184" si="1478">AK182+AK180+AK176+AK159+AK157+AK183</f>
        <v>6788.0599999999995</v>
      </c>
      <c r="AL184" s="26">
        <f t="shared" si="1478"/>
        <v>8811.68</v>
      </c>
      <c r="AM184" s="26">
        <f t="shared" ref="AM184:AO184" si="1479">AM182+AM180+AM176+AM159+AM157+AM183</f>
        <v>8826.89</v>
      </c>
      <c r="AN184" s="26">
        <f t="shared" si="1479"/>
        <v>7420.2899999999991</v>
      </c>
      <c r="AO184" s="26">
        <f t="shared" si="1479"/>
        <v>7470.329999999999</v>
      </c>
      <c r="AP184" s="26">
        <f t="shared" ref="AP184:CE184" si="1480">AP182+AP180+AP176+AP159+AP157+AP183</f>
        <v>9501.11</v>
      </c>
      <c r="AQ184" s="26">
        <f t="shared" si="1480"/>
        <v>9556.01</v>
      </c>
      <c r="AR184" s="26">
        <f t="shared" si="1480"/>
        <v>7551.02</v>
      </c>
      <c r="AS184" s="26">
        <f t="shared" si="1480"/>
        <v>7612.94</v>
      </c>
      <c r="AT184" s="26">
        <f t="shared" si="1480"/>
        <v>13081.759999999998</v>
      </c>
      <c r="AU184" s="26">
        <f t="shared" si="1480"/>
        <v>13178.96</v>
      </c>
      <c r="AV184" s="26">
        <f t="shared" si="1480"/>
        <v>9106.5</v>
      </c>
      <c r="AW184" s="26">
        <f t="shared" si="1480"/>
        <v>9090.73</v>
      </c>
      <c r="AX184" s="26">
        <f t="shared" si="1480"/>
        <v>12095.86</v>
      </c>
      <c r="AY184" s="26">
        <f t="shared" si="1480"/>
        <v>12161.64</v>
      </c>
      <c r="AZ184" s="26">
        <f t="shared" si="1480"/>
        <v>9305.86</v>
      </c>
      <c r="BA184" s="26">
        <f t="shared" si="1480"/>
        <v>9386.5300000000007</v>
      </c>
      <c r="BB184" s="26">
        <f t="shared" si="1480"/>
        <v>10759.76</v>
      </c>
      <c r="BC184" s="26">
        <f t="shared" si="1480"/>
        <v>10823.8</v>
      </c>
      <c r="BD184" s="26">
        <f t="shared" si="1480"/>
        <v>9830.9399999999987</v>
      </c>
      <c r="BE184" s="26">
        <f t="shared" si="1480"/>
        <v>9927.1699999999983</v>
      </c>
      <c r="BF184" s="26">
        <f t="shared" si="1480"/>
        <v>11236.99</v>
      </c>
      <c r="BG184" s="26">
        <f t="shared" si="1480"/>
        <v>11329.74</v>
      </c>
      <c r="BH184" s="26">
        <f t="shared" ref="BH184" si="1481">BH182+BH180+BH176+BH159+BH157+BH183</f>
        <v>9711.49</v>
      </c>
      <c r="BI184" s="26">
        <f t="shared" si="1480"/>
        <v>9850.3999999999978</v>
      </c>
      <c r="BJ184" s="26">
        <f t="shared" si="1480"/>
        <v>11217.099999999999</v>
      </c>
      <c r="BK184" s="26">
        <f t="shared" si="1480"/>
        <v>11348.469999999998</v>
      </c>
      <c r="BL184" s="26">
        <f t="shared" si="1480"/>
        <v>11471.56</v>
      </c>
      <c r="BM184" s="26">
        <f t="shared" si="1480"/>
        <v>11561.11</v>
      </c>
      <c r="BN184" s="26">
        <f t="shared" si="1480"/>
        <v>11199.58</v>
      </c>
      <c r="BO184" s="26">
        <f t="shared" si="1480"/>
        <v>11190.34</v>
      </c>
      <c r="BP184" s="26">
        <f t="shared" si="1480"/>
        <v>11229.79</v>
      </c>
      <c r="BQ184" s="26">
        <f t="shared" si="1480"/>
        <v>11295.560000000001</v>
      </c>
      <c r="BR184" s="26">
        <f t="shared" si="1480"/>
        <v>11622.779999999999</v>
      </c>
      <c r="BS184" s="26">
        <f t="shared" si="1480"/>
        <v>11774.880000000001</v>
      </c>
      <c r="BT184" s="26">
        <f t="shared" si="1480"/>
        <v>12057.880000000001</v>
      </c>
      <c r="BU184" s="26">
        <f t="shared" si="1480"/>
        <v>12070.52</v>
      </c>
      <c r="BV184" s="26">
        <f t="shared" si="1480"/>
        <v>12636.35</v>
      </c>
      <c r="BW184" s="26">
        <f t="shared" si="1480"/>
        <v>12641.2</v>
      </c>
      <c r="BX184" s="26">
        <f t="shared" si="1480"/>
        <v>12816.130000000001</v>
      </c>
      <c r="BY184" s="26">
        <f t="shared" si="1480"/>
        <v>13030.57</v>
      </c>
      <c r="BZ184" s="26">
        <f t="shared" si="1480"/>
        <v>12061.11</v>
      </c>
      <c r="CA184" s="26">
        <f t="shared" si="1480"/>
        <v>12325.710000000001</v>
      </c>
      <c r="CB184" s="26">
        <f t="shared" si="1480"/>
        <v>14290.15</v>
      </c>
      <c r="CC184" s="26">
        <f t="shared" si="1480"/>
        <v>14823.36</v>
      </c>
      <c r="CD184" s="26">
        <f t="shared" si="1480"/>
        <v>14953.689999999999</v>
      </c>
      <c r="CE184" s="26">
        <f t="shared" si="1480"/>
        <v>15394.749999999996</v>
      </c>
      <c r="CF184" s="26">
        <f t="shared" ref="CF184:CG184" si="1482">CF182+CF180+CF176+CF159+CF157+CF183</f>
        <v>15445.7</v>
      </c>
      <c r="CG184" s="26">
        <f t="shared" si="1482"/>
        <v>15952.120000000003</v>
      </c>
      <c r="CH184" s="26">
        <f t="shared" ref="CH184:CI184" si="1483">CH182+CH180+CH176+CH159+CH157+CH183</f>
        <v>15599.8442</v>
      </c>
      <c r="CI184" s="26">
        <f t="shared" si="1483"/>
        <v>16023.886699999999</v>
      </c>
      <c r="CJ184" s="26">
        <f t="shared" ref="CJ184:DB184" si="1484">CJ182+CJ180+CJ176+CJ159+CJ157+CJ183</f>
        <v>16794.669999999998</v>
      </c>
      <c r="CK184" s="26">
        <f t="shared" si="1484"/>
        <v>17052.66</v>
      </c>
      <c r="CL184" s="26">
        <f t="shared" ref="CL184" si="1485">CL182+CL180+CL176+CL159+CL157+CL183</f>
        <v>16322.759999999998</v>
      </c>
      <c r="CM184" s="27">
        <f t="shared" si="1484"/>
        <v>16404.293913663343</v>
      </c>
      <c r="CN184" s="27">
        <f t="shared" si="1484"/>
        <v>16539.611333541106</v>
      </c>
      <c r="CO184" s="27">
        <f t="shared" si="1484"/>
        <v>16779.608384279985</v>
      </c>
      <c r="CP184" s="27">
        <f t="shared" si="1484"/>
        <v>17030.206987586345</v>
      </c>
      <c r="CQ184" s="27">
        <f t="shared" si="1484"/>
        <v>17227.238895291033</v>
      </c>
      <c r="CR184" s="27">
        <f t="shared" si="1484"/>
        <v>17397.458652215886</v>
      </c>
      <c r="CS184" s="27">
        <f t="shared" si="1484"/>
        <v>17686.689992783424</v>
      </c>
      <c r="CT184" s="27">
        <f t="shared" si="1484"/>
        <v>17988.7897401714</v>
      </c>
      <c r="CU184" s="27">
        <f t="shared" si="1484"/>
        <v>18233.189746457479</v>
      </c>
      <c r="CV184" s="27">
        <f t="shared" si="1484"/>
        <v>18449.337649985009</v>
      </c>
      <c r="CW184" s="27">
        <f t="shared" si="1484"/>
        <v>18797.657925444677</v>
      </c>
      <c r="CX184" s="27">
        <f t="shared" si="1484"/>
        <v>19161.412187208189</v>
      </c>
      <c r="CY184" s="27">
        <f t="shared" si="1484"/>
        <v>19462.995338214041</v>
      </c>
      <c r="CZ184" s="27">
        <f t="shared" si="1484"/>
        <v>19734.820418269912</v>
      </c>
      <c r="DA184" s="27">
        <f t="shared" si="1484"/>
        <v>20153.375774826894</v>
      </c>
      <c r="DB184" s="27">
        <f t="shared" si="1484"/>
        <v>20590.271412826321</v>
      </c>
      <c r="DE184" s="121"/>
      <c r="DF184" s="26">
        <v>16322.767000000003</v>
      </c>
    </row>
    <row r="185" spans="1:110" s="23" customFormat="1" x14ac:dyDescent="0.2">
      <c r="A185" s="28" t="s">
        <v>439</v>
      </c>
      <c r="B185" s="23">
        <f t="shared" ref="B185:W185" si="1486">B184-B148</f>
        <v>0</v>
      </c>
      <c r="C185" s="23">
        <f t="shared" si="1486"/>
        <v>0</v>
      </c>
      <c r="D185" s="23">
        <f t="shared" si="1486"/>
        <v>0</v>
      </c>
      <c r="E185" s="23">
        <f t="shared" si="1486"/>
        <v>0</v>
      </c>
      <c r="F185" s="23">
        <f t="shared" si="1486"/>
        <v>0</v>
      </c>
      <c r="G185" s="23">
        <f t="shared" si="1486"/>
        <v>0</v>
      </c>
      <c r="H185" s="23">
        <f t="shared" si="1486"/>
        <v>0</v>
      </c>
      <c r="I185" s="23">
        <f t="shared" si="1486"/>
        <v>0</v>
      </c>
      <c r="J185" s="23">
        <f t="shared" si="1486"/>
        <v>0</v>
      </c>
      <c r="K185" s="23">
        <f t="shared" si="1486"/>
        <v>0</v>
      </c>
      <c r="L185" s="23">
        <f t="shared" si="1486"/>
        <v>0</v>
      </c>
      <c r="M185" s="23">
        <f t="shared" si="1486"/>
        <v>0</v>
      </c>
      <c r="N185" s="23">
        <f t="shared" si="1486"/>
        <v>0</v>
      </c>
      <c r="O185" s="23">
        <f t="shared" si="1486"/>
        <v>0</v>
      </c>
      <c r="P185" s="23">
        <f t="shared" si="1486"/>
        <v>0</v>
      </c>
      <c r="Q185" s="23">
        <f t="shared" si="1486"/>
        <v>0</v>
      </c>
      <c r="R185" s="23">
        <f t="shared" si="1486"/>
        <v>0</v>
      </c>
      <c r="S185" s="23">
        <f t="shared" si="1486"/>
        <v>0</v>
      </c>
      <c r="T185" s="23">
        <f t="shared" si="1486"/>
        <v>0</v>
      </c>
      <c r="U185" s="23">
        <f t="shared" si="1486"/>
        <v>0</v>
      </c>
      <c r="V185" s="23">
        <f t="shared" si="1486"/>
        <v>0</v>
      </c>
      <c r="W185" s="23">
        <f t="shared" si="1486"/>
        <v>0</v>
      </c>
      <c r="X185" s="23">
        <f t="shared" ref="X185:Y185" si="1487">X184-X148</f>
        <v>0</v>
      </c>
      <c r="Y185" s="23">
        <f t="shared" si="1487"/>
        <v>0</v>
      </c>
      <c r="Z185" s="23">
        <f t="shared" ref="Z185:AA185" si="1488">Z184-Z148</f>
        <v>0</v>
      </c>
      <c r="AA185" s="23">
        <f t="shared" si="1488"/>
        <v>0</v>
      </c>
      <c r="AB185" s="24">
        <f t="shared" ref="AB185:AD185" si="1489">AB184-AB148</f>
        <v>0</v>
      </c>
      <c r="AC185" s="24">
        <f t="shared" si="1489"/>
        <v>0</v>
      </c>
      <c r="AD185" s="24">
        <f t="shared" si="1489"/>
        <v>0</v>
      </c>
      <c r="AE185" s="24">
        <f t="shared" ref="AE185" si="1490">AE184-AE148</f>
        <v>0</v>
      </c>
      <c r="AJ185" s="23">
        <f t="shared" ref="AJ185" si="1491">AJ184-AJ148</f>
        <v>0</v>
      </c>
      <c r="AK185" s="23">
        <f t="shared" ref="AK185" si="1492">AK184-AK148</f>
        <v>0</v>
      </c>
      <c r="AL185" s="23">
        <f t="shared" ref="AL185:AM185" si="1493">AL184-AL148</f>
        <v>0</v>
      </c>
      <c r="AM185" s="23">
        <f t="shared" si="1493"/>
        <v>0</v>
      </c>
      <c r="AN185" s="23">
        <f t="shared" ref="AN185:AO185" si="1494">AN184-AN148</f>
        <v>0</v>
      </c>
      <c r="AO185" s="23">
        <f t="shared" si="1494"/>
        <v>0</v>
      </c>
      <c r="AP185" s="23">
        <f t="shared" ref="AP185:CE185" si="1495">AP184-AP148</f>
        <v>0</v>
      </c>
      <c r="AQ185" s="23">
        <f t="shared" si="1495"/>
        <v>0</v>
      </c>
      <c r="AR185" s="23">
        <f t="shared" si="1495"/>
        <v>0</v>
      </c>
      <c r="AS185" s="23">
        <f t="shared" si="1495"/>
        <v>0</v>
      </c>
      <c r="AT185" s="23">
        <f t="shared" si="1495"/>
        <v>0</v>
      </c>
      <c r="AU185" s="23">
        <f t="shared" si="1495"/>
        <v>0</v>
      </c>
      <c r="AV185" s="23">
        <f t="shared" si="1495"/>
        <v>0</v>
      </c>
      <c r="AW185" s="23">
        <f t="shared" si="1495"/>
        <v>0</v>
      </c>
      <c r="AX185" s="23">
        <f t="shared" si="1495"/>
        <v>0</v>
      </c>
      <c r="AY185" s="23">
        <f t="shared" si="1495"/>
        <v>0</v>
      </c>
      <c r="AZ185" s="23">
        <f t="shared" si="1495"/>
        <v>0</v>
      </c>
      <c r="BA185" s="23">
        <f t="shared" si="1495"/>
        <v>0</v>
      </c>
      <c r="BB185" s="23">
        <f t="shared" si="1495"/>
        <v>0</v>
      </c>
      <c r="BC185" s="23">
        <f t="shared" si="1495"/>
        <v>0</v>
      </c>
      <c r="BD185" s="23">
        <f t="shared" si="1495"/>
        <v>0</v>
      </c>
      <c r="BE185" s="23">
        <f t="shared" si="1495"/>
        <v>0</v>
      </c>
      <c r="BF185" s="23">
        <f t="shared" si="1495"/>
        <v>0</v>
      </c>
      <c r="BG185" s="23">
        <f t="shared" si="1495"/>
        <v>0</v>
      </c>
      <c r="BH185" s="23">
        <f t="shared" ref="BH185" si="1496">BH184-BH148</f>
        <v>0</v>
      </c>
      <c r="BI185" s="23">
        <f t="shared" si="1495"/>
        <v>0</v>
      </c>
      <c r="BJ185" s="23">
        <f t="shared" si="1495"/>
        <v>0</v>
      </c>
      <c r="BK185" s="23">
        <f t="shared" si="1495"/>
        <v>0</v>
      </c>
      <c r="BL185" s="23">
        <f t="shared" si="1495"/>
        <v>1.0000000000218279E-2</v>
      </c>
      <c r="BM185" s="23">
        <f t="shared" si="1495"/>
        <v>1.0000000000218279E-2</v>
      </c>
      <c r="BN185" s="23">
        <f t="shared" si="1495"/>
        <v>0</v>
      </c>
      <c r="BO185" s="23">
        <f t="shared" si="1495"/>
        <v>0</v>
      </c>
      <c r="BP185" s="23">
        <f t="shared" si="1495"/>
        <v>0</v>
      </c>
      <c r="BQ185" s="23">
        <f t="shared" si="1495"/>
        <v>0</v>
      </c>
      <c r="BR185" s="23">
        <f t="shared" si="1495"/>
        <v>0</v>
      </c>
      <c r="BS185" s="23">
        <f t="shared" si="1495"/>
        <v>0</v>
      </c>
      <c r="BT185" s="23">
        <f t="shared" si="1495"/>
        <v>0</v>
      </c>
      <c r="BU185" s="23">
        <f t="shared" si="1495"/>
        <v>0</v>
      </c>
      <c r="BV185" s="23">
        <f t="shared" si="1495"/>
        <v>0</v>
      </c>
      <c r="BW185" s="23">
        <f t="shared" si="1495"/>
        <v>0</v>
      </c>
      <c r="BX185" s="23">
        <f t="shared" si="1495"/>
        <v>0</v>
      </c>
      <c r="BY185" s="23">
        <f t="shared" si="1495"/>
        <v>0</v>
      </c>
      <c r="BZ185" s="23">
        <f t="shared" si="1495"/>
        <v>0</v>
      </c>
      <c r="CA185" s="23">
        <f t="shared" si="1495"/>
        <v>0</v>
      </c>
      <c r="CB185" s="23">
        <f t="shared" si="1495"/>
        <v>0</v>
      </c>
      <c r="CC185" s="23">
        <f t="shared" si="1495"/>
        <v>0</v>
      </c>
      <c r="CD185" s="23">
        <f t="shared" si="1495"/>
        <v>0</v>
      </c>
      <c r="CE185" s="23">
        <f t="shared" si="1495"/>
        <v>0</v>
      </c>
      <c r="CF185" s="23">
        <f t="shared" ref="CF185:CG185" si="1497">CF184-CF148</f>
        <v>0</v>
      </c>
      <c r="CG185" s="23">
        <f t="shared" si="1497"/>
        <v>0</v>
      </c>
      <c r="CH185" s="23">
        <f t="shared" ref="CH185:CI185" si="1498">CH184-CH148</f>
        <v>0</v>
      </c>
      <c r="CI185" s="23">
        <f t="shared" si="1498"/>
        <v>0</v>
      </c>
      <c r="CJ185" s="23">
        <f t="shared" ref="CJ185:DB185" si="1499">CJ184-CJ148</f>
        <v>0</v>
      </c>
      <c r="CK185" s="23">
        <f t="shared" si="1499"/>
        <v>0</v>
      </c>
      <c r="CL185" s="23">
        <f t="shared" ref="CL185" si="1500">CL184-CL148</f>
        <v>0</v>
      </c>
      <c r="CM185" s="24">
        <f t="shared" si="1499"/>
        <v>0</v>
      </c>
      <c r="CN185" s="24">
        <f t="shared" si="1499"/>
        <v>0</v>
      </c>
      <c r="CO185" s="24">
        <f t="shared" si="1499"/>
        <v>0</v>
      </c>
      <c r="CP185" s="24">
        <f t="shared" si="1499"/>
        <v>0</v>
      </c>
      <c r="CQ185" s="24">
        <f t="shared" si="1499"/>
        <v>0</v>
      </c>
      <c r="CR185" s="24">
        <f t="shared" si="1499"/>
        <v>0</v>
      </c>
      <c r="CS185" s="24">
        <f t="shared" si="1499"/>
        <v>0</v>
      </c>
      <c r="CT185" s="24">
        <f t="shared" si="1499"/>
        <v>0</v>
      </c>
      <c r="CU185" s="24">
        <f t="shared" si="1499"/>
        <v>0</v>
      </c>
      <c r="CV185" s="24">
        <f t="shared" si="1499"/>
        <v>0</v>
      </c>
      <c r="CW185" s="24">
        <f t="shared" si="1499"/>
        <v>0</v>
      </c>
      <c r="CX185" s="24">
        <f t="shared" si="1499"/>
        <v>0</v>
      </c>
      <c r="CY185" s="24">
        <f t="shared" si="1499"/>
        <v>0</v>
      </c>
      <c r="CZ185" s="24">
        <f t="shared" si="1499"/>
        <v>0</v>
      </c>
      <c r="DA185" s="24">
        <f t="shared" si="1499"/>
        <v>0</v>
      </c>
      <c r="DB185" s="24">
        <f t="shared" si="1499"/>
        <v>0</v>
      </c>
      <c r="DE185" s="123"/>
      <c r="DF185" s="23">
        <v>0</v>
      </c>
    </row>
    <row r="186" spans="1:110" s="23" customFormat="1" x14ac:dyDescent="0.2">
      <c r="A186" s="28"/>
      <c r="AB186" s="24"/>
      <c r="AC186" s="24"/>
      <c r="AD186" s="24"/>
      <c r="AE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2" customFormat="1" x14ac:dyDescent="0.2">
      <c r="A187" s="22" t="s">
        <v>80</v>
      </c>
      <c r="B187" s="22">
        <f t="shared" ref="B187:W187" si="1501">B147-B180</f>
        <v>0</v>
      </c>
      <c r="C187" s="22">
        <f t="shared" si="1501"/>
        <v>0</v>
      </c>
      <c r="D187" s="22">
        <f t="shared" si="1501"/>
        <v>0</v>
      </c>
      <c r="E187" s="22">
        <f t="shared" si="1501"/>
        <v>0</v>
      </c>
      <c r="F187" s="22">
        <f t="shared" si="1501"/>
        <v>0</v>
      </c>
      <c r="G187" s="22">
        <f t="shared" si="1501"/>
        <v>0</v>
      </c>
      <c r="H187" s="22">
        <f t="shared" si="1501"/>
        <v>0</v>
      </c>
      <c r="I187" s="22">
        <f t="shared" si="1501"/>
        <v>0</v>
      </c>
      <c r="J187" s="22">
        <f t="shared" si="1501"/>
        <v>0</v>
      </c>
      <c r="K187" s="22">
        <f t="shared" si="1501"/>
        <v>481.50689999999997</v>
      </c>
      <c r="L187" s="22">
        <f t="shared" si="1501"/>
        <v>1886.1369</v>
      </c>
      <c r="M187" s="22">
        <f t="shared" si="1501"/>
        <v>3259.2406000000001</v>
      </c>
      <c r="N187" s="22">
        <f t="shared" si="1501"/>
        <v>4726.4374000000007</v>
      </c>
      <c r="O187" s="22">
        <f t="shared" si="1501"/>
        <v>5782.7256000000007</v>
      </c>
      <c r="P187" s="22">
        <f t="shared" si="1501"/>
        <v>7479.1841999999997</v>
      </c>
      <c r="Q187" s="22">
        <f t="shared" si="1501"/>
        <v>7211.4465</v>
      </c>
      <c r="R187" s="22">
        <f t="shared" si="1501"/>
        <v>6087.6342000000004</v>
      </c>
      <c r="S187" s="22">
        <f t="shared" si="1501"/>
        <v>6202.4672</v>
      </c>
      <c r="T187" s="22">
        <f t="shared" si="1501"/>
        <v>5481.9204</v>
      </c>
      <c r="U187" s="22">
        <f t="shared" si="1501"/>
        <v>5049.3806999999997</v>
      </c>
      <c r="V187" s="22">
        <f t="shared" si="1501"/>
        <v>4294.5379999999996</v>
      </c>
      <c r="W187" s="22">
        <f t="shared" si="1501"/>
        <v>5104.3298999999997</v>
      </c>
      <c r="X187" s="22">
        <f t="shared" ref="X187:Y187" si="1502">X147-X180</f>
        <v>4564.0542000000005</v>
      </c>
      <c r="Y187" s="22">
        <f t="shared" si="1502"/>
        <v>4688.1926000000003</v>
      </c>
      <c r="Z187" s="22">
        <f t="shared" ref="Z187:AA187" si="1503">Z147-Z180</f>
        <v>3873.6775000000002</v>
      </c>
      <c r="AA187" s="22">
        <f t="shared" si="1503"/>
        <v>3484.7248999999997</v>
      </c>
      <c r="AB187" s="21">
        <f t="shared" ref="AB187:AD187" si="1504">AB147-AB180</f>
        <v>2696.8071862222419</v>
      </c>
      <c r="AC187" s="21">
        <f t="shared" si="1504"/>
        <v>2327.1795142013816</v>
      </c>
      <c r="AD187" s="21">
        <f t="shared" si="1504"/>
        <v>1766.6872353177598</v>
      </c>
      <c r="AE187" s="21">
        <f t="shared" ref="AE187" si="1505">AE147-AE180</f>
        <v>980.83841603627616</v>
      </c>
      <c r="AJ187" s="22">
        <f t="shared" ref="AJ187:AM187" si="1506">AJ147-AJ180</f>
        <v>2997.4</v>
      </c>
      <c r="AK187" s="22">
        <f t="shared" si="1506"/>
        <v>3109.9658886452075</v>
      </c>
      <c r="AL187" s="22">
        <f t="shared" si="1506"/>
        <v>4513.3</v>
      </c>
      <c r="AM187" s="22">
        <f t="shared" si="1506"/>
        <v>5116.6842546960943</v>
      </c>
      <c r="AN187" s="22">
        <f t="shared" ref="AN187:AO187" si="1507">AN147-AN180</f>
        <v>3601.29</v>
      </c>
      <c r="AO187" s="22">
        <f t="shared" si="1507"/>
        <v>4584.918872367597</v>
      </c>
      <c r="AP187" s="22">
        <f t="shared" ref="AP187:CE187" si="1508">AP147-AP180</f>
        <v>5568.65</v>
      </c>
      <c r="AQ187" s="22">
        <f t="shared" si="1508"/>
        <v>5044.3207950395272</v>
      </c>
      <c r="AR187" s="22">
        <f t="shared" si="1508"/>
        <v>3433.9000000000005</v>
      </c>
      <c r="AS187" s="22">
        <f t="shared" si="1508"/>
        <v>3688.3700904886391</v>
      </c>
      <c r="AT187" s="22">
        <f t="shared" si="1508"/>
        <v>6982.0399999999991</v>
      </c>
      <c r="AU187" s="22">
        <f t="shared" si="1508"/>
        <v>6594.6579492349774</v>
      </c>
      <c r="AV187" s="22">
        <f t="shared" si="1508"/>
        <v>4490.1500000000005</v>
      </c>
      <c r="AW187" s="22">
        <f t="shared" si="1508"/>
        <v>3753.5685044310253</v>
      </c>
      <c r="AX187" s="22">
        <f t="shared" si="1508"/>
        <v>6643.79</v>
      </c>
      <c r="AY187" s="22">
        <f t="shared" si="1508"/>
        <v>5420.9323264921868</v>
      </c>
      <c r="AZ187" s="22">
        <f t="shared" si="1508"/>
        <v>3865.99</v>
      </c>
      <c r="BA187" s="22">
        <f t="shared" si="1508"/>
        <v>3699.1057993479963</v>
      </c>
      <c r="BB187" s="22">
        <f t="shared" si="1508"/>
        <v>5366.0099999999993</v>
      </c>
      <c r="BC187" s="22">
        <f t="shared" si="1508"/>
        <v>4610.0600395560241</v>
      </c>
      <c r="BD187" s="22">
        <f t="shared" si="1508"/>
        <v>4112.7299999999996</v>
      </c>
      <c r="BE187" s="22">
        <f t="shared" si="1508"/>
        <v>5754.8499193908528</v>
      </c>
      <c r="BF187" s="22">
        <f t="shared" si="1508"/>
        <v>5891.96</v>
      </c>
      <c r="BG187" s="22">
        <f t="shared" si="1508"/>
        <v>6272.9683538394538</v>
      </c>
      <c r="BH187" s="22">
        <f t="shared" si="1508"/>
        <v>3572.4199999999996</v>
      </c>
      <c r="BI187" s="22">
        <f t="shared" si="1508"/>
        <v>3431.6627438076844</v>
      </c>
      <c r="BJ187" s="22">
        <f t="shared" si="1508"/>
        <v>5083.7</v>
      </c>
      <c r="BK187" s="22">
        <f t="shared" si="1508"/>
        <v>4553.6084863770448</v>
      </c>
      <c r="BL187" s="22">
        <f t="shared" si="1508"/>
        <v>5071.26</v>
      </c>
      <c r="BM187" s="22">
        <f t="shared" si="1508"/>
        <v>5394.1111743778874</v>
      </c>
      <c r="BN187" s="22">
        <f t="shared" si="1508"/>
        <v>4565.76</v>
      </c>
      <c r="BO187" s="22">
        <f t="shared" si="1508"/>
        <v>3206.7324128754713</v>
      </c>
      <c r="BP187" s="22">
        <f t="shared" si="1508"/>
        <v>4610.74</v>
      </c>
      <c r="BQ187" s="22">
        <f t="shared" si="1508"/>
        <v>5229.970900131405</v>
      </c>
      <c r="BR187" s="22">
        <f t="shared" si="1508"/>
        <v>4294.54</v>
      </c>
      <c r="BS187" s="22">
        <f t="shared" si="1508"/>
        <v>3404.0276184309632</v>
      </c>
      <c r="BT187" s="22">
        <f t="shared" si="1508"/>
        <v>4781.25</v>
      </c>
      <c r="BU187" s="22">
        <f t="shared" si="1508"/>
        <v>5337.9010037404823</v>
      </c>
      <c r="BV187" s="22">
        <f t="shared" si="1508"/>
        <v>5104.33</v>
      </c>
      <c r="BW187" s="22">
        <f t="shared" si="1508"/>
        <v>4601.5121219174289</v>
      </c>
      <c r="BX187" s="22">
        <f t="shared" si="1508"/>
        <v>5567.11</v>
      </c>
      <c r="BY187" s="22">
        <f t="shared" si="1508"/>
        <v>6644.589531895318</v>
      </c>
      <c r="BZ187" s="22">
        <f t="shared" si="1508"/>
        <v>4564.05</v>
      </c>
      <c r="CA187" s="22">
        <f t="shared" si="1508"/>
        <v>3600.2217725405681</v>
      </c>
      <c r="CB187" s="22">
        <f t="shared" si="1508"/>
        <v>5664.07</v>
      </c>
      <c r="CC187" s="22">
        <f t="shared" si="1508"/>
        <v>5313.8736277171411</v>
      </c>
      <c r="CD187" s="22">
        <f t="shared" si="1508"/>
        <v>4688.1899999999996</v>
      </c>
      <c r="CE187" s="22">
        <f t="shared" si="1508"/>
        <v>3762.2595643262157</v>
      </c>
      <c r="CF187" s="22">
        <f t="shared" ref="CF187:CG187" si="1509">CF147-CF180</f>
        <v>4583.7199999999993</v>
      </c>
      <c r="CG187" s="22">
        <f t="shared" si="1509"/>
        <v>3743.5983765739634</v>
      </c>
      <c r="CH187" s="22">
        <f t="shared" ref="CH187:CI187" si="1510">CH147-CH180</f>
        <v>3873.6775000000002</v>
      </c>
      <c r="CI187" s="22">
        <f t="shared" si="1510"/>
        <v>2253.3927959947196</v>
      </c>
      <c r="CJ187" s="22">
        <f t="shared" ref="CJ187:DB187" si="1511">CJ147-CJ180</f>
        <v>4767.03</v>
      </c>
      <c r="CK187" s="22">
        <f t="shared" si="1511"/>
        <v>5560.5018568121668</v>
      </c>
      <c r="CL187" s="22">
        <f t="shared" ref="CL187" si="1512">CL147-CL180</f>
        <v>3484.7300000000005</v>
      </c>
      <c r="CM187" s="21">
        <f t="shared" si="1511"/>
        <v>2185.0737936327955</v>
      </c>
      <c r="CN187" s="21">
        <f t="shared" si="1511"/>
        <v>1711.771109771249</v>
      </c>
      <c r="CO187" s="21">
        <f t="shared" si="1511"/>
        <v>2547.1051255587972</v>
      </c>
      <c r="CP187" s="21">
        <f t="shared" si="1511"/>
        <v>2696.8071862222419</v>
      </c>
      <c r="CQ187" s="21">
        <f t="shared" si="1511"/>
        <v>1972.4140141101041</v>
      </c>
      <c r="CR187" s="21">
        <f t="shared" si="1511"/>
        <v>1315.3240374057364</v>
      </c>
      <c r="CS187" s="21">
        <f t="shared" si="1511"/>
        <v>2198.7681425857104</v>
      </c>
      <c r="CT187" s="21">
        <f t="shared" si="1511"/>
        <v>2327.1795142013816</v>
      </c>
      <c r="CU187" s="21">
        <f t="shared" si="1511"/>
        <v>1493.2248731215709</v>
      </c>
      <c r="CV187" s="21">
        <f t="shared" si="1511"/>
        <v>732.4182260452535</v>
      </c>
      <c r="CW187" s="21">
        <f t="shared" si="1511"/>
        <v>1665.2886771388935</v>
      </c>
      <c r="CX187" s="21">
        <f t="shared" si="1511"/>
        <v>1766.6872353177598</v>
      </c>
      <c r="CY187" s="21">
        <f t="shared" si="1511"/>
        <v>808.52115941212674</v>
      </c>
      <c r="CZ187" s="21">
        <f t="shared" si="1511"/>
        <v>-70.170934703308376</v>
      </c>
      <c r="DA187" s="21">
        <f t="shared" si="1511"/>
        <v>913.16550091185809</v>
      </c>
      <c r="DB187" s="21">
        <f t="shared" si="1511"/>
        <v>980.83841603627616</v>
      </c>
      <c r="DE187" s="126"/>
      <c r="DF187" s="22">
        <v>3484.7248999999997</v>
      </c>
    </row>
    <row r="188" spans="1:110" x14ac:dyDescent="0.2">
      <c r="AA188" s="2"/>
      <c r="CE188" s="111"/>
      <c r="CG188" s="111"/>
      <c r="CL188" s="2"/>
    </row>
    <row r="189" spans="1:110" s="49" customFormat="1" x14ac:dyDescent="0.2">
      <c r="A189" s="49" t="s">
        <v>81</v>
      </c>
      <c r="B189" s="49">
        <f>'Annual Raw'!C85</f>
        <v>0</v>
      </c>
      <c r="C189" s="49">
        <f>'Annual Raw'!D85</f>
        <v>0</v>
      </c>
      <c r="D189" s="49">
        <f>'Annual Raw'!E85</f>
        <v>0</v>
      </c>
      <c r="E189" s="49">
        <f>'Annual Raw'!F85</f>
        <v>0</v>
      </c>
      <c r="F189" s="49">
        <f>'Annual Raw'!G85</f>
        <v>0</v>
      </c>
      <c r="G189" s="49">
        <f>'Annual Raw'!H85</f>
        <v>0</v>
      </c>
      <c r="H189" s="49">
        <f>'Annual Raw'!I85</f>
        <v>0</v>
      </c>
      <c r="I189" s="49">
        <f>'Annual Raw'!J85</f>
        <v>0</v>
      </c>
      <c r="J189" s="49">
        <f>'Annual Raw'!K85</f>
        <v>0</v>
      </c>
      <c r="K189" s="49">
        <f>'Annual Raw'!L85</f>
        <v>1434.8768</v>
      </c>
      <c r="L189" s="49">
        <f>'Annual Raw'!M85</f>
        <v>2172.0408000000002</v>
      </c>
      <c r="M189" s="49">
        <f>'Annual Raw'!N85</f>
        <v>2194.8861999999999</v>
      </c>
      <c r="N189" s="49">
        <f>'Annual Raw'!O85</f>
        <v>1557.8967</v>
      </c>
      <c r="O189" s="49">
        <f>'Annual Raw'!P85</f>
        <v>1630.4186999999999</v>
      </c>
      <c r="P189" s="49">
        <f>'Annual Raw'!Q85</f>
        <v>1896.5626</v>
      </c>
      <c r="Q189" s="49">
        <f>'Annual Raw'!R85</f>
        <v>2410.6904</v>
      </c>
      <c r="R189" s="49">
        <f>'Annual Raw'!S85</f>
        <v>1447.4444000000001</v>
      </c>
      <c r="S189" s="49">
        <f>'Annual Raw'!T85</f>
        <v>2464.4097000000002</v>
      </c>
      <c r="T189" s="49">
        <f>'Annual Raw'!U85</f>
        <v>2109.8757000000001</v>
      </c>
      <c r="U189" s="49">
        <f>'Annual Raw'!V85</f>
        <v>3003.8935999999999</v>
      </c>
      <c r="V189" s="49">
        <f>'Annual Raw'!W85</f>
        <v>1860.2194</v>
      </c>
      <c r="W189" s="49">
        <f>'Annual Raw'!X85</f>
        <v>2475.1849999999999</v>
      </c>
      <c r="X189" s="49">
        <f>'Annual Raw'!Y85</f>
        <v>3232.6765</v>
      </c>
      <c r="Y189" s="49">
        <f>'Annual Raw'!Z85</f>
        <v>4313.7300999999998</v>
      </c>
      <c r="Z189" s="49">
        <f>'Annual Raw'!AA85</f>
        <v>4235.8440000000001</v>
      </c>
      <c r="AA189" s="49">
        <f>'Annual Raw'!AB85</f>
        <v>3314.9814999999999</v>
      </c>
      <c r="AB189" s="50"/>
      <c r="AC189" s="50"/>
      <c r="AD189" s="50"/>
      <c r="AE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E189" s="138"/>
      <c r="DF189" s="49">
        <v>3314.9814999999999</v>
      </c>
    </row>
    <row r="190" spans="1:110" s="29" customFormat="1" x14ac:dyDescent="0.2">
      <c r="A190" s="29" t="s">
        <v>82</v>
      </c>
      <c r="B190" s="29">
        <f>'Annual Raw'!C95</f>
        <v>0</v>
      </c>
      <c r="C190" s="29">
        <f>'Annual Raw'!D95</f>
        <v>0</v>
      </c>
      <c r="D190" s="29">
        <f>'Annual Raw'!E95</f>
        <v>0</v>
      </c>
      <c r="E190" s="29">
        <f>'Annual Raw'!F95</f>
        <v>0</v>
      </c>
      <c r="F190" s="29">
        <f>'Annual Raw'!G95</f>
        <v>0</v>
      </c>
      <c r="G190" s="29">
        <f>'Annual Raw'!H95</f>
        <v>0</v>
      </c>
      <c r="H190" s="29">
        <f>'Annual Raw'!I95</f>
        <v>0</v>
      </c>
      <c r="I190" s="29">
        <f>'Annual Raw'!J95</f>
        <v>0</v>
      </c>
      <c r="J190" s="29">
        <f>'Annual Raw'!K95</f>
        <v>0</v>
      </c>
      <c r="K190" s="29">
        <f>'Annual Raw'!L95</f>
        <v>922.72270000000003</v>
      </c>
      <c r="L190" s="29">
        <f>'Annual Raw'!M95</f>
        <v>1136.6566</v>
      </c>
      <c r="M190" s="29">
        <f>'Annual Raw'!N95</f>
        <v>1187.6943000000001</v>
      </c>
      <c r="N190" s="29">
        <f>'Annual Raw'!O95</f>
        <v>1522.1344999999999</v>
      </c>
      <c r="O190" s="29">
        <f>'Annual Raw'!P95</f>
        <v>1592.9174</v>
      </c>
      <c r="P190" s="29">
        <f>'Annual Raw'!Q95</f>
        <v>1875.2028</v>
      </c>
      <c r="Q190" s="29">
        <f>'Annual Raw'!R95</f>
        <v>2380.9268999999999</v>
      </c>
      <c r="R190" s="29">
        <f>'Annual Raw'!S95</f>
        <v>1421.7277999999999</v>
      </c>
      <c r="S190" s="29">
        <f>'Annual Raw'!T95</f>
        <v>2430.4544999999998</v>
      </c>
      <c r="T190" s="29">
        <f>'Annual Raw'!U95</f>
        <v>2079.1181999999999</v>
      </c>
      <c r="U190" s="29">
        <f>'Annual Raw'!V95</f>
        <v>2649.8029000000001</v>
      </c>
      <c r="V190" s="29">
        <f>'Annual Raw'!W95</f>
        <v>1831.2213999999999</v>
      </c>
      <c r="W190" s="29">
        <f>'Annual Raw'!X95</f>
        <v>2457.4868999999999</v>
      </c>
      <c r="X190" s="29">
        <f>'Annual Raw'!Y95</f>
        <v>3126.5826000000002</v>
      </c>
      <c r="Y190" s="29">
        <f>'Annual Raw'!Z95</f>
        <v>4179.5803999999998</v>
      </c>
      <c r="Z190" s="29">
        <f>'Annual Raw'!AA95</f>
        <v>4206.5870999999997</v>
      </c>
      <c r="AA190" s="29">
        <f>'Annual Raw'!AB95</f>
        <v>3301.9065000000001</v>
      </c>
      <c r="AB190" s="30"/>
      <c r="AC190" s="30"/>
      <c r="AD190" s="30"/>
      <c r="AE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  <c r="DF190" s="29">
        <v>3301.9065000000001</v>
      </c>
    </row>
    <row r="191" spans="1:110" s="29" customFormat="1" x14ac:dyDescent="0.2">
      <c r="A191" s="29" t="s">
        <v>83</v>
      </c>
      <c r="B191" s="29">
        <f>'Annual Raw'!C93</f>
        <v>0</v>
      </c>
      <c r="C191" s="29">
        <f>'Annual Raw'!D93</f>
        <v>0</v>
      </c>
      <c r="D191" s="29">
        <f>'Annual Raw'!E93</f>
        <v>0</v>
      </c>
      <c r="E191" s="29">
        <f>'Annual Raw'!F93</f>
        <v>0</v>
      </c>
      <c r="F191" s="29">
        <f>'Annual Raw'!G93</f>
        <v>0</v>
      </c>
      <c r="G191" s="29">
        <f>'Annual Raw'!H93</f>
        <v>0</v>
      </c>
      <c r="H191" s="29">
        <f>'Annual Raw'!I93</f>
        <v>0</v>
      </c>
      <c r="I191" s="29">
        <f>'Annual Raw'!J93</f>
        <v>0</v>
      </c>
      <c r="J191" s="29">
        <f>'Annual Raw'!K93</f>
        <v>0</v>
      </c>
      <c r="K191" s="29">
        <f>'Annual Raw'!L93</f>
        <v>16.978899999999999</v>
      </c>
      <c r="L191" s="29">
        <f>'Annual Raw'!M93</f>
        <v>29.990300000000001</v>
      </c>
      <c r="M191" s="29">
        <f>'Annual Raw'!N93</f>
        <v>38.278599999999997</v>
      </c>
      <c r="N191" s="29">
        <f>'Annual Raw'!O93</f>
        <v>35.122599999999998</v>
      </c>
      <c r="O191" s="29">
        <f>'Annual Raw'!P93</f>
        <v>34.139899999999997</v>
      </c>
      <c r="P191" s="29">
        <f>'Annual Raw'!Q93</f>
        <v>21.3598</v>
      </c>
      <c r="Q191" s="29">
        <f>'Annual Raw'!R93</f>
        <v>29.763500000000001</v>
      </c>
      <c r="R191" s="29">
        <f>'Annual Raw'!S93</f>
        <v>25.7166</v>
      </c>
      <c r="S191" s="29">
        <f>'Annual Raw'!T93</f>
        <v>33.955199999999998</v>
      </c>
      <c r="T191" s="29">
        <f>'Annual Raw'!U93</f>
        <v>30.7575</v>
      </c>
      <c r="U191" s="29">
        <f>'Annual Raw'!V93</f>
        <v>354.09070000000003</v>
      </c>
      <c r="V191" s="29">
        <f>'Annual Raw'!W93</f>
        <v>28.998000000000001</v>
      </c>
      <c r="W191" s="29">
        <f>'Annual Raw'!X93</f>
        <v>17.6981</v>
      </c>
      <c r="X191" s="29">
        <f>'Annual Raw'!Y93</f>
        <v>106.0939</v>
      </c>
      <c r="Y191" s="29">
        <f>'Annual Raw'!Z93</f>
        <v>134.1497</v>
      </c>
      <c r="Z191" s="29">
        <f>'Annual Raw'!AA93</f>
        <v>29.256900000000002</v>
      </c>
      <c r="AA191" s="29">
        <f>'Annual Raw'!AB93</f>
        <v>13.074999999999999</v>
      </c>
      <c r="AB191" s="30"/>
      <c r="AC191" s="30"/>
      <c r="AD191" s="30"/>
      <c r="AE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13.074999999999999</v>
      </c>
    </row>
    <row r="192" spans="1:110" s="29" customFormat="1" x14ac:dyDescent="0.2">
      <c r="A192" s="29" t="s">
        <v>84</v>
      </c>
      <c r="B192" s="29">
        <f t="shared" ref="B192:V192" si="1513">B189-B190-B191</f>
        <v>0</v>
      </c>
      <c r="C192" s="29">
        <f t="shared" si="1513"/>
        <v>0</v>
      </c>
      <c r="D192" s="29">
        <f t="shared" si="1513"/>
        <v>0</v>
      </c>
      <c r="E192" s="29">
        <f t="shared" si="1513"/>
        <v>0</v>
      </c>
      <c r="F192" s="29">
        <f t="shared" si="1513"/>
        <v>0</v>
      </c>
      <c r="G192" s="29">
        <f t="shared" si="1513"/>
        <v>0</v>
      </c>
      <c r="H192" s="29">
        <f t="shared" si="1513"/>
        <v>0</v>
      </c>
      <c r="I192" s="29">
        <f t="shared" si="1513"/>
        <v>0</v>
      </c>
      <c r="J192" s="29">
        <f t="shared" si="1513"/>
        <v>0</v>
      </c>
      <c r="K192" s="29">
        <f t="shared" si="1513"/>
        <v>495.17519999999996</v>
      </c>
      <c r="L192" s="29">
        <f t="shared" si="1513"/>
        <v>1005.3939000000001</v>
      </c>
      <c r="M192" s="29">
        <f t="shared" si="1513"/>
        <v>968.91329999999982</v>
      </c>
      <c r="N192" s="29">
        <f t="shared" si="1513"/>
        <v>0.63960000000012229</v>
      </c>
      <c r="O192" s="29">
        <f t="shared" si="1513"/>
        <v>3.3613999999999038</v>
      </c>
      <c r="P192" s="29">
        <f t="shared" si="1513"/>
        <v>-4.9737991503207013E-14</v>
      </c>
      <c r="Q192" s="29">
        <f t="shared" si="1513"/>
        <v>0</v>
      </c>
      <c r="R192" s="29">
        <f t="shared" si="1513"/>
        <v>1.9895196601282805E-13</v>
      </c>
      <c r="S192" s="29">
        <f t="shared" si="1513"/>
        <v>3.3395508580724709E-13</v>
      </c>
      <c r="T192" s="29">
        <f t="shared" si="1513"/>
        <v>1.6342482922482304E-13</v>
      </c>
      <c r="U192" s="29">
        <f t="shared" si="1513"/>
        <v>0</v>
      </c>
      <c r="V192" s="29">
        <f t="shared" si="1513"/>
        <v>4.6185277824406512E-14</v>
      </c>
      <c r="W192" s="29">
        <f t="shared" ref="W192" si="1514">W189-W190-W191</f>
        <v>6.7501559897209518E-14</v>
      </c>
      <c r="X192" s="29">
        <f t="shared" ref="X192:Y192" si="1515">X189-X190-X191</f>
        <v>-1.5631940186722204E-13</v>
      </c>
      <c r="Y192" s="29">
        <f t="shared" si="1515"/>
        <v>0</v>
      </c>
      <c r="Z192" s="29">
        <f t="shared" ref="Z192:AA192" si="1516">Z189-Z190-Z191</f>
        <v>3.1263880373444408E-13</v>
      </c>
      <c r="AA192" s="29">
        <f t="shared" si="1516"/>
        <v>-1.8118839761882555E-13</v>
      </c>
      <c r="AB192" s="30">
        <f t="shared" ref="AB192:AD192" si="1517">AB189-AB190-AB191</f>
        <v>0</v>
      </c>
      <c r="AC192" s="30">
        <f t="shared" si="1517"/>
        <v>0</v>
      </c>
      <c r="AD192" s="30">
        <f t="shared" si="1517"/>
        <v>0</v>
      </c>
      <c r="AE192" s="30">
        <f t="shared" ref="AE192" si="1518">AE189-AE190-AE191</f>
        <v>0</v>
      </c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-1.8118839761882555E-13</v>
      </c>
    </row>
    <row r="193" spans="1:110" s="5" customFormat="1" x14ac:dyDescent="0.2">
      <c r="AB193" s="63"/>
      <c r="AC193" s="63"/>
      <c r="AD193" s="63"/>
      <c r="AE193" s="63"/>
      <c r="CE193" s="112"/>
      <c r="CG193" s="112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95" customFormat="1" x14ac:dyDescent="0.2">
      <c r="A194" s="95" t="s">
        <v>85</v>
      </c>
      <c r="B194" s="95" t="e">
        <f t="shared" ref="B194:W194" si="1519">B189/B139</f>
        <v>#DIV/0!</v>
      </c>
      <c r="C194" s="95" t="e">
        <f t="shared" si="1519"/>
        <v>#DIV/0!</v>
      </c>
      <c r="D194" s="95" t="e">
        <f t="shared" si="1519"/>
        <v>#DIV/0!</v>
      </c>
      <c r="E194" s="95" t="e">
        <f t="shared" si="1519"/>
        <v>#DIV/0!</v>
      </c>
      <c r="F194" s="95" t="e">
        <f t="shared" si="1519"/>
        <v>#DIV/0!</v>
      </c>
      <c r="G194" s="95" t="e">
        <f t="shared" si="1519"/>
        <v>#DIV/0!</v>
      </c>
      <c r="H194" s="95" t="e">
        <f t="shared" si="1519"/>
        <v>#DIV/0!</v>
      </c>
      <c r="I194" s="95" t="e">
        <f t="shared" si="1519"/>
        <v>#DIV/0!</v>
      </c>
      <c r="J194" s="95" t="e">
        <f t="shared" si="1519"/>
        <v>#DIV/0!</v>
      </c>
      <c r="K194" s="95">
        <f t="shared" si="1519"/>
        <v>0.38916667649837627</v>
      </c>
      <c r="L194" s="95">
        <f t="shared" si="1519"/>
        <v>0.53374677125515058</v>
      </c>
      <c r="M194" s="95">
        <f t="shared" si="1519"/>
        <v>0.58960692857101793</v>
      </c>
      <c r="N194" s="95">
        <f t="shared" si="1519"/>
        <v>0.4247865421972295</v>
      </c>
      <c r="O194" s="95">
        <f t="shared" si="1519"/>
        <v>0.45690810992224379</v>
      </c>
      <c r="P194" s="95">
        <f t="shared" si="1519"/>
        <v>0.35186050420604592</v>
      </c>
      <c r="Q194" s="95">
        <f t="shared" si="1519"/>
        <v>0.47062080298649694</v>
      </c>
      <c r="R194" s="95">
        <f t="shared" si="1519"/>
        <v>0.26873513719246866</v>
      </c>
      <c r="S194" s="95">
        <f t="shared" si="1519"/>
        <v>0.44836821284925382</v>
      </c>
      <c r="T194" s="95">
        <f t="shared" si="1519"/>
        <v>0.33584107318845846</v>
      </c>
      <c r="U194" s="95">
        <f t="shared" si="1519"/>
        <v>0.44413313939029775</v>
      </c>
      <c r="V194" s="95">
        <f t="shared" si="1519"/>
        <v>0.26639125441563027</v>
      </c>
      <c r="W194" s="95">
        <f t="shared" si="1519"/>
        <v>0.33611128805613993</v>
      </c>
      <c r="X194" s="95">
        <f t="shared" ref="X194:Y194" si="1520">X189/X139</f>
        <v>0.40811894066414733</v>
      </c>
      <c r="Y194" s="95">
        <f t="shared" si="1520"/>
        <v>0.42738426682843156</v>
      </c>
      <c r="Z194" s="95">
        <f t="shared" ref="Z194:AA194" si="1521">Z189/Z139</f>
        <v>0.37120840163536117</v>
      </c>
      <c r="AA194" s="95">
        <f t="shared" si="1521"/>
        <v>0.26363265171996647</v>
      </c>
      <c r="AB194" s="87">
        <f t="shared" ref="AB194:AD194" si="1522">AB189/AB139</f>
        <v>0</v>
      </c>
      <c r="AC194" s="87">
        <f t="shared" si="1522"/>
        <v>0</v>
      </c>
      <c r="AD194" s="87">
        <f t="shared" si="1522"/>
        <v>0</v>
      </c>
      <c r="AE194" s="87">
        <f t="shared" ref="AE194" si="1523">AE189/AE139</f>
        <v>0</v>
      </c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E194" s="140"/>
      <c r="DF194" s="95">
        <v>0.26363265171996647</v>
      </c>
    </row>
    <row r="195" spans="1:110" x14ac:dyDescent="0.2">
      <c r="A195" s="152" t="s">
        <v>492</v>
      </c>
      <c r="AA195" s="2"/>
      <c r="CE195" s="111"/>
      <c r="CG195" s="111"/>
      <c r="CL195" s="2"/>
    </row>
    <row r="196" spans="1:110" s="6" customFormat="1" x14ac:dyDescent="0.2">
      <c r="AB196" s="19"/>
      <c r="AC196" s="19"/>
      <c r="AD196" s="19"/>
      <c r="AE196" s="19"/>
      <c r="CE196" s="113"/>
      <c r="CG196" s="113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62" customFormat="1" x14ac:dyDescent="0.2">
      <c r="A197" s="153" t="s">
        <v>493</v>
      </c>
      <c r="AB197" s="63"/>
      <c r="AC197" s="63"/>
      <c r="AD197" s="63"/>
      <c r="AE197" s="63"/>
      <c r="CE197" s="114"/>
      <c r="CG197" s="114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62" customFormat="1" outlineLevel="1" x14ac:dyDescent="0.2">
      <c r="A198" s="68" t="s">
        <v>464</v>
      </c>
      <c r="B198" s="67" t="e">
        <f t="shared" ref="B198:AE198" si="1524">B163/B27*365</f>
        <v>#DIV/0!</v>
      </c>
      <c r="C198" s="67" t="e">
        <f t="shared" si="1524"/>
        <v>#DIV/0!</v>
      </c>
      <c r="D198" s="67" t="e">
        <f t="shared" si="1524"/>
        <v>#DIV/0!</v>
      </c>
      <c r="E198" s="67" t="e">
        <f t="shared" si="1524"/>
        <v>#DIV/0!</v>
      </c>
      <c r="F198" s="67" t="e">
        <f t="shared" si="1524"/>
        <v>#DIV/0!</v>
      </c>
      <c r="G198" s="67" t="e">
        <f t="shared" si="1524"/>
        <v>#DIV/0!</v>
      </c>
      <c r="H198" s="67" t="e">
        <f t="shared" si="1524"/>
        <v>#DIV/0!</v>
      </c>
      <c r="I198" s="67" t="e">
        <f t="shared" si="1524"/>
        <v>#DIV/0!</v>
      </c>
      <c r="J198" s="67" t="e">
        <f t="shared" si="1524"/>
        <v>#DIV/0!</v>
      </c>
      <c r="K198" s="67">
        <f t="shared" si="1524"/>
        <v>40.273498485173093</v>
      </c>
      <c r="L198" s="67">
        <f t="shared" si="1524"/>
        <v>130.98778300226894</v>
      </c>
      <c r="M198" s="67">
        <f t="shared" si="1524"/>
        <v>125.64400806070256</v>
      </c>
      <c r="N198" s="67">
        <f t="shared" si="1524"/>
        <v>94.14083326807858</v>
      </c>
      <c r="O198" s="67">
        <f t="shared" si="1524"/>
        <v>100.81343855320603</v>
      </c>
      <c r="P198" s="67">
        <f t="shared" si="1524"/>
        <v>128.01817010544033</v>
      </c>
      <c r="Q198" s="67">
        <f t="shared" si="1524"/>
        <v>113.33835509573805</v>
      </c>
      <c r="R198" s="67">
        <f t="shared" si="1524"/>
        <v>114.81555942272709</v>
      </c>
      <c r="S198" s="67">
        <f t="shared" si="1524"/>
        <v>104.97443623578471</v>
      </c>
      <c r="T198" s="67">
        <f t="shared" si="1524"/>
        <v>96.016820448385516</v>
      </c>
      <c r="U198" s="67">
        <f t="shared" si="1524"/>
        <v>84.359059137062332</v>
      </c>
      <c r="V198" s="67">
        <f t="shared" si="1524"/>
        <v>99.898596264887431</v>
      </c>
      <c r="W198" s="67">
        <f t="shared" si="1524"/>
        <v>103.07692444782035</v>
      </c>
      <c r="X198" s="67">
        <f t="shared" si="1524"/>
        <v>83.851305610311385</v>
      </c>
      <c r="Y198" s="67">
        <f t="shared" si="1524"/>
        <v>85.256430860192935</v>
      </c>
      <c r="Z198" s="67">
        <f t="shared" si="1524"/>
        <v>86.22567751410412</v>
      </c>
      <c r="AA198" s="67">
        <f t="shared" ref="AA198" si="1525">AA163/AA27*365</f>
        <v>107.43463796020168</v>
      </c>
      <c r="AB198" s="18">
        <f t="shared" si="1524"/>
        <v>103.57348290548434</v>
      </c>
      <c r="AC198" s="18">
        <f t="shared" si="1524"/>
        <v>103.24964082554459</v>
      </c>
      <c r="AD198" s="18">
        <f t="shared" si="1524"/>
        <v>103.37115043739415</v>
      </c>
      <c r="AE198" s="18">
        <f t="shared" si="1524"/>
        <v>103.4837689993066</v>
      </c>
      <c r="AI198" s="67">
        <f>AJ163/AI27*90</f>
        <v>134.72485915547534</v>
      </c>
      <c r="AJ198" s="67">
        <f>AJ163/AJ27*90</f>
        <v>106.20674066698027</v>
      </c>
      <c r="AK198" s="67">
        <f t="shared" ref="AK198:CE198" si="1526">+AJ198</f>
        <v>106.20674066698027</v>
      </c>
      <c r="AL198" s="67">
        <f>AL163/AL27*90</f>
        <v>163.99767363555668</v>
      </c>
      <c r="AM198" s="67">
        <f t="shared" ref="AM198:AM199" si="1527">+AL198</f>
        <v>163.99767363555668</v>
      </c>
      <c r="AN198" s="67">
        <f>AN163/AN27*90</f>
        <v>115.22860931030836</v>
      </c>
      <c r="AO198" s="67">
        <f t="shared" ref="AO198:AO199" si="1528">+AN198</f>
        <v>115.22860931030836</v>
      </c>
      <c r="AP198" s="67">
        <f>AP163/AP27*90</f>
        <v>126.66319541207702</v>
      </c>
      <c r="AQ198" s="67">
        <f t="shared" ref="AQ198:AQ199" si="1529">+AP198</f>
        <v>126.66319541207702</v>
      </c>
      <c r="AR198" s="67">
        <f>AR163/AR27*90</f>
        <v>89.12226020510758</v>
      </c>
      <c r="AS198" s="67">
        <f t="shared" ref="AS198:AS199" si="1530">+AR198</f>
        <v>89.12226020510758</v>
      </c>
      <c r="AT198" s="67">
        <f>AT163/AT27*90</f>
        <v>125.52580726468197</v>
      </c>
      <c r="AU198" s="67">
        <f t="shared" ref="AU198:AU199" si="1531">+AT198</f>
        <v>125.52580726468197</v>
      </c>
      <c r="AV198" s="67">
        <f>AV163/AV27*90</f>
        <v>129.19778127918667</v>
      </c>
      <c r="AW198" s="67">
        <f t="shared" ref="AW198:AW199" si="1532">+AV198</f>
        <v>129.19778127918667</v>
      </c>
      <c r="AX198" s="67">
        <f>AX163/AX27*90</f>
        <v>119.37800252844501</v>
      </c>
      <c r="AY198" s="67">
        <f t="shared" ref="AY198:AY199" si="1533">+AX198</f>
        <v>119.37800252844501</v>
      </c>
      <c r="AZ198" s="67">
        <f>AZ163/AZ27*90</f>
        <v>108.19735631281968</v>
      </c>
      <c r="BA198" s="67">
        <f t="shared" ref="BA198:BA199" si="1534">+AZ198</f>
        <v>108.19735631281968</v>
      </c>
      <c r="BB198" s="67">
        <f>BB163/BB27*90</f>
        <v>117.30567609202276</v>
      </c>
      <c r="BC198" s="67">
        <f t="shared" ref="BC198:BC199" si="1535">+BB198</f>
        <v>117.30567609202276</v>
      </c>
      <c r="BD198" s="67">
        <f>BD163/BD27*90</f>
        <v>131.88246959180736</v>
      </c>
      <c r="BE198" s="67">
        <f t="shared" ref="BE198:BE199" si="1536">+BD198</f>
        <v>131.88246959180736</v>
      </c>
      <c r="BF198" s="67">
        <f>BF163/BF27*90</f>
        <v>90.224176736576069</v>
      </c>
      <c r="BG198" s="67">
        <f t="shared" ref="BG198:BG199" si="1537">+BF198</f>
        <v>90.224176736576069</v>
      </c>
      <c r="BH198" s="67">
        <f>BH163/BH27*90</f>
        <v>67.760563760928605</v>
      </c>
      <c r="BI198" s="67">
        <f t="shared" ref="BI198:BI199" si="1538">+BH198</f>
        <v>67.760563760928605</v>
      </c>
      <c r="BJ198" s="67">
        <f>BJ163/BJ27*90</f>
        <v>83.452341472780276</v>
      </c>
      <c r="BK198" s="67">
        <f t="shared" ref="BK198:BK199" si="1539">+BJ198</f>
        <v>83.452341472780276</v>
      </c>
      <c r="BL198" s="67">
        <f>BL163/BL27*90</f>
        <v>101.59472551732367</v>
      </c>
      <c r="BM198" s="67">
        <f t="shared" ref="BM198:BM199" si="1540">+BL198</f>
        <v>101.59472551732367</v>
      </c>
      <c r="BN198" s="67">
        <f>BN163/BN27*90</f>
        <v>83.368091223087049</v>
      </c>
      <c r="BO198" s="67">
        <f t="shared" ref="BO198:BO199" si="1541">+BN198</f>
        <v>83.368091223087049</v>
      </c>
      <c r="BP198" s="67">
        <f>BP163/BP27*90</f>
        <v>103.0376276154857</v>
      </c>
      <c r="BQ198" s="67">
        <f t="shared" ref="BQ198:BQ199" si="1542">+BP198</f>
        <v>103.0376276154857</v>
      </c>
      <c r="BR198" s="67">
        <f>BR163/BR27*90</f>
        <v>69.419295162334649</v>
      </c>
      <c r="BS198" s="67">
        <f t="shared" ref="BS198:BS199" si="1543">+BR198</f>
        <v>69.419295162334649</v>
      </c>
      <c r="BT198" s="67">
        <f>BT163/BT27*90</f>
        <v>94.943993703075819</v>
      </c>
      <c r="BU198" s="67">
        <f t="shared" ref="BU198:BU199" si="1544">+BT198</f>
        <v>94.943993703075819</v>
      </c>
      <c r="BV198" s="67">
        <f>BV163/BV27*90</f>
        <v>85.139650872817967</v>
      </c>
      <c r="BW198" s="67">
        <f t="shared" ref="BW198:BW199" si="1545">+BV198</f>
        <v>85.139650872817967</v>
      </c>
      <c r="BX198" s="67">
        <f>BX163/BX27*90</f>
        <v>102.13023736626818</v>
      </c>
      <c r="BY198" s="67">
        <f t="shared" ref="BY198:BY199" si="1546">+BX198</f>
        <v>102.13023736626818</v>
      </c>
      <c r="BZ198" s="67">
        <f>BZ163/BZ27*90</f>
        <v>71.20805537297926</v>
      </c>
      <c r="CA198" s="67">
        <f t="shared" ref="CA198:CA199" si="1547">+BZ198</f>
        <v>71.20805537297926</v>
      </c>
      <c r="CB198" s="67">
        <f>CB163/CB27*90</f>
        <v>77.490075408600447</v>
      </c>
      <c r="CC198" s="67">
        <f t="shared" ref="CC198:CC199" si="1548">+CB198</f>
        <v>77.490075408600447</v>
      </c>
      <c r="CD198" s="67">
        <f>CD163/CD27*90</f>
        <v>81.209623310648894</v>
      </c>
      <c r="CE198" s="67">
        <f t="shared" si="1526"/>
        <v>81.209623310648894</v>
      </c>
      <c r="CF198" s="67">
        <f>CF163/CF27*90</f>
        <v>81.339071630604892</v>
      </c>
      <c r="CG198" s="67">
        <f t="shared" ref="CG198:CI199" si="1549">+CF198</f>
        <v>81.339071630604892</v>
      </c>
      <c r="CH198" s="67">
        <f>CH163/CH27*90</f>
        <v>87.751482882500852</v>
      </c>
      <c r="CI198" s="67">
        <f t="shared" si="1549"/>
        <v>87.751482882500852</v>
      </c>
      <c r="CJ198" s="67">
        <f>CJ163/CJ27*90</f>
        <v>117.531675170068</v>
      </c>
      <c r="CK198" s="67">
        <f t="shared" ref="CK198:CK199" si="1550">+CJ198</f>
        <v>117.531675170068</v>
      </c>
      <c r="CL198" s="67">
        <f>CL163/CL27*90</f>
        <v>102.31102756459508</v>
      </c>
      <c r="CM198" s="30">
        <v>90</v>
      </c>
      <c r="CN198" s="30">
        <f t="shared" ref="CN198:CN199" si="1551">+CM198</f>
        <v>90</v>
      </c>
      <c r="CO198" s="30">
        <f t="shared" ref="CO198:CO199" si="1552">+CN198</f>
        <v>90</v>
      </c>
      <c r="CP198" s="30">
        <f t="shared" ref="CP198:CP199" si="1553">+CO198</f>
        <v>90</v>
      </c>
      <c r="CQ198" s="30">
        <f t="shared" ref="CQ198:CQ199" si="1554">+CP198</f>
        <v>90</v>
      </c>
      <c r="CR198" s="30">
        <f t="shared" ref="CR198:CR199" si="1555">+CQ198</f>
        <v>90</v>
      </c>
      <c r="CS198" s="30">
        <f t="shared" ref="CS198:CS199" si="1556">+CR198</f>
        <v>90</v>
      </c>
      <c r="CT198" s="30">
        <f t="shared" ref="CT198:CT199" si="1557">+CS198</f>
        <v>90</v>
      </c>
      <c r="CU198" s="30">
        <f t="shared" ref="CU198:CU199" si="1558">+CT198</f>
        <v>90</v>
      </c>
      <c r="CV198" s="30">
        <f t="shared" ref="CV198:CV199" si="1559">+CU198</f>
        <v>90</v>
      </c>
      <c r="CW198" s="30">
        <f t="shared" ref="CW198:CW199" si="1560">+CV198</f>
        <v>90</v>
      </c>
      <c r="CX198" s="30">
        <f t="shared" ref="CX198:CX199" si="1561">+CW198</f>
        <v>90</v>
      </c>
      <c r="CY198" s="30">
        <f t="shared" ref="CY198:CY199" si="1562">+CX198</f>
        <v>90</v>
      </c>
      <c r="CZ198" s="30">
        <f t="shared" ref="CZ198:CZ199" si="1563">+CY198</f>
        <v>90</v>
      </c>
      <c r="DA198" s="30">
        <f t="shared" ref="DA198:DA199" si="1564">+CZ198</f>
        <v>90</v>
      </c>
      <c r="DB198" s="30">
        <f t="shared" ref="DB198:DB199" si="1565">+DA198</f>
        <v>90</v>
      </c>
      <c r="DE198" s="139"/>
      <c r="DF198" s="62">
        <v>107.43463796020168</v>
      </c>
    </row>
    <row r="199" spans="1:110" s="62" customFormat="1" outlineLevel="1" x14ac:dyDescent="0.2">
      <c r="A199" s="68" t="s">
        <v>465</v>
      </c>
      <c r="B199" s="67" t="e">
        <f t="shared" ref="B199:AE199" si="1566">B164/B27*365</f>
        <v>#DIV/0!</v>
      </c>
      <c r="C199" s="67" t="e">
        <f t="shared" si="1566"/>
        <v>#DIV/0!</v>
      </c>
      <c r="D199" s="67" t="e">
        <f t="shared" si="1566"/>
        <v>#DIV/0!</v>
      </c>
      <c r="E199" s="67" t="e">
        <f t="shared" si="1566"/>
        <v>#DIV/0!</v>
      </c>
      <c r="F199" s="67" t="e">
        <f t="shared" si="1566"/>
        <v>#DIV/0!</v>
      </c>
      <c r="G199" s="67" t="e">
        <f t="shared" si="1566"/>
        <v>#DIV/0!</v>
      </c>
      <c r="H199" s="67" t="e">
        <f t="shared" si="1566"/>
        <v>#DIV/0!</v>
      </c>
      <c r="I199" s="67" t="e">
        <f t="shared" si="1566"/>
        <v>#DIV/0!</v>
      </c>
      <c r="J199" s="67" t="e">
        <f t="shared" si="1566"/>
        <v>#DIV/0!</v>
      </c>
      <c r="K199" s="67">
        <f t="shared" si="1566"/>
        <v>42.121168625792301</v>
      </c>
      <c r="L199" s="67">
        <f t="shared" si="1566"/>
        <v>99.405166925311349</v>
      </c>
      <c r="M199" s="67">
        <f t="shared" si="1566"/>
        <v>91.112759066408373</v>
      </c>
      <c r="N199" s="67">
        <f t="shared" si="1566"/>
        <v>88.490277238320786</v>
      </c>
      <c r="O199" s="67">
        <f t="shared" si="1566"/>
        <v>91.652108318702943</v>
      </c>
      <c r="P199" s="67">
        <f t="shared" si="1566"/>
        <v>87.505282967567481</v>
      </c>
      <c r="Q199" s="67">
        <f t="shared" si="1566"/>
        <v>80.243857046003498</v>
      </c>
      <c r="R199" s="67">
        <f t="shared" si="1566"/>
        <v>69.050457164735121</v>
      </c>
      <c r="S199" s="67">
        <f t="shared" si="1566"/>
        <v>82.928257314247432</v>
      </c>
      <c r="T199" s="67">
        <f t="shared" si="1566"/>
        <v>66.808504341536107</v>
      </c>
      <c r="U199" s="67">
        <f t="shared" si="1566"/>
        <v>58.560553407726381</v>
      </c>
      <c r="V199" s="67">
        <f t="shared" si="1566"/>
        <v>72.74202819267326</v>
      </c>
      <c r="W199" s="67">
        <f t="shared" si="1566"/>
        <v>49.562597923749003</v>
      </c>
      <c r="X199" s="67">
        <f t="shared" si="1566"/>
        <v>72.781407760298038</v>
      </c>
      <c r="Y199" s="67">
        <f t="shared" si="1566"/>
        <v>60.424900165882313</v>
      </c>
      <c r="Z199" s="67">
        <f t="shared" si="1566"/>
        <v>62.451466699999855</v>
      </c>
      <c r="AA199" s="67">
        <f t="shared" ref="AA199" si="1567">AA164/AA27*365</f>
        <v>63.097753800004043</v>
      </c>
      <c r="AB199" s="18">
        <f t="shared" si="1566"/>
        <v>69.150994078373301</v>
      </c>
      <c r="AC199" s="18">
        <f t="shared" si="1566"/>
        <v>68.934780419007637</v>
      </c>
      <c r="AD199" s="18">
        <f t="shared" si="1566"/>
        <v>69.015906496974353</v>
      </c>
      <c r="AE199" s="18">
        <f t="shared" si="1566"/>
        <v>69.091096451868793</v>
      </c>
      <c r="AI199" s="67">
        <f>AJ164/AI27*90</f>
        <v>94.933006827181657</v>
      </c>
      <c r="AJ199" s="67">
        <f>AJ164/AJ27*90</f>
        <v>74.83789777204889</v>
      </c>
      <c r="AK199" s="67">
        <f>+AJ199</f>
        <v>74.83789777204889</v>
      </c>
      <c r="AL199" s="67">
        <f>AL164/AL27*90</f>
        <v>154.15347883314459</v>
      </c>
      <c r="AM199" s="67">
        <f t="shared" si="1527"/>
        <v>154.15347883314459</v>
      </c>
      <c r="AN199" s="67">
        <f>AN164/AN27*90</f>
        <v>112.14659302580954</v>
      </c>
      <c r="AO199" s="67">
        <f t="shared" si="1528"/>
        <v>112.14659302580954</v>
      </c>
      <c r="AP199" s="67">
        <f>AP164/AP27*90</f>
        <v>115.15297965649246</v>
      </c>
      <c r="AQ199" s="67">
        <f t="shared" si="1529"/>
        <v>115.15297965649246</v>
      </c>
      <c r="AR199" s="67">
        <f>AR164/AR27*90</f>
        <v>80.593140458475773</v>
      </c>
      <c r="AS199" s="67">
        <f t="shared" si="1530"/>
        <v>80.593140458475773</v>
      </c>
      <c r="AT199" s="67">
        <f>AT164/AT27*90</f>
        <v>85.776878483210567</v>
      </c>
      <c r="AU199" s="67">
        <f t="shared" si="1531"/>
        <v>85.776878483210567</v>
      </c>
      <c r="AV199" s="67">
        <f>AV164/AV27*90</f>
        <v>97.622289873877989</v>
      </c>
      <c r="AW199" s="67">
        <f t="shared" si="1532"/>
        <v>97.622289873877989</v>
      </c>
      <c r="AX199" s="67">
        <f>AX164/AX27*90</f>
        <v>84.520160314172742</v>
      </c>
      <c r="AY199" s="67">
        <f t="shared" si="1533"/>
        <v>84.520160314172742</v>
      </c>
      <c r="AZ199" s="67">
        <f>AZ164/AZ27*90</f>
        <v>92.567429716870095</v>
      </c>
      <c r="BA199" s="67">
        <f t="shared" si="1534"/>
        <v>92.567429716870095</v>
      </c>
      <c r="BB199" s="67">
        <f>BB164/BB27*90</f>
        <v>69.597555539254131</v>
      </c>
      <c r="BC199" s="67">
        <f t="shared" si="1535"/>
        <v>69.597555539254131</v>
      </c>
      <c r="BD199" s="67">
        <f>BD164/BD27*90</f>
        <v>82.80784747084067</v>
      </c>
      <c r="BE199" s="67">
        <f t="shared" si="1536"/>
        <v>82.80784747084067</v>
      </c>
      <c r="BF199" s="67">
        <f>BF164/BF27*90</f>
        <v>70.688566091030083</v>
      </c>
      <c r="BG199" s="67">
        <f t="shared" si="1537"/>
        <v>70.688566091030083</v>
      </c>
      <c r="BH199" s="67">
        <f>BH164/BH27*90</f>
        <v>57.665770306609197</v>
      </c>
      <c r="BI199" s="67">
        <f t="shared" si="1538"/>
        <v>57.665770306609197</v>
      </c>
      <c r="BJ199" s="67">
        <f>BJ164/BJ27*90</f>
        <v>57.928804566002832</v>
      </c>
      <c r="BK199" s="67">
        <f t="shared" si="1539"/>
        <v>57.928804566002832</v>
      </c>
      <c r="BL199" s="67">
        <f>BL164/BL27*90</f>
        <v>59.319470910914795</v>
      </c>
      <c r="BM199" s="67">
        <f t="shared" si="1540"/>
        <v>59.319470910914795</v>
      </c>
      <c r="BN199" s="67">
        <f>BN164/BN27*90</f>
        <v>57.823903316764444</v>
      </c>
      <c r="BO199" s="67">
        <f t="shared" si="1541"/>
        <v>57.823903316764444</v>
      </c>
      <c r="BP199" s="67">
        <f>BP164/BP27*90</f>
        <v>58.741155362377434</v>
      </c>
      <c r="BQ199" s="67">
        <f t="shared" si="1542"/>
        <v>58.741155362377434</v>
      </c>
      <c r="BR199" s="67">
        <f>BR164/BR27*90</f>
        <v>50.548277548000058</v>
      </c>
      <c r="BS199" s="67">
        <f t="shared" si="1543"/>
        <v>50.548277548000058</v>
      </c>
      <c r="BT199" s="67">
        <f>BT164/BT27*90</f>
        <v>44.752966820053281</v>
      </c>
      <c r="BU199" s="67">
        <f t="shared" si="1544"/>
        <v>44.752966820053281</v>
      </c>
      <c r="BV199" s="67">
        <f>BV164/BV27*90</f>
        <v>40.937882566311494</v>
      </c>
      <c r="BW199" s="67">
        <f t="shared" si="1545"/>
        <v>40.937882566311494</v>
      </c>
      <c r="BX199" s="67">
        <f>BX164/BX27*90</f>
        <v>47.952709754324175</v>
      </c>
      <c r="BY199" s="67">
        <f t="shared" si="1546"/>
        <v>47.952709754324175</v>
      </c>
      <c r="BZ199" s="67">
        <f>BZ164/BZ27*90</f>
        <v>61.807312517708823</v>
      </c>
      <c r="CA199" s="67">
        <f t="shared" si="1547"/>
        <v>61.807312517708823</v>
      </c>
      <c r="CB199" s="67">
        <f>CB164/CB27*90</f>
        <v>51.931499281038818</v>
      </c>
      <c r="CC199" s="67">
        <f t="shared" si="1548"/>
        <v>51.931499281038818</v>
      </c>
      <c r="CD199" s="67">
        <f>CD164/CD27*90</f>
        <v>57.556827817059776</v>
      </c>
      <c r="CE199" s="114">
        <f t="shared" ref="CE199" si="1568">+CD199</f>
        <v>57.556827817059776</v>
      </c>
      <c r="CF199" s="67">
        <f>CF164/CF27*90</f>
        <v>59.414420881850425</v>
      </c>
      <c r="CG199" s="67">
        <f t="shared" si="1549"/>
        <v>59.414420881850425</v>
      </c>
      <c r="CH199" s="67">
        <f>CH164/CH27*90</f>
        <v>63.556575826449148</v>
      </c>
      <c r="CI199" s="67">
        <f t="shared" si="1549"/>
        <v>63.556575826449148</v>
      </c>
      <c r="CJ199" s="67">
        <f>CJ164/CJ27*90</f>
        <v>65.343324829931973</v>
      </c>
      <c r="CK199" s="67">
        <f t="shared" si="1550"/>
        <v>65.343324829931973</v>
      </c>
      <c r="CL199" s="67">
        <f>CL164/CL27*90</f>
        <v>60.088637481978999</v>
      </c>
      <c r="CM199" s="30">
        <f t="shared" ref="CM199" si="1569">+CL199</f>
        <v>60.088637481978999</v>
      </c>
      <c r="CN199" s="30">
        <f t="shared" si="1551"/>
        <v>60.088637481978999</v>
      </c>
      <c r="CO199" s="30">
        <f t="shared" si="1552"/>
        <v>60.088637481978999</v>
      </c>
      <c r="CP199" s="30">
        <f t="shared" si="1553"/>
        <v>60.088637481978999</v>
      </c>
      <c r="CQ199" s="30">
        <f t="shared" si="1554"/>
        <v>60.088637481978999</v>
      </c>
      <c r="CR199" s="30">
        <f t="shared" si="1555"/>
        <v>60.088637481978999</v>
      </c>
      <c r="CS199" s="30">
        <f t="shared" si="1556"/>
        <v>60.088637481978999</v>
      </c>
      <c r="CT199" s="30">
        <f t="shared" si="1557"/>
        <v>60.088637481978999</v>
      </c>
      <c r="CU199" s="30">
        <f t="shared" si="1558"/>
        <v>60.088637481978999</v>
      </c>
      <c r="CV199" s="30">
        <f t="shared" si="1559"/>
        <v>60.088637481978999</v>
      </c>
      <c r="CW199" s="30">
        <f t="shared" si="1560"/>
        <v>60.088637481978999</v>
      </c>
      <c r="CX199" s="30">
        <f t="shared" si="1561"/>
        <v>60.088637481978999</v>
      </c>
      <c r="CY199" s="30">
        <f t="shared" si="1562"/>
        <v>60.088637481978999</v>
      </c>
      <c r="CZ199" s="30">
        <f t="shared" si="1563"/>
        <v>60.088637481978999</v>
      </c>
      <c r="DA199" s="30">
        <f t="shared" si="1564"/>
        <v>60.088637481978999</v>
      </c>
      <c r="DB199" s="30">
        <f t="shared" si="1565"/>
        <v>60.088637481978999</v>
      </c>
      <c r="DE199" s="139"/>
      <c r="DF199" s="62">
        <v>63.097753800004043</v>
      </c>
    </row>
    <row r="200" spans="1:110" s="62" customFormat="1" outlineLevel="1" x14ac:dyDescent="0.2">
      <c r="A200" s="68" t="s">
        <v>466</v>
      </c>
      <c r="B200" s="67" t="e">
        <f>B201-B199-B198</f>
        <v>#DIV/0!</v>
      </c>
      <c r="C200" s="67" t="e">
        <f t="shared" ref="C200:U200" si="1570">C201-C199-C198</f>
        <v>#DIV/0!</v>
      </c>
      <c r="D200" s="67" t="e">
        <f t="shared" si="1570"/>
        <v>#DIV/0!</v>
      </c>
      <c r="E200" s="67" t="e">
        <f t="shared" si="1570"/>
        <v>#DIV/0!</v>
      </c>
      <c r="F200" s="67" t="e">
        <f t="shared" si="1570"/>
        <v>#DIV/0!</v>
      </c>
      <c r="G200" s="67" t="e">
        <f t="shared" si="1570"/>
        <v>#DIV/0!</v>
      </c>
      <c r="H200" s="67" t="e">
        <f t="shared" si="1570"/>
        <v>#DIV/0!</v>
      </c>
      <c r="I200" s="67" t="e">
        <f t="shared" si="1570"/>
        <v>#DIV/0!</v>
      </c>
      <c r="J200" s="67" t="e">
        <f t="shared" si="1570"/>
        <v>#DIV/0!</v>
      </c>
      <c r="K200" s="67">
        <f t="shared" si="1570"/>
        <v>28.365201978766265</v>
      </c>
      <c r="L200" s="67">
        <f t="shared" si="1570"/>
        <v>76.330421193369602</v>
      </c>
      <c r="M200" s="67">
        <f t="shared" si="1570"/>
        <v>57.645902483425004</v>
      </c>
      <c r="N200" s="67">
        <f t="shared" si="1570"/>
        <v>60.53579036010197</v>
      </c>
      <c r="O200" s="67">
        <f t="shared" si="1570"/>
        <v>70.906320272054842</v>
      </c>
      <c r="P200" s="67">
        <f t="shared" si="1570"/>
        <v>66.731711543221593</v>
      </c>
      <c r="Q200" s="67">
        <f t="shared" si="1570"/>
        <v>70.828782159784282</v>
      </c>
      <c r="R200" s="67">
        <f t="shared" si="1570"/>
        <v>67.042403088345594</v>
      </c>
      <c r="S200" s="67">
        <f t="shared" si="1570"/>
        <v>54.844288394088494</v>
      </c>
      <c r="T200" s="67">
        <f t="shared" si="1570"/>
        <v>46.133897349654575</v>
      </c>
      <c r="U200" s="67">
        <f t="shared" si="1570"/>
        <v>67.276579532284615</v>
      </c>
      <c r="V200" s="67">
        <f>V201-V199-V198</f>
        <v>72.920748756254397</v>
      </c>
      <c r="W200" s="67">
        <f t="shared" ref="W200" si="1571">W201-W199-W198</f>
        <v>64.117021192839218</v>
      </c>
      <c r="X200" s="67">
        <f t="shared" ref="X200:Y200" si="1572">X201-X199-X198</f>
        <v>41.738916845121366</v>
      </c>
      <c r="Y200" s="67">
        <f t="shared" si="1572"/>
        <v>30.590696896505747</v>
      </c>
      <c r="Z200" s="67">
        <f t="shared" ref="Z200:AA200" si="1573">Z201-Z199-Z198</f>
        <v>22.095531780207551</v>
      </c>
      <c r="AA200" s="67">
        <f t="shared" si="1573"/>
        <v>34.707875314836457</v>
      </c>
      <c r="AB200" s="18">
        <f t="shared" ref="AB200:AD200" si="1574">AB201-AB199-AB198</f>
        <v>34.524494301828057</v>
      </c>
      <c r="AC200" s="18">
        <f t="shared" si="1574"/>
        <v>34.416546941848196</v>
      </c>
      <c r="AD200" s="18">
        <f t="shared" si="1574"/>
        <v>34.45705014579805</v>
      </c>
      <c r="AE200" s="18">
        <f t="shared" ref="AE200" si="1575">AE201-AE199-AE198</f>
        <v>34.494589666435544</v>
      </c>
      <c r="AI200" s="67">
        <f t="shared" ref="AI200:AK200" si="1576">AI201-AI199-AI198</f>
        <v>-229.657865982657</v>
      </c>
      <c r="AJ200" s="67">
        <f t="shared" ref="AJ200:AM200" si="1577">AJ201-AJ199-AJ198</f>
        <v>64.223821421807912</v>
      </c>
      <c r="AK200" s="67">
        <f t="shared" si="1576"/>
        <v>61.025175158034045</v>
      </c>
      <c r="AL200" s="67">
        <f t="shared" si="1577"/>
        <v>105.4568551225932</v>
      </c>
      <c r="AM200" s="67">
        <f t="shared" si="1577"/>
        <v>85.629033727972427</v>
      </c>
      <c r="AN200" s="67">
        <f t="shared" ref="AN200:AY200" si="1578">AN201-AN199-AN198</f>
        <v>84.464083813923921</v>
      </c>
      <c r="AO200" s="67">
        <f t="shared" si="1578"/>
        <v>60.73858950286909</v>
      </c>
      <c r="AP200" s="67">
        <f t="shared" si="1578"/>
        <v>89.087182270200515</v>
      </c>
      <c r="AQ200" s="67">
        <f t="shared" si="1578"/>
        <v>105.7181024654721</v>
      </c>
      <c r="AR200" s="67">
        <f t="shared" si="1578"/>
        <v>83.914073496883162</v>
      </c>
      <c r="AS200" s="67">
        <f t="shared" si="1578"/>
        <v>75.129540966451572</v>
      </c>
      <c r="AT200" s="67">
        <f t="shared" si="1578"/>
        <v>65.456493124597458</v>
      </c>
      <c r="AU200" s="67">
        <f t="shared" si="1578"/>
        <v>70.394299597417913</v>
      </c>
      <c r="AV200" s="67">
        <f t="shared" si="1578"/>
        <v>145.51008477053492</v>
      </c>
      <c r="AW200" s="67">
        <f t="shared" si="1578"/>
        <v>170.6210611134845</v>
      </c>
      <c r="AX200" s="67">
        <f t="shared" si="1578"/>
        <v>74.603383812572233</v>
      </c>
      <c r="AY200" s="67">
        <f t="shared" si="1578"/>
        <v>97.158832748783752</v>
      </c>
      <c r="AZ200" s="67">
        <f t="shared" ref="AZ200:BC200" si="1579">AZ201-AZ199-AZ198</f>
        <v>92.330525099334366</v>
      </c>
      <c r="BA200" s="67">
        <f t="shared" si="1579"/>
        <v>81.254787551780922</v>
      </c>
      <c r="BB200" s="67">
        <f t="shared" si="1579"/>
        <v>69.451802028022172</v>
      </c>
      <c r="BC200" s="67">
        <f t="shared" si="1579"/>
        <v>77.982407551023215</v>
      </c>
      <c r="BD200" s="67">
        <f t="shared" ref="BD200:CE200" si="1580">BD201-BD199-BD198</f>
        <v>117.0002043612198</v>
      </c>
      <c r="BE200" s="67">
        <f t="shared" si="1580"/>
        <v>73.097948162614841</v>
      </c>
      <c r="BF200" s="67">
        <f t="shared" si="1580"/>
        <v>47.733161307127816</v>
      </c>
      <c r="BG200" s="67">
        <f t="shared" si="1580"/>
        <v>42.474557978835136</v>
      </c>
      <c r="BH200" s="67">
        <f t="shared" si="1580"/>
        <v>56.92269232328421</v>
      </c>
      <c r="BI200" s="67">
        <f t="shared" si="1580"/>
        <v>56.96117804551541</v>
      </c>
      <c r="BJ200" s="67">
        <f t="shared" si="1580"/>
        <v>40.237899917965493</v>
      </c>
      <c r="BK200" s="67">
        <f t="shared" si="1580"/>
        <v>45.255295341669736</v>
      </c>
      <c r="BL200" s="67">
        <f t="shared" si="1580"/>
        <v>60.684444676479274</v>
      </c>
      <c r="BM200" s="67">
        <f t="shared" si="1580"/>
        <v>54.461992590287025</v>
      </c>
      <c r="BN200" s="67">
        <f t="shared" si="1580"/>
        <v>75.103411903399518</v>
      </c>
      <c r="BO200" s="67">
        <f t="shared" si="1580"/>
        <v>132.78755965114365</v>
      </c>
      <c r="BP200" s="67">
        <f t="shared" si="1580"/>
        <v>102.39057919741232</v>
      </c>
      <c r="BQ200" s="67">
        <f t="shared" si="1580"/>
        <v>84.863928955415631</v>
      </c>
      <c r="BR200" s="67">
        <f t="shared" si="1580"/>
        <v>56.512916738242808</v>
      </c>
      <c r="BS200" s="67">
        <f t="shared" si="1580"/>
        <v>74.130347361852571</v>
      </c>
      <c r="BT200" s="67">
        <f t="shared" si="1580"/>
        <v>85.138956163720025</v>
      </c>
      <c r="BU200" s="67">
        <f t="shared" si="1580"/>
        <v>72.919902968562752</v>
      </c>
      <c r="BV200" s="67">
        <f t="shared" si="1580"/>
        <v>58.268646565404637</v>
      </c>
      <c r="BW200" s="67">
        <f t="shared" si="1580"/>
        <v>66.504335476154878</v>
      </c>
      <c r="BX200" s="67">
        <f t="shared" si="1580"/>
        <v>56.036715353378469</v>
      </c>
      <c r="BY200" s="67">
        <f t="shared" si="1580"/>
        <v>43.929688984361945</v>
      </c>
      <c r="BZ200" s="67">
        <f t="shared" si="1580"/>
        <v>38.622999986507551</v>
      </c>
      <c r="CA200" s="67">
        <f t="shared" si="1580"/>
        <v>45.435284407580582</v>
      </c>
      <c r="CB200" s="67">
        <f t="shared" si="1580"/>
        <v>41.1864323060543</v>
      </c>
      <c r="CC200" s="67">
        <f t="shared" si="1580"/>
        <v>39.803839755025123</v>
      </c>
      <c r="CD200" s="67">
        <f t="shared" si="1580"/>
        <v>32.027442508608047</v>
      </c>
      <c r="CE200" s="114">
        <f t="shared" si="1580"/>
        <v>35.179426127942875</v>
      </c>
      <c r="CF200" s="67">
        <f t="shared" ref="CF200:CG200" si="1581">CF201-CF199-CF198</f>
        <v>27.657629685996952</v>
      </c>
      <c r="CG200" s="67">
        <f t="shared" si="1581"/>
        <v>29.234932559330744</v>
      </c>
      <c r="CH200" s="67">
        <f t="shared" ref="CH200" si="1582">CH201-CH199-CH198</f>
        <v>22.486522978882761</v>
      </c>
      <c r="CI200" s="67">
        <f>CH200</f>
        <v>22.486522978882761</v>
      </c>
      <c r="CJ200" s="67">
        <f t="shared" ref="CJ200:CL200" si="1583">CJ201-CJ199-CJ198</f>
        <v>44.197704081632665</v>
      </c>
      <c r="CK200" s="67">
        <f t="shared" ref="CK200:DB200" si="1584">CJ200</f>
        <v>44.197704081632665</v>
      </c>
      <c r="CL200" s="67">
        <f t="shared" si="1583"/>
        <v>45.353513989485222</v>
      </c>
      <c r="CM200" s="30">
        <v>30</v>
      </c>
      <c r="CN200" s="30">
        <f t="shared" si="1584"/>
        <v>30</v>
      </c>
      <c r="CO200" s="30">
        <f t="shared" si="1584"/>
        <v>30</v>
      </c>
      <c r="CP200" s="30">
        <f t="shared" si="1584"/>
        <v>30</v>
      </c>
      <c r="CQ200" s="30">
        <f t="shared" si="1584"/>
        <v>30</v>
      </c>
      <c r="CR200" s="30">
        <f t="shared" si="1584"/>
        <v>30</v>
      </c>
      <c r="CS200" s="30">
        <f t="shared" si="1584"/>
        <v>30</v>
      </c>
      <c r="CT200" s="30">
        <f t="shared" si="1584"/>
        <v>30</v>
      </c>
      <c r="CU200" s="30">
        <f t="shared" si="1584"/>
        <v>30</v>
      </c>
      <c r="CV200" s="30">
        <f t="shared" si="1584"/>
        <v>30</v>
      </c>
      <c r="CW200" s="30">
        <f t="shared" si="1584"/>
        <v>30</v>
      </c>
      <c r="CX200" s="30">
        <f t="shared" si="1584"/>
        <v>30</v>
      </c>
      <c r="CY200" s="30">
        <f t="shared" si="1584"/>
        <v>30</v>
      </c>
      <c r="CZ200" s="30">
        <f t="shared" si="1584"/>
        <v>30</v>
      </c>
      <c r="DA200" s="30">
        <f t="shared" si="1584"/>
        <v>30</v>
      </c>
      <c r="DB200" s="30">
        <f t="shared" si="1584"/>
        <v>30</v>
      </c>
      <c r="DE200" s="139"/>
      <c r="DF200" s="62">
        <v>34.707875314836457</v>
      </c>
    </row>
    <row r="201" spans="1:110" s="7" customFormat="1" outlineLevel="1" x14ac:dyDescent="0.2">
      <c r="A201" s="69" t="s">
        <v>467</v>
      </c>
      <c r="B201" s="70" t="e">
        <f t="shared" ref="B201:AE201" si="1585">B167/B27*365</f>
        <v>#DIV/0!</v>
      </c>
      <c r="C201" s="70" t="e">
        <f t="shared" si="1585"/>
        <v>#DIV/0!</v>
      </c>
      <c r="D201" s="70" t="e">
        <f t="shared" si="1585"/>
        <v>#DIV/0!</v>
      </c>
      <c r="E201" s="70" t="e">
        <f t="shared" si="1585"/>
        <v>#DIV/0!</v>
      </c>
      <c r="F201" s="70" t="e">
        <f t="shared" si="1585"/>
        <v>#DIV/0!</v>
      </c>
      <c r="G201" s="70" t="e">
        <f t="shared" si="1585"/>
        <v>#DIV/0!</v>
      </c>
      <c r="H201" s="70" t="e">
        <f t="shared" si="1585"/>
        <v>#DIV/0!</v>
      </c>
      <c r="I201" s="70" t="e">
        <f t="shared" si="1585"/>
        <v>#DIV/0!</v>
      </c>
      <c r="J201" s="70" t="e">
        <f t="shared" si="1585"/>
        <v>#DIV/0!</v>
      </c>
      <c r="K201" s="70">
        <f t="shared" si="1585"/>
        <v>110.75986908973165</v>
      </c>
      <c r="L201" s="70">
        <f t="shared" si="1585"/>
        <v>306.72337112094988</v>
      </c>
      <c r="M201" s="70">
        <f t="shared" si="1585"/>
        <v>274.40266961053595</v>
      </c>
      <c r="N201" s="70">
        <f t="shared" si="1585"/>
        <v>243.16690086650135</v>
      </c>
      <c r="O201" s="70">
        <f t="shared" si="1585"/>
        <v>263.37186714396381</v>
      </c>
      <c r="P201" s="70">
        <f t="shared" si="1585"/>
        <v>282.25516461622942</v>
      </c>
      <c r="Q201" s="70">
        <f t="shared" si="1585"/>
        <v>264.41099430152582</v>
      </c>
      <c r="R201" s="70">
        <f t="shared" si="1585"/>
        <v>250.90841967580781</v>
      </c>
      <c r="S201" s="70">
        <f t="shared" si="1585"/>
        <v>242.74698194412065</v>
      </c>
      <c r="T201" s="70">
        <f t="shared" si="1585"/>
        <v>208.95922213957621</v>
      </c>
      <c r="U201" s="70">
        <f t="shared" si="1585"/>
        <v>210.19619207707333</v>
      </c>
      <c r="V201" s="70">
        <f t="shared" si="1585"/>
        <v>245.5613732138151</v>
      </c>
      <c r="W201" s="70">
        <f t="shared" si="1585"/>
        <v>216.75654356440856</v>
      </c>
      <c r="X201" s="70">
        <f t="shared" si="1585"/>
        <v>198.37163021573079</v>
      </c>
      <c r="Y201" s="70">
        <f t="shared" si="1585"/>
        <v>176.272027922581</v>
      </c>
      <c r="Z201" s="70">
        <f t="shared" si="1585"/>
        <v>170.77267599431153</v>
      </c>
      <c r="AA201" s="70">
        <f t="shared" ref="AA201" si="1586">AA167/AA27*365</f>
        <v>205.24026707504217</v>
      </c>
      <c r="AB201" s="71">
        <f t="shared" si="1585"/>
        <v>207.24897128568571</v>
      </c>
      <c r="AC201" s="71">
        <f t="shared" si="1585"/>
        <v>206.60096818640042</v>
      </c>
      <c r="AD201" s="71">
        <f t="shared" si="1585"/>
        <v>206.84410708016654</v>
      </c>
      <c r="AE201" s="71">
        <f t="shared" si="1585"/>
        <v>207.06945511761094</v>
      </c>
      <c r="AI201" s="70">
        <f t="shared" ref="AI201:CD201" si="1587">AI167/AI27*90</f>
        <v>0</v>
      </c>
      <c r="AJ201" s="70">
        <f t="shared" si="1587"/>
        <v>245.26845986083705</v>
      </c>
      <c r="AK201" s="70">
        <f t="shared" si="1587"/>
        <v>242.06981359706319</v>
      </c>
      <c r="AL201" s="70">
        <f t="shared" si="1587"/>
        <v>423.60800759129449</v>
      </c>
      <c r="AM201" s="70">
        <f t="shared" si="1587"/>
        <v>403.7801861966737</v>
      </c>
      <c r="AN201" s="70">
        <f t="shared" si="1587"/>
        <v>311.8392861500418</v>
      </c>
      <c r="AO201" s="70">
        <f t="shared" si="1587"/>
        <v>288.11379183898697</v>
      </c>
      <c r="AP201" s="70">
        <f t="shared" si="1587"/>
        <v>330.90335733876998</v>
      </c>
      <c r="AQ201" s="70">
        <f t="shared" si="1587"/>
        <v>347.53427753404156</v>
      </c>
      <c r="AR201" s="70">
        <f t="shared" si="1587"/>
        <v>253.62947416046651</v>
      </c>
      <c r="AS201" s="70">
        <f t="shared" si="1587"/>
        <v>244.84494163003492</v>
      </c>
      <c r="AT201" s="70">
        <f t="shared" si="1587"/>
        <v>276.75917887249</v>
      </c>
      <c r="AU201" s="70">
        <f t="shared" si="1587"/>
        <v>281.69698534531045</v>
      </c>
      <c r="AV201" s="70">
        <f t="shared" si="1587"/>
        <v>372.33015592359959</v>
      </c>
      <c r="AW201" s="70">
        <f t="shared" si="1587"/>
        <v>397.44113226654918</v>
      </c>
      <c r="AX201" s="70">
        <f t="shared" si="1587"/>
        <v>278.50154665519</v>
      </c>
      <c r="AY201" s="70">
        <f t="shared" si="1587"/>
        <v>301.05699559140152</v>
      </c>
      <c r="AZ201" s="70">
        <f t="shared" si="1587"/>
        <v>293.09531112902414</v>
      </c>
      <c r="BA201" s="70">
        <f t="shared" si="1587"/>
        <v>282.01957358147069</v>
      </c>
      <c r="BB201" s="70">
        <f t="shared" si="1587"/>
        <v>256.35503365929907</v>
      </c>
      <c r="BC201" s="70">
        <f t="shared" si="1587"/>
        <v>264.88563918230011</v>
      </c>
      <c r="BD201" s="70">
        <f t="shared" si="1587"/>
        <v>331.69052142386784</v>
      </c>
      <c r="BE201" s="70">
        <f t="shared" si="1587"/>
        <v>287.78826522526288</v>
      </c>
      <c r="BF201" s="70">
        <f t="shared" si="1587"/>
        <v>208.64590413473397</v>
      </c>
      <c r="BG201" s="70">
        <f t="shared" si="1587"/>
        <v>203.38730080644129</v>
      </c>
      <c r="BH201" s="70">
        <f t="shared" si="1587"/>
        <v>182.34902639082202</v>
      </c>
      <c r="BI201" s="70">
        <f t="shared" si="1587"/>
        <v>182.38751211305322</v>
      </c>
      <c r="BJ201" s="70">
        <f t="shared" si="1587"/>
        <v>181.61904595674861</v>
      </c>
      <c r="BK201" s="70">
        <f t="shared" si="1587"/>
        <v>186.63644138045285</v>
      </c>
      <c r="BL201" s="70">
        <f t="shared" si="1587"/>
        <v>221.59864110471773</v>
      </c>
      <c r="BM201" s="70">
        <f t="shared" si="1587"/>
        <v>215.37618901852548</v>
      </c>
      <c r="BN201" s="70">
        <f t="shared" si="1587"/>
        <v>216.29540644325101</v>
      </c>
      <c r="BO201" s="70">
        <f t="shared" si="1587"/>
        <v>273.97955419099515</v>
      </c>
      <c r="BP201" s="70">
        <f t="shared" si="1587"/>
        <v>264.16936217527547</v>
      </c>
      <c r="BQ201" s="70">
        <f t="shared" si="1587"/>
        <v>246.64271193327878</v>
      </c>
      <c r="BR201" s="70">
        <f t="shared" si="1587"/>
        <v>176.48048944857752</v>
      </c>
      <c r="BS201" s="70">
        <f t="shared" si="1587"/>
        <v>194.09792007218729</v>
      </c>
      <c r="BT201" s="70">
        <f t="shared" si="1587"/>
        <v>224.83591668684912</v>
      </c>
      <c r="BU201" s="70">
        <f t="shared" si="1587"/>
        <v>212.61686349169184</v>
      </c>
      <c r="BV201" s="70">
        <f t="shared" si="1587"/>
        <v>184.34618000453409</v>
      </c>
      <c r="BW201" s="70">
        <f t="shared" si="1587"/>
        <v>192.58186891528433</v>
      </c>
      <c r="BX201" s="70">
        <f t="shared" si="1587"/>
        <v>206.11966247397083</v>
      </c>
      <c r="BY201" s="70">
        <f t="shared" si="1587"/>
        <v>194.01263610495431</v>
      </c>
      <c r="BZ201" s="70">
        <f t="shared" si="1587"/>
        <v>171.63836787719563</v>
      </c>
      <c r="CA201" s="70">
        <f t="shared" si="1587"/>
        <v>178.45065229826866</v>
      </c>
      <c r="CB201" s="70">
        <f t="shared" si="1587"/>
        <v>170.60800699569356</v>
      </c>
      <c r="CC201" s="70">
        <f t="shared" si="1587"/>
        <v>169.22541444466438</v>
      </c>
      <c r="CD201" s="70">
        <f t="shared" si="1587"/>
        <v>170.79389363631671</v>
      </c>
      <c r="CE201" s="115">
        <f>CE167/CE29*90</f>
        <v>173.94587725565154</v>
      </c>
      <c r="CF201" s="70">
        <f>CF167/CF27*90</f>
        <v>168.41112219845226</v>
      </c>
      <c r="CG201" s="70">
        <f>CG167/CG29*90</f>
        <v>169.98842507178605</v>
      </c>
      <c r="CH201" s="70">
        <f>CH167/CH27*90</f>
        <v>173.79458168783276</v>
      </c>
      <c r="CI201" s="70">
        <f>CI198+CI199+CI200</f>
        <v>173.79458168783276</v>
      </c>
      <c r="CJ201" s="70">
        <f>CJ167/CJ27*90</f>
        <v>227.07270408163262</v>
      </c>
      <c r="CK201" s="70">
        <f t="shared" ref="CK201:DB201" si="1588">CK198+CK199+CK200</f>
        <v>227.07270408163265</v>
      </c>
      <c r="CL201" s="70">
        <f>CL167/CL27*90</f>
        <v>207.75317903605929</v>
      </c>
      <c r="CM201" s="50">
        <f t="shared" si="1588"/>
        <v>180.08863748197899</v>
      </c>
      <c r="CN201" s="50">
        <f t="shared" si="1588"/>
        <v>180.08863748197899</v>
      </c>
      <c r="CO201" s="50">
        <f t="shared" si="1588"/>
        <v>180.08863748197899</v>
      </c>
      <c r="CP201" s="50">
        <f t="shared" si="1588"/>
        <v>180.08863748197899</v>
      </c>
      <c r="CQ201" s="50">
        <f t="shared" si="1588"/>
        <v>180.08863748197899</v>
      </c>
      <c r="CR201" s="50">
        <f t="shared" si="1588"/>
        <v>180.08863748197899</v>
      </c>
      <c r="CS201" s="50">
        <f t="shared" si="1588"/>
        <v>180.08863748197899</v>
      </c>
      <c r="CT201" s="50">
        <f t="shared" si="1588"/>
        <v>180.08863748197899</v>
      </c>
      <c r="CU201" s="50">
        <f t="shared" si="1588"/>
        <v>180.08863748197899</v>
      </c>
      <c r="CV201" s="50">
        <f t="shared" si="1588"/>
        <v>180.08863748197899</v>
      </c>
      <c r="CW201" s="50">
        <f t="shared" si="1588"/>
        <v>180.08863748197899</v>
      </c>
      <c r="CX201" s="50">
        <f t="shared" si="1588"/>
        <v>180.08863748197899</v>
      </c>
      <c r="CY201" s="50">
        <f t="shared" si="1588"/>
        <v>180.08863748197899</v>
      </c>
      <c r="CZ201" s="50">
        <f t="shared" si="1588"/>
        <v>180.08863748197899</v>
      </c>
      <c r="DA201" s="50">
        <f t="shared" si="1588"/>
        <v>180.08863748197899</v>
      </c>
      <c r="DB201" s="50">
        <f t="shared" si="1588"/>
        <v>180.08863748197899</v>
      </c>
      <c r="DE201" s="138"/>
      <c r="DF201" s="7">
        <v>205.24026707504217</v>
      </c>
    </row>
    <row r="202" spans="1:110" s="62" customFormat="1" outlineLevel="1" x14ac:dyDescent="0.2">
      <c r="A202" s="68" t="s">
        <v>468</v>
      </c>
      <c r="B202" s="67" t="e">
        <f t="shared" ref="B202:AE202" si="1589">B172/B27*365</f>
        <v>#DIV/0!</v>
      </c>
      <c r="C202" s="67" t="e">
        <f t="shared" si="1589"/>
        <v>#DIV/0!</v>
      </c>
      <c r="D202" s="67" t="e">
        <f t="shared" si="1589"/>
        <v>#DIV/0!</v>
      </c>
      <c r="E202" s="67" t="e">
        <f t="shared" si="1589"/>
        <v>#DIV/0!</v>
      </c>
      <c r="F202" s="67" t="e">
        <f t="shared" si="1589"/>
        <v>#DIV/0!</v>
      </c>
      <c r="G202" s="67" t="e">
        <f t="shared" si="1589"/>
        <v>#DIV/0!</v>
      </c>
      <c r="H202" s="67" t="e">
        <f t="shared" si="1589"/>
        <v>#DIV/0!</v>
      </c>
      <c r="I202" s="67" t="e">
        <f t="shared" si="1589"/>
        <v>#DIV/0!</v>
      </c>
      <c r="J202" s="67" t="e">
        <f t="shared" si="1589"/>
        <v>#DIV/0!</v>
      </c>
      <c r="K202" s="67">
        <f t="shared" si="1589"/>
        <v>33.814584631792691</v>
      </c>
      <c r="L202" s="67">
        <f t="shared" si="1589"/>
        <v>31.713054776901377</v>
      </c>
      <c r="M202" s="67">
        <f t="shared" si="1589"/>
        <v>43.584835696982445</v>
      </c>
      <c r="N202" s="67">
        <f t="shared" si="1589"/>
        <v>41.806618675366046</v>
      </c>
      <c r="O202" s="67">
        <f t="shared" si="1589"/>
        <v>35.706643992074255</v>
      </c>
      <c r="P202" s="67">
        <f t="shared" si="1589"/>
        <v>38.263164183060958</v>
      </c>
      <c r="Q202" s="67">
        <f t="shared" si="1589"/>
        <v>22.960727122499097</v>
      </c>
      <c r="R202" s="67">
        <f t="shared" si="1589"/>
        <v>20.449703000009176</v>
      </c>
      <c r="S202" s="67">
        <f t="shared" si="1589"/>
        <v>24.205183371331053</v>
      </c>
      <c r="T202" s="67">
        <f t="shared" si="1589"/>
        <v>54.356812786093883</v>
      </c>
      <c r="U202" s="67">
        <f t="shared" si="1589"/>
        <v>44.050497887819532</v>
      </c>
      <c r="V202" s="67">
        <f t="shared" si="1589"/>
        <v>66.289710635091268</v>
      </c>
      <c r="W202" s="67">
        <f t="shared" si="1589"/>
        <v>42.271474844483606</v>
      </c>
      <c r="X202" s="67">
        <f t="shared" si="1589"/>
        <v>61.36729425752327</v>
      </c>
      <c r="Y202" s="67">
        <f t="shared" si="1589"/>
        <v>51.431642984357332</v>
      </c>
      <c r="Z202" s="67">
        <f t="shared" si="1589"/>
        <v>44.19864958461455</v>
      </c>
      <c r="AA202" s="67">
        <f t="shared" ref="AA202" si="1590">AA172/AA27*365</f>
        <v>53.502646094599903</v>
      </c>
      <c r="AB202" s="18">
        <f t="shared" si="1589"/>
        <v>58.635339848026568</v>
      </c>
      <c r="AC202" s="18">
        <f t="shared" si="1589"/>
        <v>58.452005370111138</v>
      </c>
      <c r="AD202" s="18">
        <f t="shared" si="1589"/>
        <v>58.520794766641352</v>
      </c>
      <c r="AE202" s="18">
        <f t="shared" si="1589"/>
        <v>58.584550734536712</v>
      </c>
      <c r="AI202" s="67">
        <f>AJ172/AI27*90</f>
        <v>0</v>
      </c>
      <c r="AJ202" s="67">
        <f>AJ172/AJ27*90</f>
        <v>0</v>
      </c>
      <c r="AK202" s="67">
        <f t="shared" ref="AK202:CE202" si="1591">+AJ202</f>
        <v>0</v>
      </c>
      <c r="AL202" s="67">
        <f>AL172/AL27*90</f>
        <v>72.828675502770224</v>
      </c>
      <c r="AM202" s="67">
        <f t="shared" ref="AM202" si="1592">+AL202</f>
        <v>72.828675502770224</v>
      </c>
      <c r="AN202" s="67">
        <f>AN172/AN27*90</f>
        <v>33.651078990393607</v>
      </c>
      <c r="AO202" s="67">
        <f t="shared" ref="AO202" si="1593">+AN202</f>
        <v>33.651078990393607</v>
      </c>
      <c r="AP202" s="67">
        <f>AP172/AP27*90</f>
        <v>44.862054298244324</v>
      </c>
      <c r="AQ202" s="67">
        <f t="shared" ref="AQ202" si="1594">+AP202</f>
        <v>44.862054298244324</v>
      </c>
      <c r="AR202" s="67">
        <f>AR172/AR27*90</f>
        <v>16.681014980896844</v>
      </c>
      <c r="AS202" s="67">
        <f t="shared" ref="AS202" si="1595">+AR202</f>
        <v>16.681014980896844</v>
      </c>
      <c r="AT202" s="67">
        <f>AT172/AT27*90</f>
        <v>37.517853642142995</v>
      </c>
      <c r="AU202" s="67">
        <f t="shared" ref="AU202" si="1596">+AT202</f>
        <v>37.517853642142995</v>
      </c>
      <c r="AV202" s="67">
        <f>AV172/AV27*90</f>
        <v>18.367543365582737</v>
      </c>
      <c r="AW202" s="67">
        <f t="shared" ref="AW202" si="1597">+AV202</f>
        <v>18.367543365582737</v>
      </c>
      <c r="AX202" s="67">
        <f>AX172/AX27*90</f>
        <v>24.184307501950133</v>
      </c>
      <c r="AY202" s="67">
        <f t="shared" ref="AY202" si="1598">+AX202</f>
        <v>24.184307501950133</v>
      </c>
      <c r="AZ202" s="67">
        <f>AZ172/AZ27*90</f>
        <v>17.460319724930983</v>
      </c>
      <c r="BA202" s="67">
        <f t="shared" ref="BA202" si="1599">+AZ202</f>
        <v>17.460319724930983</v>
      </c>
      <c r="BB202" s="67">
        <f>BB172/BB27*90</f>
        <v>20.893537301726134</v>
      </c>
      <c r="BC202" s="67">
        <f t="shared" ref="BC202" si="1600">+BB202</f>
        <v>20.893537301726134</v>
      </c>
      <c r="BD202" s="67">
        <f>BD172/BD27*90</f>
        <v>17.523974598657272</v>
      </c>
      <c r="BE202" s="67">
        <f t="shared" ref="BE202" si="1601">+BD202</f>
        <v>17.523974598657272</v>
      </c>
      <c r="BF202" s="67">
        <f>BF172/BF27*90</f>
        <v>20.742941566713743</v>
      </c>
      <c r="BG202" s="67">
        <f t="shared" ref="BG202" si="1602">+BF202</f>
        <v>20.742941566713743</v>
      </c>
      <c r="BH202" s="67">
        <f>BH172/BH27*90</f>
        <v>42.29980541329406</v>
      </c>
      <c r="BI202" s="67">
        <f t="shared" ref="BI202" si="1603">+BH202</f>
        <v>42.29980541329406</v>
      </c>
      <c r="BJ202" s="67">
        <f>BJ172/BJ27*90</f>
        <v>47.224617317996959</v>
      </c>
      <c r="BK202" s="67">
        <f t="shared" ref="BK202" si="1604">+BJ202</f>
        <v>47.224617317996959</v>
      </c>
      <c r="BL202" s="67">
        <f>BL172/BL27*90</f>
        <v>39.770173665623751</v>
      </c>
      <c r="BM202" s="67">
        <f t="shared" ref="BM202" si="1605">+BL202</f>
        <v>39.770173665623751</v>
      </c>
      <c r="BN202" s="67">
        <f>BN172/BN27*90</f>
        <v>43.476432427215258</v>
      </c>
      <c r="BO202" s="67">
        <f t="shared" ref="BO202" si="1606">+BN202</f>
        <v>43.476432427215258</v>
      </c>
      <c r="BP202" s="67">
        <f>BP172/BP27*90</f>
        <v>36.054659860507428</v>
      </c>
      <c r="BQ202" s="67">
        <f t="shared" ref="BQ202" si="1607">+BP202</f>
        <v>36.054659860507428</v>
      </c>
      <c r="BR202" s="67">
        <f>BR172/BR27*90</f>
        <v>46.064748866894831</v>
      </c>
      <c r="BS202" s="67">
        <f t="shared" ref="BS202" si="1608">+BR202</f>
        <v>46.064748866894831</v>
      </c>
      <c r="BT202" s="67">
        <f>BT172/BT27*90</f>
        <v>36.846088641317507</v>
      </c>
      <c r="BU202" s="67">
        <f t="shared" ref="BU202" si="1609">+BT202</f>
        <v>36.846088641317507</v>
      </c>
      <c r="BV202" s="67">
        <f>BV172/BV27*90</f>
        <v>34.915438676037176</v>
      </c>
      <c r="BW202" s="67">
        <f t="shared" ref="BW202" si="1610">+BV202</f>
        <v>34.915438676037176</v>
      </c>
      <c r="BX202" s="67">
        <f>BX172/BX27*90</f>
        <v>45.7463015080845</v>
      </c>
      <c r="BY202" s="67">
        <f t="shared" ref="BY202" si="1611">+BX202</f>
        <v>45.7463015080845</v>
      </c>
      <c r="BZ202" s="67">
        <f>BZ172/BZ27*90</f>
        <v>52.114265558230485</v>
      </c>
      <c r="CA202" s="67">
        <f t="shared" ref="CA202" si="1612">+BZ202</f>
        <v>52.114265558230485</v>
      </c>
      <c r="CB202" s="67">
        <f>CB172/CB27*90</f>
        <v>42.671553651334925</v>
      </c>
      <c r="CC202" s="67">
        <f t="shared" ref="CC202" si="1613">+CB202</f>
        <v>42.671553651334925</v>
      </c>
      <c r="CD202" s="67">
        <f>CD172/CD27*90</f>
        <v>48.99040765617972</v>
      </c>
      <c r="CE202" s="114">
        <f t="shared" si="1591"/>
        <v>48.99040765617972</v>
      </c>
      <c r="CF202" s="67">
        <f>CF172/CF27*90</f>
        <v>40.849473790004161</v>
      </c>
      <c r="CG202" s="67">
        <f t="shared" ref="CG202:CI202" si="1614">+CF202</f>
        <v>40.849473790004161</v>
      </c>
      <c r="CH202" s="67">
        <f>CH172/CH27*90</f>
        <v>44.980766220358696</v>
      </c>
      <c r="CI202" s="67">
        <f t="shared" si="1614"/>
        <v>44.980766220358696</v>
      </c>
      <c r="CJ202" s="67">
        <f>CJ172/CJ27*90</f>
        <v>45.17835884353741</v>
      </c>
      <c r="CK202" s="67">
        <f t="shared" ref="CK202" si="1615">+CJ202</f>
        <v>45.17835884353741</v>
      </c>
      <c r="CL202" s="67">
        <f>CL172/CL27*90</f>
        <v>50.951077807608975</v>
      </c>
      <c r="CM202" s="30">
        <f t="shared" ref="CM202" si="1616">+CL202</f>
        <v>50.951077807608975</v>
      </c>
      <c r="CN202" s="30">
        <f t="shared" ref="CN202" si="1617">+CM202</f>
        <v>50.951077807608975</v>
      </c>
      <c r="CO202" s="30">
        <f t="shared" ref="CO202" si="1618">+CN202</f>
        <v>50.951077807608975</v>
      </c>
      <c r="CP202" s="30">
        <f t="shared" ref="CP202" si="1619">+CO202</f>
        <v>50.951077807608975</v>
      </c>
      <c r="CQ202" s="30">
        <f t="shared" ref="CQ202" si="1620">+CP202</f>
        <v>50.951077807608975</v>
      </c>
      <c r="CR202" s="30">
        <f t="shared" ref="CR202" si="1621">+CQ202</f>
        <v>50.951077807608975</v>
      </c>
      <c r="CS202" s="30">
        <f t="shared" ref="CS202" si="1622">+CR202</f>
        <v>50.951077807608975</v>
      </c>
      <c r="CT202" s="30">
        <f t="shared" ref="CT202" si="1623">+CS202</f>
        <v>50.951077807608975</v>
      </c>
      <c r="CU202" s="30">
        <f t="shared" ref="CU202" si="1624">+CT202</f>
        <v>50.951077807608975</v>
      </c>
      <c r="CV202" s="30">
        <f t="shared" ref="CV202" si="1625">+CU202</f>
        <v>50.951077807608975</v>
      </c>
      <c r="CW202" s="30">
        <f t="shared" ref="CW202" si="1626">+CV202</f>
        <v>50.951077807608975</v>
      </c>
      <c r="CX202" s="30">
        <f t="shared" ref="CX202" si="1627">+CW202</f>
        <v>50.951077807608975</v>
      </c>
      <c r="CY202" s="30">
        <f t="shared" ref="CY202" si="1628">+CX202</f>
        <v>50.951077807608975</v>
      </c>
      <c r="CZ202" s="30">
        <f t="shared" ref="CZ202" si="1629">+CY202</f>
        <v>50.951077807608975</v>
      </c>
      <c r="DA202" s="30">
        <f t="shared" ref="DA202" si="1630">+CZ202</f>
        <v>50.951077807608975</v>
      </c>
      <c r="DB202" s="30">
        <f t="shared" ref="DB202" si="1631">+DA202</f>
        <v>50.951077807608975</v>
      </c>
      <c r="DE202" s="139"/>
      <c r="DF202" s="62">
        <v>53.502646094599903</v>
      </c>
    </row>
    <row r="203" spans="1:110" s="62" customFormat="1" outlineLevel="1" x14ac:dyDescent="0.2">
      <c r="A203" s="68" t="s">
        <v>466</v>
      </c>
      <c r="B203" s="67" t="e">
        <f>B204-B202</f>
        <v>#DIV/0!</v>
      </c>
      <c r="C203" s="67" t="e">
        <f t="shared" ref="C203:V203" si="1632">C204-C202</f>
        <v>#DIV/0!</v>
      </c>
      <c r="D203" s="67" t="e">
        <f t="shared" si="1632"/>
        <v>#DIV/0!</v>
      </c>
      <c r="E203" s="67" t="e">
        <f t="shared" si="1632"/>
        <v>#DIV/0!</v>
      </c>
      <c r="F203" s="67" t="e">
        <f t="shared" si="1632"/>
        <v>#DIV/0!</v>
      </c>
      <c r="G203" s="67" t="e">
        <f t="shared" si="1632"/>
        <v>#DIV/0!</v>
      </c>
      <c r="H203" s="67" t="e">
        <f t="shared" si="1632"/>
        <v>#DIV/0!</v>
      </c>
      <c r="I203" s="67" t="e">
        <f t="shared" si="1632"/>
        <v>#DIV/0!</v>
      </c>
      <c r="J203" s="67" t="e">
        <f t="shared" si="1632"/>
        <v>#DIV/0!</v>
      </c>
      <c r="K203" s="67">
        <f t="shared" si="1632"/>
        <v>16.60540351492449</v>
      </c>
      <c r="L203" s="67">
        <f t="shared" si="1632"/>
        <v>53.655543156818112</v>
      </c>
      <c r="M203" s="67">
        <f t="shared" si="1632"/>
        <v>71.633478046893572</v>
      </c>
      <c r="N203" s="67">
        <f t="shared" si="1632"/>
        <v>43.767129807442764</v>
      </c>
      <c r="O203" s="67">
        <f t="shared" si="1632"/>
        <v>47.54918490623205</v>
      </c>
      <c r="P203" s="67">
        <f t="shared" si="1632"/>
        <v>57.381972740152612</v>
      </c>
      <c r="Q203" s="67">
        <f t="shared" si="1632"/>
        <v>47.34395747915265</v>
      </c>
      <c r="R203" s="67">
        <f t="shared" si="1632"/>
        <v>38.37818917612077</v>
      </c>
      <c r="S203" s="67">
        <f t="shared" si="1632"/>
        <v>38.878628910762949</v>
      </c>
      <c r="T203" s="67">
        <f t="shared" si="1632"/>
        <v>35.175425205852903</v>
      </c>
      <c r="U203" s="67">
        <f t="shared" si="1632"/>
        <v>60.911705379654435</v>
      </c>
      <c r="V203" s="67">
        <f t="shared" si="1632"/>
        <v>73.014267797855581</v>
      </c>
      <c r="W203" s="67">
        <f t="shared" ref="W203" si="1633">W204-W202</f>
        <v>56.115973910617114</v>
      </c>
      <c r="X203" s="67">
        <f t="shared" ref="X203:Y203" si="1634">X204-X202</f>
        <v>50.863330116216417</v>
      </c>
      <c r="Y203" s="67">
        <f t="shared" si="1634"/>
        <v>38.656690939427527</v>
      </c>
      <c r="Z203" s="67">
        <f t="shared" ref="Z203:AA203" si="1635">Z204-Z202</f>
        <v>30.69183075426546</v>
      </c>
      <c r="AA203" s="67">
        <f t="shared" si="1635"/>
        <v>36.740838218135032</v>
      </c>
      <c r="AB203" s="18">
        <f t="shared" ref="AB203:AD203" si="1636">AB204-AB202</f>
        <v>28.770411918190099</v>
      </c>
      <c r="AC203" s="18">
        <f t="shared" si="1636"/>
        <v>28.680455784873502</v>
      </c>
      <c r="AD203" s="18">
        <f t="shared" si="1636"/>
        <v>28.714208454831713</v>
      </c>
      <c r="AE203" s="18">
        <f t="shared" ref="AE203" si="1637">AE204-AE202</f>
        <v>28.745491388696273</v>
      </c>
      <c r="AI203" s="67">
        <f t="shared" ref="AI203:AK203" si="1638">AI204-AI202</f>
        <v>0</v>
      </c>
      <c r="AJ203" s="67">
        <f t="shared" ref="AJ203:AM203" si="1639">AJ204-AJ202</f>
        <v>90.473935965496395</v>
      </c>
      <c r="AK203" s="67">
        <f t="shared" si="1638"/>
        <v>85.967911396446354</v>
      </c>
      <c r="AL203" s="67">
        <f t="shared" si="1639"/>
        <v>95.815605007805559</v>
      </c>
      <c r="AM203" s="67">
        <f t="shared" si="1639"/>
        <v>77.800515322988232</v>
      </c>
      <c r="AN203" s="67">
        <f t="shared" ref="AN203:AY203" si="1640">AN204-AN202</f>
        <v>54.624895273265615</v>
      </c>
      <c r="AO203" s="67">
        <f t="shared" si="1640"/>
        <v>39.281064102339137</v>
      </c>
      <c r="AP203" s="67">
        <f t="shared" si="1640"/>
        <v>73.870253303803224</v>
      </c>
      <c r="AQ203" s="67">
        <f t="shared" si="1640"/>
        <v>87.660455846902295</v>
      </c>
      <c r="AR203" s="67">
        <f t="shared" si="1640"/>
        <v>60.831552885582141</v>
      </c>
      <c r="AS203" s="67">
        <f t="shared" si="1640"/>
        <v>54.463410654709335</v>
      </c>
      <c r="AT203" s="67">
        <f t="shared" si="1640"/>
        <v>76.955078836082563</v>
      </c>
      <c r="AU203" s="67">
        <f t="shared" si="1640"/>
        <v>82.760297971026105</v>
      </c>
      <c r="AV203" s="67">
        <f t="shared" si="1640"/>
        <v>64.229614789570888</v>
      </c>
      <c r="AW203" s="67">
        <f t="shared" si="1640"/>
        <v>78.995824749672124</v>
      </c>
      <c r="AX203" s="67">
        <f t="shared" si="1640"/>
        <v>77.351534550932044</v>
      </c>
      <c r="AY203" s="67">
        <f t="shared" si="1640"/>
        <v>107.47277294602402</v>
      </c>
      <c r="AZ203" s="67">
        <f t="shared" ref="AZ203:BC203" si="1641">AZ204-AZ202</f>
        <v>76.384083662070296</v>
      </c>
      <c r="BA203" s="67">
        <f t="shared" si="1641"/>
        <v>74.226944803573446</v>
      </c>
      <c r="BB203" s="67">
        <f t="shared" si="1641"/>
        <v>75.861401558541218</v>
      </c>
      <c r="BC203" s="67">
        <f t="shared" si="1641"/>
        <v>91.921250982184375</v>
      </c>
      <c r="BD203" s="67">
        <f t="shared" ref="BD203:CE203" si="1642">BD204-BD202</f>
        <v>57.080132304967478</v>
      </c>
      <c r="BE203" s="67">
        <f t="shared" si="1642"/>
        <v>35.661822773077859</v>
      </c>
      <c r="BF203" s="67">
        <f t="shared" si="1642"/>
        <v>44.858424332211385</v>
      </c>
      <c r="BG203" s="67">
        <f t="shared" si="1642"/>
        <v>39.916521197459062</v>
      </c>
      <c r="BH203" s="67">
        <f t="shared" si="1642"/>
        <v>28.863593367836451</v>
      </c>
      <c r="BI203" s="67">
        <f t="shared" si="1642"/>
        <v>28.883108190337104</v>
      </c>
      <c r="BJ203" s="67">
        <f t="shared" si="1642"/>
        <v>41.020979875377449</v>
      </c>
      <c r="BK203" s="67">
        <f t="shared" si="1642"/>
        <v>46.13602010168627</v>
      </c>
      <c r="BL203" s="67">
        <f t="shared" si="1642"/>
        <v>58.380065558120371</v>
      </c>
      <c r="BM203" s="67">
        <f t="shared" si="1642"/>
        <v>52.393899537143945</v>
      </c>
      <c r="BN203" s="67">
        <f t="shared" si="1642"/>
        <v>75.289863565228785</v>
      </c>
      <c r="BO203" s="67">
        <f t="shared" si="1642"/>
        <v>133.11721792551148</v>
      </c>
      <c r="BP203" s="67">
        <f t="shared" si="1642"/>
        <v>100.51804306075002</v>
      </c>
      <c r="BQ203" s="67">
        <f t="shared" si="1642"/>
        <v>83.311923146738906</v>
      </c>
      <c r="BR203" s="67">
        <f t="shared" si="1642"/>
        <v>50.737370667441894</v>
      </c>
      <c r="BS203" s="67">
        <f t="shared" si="1642"/>
        <v>66.554322956389129</v>
      </c>
      <c r="BT203" s="67">
        <f t="shared" si="1642"/>
        <v>61.360801646887879</v>
      </c>
      <c r="BU203" s="67">
        <f t="shared" si="1642"/>
        <v>52.554364109892134</v>
      </c>
      <c r="BV203" s="67">
        <f t="shared" si="1642"/>
        <v>46.350714123781451</v>
      </c>
      <c r="BW203" s="67">
        <f t="shared" si="1642"/>
        <v>52.901922789424667</v>
      </c>
      <c r="BX203" s="67">
        <f t="shared" si="1642"/>
        <v>49.52722119726775</v>
      </c>
      <c r="BY203" s="67">
        <f t="shared" si="1642"/>
        <v>38.826605195097287</v>
      </c>
      <c r="BZ203" s="67">
        <f t="shared" si="1642"/>
        <v>43.19404636388343</v>
      </c>
      <c r="CA203" s="67">
        <f t="shared" si="1642"/>
        <v>50.812567173519696</v>
      </c>
      <c r="CB203" s="67">
        <f t="shared" si="1642"/>
        <v>43.523934272678368</v>
      </c>
      <c r="CC203" s="67">
        <f t="shared" si="1642"/>
        <v>42.062873822729124</v>
      </c>
      <c r="CD203" s="67">
        <f t="shared" si="1642"/>
        <v>36.821937048861237</v>
      </c>
      <c r="CE203" s="114">
        <f t="shared" si="1642"/>
        <v>40.445771277241924</v>
      </c>
      <c r="CF203" s="67">
        <f t="shared" ref="CF203:CG203" si="1643">CF204-CF202</f>
        <v>36.526116670734673</v>
      </c>
      <c r="CG203" s="67">
        <f t="shared" si="1643"/>
        <v>38.609185589892427</v>
      </c>
      <c r="CH203" s="67">
        <f t="shared" ref="CH203" si="1644">CH204-CH202</f>
        <v>31.234937650968284</v>
      </c>
      <c r="CI203" s="67">
        <f>CH203</f>
        <v>31.234937650968284</v>
      </c>
      <c r="CJ203" s="67">
        <f t="shared" ref="CJ203:CL203" si="1645">CJ204-CJ202</f>
        <v>28.933035714285708</v>
      </c>
      <c r="CK203" s="67">
        <f t="shared" ref="CK203:DB203" si="1646">CJ203</f>
        <v>28.933035714285708</v>
      </c>
      <c r="CL203" s="67">
        <f t="shared" si="1645"/>
        <v>34.988949990072264</v>
      </c>
      <c r="CM203" s="30">
        <v>25</v>
      </c>
      <c r="CN203" s="30">
        <f t="shared" si="1646"/>
        <v>25</v>
      </c>
      <c r="CO203" s="30">
        <f t="shared" si="1646"/>
        <v>25</v>
      </c>
      <c r="CP203" s="30">
        <f t="shared" si="1646"/>
        <v>25</v>
      </c>
      <c r="CQ203" s="30">
        <f t="shared" si="1646"/>
        <v>25</v>
      </c>
      <c r="CR203" s="30">
        <f t="shared" si="1646"/>
        <v>25</v>
      </c>
      <c r="CS203" s="30">
        <f t="shared" si="1646"/>
        <v>25</v>
      </c>
      <c r="CT203" s="30">
        <f t="shared" si="1646"/>
        <v>25</v>
      </c>
      <c r="CU203" s="30">
        <f t="shared" si="1646"/>
        <v>25</v>
      </c>
      <c r="CV203" s="30">
        <f t="shared" si="1646"/>
        <v>25</v>
      </c>
      <c r="CW203" s="30">
        <f t="shared" si="1646"/>
        <v>25</v>
      </c>
      <c r="CX203" s="30">
        <f t="shared" si="1646"/>
        <v>25</v>
      </c>
      <c r="CY203" s="30">
        <f t="shared" si="1646"/>
        <v>25</v>
      </c>
      <c r="CZ203" s="30">
        <f t="shared" si="1646"/>
        <v>25</v>
      </c>
      <c r="DA203" s="30">
        <f t="shared" si="1646"/>
        <v>25</v>
      </c>
      <c r="DB203" s="30">
        <f t="shared" si="1646"/>
        <v>25</v>
      </c>
      <c r="DE203" s="139"/>
      <c r="DF203" s="62">
        <v>36.740838218135032</v>
      </c>
    </row>
    <row r="204" spans="1:110" s="7" customFormat="1" outlineLevel="1" x14ac:dyDescent="0.2">
      <c r="A204" s="69" t="s">
        <v>469</v>
      </c>
      <c r="B204" s="70" t="e">
        <f t="shared" ref="B204:AE204" si="1647">B175/B27*365</f>
        <v>#DIV/0!</v>
      </c>
      <c r="C204" s="70" t="e">
        <f t="shared" si="1647"/>
        <v>#DIV/0!</v>
      </c>
      <c r="D204" s="70" t="e">
        <f t="shared" si="1647"/>
        <v>#DIV/0!</v>
      </c>
      <c r="E204" s="70" t="e">
        <f t="shared" si="1647"/>
        <v>#DIV/0!</v>
      </c>
      <c r="F204" s="70" t="e">
        <f t="shared" si="1647"/>
        <v>#DIV/0!</v>
      </c>
      <c r="G204" s="70" t="e">
        <f t="shared" si="1647"/>
        <v>#DIV/0!</v>
      </c>
      <c r="H204" s="70" t="e">
        <f t="shared" si="1647"/>
        <v>#DIV/0!</v>
      </c>
      <c r="I204" s="70" t="e">
        <f t="shared" si="1647"/>
        <v>#DIV/0!</v>
      </c>
      <c r="J204" s="70" t="e">
        <f t="shared" si="1647"/>
        <v>#DIV/0!</v>
      </c>
      <c r="K204" s="70">
        <f t="shared" si="1647"/>
        <v>50.419988146717181</v>
      </c>
      <c r="L204" s="70">
        <f t="shared" si="1647"/>
        <v>85.368597933719485</v>
      </c>
      <c r="M204" s="70">
        <f t="shared" si="1647"/>
        <v>115.21831374387602</v>
      </c>
      <c r="N204" s="70">
        <f t="shared" si="1647"/>
        <v>85.57374848280881</v>
      </c>
      <c r="O204" s="70">
        <f t="shared" si="1647"/>
        <v>83.255828898306305</v>
      </c>
      <c r="P204" s="70">
        <f t="shared" si="1647"/>
        <v>95.64513692321357</v>
      </c>
      <c r="Q204" s="70">
        <f t="shared" si="1647"/>
        <v>70.304684601651743</v>
      </c>
      <c r="R204" s="70">
        <f t="shared" si="1647"/>
        <v>58.82789217612995</v>
      </c>
      <c r="S204" s="70">
        <f t="shared" si="1647"/>
        <v>63.083812282094001</v>
      </c>
      <c r="T204" s="70">
        <f t="shared" si="1647"/>
        <v>89.532237991946786</v>
      </c>
      <c r="U204" s="70">
        <f t="shared" si="1647"/>
        <v>104.96220326747397</v>
      </c>
      <c r="V204" s="70">
        <f t="shared" si="1647"/>
        <v>139.30397843294685</v>
      </c>
      <c r="W204" s="70">
        <f t="shared" si="1647"/>
        <v>98.387448755100721</v>
      </c>
      <c r="X204" s="70">
        <f t="shared" si="1647"/>
        <v>112.23062437373969</v>
      </c>
      <c r="Y204" s="70">
        <f t="shared" si="1647"/>
        <v>90.088333923784859</v>
      </c>
      <c r="Z204" s="70">
        <f t="shared" si="1647"/>
        <v>74.89048033888001</v>
      </c>
      <c r="AA204" s="70">
        <f t="shared" ref="AA204" si="1648">AA175/AA27*365</f>
        <v>90.243484312734935</v>
      </c>
      <c r="AB204" s="71">
        <f t="shared" si="1647"/>
        <v>87.405751766216667</v>
      </c>
      <c r="AC204" s="71">
        <f t="shared" si="1647"/>
        <v>87.13246115498464</v>
      </c>
      <c r="AD204" s="71">
        <f t="shared" si="1647"/>
        <v>87.235003221473065</v>
      </c>
      <c r="AE204" s="71">
        <f t="shared" si="1647"/>
        <v>87.330042123232985</v>
      </c>
      <c r="AI204" s="70">
        <f t="shared" ref="AI204:CD204" si="1649">AI175/AI27*90</f>
        <v>0</v>
      </c>
      <c r="AJ204" s="70">
        <f t="shared" si="1649"/>
        <v>90.473935965496395</v>
      </c>
      <c r="AK204" s="70">
        <f>AK175/AK27*90</f>
        <v>85.967911396446354</v>
      </c>
      <c r="AL204" s="70">
        <f t="shared" si="1649"/>
        <v>168.64428051057578</v>
      </c>
      <c r="AM204" s="70">
        <f t="shared" si="1649"/>
        <v>150.62919082575846</v>
      </c>
      <c r="AN204" s="70">
        <f t="shared" si="1649"/>
        <v>88.275974263659222</v>
      </c>
      <c r="AO204" s="70">
        <f t="shared" si="1649"/>
        <v>72.932143092732744</v>
      </c>
      <c r="AP204" s="70">
        <f t="shared" si="1649"/>
        <v>118.73230760204756</v>
      </c>
      <c r="AQ204" s="70">
        <f t="shared" si="1649"/>
        <v>132.52251014514661</v>
      </c>
      <c r="AR204" s="70">
        <f t="shared" si="1649"/>
        <v>77.512567866478989</v>
      </c>
      <c r="AS204" s="70">
        <f t="shared" si="1649"/>
        <v>71.144425635606183</v>
      </c>
      <c r="AT204" s="70">
        <f t="shared" si="1649"/>
        <v>114.47293247822556</v>
      </c>
      <c r="AU204" s="70">
        <f t="shared" si="1649"/>
        <v>120.2781516131691</v>
      </c>
      <c r="AV204" s="70">
        <f t="shared" si="1649"/>
        <v>82.597158155153622</v>
      </c>
      <c r="AW204" s="70">
        <f t="shared" si="1649"/>
        <v>97.363368115254858</v>
      </c>
      <c r="AX204" s="70">
        <f t="shared" si="1649"/>
        <v>101.53584205288217</v>
      </c>
      <c r="AY204" s="70">
        <f t="shared" si="1649"/>
        <v>131.65708044797415</v>
      </c>
      <c r="AZ204" s="70">
        <f t="shared" si="1649"/>
        <v>93.844403387001279</v>
      </c>
      <c r="BA204" s="70">
        <f t="shared" si="1649"/>
        <v>91.687264528504429</v>
      </c>
      <c r="BB204" s="70">
        <f t="shared" si="1649"/>
        <v>96.754938860267359</v>
      </c>
      <c r="BC204" s="70">
        <f t="shared" si="1649"/>
        <v>112.8147882839105</v>
      </c>
      <c r="BD204" s="70">
        <f t="shared" si="1649"/>
        <v>74.604106903624753</v>
      </c>
      <c r="BE204" s="70">
        <f t="shared" si="1649"/>
        <v>53.185797371735127</v>
      </c>
      <c r="BF204" s="70">
        <f t="shared" si="1649"/>
        <v>65.601365898925124</v>
      </c>
      <c r="BG204" s="70">
        <f t="shared" si="1649"/>
        <v>60.659462764172808</v>
      </c>
      <c r="BH204" s="70">
        <f t="shared" si="1649"/>
        <v>71.16339878113051</v>
      </c>
      <c r="BI204" s="70">
        <f t="shared" si="1649"/>
        <v>71.182913603631164</v>
      </c>
      <c r="BJ204" s="70">
        <f t="shared" si="1649"/>
        <v>88.245597193374408</v>
      </c>
      <c r="BK204" s="70">
        <f t="shared" si="1649"/>
        <v>93.360637419683229</v>
      </c>
      <c r="BL204" s="70">
        <f t="shared" si="1649"/>
        <v>98.150239223744123</v>
      </c>
      <c r="BM204" s="70">
        <f t="shared" si="1649"/>
        <v>92.164073202767696</v>
      </c>
      <c r="BN204" s="70">
        <f t="shared" si="1649"/>
        <v>118.76629599244404</v>
      </c>
      <c r="BO204" s="70">
        <f t="shared" si="1649"/>
        <v>176.59365035272674</v>
      </c>
      <c r="BP204" s="70">
        <f t="shared" si="1649"/>
        <v>136.57270292125745</v>
      </c>
      <c r="BQ204" s="70">
        <f t="shared" si="1649"/>
        <v>119.36658300724633</v>
      </c>
      <c r="BR204" s="70">
        <f t="shared" si="1649"/>
        <v>96.802119534336725</v>
      </c>
      <c r="BS204" s="70">
        <f t="shared" si="1649"/>
        <v>112.61907182328396</v>
      </c>
      <c r="BT204" s="70">
        <f t="shared" si="1649"/>
        <v>98.206890288205386</v>
      </c>
      <c r="BU204" s="70">
        <f t="shared" si="1649"/>
        <v>89.400452751209642</v>
      </c>
      <c r="BV204" s="70">
        <f t="shared" si="1649"/>
        <v>81.266152799818627</v>
      </c>
      <c r="BW204" s="70">
        <f t="shared" si="1649"/>
        <v>87.817361465461843</v>
      </c>
      <c r="BX204" s="70">
        <f t="shared" si="1649"/>
        <v>95.273522705352249</v>
      </c>
      <c r="BY204" s="70">
        <f t="shared" si="1649"/>
        <v>84.572906703181786</v>
      </c>
      <c r="BZ204" s="70">
        <f t="shared" si="1649"/>
        <v>95.308311922113916</v>
      </c>
      <c r="CA204" s="70">
        <f t="shared" si="1649"/>
        <v>102.92683273175018</v>
      </c>
      <c r="CB204" s="70">
        <f t="shared" si="1649"/>
        <v>86.195487924013293</v>
      </c>
      <c r="CC204" s="70">
        <f t="shared" si="1649"/>
        <v>84.734427474064049</v>
      </c>
      <c r="CD204" s="70">
        <f t="shared" si="1649"/>
        <v>85.812344705040957</v>
      </c>
      <c r="CE204" s="115">
        <f>CE175/CE29*90</f>
        <v>89.436178933421644</v>
      </c>
      <c r="CF204" s="70">
        <f>CF175/CF27*90</f>
        <v>77.375590460738835</v>
      </c>
      <c r="CG204" s="70">
        <f>CG175/CG29*90</f>
        <v>79.458659379896588</v>
      </c>
      <c r="CH204" s="70">
        <f>CH175/CH27*90</f>
        <v>76.21570387132698</v>
      </c>
      <c r="CI204" s="70">
        <f>CI202+CI203</f>
        <v>76.21570387132698</v>
      </c>
      <c r="CJ204" s="70">
        <f>CJ175/CJ27*90</f>
        <v>74.111394557823118</v>
      </c>
      <c r="CK204" s="70">
        <f t="shared" ref="CK204:DB204" si="1650">CK202+CK203</f>
        <v>74.111394557823118</v>
      </c>
      <c r="CL204" s="70">
        <f>CL175/CL27*90</f>
        <v>85.940027797681239</v>
      </c>
      <c r="CM204" s="50">
        <f t="shared" si="1650"/>
        <v>75.951077807608982</v>
      </c>
      <c r="CN204" s="50">
        <f t="shared" si="1650"/>
        <v>75.951077807608982</v>
      </c>
      <c r="CO204" s="50">
        <f t="shared" si="1650"/>
        <v>75.951077807608982</v>
      </c>
      <c r="CP204" s="50">
        <f t="shared" si="1650"/>
        <v>75.951077807608982</v>
      </c>
      <c r="CQ204" s="50">
        <f t="shared" si="1650"/>
        <v>75.951077807608982</v>
      </c>
      <c r="CR204" s="50">
        <f t="shared" si="1650"/>
        <v>75.951077807608982</v>
      </c>
      <c r="CS204" s="50">
        <f t="shared" si="1650"/>
        <v>75.951077807608982</v>
      </c>
      <c r="CT204" s="50">
        <f t="shared" si="1650"/>
        <v>75.951077807608982</v>
      </c>
      <c r="CU204" s="50">
        <f t="shared" si="1650"/>
        <v>75.951077807608982</v>
      </c>
      <c r="CV204" s="50">
        <f t="shared" si="1650"/>
        <v>75.951077807608982</v>
      </c>
      <c r="CW204" s="50">
        <f t="shared" si="1650"/>
        <v>75.951077807608982</v>
      </c>
      <c r="CX204" s="50">
        <f t="shared" si="1650"/>
        <v>75.951077807608982</v>
      </c>
      <c r="CY204" s="50">
        <f t="shared" si="1650"/>
        <v>75.951077807608982</v>
      </c>
      <c r="CZ204" s="50">
        <f t="shared" si="1650"/>
        <v>75.951077807608982</v>
      </c>
      <c r="DA204" s="50">
        <f t="shared" si="1650"/>
        <v>75.951077807608982</v>
      </c>
      <c r="DB204" s="50">
        <f t="shared" si="1650"/>
        <v>75.951077807608982</v>
      </c>
      <c r="DE204" s="138"/>
      <c r="DF204" s="7">
        <v>90.243484312734935</v>
      </c>
    </row>
    <row r="205" spans="1:110" s="7" customFormat="1" x14ac:dyDescent="0.2">
      <c r="A205" s="69" t="s">
        <v>470</v>
      </c>
      <c r="B205" s="70" t="e">
        <f>B201-B204</f>
        <v>#DIV/0!</v>
      </c>
      <c r="C205" s="70" t="e">
        <f t="shared" ref="C205:V205" si="1651">C201-C204</f>
        <v>#DIV/0!</v>
      </c>
      <c r="D205" s="70" t="e">
        <f t="shared" si="1651"/>
        <v>#DIV/0!</v>
      </c>
      <c r="E205" s="70" t="e">
        <f t="shared" si="1651"/>
        <v>#DIV/0!</v>
      </c>
      <c r="F205" s="70" t="e">
        <f t="shared" si="1651"/>
        <v>#DIV/0!</v>
      </c>
      <c r="G205" s="70" t="e">
        <f t="shared" si="1651"/>
        <v>#DIV/0!</v>
      </c>
      <c r="H205" s="70" t="e">
        <f t="shared" si="1651"/>
        <v>#DIV/0!</v>
      </c>
      <c r="I205" s="70" t="e">
        <f t="shared" si="1651"/>
        <v>#DIV/0!</v>
      </c>
      <c r="J205" s="70" t="e">
        <f t="shared" si="1651"/>
        <v>#DIV/0!</v>
      </c>
      <c r="K205" s="70">
        <f t="shared" si="1651"/>
        <v>60.339880943014471</v>
      </c>
      <c r="L205" s="70">
        <f t="shared" si="1651"/>
        <v>221.35477318723039</v>
      </c>
      <c r="M205" s="70">
        <f t="shared" si="1651"/>
        <v>159.18435586665993</v>
      </c>
      <c r="N205" s="70">
        <f t="shared" si="1651"/>
        <v>157.59315238369254</v>
      </c>
      <c r="O205" s="70">
        <f t="shared" si="1651"/>
        <v>180.11603824565751</v>
      </c>
      <c r="P205" s="70">
        <f t="shared" si="1651"/>
        <v>186.61002769301587</v>
      </c>
      <c r="Q205" s="70">
        <f t="shared" si="1651"/>
        <v>194.10630969987409</v>
      </c>
      <c r="R205" s="70">
        <f t="shared" si="1651"/>
        <v>192.08052749967786</v>
      </c>
      <c r="S205" s="70">
        <f t="shared" si="1651"/>
        <v>179.66316966202663</v>
      </c>
      <c r="T205" s="70">
        <f t="shared" si="1651"/>
        <v>119.42698414762943</v>
      </c>
      <c r="U205" s="70">
        <f t="shared" si="1651"/>
        <v>105.23398880959937</v>
      </c>
      <c r="V205" s="70">
        <f t="shared" si="1651"/>
        <v>106.25739478086825</v>
      </c>
      <c r="W205" s="70">
        <f t="shared" ref="W205" si="1652">W201-W204</f>
        <v>118.36909480930784</v>
      </c>
      <c r="X205" s="70">
        <f t="shared" ref="X205:Y205" si="1653">X201-X204</f>
        <v>86.141005841991102</v>
      </c>
      <c r="Y205" s="70">
        <f t="shared" si="1653"/>
        <v>86.183693998796144</v>
      </c>
      <c r="Z205" s="70">
        <f t="shared" ref="Z205:AA205" si="1654">Z201-Z204</f>
        <v>95.882195655431516</v>
      </c>
      <c r="AA205" s="70">
        <f t="shared" si="1654"/>
        <v>114.99678276230723</v>
      </c>
      <c r="AB205" s="71">
        <f t="shared" ref="AB205:AD205" si="1655">AB201-AB204</f>
        <v>119.84321951946905</v>
      </c>
      <c r="AC205" s="71">
        <f t="shared" si="1655"/>
        <v>119.46850703141578</v>
      </c>
      <c r="AD205" s="71">
        <f t="shared" si="1655"/>
        <v>119.60910385869347</v>
      </c>
      <c r="AE205" s="71">
        <f t="shared" ref="AE205" si="1656">AE201-AE204</f>
        <v>119.73941299437796</v>
      </c>
      <c r="AI205" s="70">
        <f t="shared" ref="AI205:AK205" si="1657">AI201-AI204</f>
        <v>0</v>
      </c>
      <c r="AJ205" s="70">
        <f t="shared" ref="AJ205:AM205" si="1658">AJ201-AJ204</f>
        <v>154.79452389534066</v>
      </c>
      <c r="AK205" s="70">
        <f t="shared" si="1657"/>
        <v>156.10190220061685</v>
      </c>
      <c r="AL205" s="70">
        <f t="shared" si="1658"/>
        <v>254.96372708071871</v>
      </c>
      <c r="AM205" s="70">
        <f t="shared" si="1658"/>
        <v>253.15099537091524</v>
      </c>
      <c r="AN205" s="70">
        <f t="shared" ref="AN205:AY205" si="1659">AN201-AN204</f>
        <v>223.56331188638256</v>
      </c>
      <c r="AO205" s="70">
        <f t="shared" si="1659"/>
        <v>215.18164874625421</v>
      </c>
      <c r="AP205" s="70">
        <f t="shared" si="1659"/>
        <v>212.17104973672241</v>
      </c>
      <c r="AQ205" s="70">
        <f t="shared" si="1659"/>
        <v>215.01176738889495</v>
      </c>
      <c r="AR205" s="70">
        <f t="shared" si="1659"/>
        <v>176.11690629398754</v>
      </c>
      <c r="AS205" s="70">
        <f t="shared" si="1659"/>
        <v>173.70051599442874</v>
      </c>
      <c r="AT205" s="70">
        <f t="shared" si="1659"/>
        <v>162.28624639426442</v>
      </c>
      <c r="AU205" s="70">
        <f t="shared" si="1659"/>
        <v>161.41883373214137</v>
      </c>
      <c r="AV205" s="70">
        <f t="shared" si="1659"/>
        <v>289.73299776844595</v>
      </c>
      <c r="AW205" s="70">
        <f t="shared" si="1659"/>
        <v>300.07776415129433</v>
      </c>
      <c r="AX205" s="70">
        <f t="shared" si="1659"/>
        <v>176.96570460230782</v>
      </c>
      <c r="AY205" s="70">
        <f t="shared" si="1659"/>
        <v>169.39991514342736</v>
      </c>
      <c r="AZ205" s="70">
        <f t="shared" ref="AZ205:BC205" si="1660">AZ201-AZ204</f>
        <v>199.25090774202286</v>
      </c>
      <c r="BA205" s="70">
        <f t="shared" si="1660"/>
        <v>190.33230905296625</v>
      </c>
      <c r="BB205" s="70">
        <f t="shared" si="1660"/>
        <v>159.60009479903169</v>
      </c>
      <c r="BC205" s="70">
        <f t="shared" si="1660"/>
        <v>152.07085089838961</v>
      </c>
      <c r="BD205" s="70">
        <f t="shared" ref="BD205:CE205" si="1661">BD201-BD204</f>
        <v>257.08641452024307</v>
      </c>
      <c r="BE205" s="70">
        <f t="shared" si="1661"/>
        <v>234.60246785352774</v>
      </c>
      <c r="BF205" s="70">
        <f t="shared" si="1661"/>
        <v>143.04453823580883</v>
      </c>
      <c r="BG205" s="70">
        <f t="shared" si="1661"/>
        <v>142.72783804226847</v>
      </c>
      <c r="BH205" s="70">
        <f t="shared" si="1661"/>
        <v>111.18562760969151</v>
      </c>
      <c r="BI205" s="70">
        <f t="shared" si="1661"/>
        <v>111.20459850942206</v>
      </c>
      <c r="BJ205" s="70">
        <f t="shared" si="1661"/>
        <v>93.373448763374199</v>
      </c>
      <c r="BK205" s="70">
        <f t="shared" si="1661"/>
        <v>93.275803960769622</v>
      </c>
      <c r="BL205" s="70">
        <f t="shared" si="1661"/>
        <v>123.44840188097361</v>
      </c>
      <c r="BM205" s="70">
        <f t="shared" si="1661"/>
        <v>123.21211581575778</v>
      </c>
      <c r="BN205" s="70">
        <f t="shared" si="1661"/>
        <v>97.529110450806968</v>
      </c>
      <c r="BO205" s="70">
        <f t="shared" si="1661"/>
        <v>97.385903838268405</v>
      </c>
      <c r="BP205" s="70">
        <f t="shared" si="1661"/>
        <v>127.59665925401802</v>
      </c>
      <c r="BQ205" s="70">
        <f t="shared" si="1661"/>
        <v>127.27612892603244</v>
      </c>
      <c r="BR205" s="70">
        <f t="shared" si="1661"/>
        <v>79.67836991424079</v>
      </c>
      <c r="BS205" s="70">
        <f t="shared" si="1661"/>
        <v>81.478848248903333</v>
      </c>
      <c r="BT205" s="70">
        <f t="shared" si="1661"/>
        <v>126.62902639864373</v>
      </c>
      <c r="BU205" s="70">
        <f t="shared" si="1661"/>
        <v>123.2164107404822</v>
      </c>
      <c r="BV205" s="70">
        <f t="shared" si="1661"/>
        <v>103.08002720471546</v>
      </c>
      <c r="BW205" s="70">
        <f t="shared" si="1661"/>
        <v>104.76450744982249</v>
      </c>
      <c r="BX205" s="70">
        <f t="shared" si="1661"/>
        <v>110.84613976861858</v>
      </c>
      <c r="BY205" s="70">
        <f t="shared" si="1661"/>
        <v>109.43972940177252</v>
      </c>
      <c r="BZ205" s="70">
        <f t="shared" si="1661"/>
        <v>76.330055955081718</v>
      </c>
      <c r="CA205" s="70">
        <f t="shared" si="1661"/>
        <v>75.523819566518483</v>
      </c>
      <c r="CB205" s="70">
        <f t="shared" si="1661"/>
        <v>84.412519071680265</v>
      </c>
      <c r="CC205" s="70">
        <f t="shared" si="1661"/>
        <v>84.490986970600332</v>
      </c>
      <c r="CD205" s="70">
        <f t="shared" si="1661"/>
        <v>84.981548931275753</v>
      </c>
      <c r="CE205" s="115">
        <f t="shared" si="1661"/>
        <v>84.509698322229895</v>
      </c>
      <c r="CF205" s="70">
        <f t="shared" ref="CF205:CG205" si="1662">CF201-CF204</f>
        <v>91.035531737713427</v>
      </c>
      <c r="CG205" s="70">
        <f t="shared" si="1662"/>
        <v>90.529765691889466</v>
      </c>
      <c r="CH205" s="70">
        <f t="shared" ref="CH205:CI205" si="1663">CH201-CH204</f>
        <v>97.578877816505781</v>
      </c>
      <c r="CI205" s="70">
        <f t="shared" si="1663"/>
        <v>97.578877816505781</v>
      </c>
      <c r="CJ205" s="70">
        <f t="shared" ref="CJ205:DB205" si="1664">CJ201-CJ204</f>
        <v>152.96130952380952</v>
      </c>
      <c r="CK205" s="70">
        <f t="shared" si="1664"/>
        <v>152.96130952380952</v>
      </c>
      <c r="CL205" s="70">
        <f t="shared" ref="CL205" si="1665">CL201-CL204</f>
        <v>121.81315123837805</v>
      </c>
      <c r="CM205" s="50">
        <f t="shared" si="1664"/>
        <v>104.13755967437001</v>
      </c>
      <c r="CN205" s="50">
        <f t="shared" si="1664"/>
        <v>104.13755967437001</v>
      </c>
      <c r="CO205" s="50">
        <f t="shared" si="1664"/>
        <v>104.13755967437001</v>
      </c>
      <c r="CP205" s="50">
        <f t="shared" si="1664"/>
        <v>104.13755967437001</v>
      </c>
      <c r="CQ205" s="50">
        <f t="shared" si="1664"/>
        <v>104.13755967437001</v>
      </c>
      <c r="CR205" s="50">
        <f t="shared" si="1664"/>
        <v>104.13755967437001</v>
      </c>
      <c r="CS205" s="50">
        <f t="shared" si="1664"/>
        <v>104.13755967437001</v>
      </c>
      <c r="CT205" s="50">
        <f t="shared" si="1664"/>
        <v>104.13755967437001</v>
      </c>
      <c r="CU205" s="50">
        <f t="shared" si="1664"/>
        <v>104.13755967437001</v>
      </c>
      <c r="CV205" s="50">
        <f t="shared" si="1664"/>
        <v>104.13755967437001</v>
      </c>
      <c r="CW205" s="50">
        <f t="shared" si="1664"/>
        <v>104.13755967437001</v>
      </c>
      <c r="CX205" s="50">
        <f t="shared" si="1664"/>
        <v>104.13755967437001</v>
      </c>
      <c r="CY205" s="50">
        <f t="shared" si="1664"/>
        <v>104.13755967437001</v>
      </c>
      <c r="CZ205" s="50">
        <f t="shared" si="1664"/>
        <v>104.13755967437001</v>
      </c>
      <c r="DA205" s="50">
        <f t="shared" si="1664"/>
        <v>104.13755967437001</v>
      </c>
      <c r="DB205" s="50">
        <f t="shared" si="1664"/>
        <v>104.13755967437001</v>
      </c>
      <c r="DE205" s="138"/>
      <c r="DF205" s="7">
        <v>114.99678276230723</v>
      </c>
    </row>
    <row r="206" spans="1:110" s="7" customFormat="1" x14ac:dyDescent="0.2">
      <c r="A206" s="69" t="s">
        <v>86</v>
      </c>
      <c r="AB206" s="77"/>
      <c r="AC206" s="77"/>
      <c r="AD206" s="77"/>
      <c r="AE206" s="77"/>
      <c r="CE206" s="115"/>
      <c r="CG206" s="115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E206" s="138"/>
    </row>
    <row r="207" spans="1:110" s="86" customFormat="1" x14ac:dyDescent="0.2">
      <c r="A207" s="86" t="s">
        <v>440</v>
      </c>
      <c r="C207" s="86" t="e">
        <f t="shared" ref="C207:Y207" si="1666">C29/B29-1</f>
        <v>#DIV/0!</v>
      </c>
      <c r="D207" s="86" t="e">
        <f t="shared" si="1666"/>
        <v>#DIV/0!</v>
      </c>
      <c r="E207" s="86" t="e">
        <f t="shared" si="1666"/>
        <v>#DIV/0!</v>
      </c>
      <c r="F207" s="86" t="e">
        <f t="shared" si="1666"/>
        <v>#DIV/0!</v>
      </c>
      <c r="G207" s="86" t="e">
        <f t="shared" si="1666"/>
        <v>#DIV/0!</v>
      </c>
      <c r="H207" s="86" t="e">
        <f t="shared" si="1666"/>
        <v>#DIV/0!</v>
      </c>
      <c r="I207" s="86" t="e">
        <f t="shared" si="1666"/>
        <v>#DIV/0!</v>
      </c>
      <c r="J207" s="86" t="e">
        <f t="shared" si="1666"/>
        <v>#DIV/0!</v>
      </c>
      <c r="K207" s="86" t="e">
        <f t="shared" si="1666"/>
        <v>#DIV/0!</v>
      </c>
      <c r="L207" s="86">
        <f t="shared" si="1666"/>
        <v>-0.35497124228140575</v>
      </c>
      <c r="M207" s="86">
        <f t="shared" si="1666"/>
        <v>0.3161725724912583</v>
      </c>
      <c r="N207" s="86">
        <f t="shared" si="1666"/>
        <v>0.12065678530650326</v>
      </c>
      <c r="O207" s="86">
        <f t="shared" si="1666"/>
        <v>-1.6095311329452078E-2</v>
      </c>
      <c r="P207" s="86">
        <f t="shared" si="1666"/>
        <v>0.23317582371254497</v>
      </c>
      <c r="Q207" s="86">
        <f t="shared" si="1666"/>
        <v>-6.155725616201535E-2</v>
      </c>
      <c r="R207" s="86">
        <f t="shared" si="1666"/>
        <v>-8.210980151504077E-2</v>
      </c>
      <c r="S207" s="86">
        <f t="shared" si="1666"/>
        <v>0.20317876012708913</v>
      </c>
      <c r="T207" s="86">
        <f t="shared" si="1666"/>
        <v>0.42442024475549922</v>
      </c>
      <c r="U207" s="86">
        <f t="shared" si="1666"/>
        <v>-4.0436142221851323E-2</v>
      </c>
      <c r="V207" s="86">
        <f t="shared" si="1666"/>
        <v>-8.2858686746394405E-2</v>
      </c>
      <c r="W207" s="86">
        <f t="shared" si="1666"/>
        <v>0.24708132849023223</v>
      </c>
      <c r="X207" s="86">
        <f t="shared" si="1666"/>
        <v>0.34362333435207582</v>
      </c>
      <c r="Y207" s="86">
        <f t="shared" si="1666"/>
        <v>0.17291298893525098</v>
      </c>
      <c r="Z207" s="86">
        <f>Z29/Y29-1</f>
        <v>-6.1454911960933112E-3</v>
      </c>
      <c r="AA207" s="86">
        <f>AA29/Z29-1</f>
        <v>-0.14084902862920978</v>
      </c>
      <c r="AB207" s="87">
        <f t="shared" ref="AB207:AE207" si="1667">AB29/AA29-1</f>
        <v>4.0656214725738549E-2</v>
      </c>
      <c r="AC207" s="87">
        <f t="shared" si="1667"/>
        <v>9.2800268491628923E-2</v>
      </c>
      <c r="AD207" s="87">
        <f t="shared" si="1667"/>
        <v>8.897294660891597E-2</v>
      </c>
      <c r="AE207" s="87">
        <f t="shared" si="1667"/>
        <v>8.9873895926044556E-2</v>
      </c>
      <c r="AN207" s="86">
        <f t="shared" ref="AN207:CI207" si="1668">+(AN29+AM29)/(AJ29+AI29)-1</f>
        <v>-0.16771425448185384</v>
      </c>
      <c r="AO207" s="86">
        <f t="shared" si="1668"/>
        <v>-0.12520909853973317</v>
      </c>
      <c r="AP207" s="86">
        <f t="shared" si="1668"/>
        <v>0.13703936658280313</v>
      </c>
      <c r="AQ207" s="86">
        <f t="shared" si="1668"/>
        <v>0.14886058123159662</v>
      </c>
      <c r="AR207" s="86">
        <f t="shared" si="1668"/>
        <v>0.1247865703496962</v>
      </c>
      <c r="AS207" s="86">
        <f t="shared" si="1668"/>
        <v>0.14623681524328003</v>
      </c>
      <c r="AT207" s="86">
        <f t="shared" si="1668"/>
        <v>0.25649569340001732</v>
      </c>
      <c r="AU207" s="86">
        <f t="shared" si="1668"/>
        <v>0.62225538773804545</v>
      </c>
      <c r="AV207" s="86">
        <f t="shared" si="1668"/>
        <v>0.21811905430899547</v>
      </c>
      <c r="AW207" s="86">
        <f t="shared" si="1668"/>
        <v>-0.28051021286574707</v>
      </c>
      <c r="AX207" s="86">
        <f t="shared" si="1668"/>
        <v>-0.24715068173872501</v>
      </c>
      <c r="AY207" s="86">
        <f t="shared" si="1668"/>
        <v>-0.23734593342753962</v>
      </c>
      <c r="AZ207" s="86">
        <f t="shared" si="1668"/>
        <v>-0.21734363438650506</v>
      </c>
      <c r="BA207" s="86">
        <f t="shared" si="1668"/>
        <v>0.11095754205156338</v>
      </c>
      <c r="BB207" s="86">
        <f t="shared" si="1668"/>
        <v>5.8790749512398932E-2</v>
      </c>
      <c r="BC207" s="86">
        <f t="shared" si="1668"/>
        <v>2.2067102004055261E-3</v>
      </c>
      <c r="BD207" s="86">
        <f t="shared" si="1668"/>
        <v>4.0422714189478626E-2</v>
      </c>
      <c r="BE207" s="86">
        <f t="shared" si="1668"/>
        <v>0.27597437563828797</v>
      </c>
      <c r="BF207" s="86">
        <f t="shared" si="1668"/>
        <v>0.48527615334632879</v>
      </c>
      <c r="BG207" s="86">
        <f t="shared" si="1668"/>
        <v>0.67487385895312535</v>
      </c>
      <c r="BH207" s="86">
        <f t="shared" si="1668"/>
        <v>1.1047732916398414</v>
      </c>
      <c r="BI207" s="86">
        <f t="shared" si="1668"/>
        <v>0.72248157677218061</v>
      </c>
      <c r="BJ207" s="86">
        <f t="shared" si="1668"/>
        <v>0.39898243096629682</v>
      </c>
      <c r="BK207" s="86">
        <f t="shared" si="1668"/>
        <v>0.24450525759030461</v>
      </c>
      <c r="BL207" s="86">
        <f t="shared" si="1668"/>
        <v>2.9276563018896251E-3</v>
      </c>
      <c r="BM207" s="86">
        <f t="shared" si="1668"/>
        <v>-4.2019248965908806E-2</v>
      </c>
      <c r="BN207" s="86">
        <f t="shared" si="1668"/>
        <v>-7.9226667917507099E-2</v>
      </c>
      <c r="BO207" s="86">
        <f t="shared" si="1668"/>
        <v>-0.30061872116586907</v>
      </c>
      <c r="BP207" s="86">
        <f t="shared" si="1668"/>
        <v>-0.30026576973013486</v>
      </c>
      <c r="BQ207" s="86">
        <f t="shared" si="1668"/>
        <v>-7.5942401173988761E-2</v>
      </c>
      <c r="BR207" s="86">
        <f t="shared" si="1668"/>
        <v>0.12897627606771289</v>
      </c>
      <c r="BS207" s="86">
        <f t="shared" si="1668"/>
        <v>0.46823623181066587</v>
      </c>
      <c r="BT207" s="86">
        <f t="shared" si="1668"/>
        <v>0.45885915952489453</v>
      </c>
      <c r="BU207" s="86">
        <f t="shared" si="1668"/>
        <v>0.2299904561939301</v>
      </c>
      <c r="BV207" s="86">
        <f t="shared" si="1668"/>
        <v>0.11918574481877964</v>
      </c>
      <c r="BW207" s="86">
        <f t="shared" si="1668"/>
        <v>0.11692822170069506</v>
      </c>
      <c r="BX207" s="86">
        <f t="shared" si="1668"/>
        <v>0.28413925442340404</v>
      </c>
      <c r="BY207" s="86">
        <f t="shared" si="1668"/>
        <v>0.42793206619573176</v>
      </c>
      <c r="BZ207" s="86">
        <f t="shared" si="1668"/>
        <v>0.39041975879391555</v>
      </c>
      <c r="CA207" s="86">
        <f t="shared" si="1668"/>
        <v>0.2886785765113089</v>
      </c>
      <c r="CB207" s="86">
        <f t="shared" si="1668"/>
        <v>0.31303859970060444</v>
      </c>
      <c r="CC207" s="86">
        <f t="shared" si="1668"/>
        <v>0.20875228767546106</v>
      </c>
      <c r="CD207" s="86">
        <f t="shared" si="1668"/>
        <v>7.1063006776512561E-2</v>
      </c>
      <c r="CE207" s="86">
        <f t="shared" si="1668"/>
        <v>7.9798422847355166E-2</v>
      </c>
      <c r="CF207" s="86">
        <f t="shared" si="1668"/>
        <v>6.4249871411156123E-2</v>
      </c>
      <c r="CG207" s="86">
        <f t="shared" si="1668"/>
        <v>-2.5092808957851376E-2</v>
      </c>
      <c r="CH207" s="86">
        <f t="shared" si="1668"/>
        <v>-6.888753525098712E-2</v>
      </c>
      <c r="CI207" s="86">
        <f t="shared" si="1668"/>
        <v>-0.11896386035059003</v>
      </c>
      <c r="CJ207" s="86">
        <f>+(CJ29+CI29)/(CF29+CE29)-1</f>
        <v>-0.20861193035867176</v>
      </c>
      <c r="CL207" s="86">
        <f>+(CL29+CK29)/(CH29+CG29)-1</f>
        <v>-7.1817009097790319E-2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-0.14084902862920978</v>
      </c>
    </row>
    <row r="208" spans="1:110" s="86" customFormat="1" x14ac:dyDescent="0.2">
      <c r="A208" s="86" t="s">
        <v>441</v>
      </c>
      <c r="C208" s="86" t="e">
        <f t="shared" ref="C208" si="1669">C205/B205-1</f>
        <v>#DIV/0!</v>
      </c>
      <c r="D208" s="86" t="e">
        <f t="shared" ref="D208" si="1670">D205/C205-1</f>
        <v>#DIV/0!</v>
      </c>
      <c r="E208" s="86" t="e">
        <f>E205/D205-1</f>
        <v>#DIV/0!</v>
      </c>
      <c r="F208" s="86" t="e">
        <f t="shared" ref="F208" si="1671">F205/E205-1</f>
        <v>#DIV/0!</v>
      </c>
      <c r="G208" s="86" t="e">
        <f t="shared" ref="G208" si="1672">G205/F205-1</f>
        <v>#DIV/0!</v>
      </c>
      <c r="H208" s="86" t="e">
        <f t="shared" ref="H208" si="1673">H205/G205-1</f>
        <v>#DIV/0!</v>
      </c>
      <c r="I208" s="86" t="e">
        <f t="shared" ref="I208" si="1674">I205/H205-1</f>
        <v>#DIV/0!</v>
      </c>
      <c r="J208" s="86" t="e">
        <f t="shared" ref="J208" si="1675">J205/I205-1</f>
        <v>#DIV/0!</v>
      </c>
      <c r="K208" s="86" t="e">
        <f>K205/J205-1</f>
        <v>#DIV/0!</v>
      </c>
      <c r="L208" s="86">
        <f t="shared" ref="L208" si="1676">L205/K205-1</f>
        <v>2.6684655277374487</v>
      </c>
      <c r="M208" s="86">
        <f t="shared" ref="M208" si="1677">M205/L205-1</f>
        <v>-0.28086323337597208</v>
      </c>
      <c r="N208" s="86">
        <f t="shared" ref="N208" si="1678">N205/M205-1</f>
        <v>-9.9959790288705053E-3</v>
      </c>
      <c r="O208" s="86">
        <f t="shared" ref="O208" si="1679">O205/N205-1</f>
        <v>0.14291792201179154</v>
      </c>
      <c r="P208" s="86">
        <f t="shared" ref="P208" si="1680">P205/O205-1</f>
        <v>3.6054476384281164E-2</v>
      </c>
      <c r="Q208" s="86">
        <f t="shared" ref="Q208" si="1681">Q205/P205-1</f>
        <v>4.0170842368610682E-2</v>
      </c>
      <c r="R208" s="86">
        <f t="shared" ref="R208" si="1682">R205/Q205-1</f>
        <v>-1.0436457234844543E-2</v>
      </c>
      <c r="S208" s="86">
        <f t="shared" ref="S208" si="1683">S205/R205-1</f>
        <v>-6.4646625034242677E-2</v>
      </c>
      <c r="T208" s="86">
        <f t="shared" ref="T208" si="1684">T205/S205-1</f>
        <v>-0.33527286437009041</v>
      </c>
      <c r="U208" s="86">
        <f t="shared" ref="U208" si="1685">U205/T205-1</f>
        <v>-0.11884244954628864</v>
      </c>
      <c r="V208" s="86">
        <f t="shared" ref="V208" si="1686">V205/U205-1</f>
        <v>9.7250516002063137E-3</v>
      </c>
      <c r="W208" s="86">
        <f t="shared" ref="W208:AA208" si="1687">W205/V205-1</f>
        <v>0.11398453776715689</v>
      </c>
      <c r="X208" s="86">
        <f t="shared" si="1687"/>
        <v>-0.27226776566329303</v>
      </c>
      <c r="Y208" s="86">
        <f t="shared" si="1687"/>
        <v>4.9556139248418951E-4</v>
      </c>
      <c r="Z208" s="86">
        <f t="shared" si="1687"/>
        <v>0.11253290740555677</v>
      </c>
      <c r="AA208" s="86">
        <f t="shared" si="1687"/>
        <v>0.19935491648071069</v>
      </c>
      <c r="AB208" s="87">
        <f t="shared" ref="AB208" si="1688">AB205/AA205-1</f>
        <v>4.2144107345847726E-2</v>
      </c>
      <c r="AC208" s="87">
        <f t="shared" ref="AC208" si="1689">AC205/AB205-1</f>
        <v>-3.1266890989388729E-3</v>
      </c>
      <c r="AD208" s="87">
        <f t="shared" ref="AD208" si="1690">AD205/AC205-1</f>
        <v>1.1768526348179265E-3</v>
      </c>
      <c r="AE208" s="87">
        <f t="shared" ref="AE208" si="1691">AE205/AD205-1</f>
        <v>1.08945833954599E-3</v>
      </c>
      <c r="AN208" s="86">
        <f t="shared" ref="AN208:CI208" si="1692">+AN205/AJ205-1</f>
        <v>0.44425853228204448</v>
      </c>
      <c r="AO208" s="86">
        <f t="shared" si="1692"/>
        <v>0.37846910071416096</v>
      </c>
      <c r="AP208" s="86">
        <f t="shared" si="1692"/>
        <v>-0.16783829540759976</v>
      </c>
      <c r="AQ208" s="86">
        <f t="shared" si="1692"/>
        <v>-0.15065802102077031</v>
      </c>
      <c r="AR208" s="86">
        <f t="shared" si="1692"/>
        <v>-0.21222804937022866</v>
      </c>
      <c r="AS208" s="86">
        <f t="shared" si="1692"/>
        <v>-0.19277263183693105</v>
      </c>
      <c r="AT208" s="86">
        <f t="shared" si="1692"/>
        <v>-0.23511597555066421</v>
      </c>
      <c r="AU208" s="86">
        <f t="shared" si="1692"/>
        <v>-0.24925581658895557</v>
      </c>
      <c r="AV208" s="86">
        <f t="shared" si="1692"/>
        <v>0.64511746126633596</v>
      </c>
      <c r="AW208" s="86">
        <f t="shared" si="1692"/>
        <v>0.72755827714938404</v>
      </c>
      <c r="AX208" s="86">
        <f t="shared" si="1692"/>
        <v>9.0454111387729963E-2</v>
      </c>
      <c r="AY208" s="86">
        <f t="shared" si="1692"/>
        <v>4.9443309846543881E-2</v>
      </c>
      <c r="AZ208" s="86">
        <f t="shared" si="1692"/>
        <v>-0.31229473592350776</v>
      </c>
      <c r="BA208" s="86">
        <f t="shared" si="1692"/>
        <v>-0.36572338309944286</v>
      </c>
      <c r="BB208" s="86">
        <f t="shared" si="1692"/>
        <v>-9.812980341191857E-2</v>
      </c>
      <c r="BC208" s="86">
        <f t="shared" si="1692"/>
        <v>-0.10229677051706665</v>
      </c>
      <c r="BD208" s="86">
        <f t="shared" si="1692"/>
        <v>0.29026470912294089</v>
      </c>
      <c r="BE208" s="86">
        <f t="shared" si="1692"/>
        <v>0.23259402999330958</v>
      </c>
      <c r="BF208" s="86">
        <f t="shared" si="1692"/>
        <v>-0.10373149579935781</v>
      </c>
      <c r="BG208" s="86">
        <f t="shared" si="1692"/>
        <v>-6.1438551838997268E-2</v>
      </c>
      <c r="BH208" s="86">
        <f t="shared" si="1692"/>
        <v>-0.56751651845478324</v>
      </c>
      <c r="BI208" s="86">
        <f t="shared" si="1692"/>
        <v>-0.52598708987642961</v>
      </c>
      <c r="BJ208" s="86">
        <f t="shared" si="1692"/>
        <v>-0.34724212532010046</v>
      </c>
      <c r="BK208" s="86">
        <f t="shared" si="1692"/>
        <v>-0.34647784734785769</v>
      </c>
      <c r="BL208" s="86">
        <f t="shared" si="1692"/>
        <v>0.11029100194792818</v>
      </c>
      <c r="BM208" s="86">
        <f t="shared" si="1692"/>
        <v>0.10797680552138655</v>
      </c>
      <c r="BN208" s="86">
        <f t="shared" si="1692"/>
        <v>4.4505817686610216E-2</v>
      </c>
      <c r="BO208" s="86">
        <f t="shared" si="1692"/>
        <v>4.4063944806387534E-2</v>
      </c>
      <c r="BP208" s="86">
        <f t="shared" si="1692"/>
        <v>3.3603167880974949E-2</v>
      </c>
      <c r="BQ208" s="86">
        <f t="shared" si="1692"/>
        <v>3.2983875679496233E-2</v>
      </c>
      <c r="BR208" s="86">
        <f t="shared" si="1692"/>
        <v>-0.18302987132821202</v>
      </c>
      <c r="BS208" s="86">
        <f t="shared" si="1692"/>
        <v>-0.16334043185328317</v>
      </c>
      <c r="BT208" s="86">
        <f t="shared" si="1692"/>
        <v>-7.5835281349172501E-3</v>
      </c>
      <c r="BU208" s="86">
        <f t="shared" si="1692"/>
        <v>-3.1896933225472157E-2</v>
      </c>
      <c r="BV208" s="86">
        <f t="shared" si="1692"/>
        <v>0.2937015066405384</v>
      </c>
      <c r="BW208" s="86">
        <f t="shared" si="1692"/>
        <v>0.28578778052661757</v>
      </c>
      <c r="BX208" s="86">
        <f t="shared" si="1692"/>
        <v>-0.12463877421230962</v>
      </c>
      <c r="BY208" s="86">
        <f t="shared" si="1692"/>
        <v>-0.11180881877598314</v>
      </c>
      <c r="BZ208" s="86">
        <f t="shared" si="1692"/>
        <v>-0.25950683148839959</v>
      </c>
      <c r="CA208" s="86">
        <f t="shared" si="1692"/>
        <v>-0.2791087229356658</v>
      </c>
      <c r="CB208" s="86">
        <f t="shared" si="1692"/>
        <v>-0.23847127876637064</v>
      </c>
      <c r="CC208" s="86">
        <f t="shared" si="1692"/>
        <v>-0.22796787389322726</v>
      </c>
      <c r="CD208" s="86">
        <f t="shared" si="1692"/>
        <v>0.11334320233284267</v>
      </c>
      <c r="CE208" s="86">
        <f t="shared" si="1692"/>
        <v>0.11898072432362872</v>
      </c>
      <c r="CF208" s="86">
        <f t="shared" si="1692"/>
        <v>7.8460076051149796E-2</v>
      </c>
      <c r="CG208" s="86">
        <f t="shared" si="1692"/>
        <v>7.1472460410367811E-2</v>
      </c>
      <c r="CH208" s="86">
        <f t="shared" si="1692"/>
        <v>0.14823604704378157</v>
      </c>
      <c r="CI208" s="86">
        <f t="shared" si="1692"/>
        <v>0.15464709676804156</v>
      </c>
      <c r="CJ208" s="86">
        <f>+CJ205/CF205-1</f>
        <v>0.68023744799462738</v>
      </c>
      <c r="CL208" s="86">
        <f>+CL205/CH205-1</f>
        <v>0.24835572988904531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0.19935491648071069</v>
      </c>
    </row>
    <row r="209" spans="1:110" s="103" customFormat="1" x14ac:dyDescent="0.2">
      <c r="A209" s="147" t="s">
        <v>87</v>
      </c>
      <c r="C209" s="103" t="e">
        <f>IF(C208&gt;C207,"RF",0)</f>
        <v>#DIV/0!</v>
      </c>
      <c r="D209" s="103" t="e">
        <f>IF(D208&gt;D207,"RF",0)</f>
        <v>#DIV/0!</v>
      </c>
      <c r="E209" s="103" t="e">
        <f t="shared" ref="E209:U209" si="1693">IF(E208&gt;E207,"RF",0)</f>
        <v>#DIV/0!</v>
      </c>
      <c r="F209" s="103" t="e">
        <f t="shared" si="1693"/>
        <v>#DIV/0!</v>
      </c>
      <c r="G209" s="103" t="e">
        <f t="shared" si="1693"/>
        <v>#DIV/0!</v>
      </c>
      <c r="H209" s="103" t="e">
        <f t="shared" si="1693"/>
        <v>#DIV/0!</v>
      </c>
      <c r="I209" s="103" t="e">
        <f t="shared" si="1693"/>
        <v>#DIV/0!</v>
      </c>
      <c r="J209" s="103" t="e">
        <f t="shared" si="1693"/>
        <v>#DIV/0!</v>
      </c>
      <c r="K209" s="103" t="e">
        <f t="shared" si="1693"/>
        <v>#DIV/0!</v>
      </c>
      <c r="L209" s="103" t="str">
        <f t="shared" si="1693"/>
        <v>RF</v>
      </c>
      <c r="M209" s="103">
        <f t="shared" si="1693"/>
        <v>0</v>
      </c>
      <c r="N209" s="103">
        <f t="shared" si="1693"/>
        <v>0</v>
      </c>
      <c r="O209" s="103" t="str">
        <f t="shared" si="1693"/>
        <v>RF</v>
      </c>
      <c r="P209" s="103">
        <f t="shared" si="1693"/>
        <v>0</v>
      </c>
      <c r="Q209" s="103" t="str">
        <f t="shared" si="1693"/>
        <v>RF</v>
      </c>
      <c r="R209" s="103" t="str">
        <f t="shared" si="1693"/>
        <v>RF</v>
      </c>
      <c r="S209" s="103">
        <f t="shared" si="1693"/>
        <v>0</v>
      </c>
      <c r="T209" s="103">
        <f t="shared" si="1693"/>
        <v>0</v>
      </c>
      <c r="U209" s="103">
        <f t="shared" si="1693"/>
        <v>0</v>
      </c>
      <c r="V209" s="103" t="str">
        <f>IF(V208&gt;V207,"RF",0)</f>
        <v>RF</v>
      </c>
      <c r="W209" s="103">
        <f t="shared" ref="W209" si="1694">IF(W208&gt;W207,"RF",0)</f>
        <v>0</v>
      </c>
      <c r="X209" s="103">
        <f t="shared" ref="X209:Y209" si="1695">IF(X208&gt;X207,"RF",0)</f>
        <v>0</v>
      </c>
      <c r="Y209" s="103">
        <f t="shared" si="1695"/>
        <v>0</v>
      </c>
      <c r="Z209" s="103" t="str">
        <f t="shared" ref="Z209:AA209" si="1696">IF(Z208&gt;Z207,"RF",0)</f>
        <v>RF</v>
      </c>
      <c r="AA209" s="103" t="str">
        <f t="shared" si="1696"/>
        <v>RF</v>
      </c>
      <c r="AB209" s="73" t="str">
        <f t="shared" ref="AB209:AD209" si="1697">IF(AB208&gt;AB207,"RF",0)</f>
        <v>RF</v>
      </c>
      <c r="AC209" s="73">
        <f t="shared" si="1697"/>
        <v>0</v>
      </c>
      <c r="AD209" s="73">
        <f t="shared" si="1697"/>
        <v>0</v>
      </c>
      <c r="AE209" s="73">
        <f t="shared" ref="AE209" si="1698">IF(AE208&gt;AE207,"RF",0)</f>
        <v>0</v>
      </c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E209" s="142"/>
      <c r="DF209" s="103" t="s">
        <v>552</v>
      </c>
    </row>
    <row r="210" spans="1:110" x14ac:dyDescent="0.2">
      <c r="A210" s="153" t="s">
        <v>494</v>
      </c>
      <c r="AA210" s="2"/>
      <c r="CL210" s="2"/>
    </row>
    <row r="211" spans="1:110" x14ac:dyDescent="0.2">
      <c r="A211" s="152" t="s">
        <v>495</v>
      </c>
      <c r="AA211" s="2"/>
      <c r="CL211" s="2"/>
    </row>
    <row r="212" spans="1:110" s="23" customFormat="1" x14ac:dyDescent="0.2">
      <c r="A212" s="23" t="s">
        <v>22</v>
      </c>
      <c r="C212" s="23">
        <f t="shared" ref="C212:AE212" si="1699">C67</f>
        <v>0</v>
      </c>
      <c r="D212" s="23">
        <f t="shared" si="1699"/>
        <v>0</v>
      </c>
      <c r="E212" s="23">
        <f t="shared" si="1699"/>
        <v>0</v>
      </c>
      <c r="F212" s="23">
        <f t="shared" si="1699"/>
        <v>0</v>
      </c>
      <c r="G212" s="23">
        <f t="shared" si="1699"/>
        <v>0</v>
      </c>
      <c r="H212" s="23">
        <f t="shared" si="1699"/>
        <v>0</v>
      </c>
      <c r="I212" s="23">
        <f t="shared" si="1699"/>
        <v>0</v>
      </c>
      <c r="J212" s="23">
        <f t="shared" si="1699"/>
        <v>0</v>
      </c>
      <c r="K212" s="23">
        <f t="shared" si="1699"/>
        <v>679.73000000000025</v>
      </c>
      <c r="L212" s="23">
        <f t="shared" si="1699"/>
        <v>444.6567000000008</v>
      </c>
      <c r="M212" s="23">
        <f t="shared" si="1699"/>
        <v>189.10980000000058</v>
      </c>
      <c r="N212" s="23">
        <f t="shared" si="1699"/>
        <v>-18.866700000000264</v>
      </c>
      <c r="O212" s="23">
        <f t="shared" si="1699"/>
        <v>-85.542199999999497</v>
      </c>
      <c r="P212" s="23">
        <f t="shared" si="1699"/>
        <v>-14.474599999998123</v>
      </c>
      <c r="Q212" s="23">
        <f t="shared" si="1699"/>
        <v>-40.164199999998566</v>
      </c>
      <c r="R212" s="23">
        <f t="shared" si="1699"/>
        <v>113.77050000000024</v>
      </c>
      <c r="S212" s="23">
        <f t="shared" si="1699"/>
        <v>178.49710000000076</v>
      </c>
      <c r="T212" s="23">
        <f t="shared" si="1699"/>
        <v>850.15949999999873</v>
      </c>
      <c r="U212" s="23">
        <f t="shared" si="1699"/>
        <v>554.75109999999995</v>
      </c>
      <c r="V212" s="23">
        <f t="shared" si="1699"/>
        <v>318.83059999999932</v>
      </c>
      <c r="W212" s="23">
        <f t="shared" si="1699"/>
        <v>411.7490999999988</v>
      </c>
      <c r="X212" s="23">
        <f t="shared" si="1699"/>
        <v>643.94689999999787</v>
      </c>
      <c r="Y212" s="23">
        <f t="shared" si="1699"/>
        <v>1677.032600000002</v>
      </c>
      <c r="Z212" s="23">
        <f t="shared" si="1699"/>
        <v>1738.3663999999992</v>
      </c>
      <c r="AA212" s="23">
        <f t="shared" ref="AA212" si="1700">AA67</f>
        <v>973.35229999999956</v>
      </c>
      <c r="AB212" s="24">
        <f t="shared" si="1699"/>
        <v>1107.4469875863458</v>
      </c>
      <c r="AC212" s="24">
        <f t="shared" si="1699"/>
        <v>1358.5827525850543</v>
      </c>
      <c r="AD212" s="24">
        <f t="shared" si="1699"/>
        <v>1572.6224470367879</v>
      </c>
      <c r="AE212" s="24">
        <f t="shared" si="1699"/>
        <v>1828.859225618133</v>
      </c>
      <c r="AI212" s="23">
        <f t="shared" ref="AI212:BN212" si="1701">AI67</f>
        <v>35.189999999999785</v>
      </c>
      <c r="AJ212" s="23">
        <f t="shared" si="1701"/>
        <v>61.110000000000134</v>
      </c>
      <c r="AK212" s="23">
        <f t="shared" si="1701"/>
        <v>60.030000000000065</v>
      </c>
      <c r="AL212" s="23">
        <f t="shared" si="1701"/>
        <v>37.07999999999992</v>
      </c>
      <c r="AM212" s="23">
        <f t="shared" si="1701"/>
        <v>15.210000000000029</v>
      </c>
      <c r="AN212" s="23">
        <f t="shared" si="1701"/>
        <v>21.959999999999937</v>
      </c>
      <c r="AO212" s="23">
        <f t="shared" si="1701"/>
        <v>50.04000000000007</v>
      </c>
      <c r="AP212" s="23">
        <f t="shared" si="1701"/>
        <v>57.060000000000265</v>
      </c>
      <c r="AQ212" s="23">
        <f t="shared" si="1701"/>
        <v>54.900000000000041</v>
      </c>
      <c r="AR212" s="23">
        <f t="shared" si="1701"/>
        <v>74.609999999999957</v>
      </c>
      <c r="AS212" s="23">
        <f t="shared" si="1701"/>
        <v>61.919999999999881</v>
      </c>
      <c r="AT212" s="23">
        <f t="shared" si="1701"/>
        <v>96.379999999999967</v>
      </c>
      <c r="AU212" s="23">
        <f t="shared" si="1701"/>
        <v>97.19999999999996</v>
      </c>
      <c r="AV212" s="23">
        <f t="shared" si="1701"/>
        <v>72.65000000000002</v>
      </c>
      <c r="AW212" s="23">
        <f t="shared" si="1701"/>
        <v>-15.77000000000011</v>
      </c>
      <c r="AX212" s="23">
        <f t="shared" si="1701"/>
        <v>67.250000000000028</v>
      </c>
      <c r="AY212" s="23">
        <f t="shared" si="1701"/>
        <v>65.780000000000115</v>
      </c>
      <c r="AZ212" s="23">
        <f t="shared" si="1701"/>
        <v>47.320000000000071</v>
      </c>
      <c r="BA212" s="23">
        <f t="shared" si="1701"/>
        <v>80.670000000000073</v>
      </c>
      <c r="BB212" s="23">
        <f t="shared" si="1701"/>
        <v>113.92999999999992</v>
      </c>
      <c r="BC212" s="23">
        <f t="shared" si="1701"/>
        <v>64.040000000000262</v>
      </c>
      <c r="BD212" s="23">
        <f t="shared" si="1701"/>
        <v>60.10000000000008</v>
      </c>
      <c r="BE212" s="23">
        <f t="shared" si="1701"/>
        <v>96.229999999999905</v>
      </c>
      <c r="BF212" s="23">
        <f t="shared" si="1701"/>
        <v>165.41999999999987</v>
      </c>
      <c r="BG212" s="23">
        <f t="shared" si="1701"/>
        <v>92.749999999999872</v>
      </c>
      <c r="BH212" s="23">
        <f t="shared" si="1701"/>
        <v>97.179999999999964</v>
      </c>
      <c r="BI212" s="23">
        <f t="shared" si="1701"/>
        <v>138.90999999999974</v>
      </c>
      <c r="BJ212" s="23">
        <f t="shared" si="1701"/>
        <v>521.31999999999982</v>
      </c>
      <c r="BK212" s="23">
        <f t="shared" si="1701"/>
        <v>131.36999999999989</v>
      </c>
      <c r="BL212" s="23">
        <f t="shared" si="1701"/>
        <v>301.02999999999986</v>
      </c>
      <c r="BM212" s="23">
        <f t="shared" si="1701"/>
        <v>89.550000000000111</v>
      </c>
      <c r="BN212" s="23">
        <f t="shared" si="1701"/>
        <v>32.789999999999843</v>
      </c>
      <c r="BO212" s="23">
        <f t="shared" ref="BO212:CT212" si="1702">BO67</f>
        <v>-9.240000000000073</v>
      </c>
      <c r="BP212" s="23">
        <f t="shared" si="1702"/>
        <v>78.200000000000188</v>
      </c>
      <c r="BQ212" s="23">
        <f t="shared" si="1702"/>
        <v>65.769999999999698</v>
      </c>
      <c r="BR212" s="23">
        <f t="shared" si="1702"/>
        <v>184.0999999999996</v>
      </c>
      <c r="BS212" s="23">
        <f t="shared" si="1702"/>
        <v>152.09999999999994</v>
      </c>
      <c r="BT212" s="23">
        <f t="shared" si="1702"/>
        <v>120.07999999999987</v>
      </c>
      <c r="BU212" s="23">
        <f t="shared" si="1702"/>
        <v>12.640000000000128</v>
      </c>
      <c r="BV212" s="23">
        <f t="shared" si="1702"/>
        <v>126.92999999999968</v>
      </c>
      <c r="BW212" s="23">
        <f t="shared" si="1702"/>
        <v>4.8500000000000654</v>
      </c>
      <c r="BX212" s="23">
        <f t="shared" si="1702"/>
        <v>59.420000000000165</v>
      </c>
      <c r="BY212" s="23">
        <f t="shared" si="1702"/>
        <v>214.43999999999937</v>
      </c>
      <c r="BZ212" s="23">
        <f t="shared" si="1702"/>
        <v>357.16</v>
      </c>
      <c r="CA212" s="23">
        <f t="shared" si="1702"/>
        <v>264.60000000000036</v>
      </c>
      <c r="CB212" s="23">
        <f t="shared" si="1702"/>
        <v>377.02999999999975</v>
      </c>
      <c r="CC212" s="23">
        <f t="shared" si="1702"/>
        <v>533.21000000000038</v>
      </c>
      <c r="CD212" s="23">
        <f t="shared" si="1702"/>
        <v>502.18000000000018</v>
      </c>
      <c r="CE212" s="23">
        <f t="shared" si="1702"/>
        <v>441.05999999999955</v>
      </c>
      <c r="CF212" s="23">
        <f t="shared" si="1702"/>
        <v>499.61000000000035</v>
      </c>
      <c r="CG212" s="23">
        <f t="shared" si="1702"/>
        <v>506.42000000000058</v>
      </c>
      <c r="CH212" s="23">
        <f t="shared" si="1702"/>
        <v>291.27499999999992</v>
      </c>
      <c r="CI212" s="23">
        <f t="shared" si="1702"/>
        <v>424.04250000000025</v>
      </c>
      <c r="CJ212" s="23">
        <f t="shared" si="1702"/>
        <v>151.89000000000038</v>
      </c>
      <c r="CK212" s="23">
        <f t="shared" si="1702"/>
        <v>257.99000000000063</v>
      </c>
      <c r="CL212" s="23">
        <f t="shared" ref="CL212" si="1703">CL67</f>
        <v>139.42999999999967</v>
      </c>
      <c r="CM212" s="24">
        <f t="shared" si="1702"/>
        <v>181.533913663346</v>
      </c>
      <c r="CN212" s="24">
        <f t="shared" si="1702"/>
        <v>235.31741987776044</v>
      </c>
      <c r="CO212" s="24">
        <f t="shared" si="1702"/>
        <v>339.99705073887907</v>
      </c>
      <c r="CP212" s="24">
        <f t="shared" si="1702"/>
        <v>350.59860330636019</v>
      </c>
      <c r="CQ212" s="24">
        <f t="shared" si="1702"/>
        <v>297.03190770469104</v>
      </c>
      <c r="CR212" s="24">
        <f t="shared" si="1702"/>
        <v>270.21975692485069</v>
      </c>
      <c r="CS212" s="24">
        <f t="shared" si="1702"/>
        <v>389.2313405675377</v>
      </c>
      <c r="CT212" s="24">
        <f t="shared" si="1702"/>
        <v>402.09974738797325</v>
      </c>
      <c r="CU212" s="24">
        <f t="shared" ref="CU212:DB212" si="1704">CU67</f>
        <v>344.40000628608175</v>
      </c>
      <c r="CV212" s="24">
        <f t="shared" si="1704"/>
        <v>316.14790352752942</v>
      </c>
      <c r="CW212" s="24">
        <f t="shared" si="1704"/>
        <v>448.32027545966861</v>
      </c>
      <c r="CX212" s="24">
        <f t="shared" si="1704"/>
        <v>463.75426176351061</v>
      </c>
      <c r="CY212" s="24">
        <f t="shared" si="1704"/>
        <v>401.58315100585133</v>
      </c>
      <c r="CZ212" s="24">
        <f t="shared" si="1704"/>
        <v>371.82508005587295</v>
      </c>
      <c r="DA212" s="24">
        <f t="shared" si="1704"/>
        <v>518.55535655698088</v>
      </c>
      <c r="DB212" s="24">
        <f t="shared" si="1704"/>
        <v>536.89563799942778</v>
      </c>
      <c r="DE212" s="123"/>
      <c r="DF212" s="23">
        <v>973.35229999999956</v>
      </c>
    </row>
    <row r="213" spans="1:110" s="23" customFormat="1" x14ac:dyDescent="0.2">
      <c r="A213" s="23" t="s">
        <v>88</v>
      </c>
      <c r="C213" s="23">
        <f t="shared" ref="C213:AE213" si="1705">C51</f>
        <v>0</v>
      </c>
      <c r="D213" s="23">
        <f t="shared" si="1705"/>
        <v>0</v>
      </c>
      <c r="E213" s="23">
        <f t="shared" si="1705"/>
        <v>0</v>
      </c>
      <c r="F213" s="23">
        <f t="shared" si="1705"/>
        <v>0</v>
      </c>
      <c r="G213" s="23">
        <f t="shared" si="1705"/>
        <v>0</v>
      </c>
      <c r="H213" s="23">
        <f t="shared" si="1705"/>
        <v>0</v>
      </c>
      <c r="I213" s="23">
        <f t="shared" si="1705"/>
        <v>0</v>
      </c>
      <c r="J213" s="23">
        <f t="shared" si="1705"/>
        <v>0</v>
      </c>
      <c r="K213" s="23">
        <f t="shared" si="1705"/>
        <v>158.5461</v>
      </c>
      <c r="L213" s="23">
        <f t="shared" si="1705"/>
        <v>163.7826</v>
      </c>
      <c r="M213" s="23">
        <f t="shared" si="1705"/>
        <v>181.7663</v>
      </c>
      <c r="N213" s="23">
        <f t="shared" si="1705"/>
        <v>218.99180000000001</v>
      </c>
      <c r="O213" s="23">
        <f t="shared" si="1705"/>
        <v>321.2833</v>
      </c>
      <c r="P213" s="23">
        <f t="shared" si="1705"/>
        <v>335.48349999999999</v>
      </c>
      <c r="Q213" s="23">
        <f t="shared" si="1705"/>
        <v>327.93540000000002</v>
      </c>
      <c r="R213" s="23">
        <f t="shared" si="1705"/>
        <v>337.40530000000001</v>
      </c>
      <c r="S213" s="23">
        <f t="shared" si="1705"/>
        <v>363.4821</v>
      </c>
      <c r="T213" s="23">
        <f t="shared" si="1705"/>
        <v>396.2817</v>
      </c>
      <c r="U213" s="23">
        <f t="shared" si="1705"/>
        <v>421.6721</v>
      </c>
      <c r="V213" s="23">
        <f t="shared" si="1705"/>
        <v>458.8723</v>
      </c>
      <c r="W213" s="23">
        <f t="shared" si="1705"/>
        <v>472.98779999999999</v>
      </c>
      <c r="X213" s="23">
        <f t="shared" si="1705"/>
        <v>470.3338</v>
      </c>
      <c r="Y213" s="23">
        <f t="shared" si="1705"/>
        <v>567.98689999999999</v>
      </c>
      <c r="Z213" s="23">
        <f t="shared" si="1705"/>
        <v>602.05970000000002</v>
      </c>
      <c r="AA213" s="23">
        <f t="shared" ref="AA213" si="1706">AA51</f>
        <v>630.49109999999996</v>
      </c>
      <c r="AB213" s="24">
        <f t="shared" si="1705"/>
        <v>723.69310641975164</v>
      </c>
      <c r="AC213" s="24">
        <f t="shared" si="1705"/>
        <v>757.58318429574092</v>
      </c>
      <c r="AD213" s="24">
        <f t="shared" si="1705"/>
        <v>789.0619231927634</v>
      </c>
      <c r="AE213" s="24">
        <f t="shared" si="1705"/>
        <v>818.30089414387373</v>
      </c>
      <c r="AI213" s="23">
        <f t="shared" ref="AI213:BN213" si="1707">AI51</f>
        <v>38.71</v>
      </c>
      <c r="AJ213" s="23">
        <f t="shared" si="1707"/>
        <v>41.56</v>
      </c>
      <c r="AK213" s="23">
        <f t="shared" si="1707"/>
        <v>38.630000000000003</v>
      </c>
      <c r="AL213" s="23">
        <f t="shared" si="1707"/>
        <v>36.049999999999997</v>
      </c>
      <c r="AM213" s="23">
        <f t="shared" si="1707"/>
        <v>45.39</v>
      </c>
      <c r="AN213" s="23">
        <f t="shared" si="1707"/>
        <v>51.26</v>
      </c>
      <c r="AO213" s="23">
        <f t="shared" si="1707"/>
        <v>53.86</v>
      </c>
      <c r="AP213" s="23">
        <f t="shared" si="1707"/>
        <v>62.24</v>
      </c>
      <c r="AQ213" s="23">
        <f t="shared" si="1707"/>
        <v>62.07</v>
      </c>
      <c r="AR213" s="23">
        <f t="shared" si="1707"/>
        <v>63.05</v>
      </c>
      <c r="AS213" s="23">
        <f t="shared" si="1707"/>
        <v>62.05</v>
      </c>
      <c r="AT213" s="23">
        <f t="shared" si="1707"/>
        <v>53.37</v>
      </c>
      <c r="AU213" s="23">
        <f t="shared" si="1707"/>
        <v>54.17</v>
      </c>
      <c r="AV213" s="23">
        <f t="shared" si="1707"/>
        <v>56.26</v>
      </c>
      <c r="AW213" s="23">
        <f t="shared" si="1707"/>
        <v>56.92</v>
      </c>
      <c r="AX213" s="23">
        <f t="shared" si="1707"/>
        <v>59.86</v>
      </c>
      <c r="AY213" s="23">
        <f t="shared" si="1707"/>
        <v>57.85</v>
      </c>
      <c r="AZ213" s="23">
        <f t="shared" si="1707"/>
        <v>58.41</v>
      </c>
      <c r="BA213" s="23">
        <f t="shared" si="1707"/>
        <v>57.12</v>
      </c>
      <c r="BB213" s="23">
        <f t="shared" si="1707"/>
        <v>64.930000000000007</v>
      </c>
      <c r="BC213" s="23">
        <f t="shared" si="1707"/>
        <v>60.81</v>
      </c>
      <c r="BD213" s="23">
        <f t="shared" si="1707"/>
        <v>67.86</v>
      </c>
      <c r="BE213" s="23">
        <f t="shared" si="1707"/>
        <v>61.64</v>
      </c>
      <c r="BF213" s="23">
        <f t="shared" si="1707"/>
        <v>65.86</v>
      </c>
      <c r="BG213" s="23">
        <f t="shared" si="1707"/>
        <v>93.17</v>
      </c>
      <c r="BH213" s="23">
        <f t="shared" si="1707"/>
        <v>100.49</v>
      </c>
      <c r="BI213" s="23">
        <f t="shared" si="1707"/>
        <v>102.93</v>
      </c>
      <c r="BJ213" s="23">
        <f t="shared" si="1707"/>
        <v>99.69</v>
      </c>
      <c r="BK213" s="23">
        <f t="shared" si="1707"/>
        <v>100.21</v>
      </c>
      <c r="BL213" s="23">
        <f t="shared" si="1707"/>
        <v>100.73</v>
      </c>
      <c r="BM213" s="23">
        <f t="shared" si="1707"/>
        <v>102.18</v>
      </c>
      <c r="BN213" s="23">
        <f t="shared" si="1707"/>
        <v>118.55</v>
      </c>
      <c r="BO213" s="23">
        <f t="shared" ref="BO213:CT213" si="1708">BO51</f>
        <v>107.51</v>
      </c>
      <c r="BP213" s="23">
        <f t="shared" si="1708"/>
        <v>113.47</v>
      </c>
      <c r="BQ213" s="23">
        <f t="shared" si="1708"/>
        <v>113.37</v>
      </c>
      <c r="BR213" s="23">
        <f t="shared" si="1708"/>
        <v>124.52</v>
      </c>
      <c r="BS213" s="23">
        <f t="shared" si="1708"/>
        <v>112.24</v>
      </c>
      <c r="BT213" s="23">
        <f t="shared" si="1708"/>
        <v>120.1</v>
      </c>
      <c r="BU213" s="23">
        <f t="shared" si="1708"/>
        <v>122.2</v>
      </c>
      <c r="BV213" s="23">
        <f t="shared" si="1708"/>
        <v>118.45</v>
      </c>
      <c r="BW213" s="23">
        <f t="shared" si="1708"/>
        <v>109.77</v>
      </c>
      <c r="BX213" s="23">
        <f t="shared" si="1708"/>
        <v>117.27</v>
      </c>
      <c r="BY213" s="23">
        <f t="shared" si="1708"/>
        <v>118.1</v>
      </c>
      <c r="BZ213" s="23">
        <f t="shared" si="1708"/>
        <v>125.54</v>
      </c>
      <c r="CA213" s="23">
        <f t="shared" si="1708"/>
        <v>131.57</v>
      </c>
      <c r="CB213" s="23">
        <f t="shared" si="1708"/>
        <v>141.01</v>
      </c>
      <c r="CC213" s="23">
        <f t="shared" si="1708"/>
        <v>146.80000000000001</v>
      </c>
      <c r="CD213" s="23">
        <f t="shared" si="1708"/>
        <v>148.61000000000001</v>
      </c>
      <c r="CE213" s="23">
        <f t="shared" si="1708"/>
        <v>148.1</v>
      </c>
      <c r="CF213" s="23">
        <f t="shared" si="1708"/>
        <v>150.69</v>
      </c>
      <c r="CG213" s="23">
        <f t="shared" si="1708"/>
        <v>150.65</v>
      </c>
      <c r="CH213" s="23">
        <f t="shared" si="1708"/>
        <v>152.62</v>
      </c>
      <c r="CI213" s="23">
        <f t="shared" si="1708"/>
        <v>153.33000000000001</v>
      </c>
      <c r="CJ213" s="23">
        <f t="shared" si="1708"/>
        <v>155.51</v>
      </c>
      <c r="CK213" s="23">
        <f t="shared" si="1708"/>
        <v>154.91</v>
      </c>
      <c r="CL213" s="23">
        <f t="shared" ref="CL213" si="1709">CL51</f>
        <v>166.74</v>
      </c>
      <c r="CM213" s="24">
        <f t="shared" si="1708"/>
        <v>177.60739620671927</v>
      </c>
      <c r="CN213" s="24">
        <f t="shared" si="1708"/>
        <v>179.84513391797549</v>
      </c>
      <c r="CO213" s="24">
        <f t="shared" si="1708"/>
        <v>182.04195845385033</v>
      </c>
      <c r="CP213" s="24">
        <f t="shared" si="1708"/>
        <v>184.19861784120653</v>
      </c>
      <c r="CQ213" s="24">
        <f t="shared" si="1708"/>
        <v>186.31584643052554</v>
      </c>
      <c r="CR213" s="24">
        <f t="shared" si="1708"/>
        <v>188.39436514595647</v>
      </c>
      <c r="CS213" s="24">
        <f t="shared" si="1708"/>
        <v>190.43488173079353</v>
      </c>
      <c r="CT213" s="24">
        <f t="shared" si="1708"/>
        <v>192.43809098846532</v>
      </c>
      <c r="CU213" s="24">
        <f t="shared" ref="CU213:DB213" si="1710">CU51</f>
        <v>194.40467501911763</v>
      </c>
      <c r="CV213" s="24">
        <f t="shared" si="1710"/>
        <v>196.33530345187143</v>
      </c>
      <c r="CW213" s="24">
        <f t="shared" si="1710"/>
        <v>198.23063367283382</v>
      </c>
      <c r="CX213" s="24">
        <f t="shared" si="1710"/>
        <v>200.09131104894053</v>
      </c>
      <c r="CY213" s="24">
        <f t="shared" si="1710"/>
        <v>201.91796914770569</v>
      </c>
      <c r="CZ213" s="24">
        <f t="shared" si="1710"/>
        <v>203.711229952954</v>
      </c>
      <c r="DA213" s="24">
        <f t="shared" si="1710"/>
        <v>205.47170407660838</v>
      </c>
      <c r="DB213" s="24">
        <f t="shared" si="1710"/>
        <v>207.19999096660567</v>
      </c>
      <c r="DE213" s="123"/>
      <c r="DF213" s="23">
        <v>630.49109999999996</v>
      </c>
    </row>
    <row r="214" spans="1:110" s="22" customFormat="1" x14ac:dyDescent="0.2">
      <c r="A214" s="22" t="s">
        <v>89</v>
      </c>
      <c r="C214" s="22">
        <f t="shared" ref="C214:W214" si="1711">C212+C213</f>
        <v>0</v>
      </c>
      <c r="D214" s="22">
        <f t="shared" si="1711"/>
        <v>0</v>
      </c>
      <c r="E214" s="22">
        <f t="shared" si="1711"/>
        <v>0</v>
      </c>
      <c r="F214" s="22">
        <f t="shared" si="1711"/>
        <v>0</v>
      </c>
      <c r="G214" s="22">
        <f t="shared" si="1711"/>
        <v>0</v>
      </c>
      <c r="H214" s="22">
        <f t="shared" si="1711"/>
        <v>0</v>
      </c>
      <c r="I214" s="22">
        <f t="shared" si="1711"/>
        <v>0</v>
      </c>
      <c r="J214" s="22">
        <f t="shared" si="1711"/>
        <v>0</v>
      </c>
      <c r="K214" s="22">
        <f t="shared" si="1711"/>
        <v>838.27610000000027</v>
      </c>
      <c r="L214" s="22">
        <f t="shared" si="1711"/>
        <v>608.4393000000008</v>
      </c>
      <c r="M214" s="22">
        <f t="shared" si="1711"/>
        <v>370.87610000000058</v>
      </c>
      <c r="N214" s="22">
        <f t="shared" si="1711"/>
        <v>200.12509999999975</v>
      </c>
      <c r="O214" s="22">
        <f t="shared" si="1711"/>
        <v>235.7411000000005</v>
      </c>
      <c r="P214" s="22">
        <f t="shared" si="1711"/>
        <v>321.00890000000186</v>
      </c>
      <c r="Q214" s="22">
        <f t="shared" si="1711"/>
        <v>287.77120000000144</v>
      </c>
      <c r="R214" s="22">
        <f t="shared" si="1711"/>
        <v>451.17580000000027</v>
      </c>
      <c r="S214" s="22">
        <f t="shared" si="1711"/>
        <v>541.97920000000079</v>
      </c>
      <c r="T214" s="22">
        <f t="shared" si="1711"/>
        <v>1246.4411999999988</v>
      </c>
      <c r="U214" s="22">
        <f t="shared" si="1711"/>
        <v>976.42319999999995</v>
      </c>
      <c r="V214" s="22">
        <f t="shared" si="1711"/>
        <v>777.70289999999932</v>
      </c>
      <c r="W214" s="22">
        <f t="shared" si="1711"/>
        <v>884.73689999999874</v>
      </c>
      <c r="X214" s="22">
        <f t="shared" ref="X214:Y214" si="1712">X212+X213</f>
        <v>1114.280699999998</v>
      </c>
      <c r="Y214" s="22">
        <f t="shared" si="1712"/>
        <v>2245.0195000000022</v>
      </c>
      <c r="Z214" s="22">
        <f t="shared" ref="Z214:AA214" si="1713">Z212+Z213</f>
        <v>2340.4260999999992</v>
      </c>
      <c r="AA214" s="22">
        <f t="shared" si="1713"/>
        <v>1603.8433999999995</v>
      </c>
      <c r="AB214" s="21">
        <f t="shared" ref="AB214:AD214" si="1714">AB212+AB213</f>
        <v>1831.1400940060976</v>
      </c>
      <c r="AC214" s="21">
        <f t="shared" si="1714"/>
        <v>2116.165936880795</v>
      </c>
      <c r="AD214" s="21">
        <f t="shared" si="1714"/>
        <v>2361.6843702295514</v>
      </c>
      <c r="AE214" s="21">
        <f t="shared" ref="AE214" si="1715">AE212+AE213</f>
        <v>2647.1601197620066</v>
      </c>
      <c r="AI214" s="22">
        <f t="shared" ref="AI214" si="1716">AI212+AI213</f>
        <v>73.899999999999778</v>
      </c>
      <c r="AJ214" s="22">
        <f t="shared" ref="AJ214:AL214" si="1717">AJ212+AJ213</f>
        <v>102.67000000000013</v>
      </c>
      <c r="AK214" s="22">
        <f t="shared" si="1717"/>
        <v>98.660000000000068</v>
      </c>
      <c r="AL214" s="22">
        <f t="shared" si="1717"/>
        <v>73.12999999999991</v>
      </c>
      <c r="AM214" s="22">
        <f t="shared" ref="AM214" si="1718">AM212+AM213</f>
        <v>60.60000000000003</v>
      </c>
      <c r="AN214" s="22">
        <f t="shared" ref="AN214:CD214" si="1719">AN212+AN213</f>
        <v>73.219999999999942</v>
      </c>
      <c r="AO214" s="22">
        <f t="shared" si="1719"/>
        <v>103.90000000000006</v>
      </c>
      <c r="AP214" s="22">
        <f t="shared" si="1719"/>
        <v>119.30000000000027</v>
      </c>
      <c r="AQ214" s="22">
        <f t="shared" si="1719"/>
        <v>116.97000000000004</v>
      </c>
      <c r="AR214" s="22">
        <f t="shared" si="1719"/>
        <v>137.65999999999997</v>
      </c>
      <c r="AS214" s="22">
        <f t="shared" si="1719"/>
        <v>123.96999999999989</v>
      </c>
      <c r="AT214" s="22">
        <f t="shared" si="1719"/>
        <v>149.74999999999997</v>
      </c>
      <c r="AU214" s="22">
        <f t="shared" si="1719"/>
        <v>151.36999999999995</v>
      </c>
      <c r="AV214" s="22">
        <f t="shared" si="1719"/>
        <v>128.91000000000003</v>
      </c>
      <c r="AW214" s="22">
        <f t="shared" si="1719"/>
        <v>41.149999999999892</v>
      </c>
      <c r="AX214" s="22">
        <f t="shared" si="1719"/>
        <v>127.11000000000003</v>
      </c>
      <c r="AY214" s="22">
        <f t="shared" si="1719"/>
        <v>123.63000000000011</v>
      </c>
      <c r="AZ214" s="22">
        <f t="shared" si="1719"/>
        <v>105.73000000000008</v>
      </c>
      <c r="BA214" s="22">
        <f t="shared" si="1719"/>
        <v>137.79000000000008</v>
      </c>
      <c r="BB214" s="22">
        <f t="shared" si="1719"/>
        <v>178.85999999999993</v>
      </c>
      <c r="BC214" s="22">
        <f t="shared" si="1719"/>
        <v>124.85000000000026</v>
      </c>
      <c r="BD214" s="22">
        <f t="shared" si="1719"/>
        <v>127.96000000000008</v>
      </c>
      <c r="BE214" s="22">
        <f t="shared" si="1719"/>
        <v>157.86999999999989</v>
      </c>
      <c r="BF214" s="22">
        <f t="shared" si="1719"/>
        <v>231.27999999999986</v>
      </c>
      <c r="BG214" s="22">
        <f t="shared" si="1719"/>
        <v>185.91999999999987</v>
      </c>
      <c r="BH214" s="22">
        <f t="shared" si="1719"/>
        <v>197.66999999999996</v>
      </c>
      <c r="BI214" s="22">
        <f t="shared" si="1719"/>
        <v>241.83999999999975</v>
      </c>
      <c r="BJ214" s="22">
        <f t="shared" si="1719"/>
        <v>621.00999999999976</v>
      </c>
      <c r="BK214" s="22">
        <f t="shared" si="1719"/>
        <v>231.57999999999987</v>
      </c>
      <c r="BL214" s="22">
        <f t="shared" si="1719"/>
        <v>401.75999999999988</v>
      </c>
      <c r="BM214" s="22">
        <f t="shared" si="1719"/>
        <v>191.73000000000013</v>
      </c>
      <c r="BN214" s="22">
        <f t="shared" si="1719"/>
        <v>151.33999999999983</v>
      </c>
      <c r="BO214" s="22">
        <f t="shared" si="1719"/>
        <v>98.269999999999925</v>
      </c>
      <c r="BP214" s="22">
        <f t="shared" si="1719"/>
        <v>191.67000000000019</v>
      </c>
      <c r="BQ214" s="22">
        <f t="shared" si="1719"/>
        <v>179.1399999999997</v>
      </c>
      <c r="BR214" s="22">
        <f t="shared" si="1719"/>
        <v>308.61999999999961</v>
      </c>
      <c r="BS214" s="22">
        <f t="shared" si="1719"/>
        <v>264.33999999999992</v>
      </c>
      <c r="BT214" s="22">
        <f t="shared" si="1719"/>
        <v>240.17999999999986</v>
      </c>
      <c r="BU214" s="22">
        <f t="shared" si="1719"/>
        <v>134.84000000000015</v>
      </c>
      <c r="BV214" s="22">
        <f t="shared" si="1719"/>
        <v>245.37999999999968</v>
      </c>
      <c r="BW214" s="22">
        <f t="shared" si="1719"/>
        <v>114.62000000000006</v>
      </c>
      <c r="BX214" s="22">
        <f t="shared" si="1719"/>
        <v>176.69000000000017</v>
      </c>
      <c r="BY214" s="22">
        <f t="shared" si="1719"/>
        <v>332.5399999999994</v>
      </c>
      <c r="BZ214" s="22">
        <f t="shared" si="1719"/>
        <v>482.70000000000005</v>
      </c>
      <c r="CA214" s="22">
        <f t="shared" si="1719"/>
        <v>396.17000000000036</v>
      </c>
      <c r="CB214" s="22">
        <f t="shared" si="1719"/>
        <v>518.03999999999974</v>
      </c>
      <c r="CC214" s="22">
        <f t="shared" si="1719"/>
        <v>680.01000000000045</v>
      </c>
      <c r="CD214" s="22">
        <f t="shared" si="1719"/>
        <v>650.79000000000019</v>
      </c>
      <c r="CE214" s="22">
        <f t="shared" ref="CE214:CF214" si="1720">CE212+CE213</f>
        <v>589.15999999999951</v>
      </c>
      <c r="CF214" s="22">
        <f t="shared" si="1720"/>
        <v>650.30000000000041</v>
      </c>
      <c r="CG214" s="22">
        <f t="shared" ref="CG214:CH214" si="1721">CG212+CG213</f>
        <v>657.07000000000062</v>
      </c>
      <c r="CH214" s="22">
        <f t="shared" si="1721"/>
        <v>443.89499999999992</v>
      </c>
      <c r="CI214" s="22">
        <f t="shared" ref="CI214:CJ214" si="1722">CI212+CI213</f>
        <v>577.37250000000029</v>
      </c>
      <c r="CJ214" s="22">
        <f t="shared" si="1722"/>
        <v>307.40000000000038</v>
      </c>
      <c r="CK214" s="22">
        <f t="shared" ref="CK214:DB214" si="1723">CK212+CK213</f>
        <v>412.90000000000066</v>
      </c>
      <c r="CL214" s="22">
        <f t="shared" si="1723"/>
        <v>306.16999999999967</v>
      </c>
      <c r="CM214" s="21">
        <f t="shared" si="1723"/>
        <v>359.14130987006524</v>
      </c>
      <c r="CN214" s="21">
        <f t="shared" si="1723"/>
        <v>415.1625537957359</v>
      </c>
      <c r="CO214" s="21">
        <f t="shared" si="1723"/>
        <v>522.0390091927294</v>
      </c>
      <c r="CP214" s="21">
        <f t="shared" si="1723"/>
        <v>534.79722114756669</v>
      </c>
      <c r="CQ214" s="21">
        <f t="shared" si="1723"/>
        <v>483.34775413521658</v>
      </c>
      <c r="CR214" s="21">
        <f t="shared" si="1723"/>
        <v>458.61412207080718</v>
      </c>
      <c r="CS214" s="21">
        <f t="shared" si="1723"/>
        <v>579.66622229833126</v>
      </c>
      <c r="CT214" s="21">
        <f t="shared" si="1723"/>
        <v>594.53783837643857</v>
      </c>
      <c r="CU214" s="21">
        <f t="shared" si="1723"/>
        <v>538.80468130519944</v>
      </c>
      <c r="CV214" s="21">
        <f t="shared" si="1723"/>
        <v>512.48320697940085</v>
      </c>
      <c r="CW214" s="21">
        <f t="shared" si="1723"/>
        <v>646.5509091325024</v>
      </c>
      <c r="CX214" s="21">
        <f t="shared" si="1723"/>
        <v>663.84557281245111</v>
      </c>
      <c r="CY214" s="21">
        <f t="shared" si="1723"/>
        <v>603.50112015355705</v>
      </c>
      <c r="CZ214" s="21">
        <f t="shared" si="1723"/>
        <v>575.53631000882694</v>
      </c>
      <c r="DA214" s="21">
        <f t="shared" si="1723"/>
        <v>724.02706063358926</v>
      </c>
      <c r="DB214" s="21">
        <f t="shared" si="1723"/>
        <v>744.09562896603347</v>
      </c>
      <c r="DE214" s="126"/>
      <c r="DF214" s="22">
        <v>1603.8433999999995</v>
      </c>
    </row>
    <row r="215" spans="1:110" s="23" customFormat="1" x14ac:dyDescent="0.2">
      <c r="A215" s="23" t="s">
        <v>65</v>
      </c>
      <c r="C215" s="23">
        <f t="shared" ref="C215:AA215" si="1724">B167-C167+B182+B183-C182-C183</f>
        <v>0</v>
      </c>
      <c r="D215" s="23">
        <f t="shared" si="1724"/>
        <v>0</v>
      </c>
      <c r="E215" s="23">
        <f>D167-E167+D182+D183-E182-E183</f>
        <v>0</v>
      </c>
      <c r="F215" s="23">
        <f t="shared" si="1724"/>
        <v>0</v>
      </c>
      <c r="G215" s="23">
        <f t="shared" si="1724"/>
        <v>0</v>
      </c>
      <c r="H215" s="23">
        <f t="shared" si="1724"/>
        <v>0</v>
      </c>
      <c r="I215" s="23">
        <f t="shared" si="1724"/>
        <v>0</v>
      </c>
      <c r="J215" s="23">
        <f>I167-J167+I182+I183-J182-J183</f>
        <v>0</v>
      </c>
      <c r="K215" s="23">
        <f>J167-K167+J182+J183-K182-K183</f>
        <v>-2092.4717000000001</v>
      </c>
      <c r="L215" s="23">
        <f t="shared" si="1724"/>
        <v>-1748.9403</v>
      </c>
      <c r="M215" s="23">
        <f t="shared" si="1724"/>
        <v>-823.37180000000001</v>
      </c>
      <c r="N215" s="23">
        <f t="shared" si="1724"/>
        <v>116.56670000000032</v>
      </c>
      <c r="O215" s="23">
        <f t="shared" si="1724"/>
        <v>-349.47150000000096</v>
      </c>
      <c r="P215" s="23">
        <f t="shared" si="1724"/>
        <v>-1460.7474999999997</v>
      </c>
      <c r="Q215" s="23">
        <f t="shared" si="1724"/>
        <v>759.22249999999929</v>
      </c>
      <c r="R215" s="23">
        <f t="shared" si="1724"/>
        <v>742.37780000000168</v>
      </c>
      <c r="S215" s="23">
        <f t="shared" si="1724"/>
        <v>-670.34560000000079</v>
      </c>
      <c r="T215" s="23">
        <f t="shared" si="1724"/>
        <v>-1215.8907000000011</v>
      </c>
      <c r="U215" s="23">
        <f t="shared" si="1724"/>
        <v>101.07510000000045</v>
      </c>
      <c r="V215" s="23">
        <f t="shared" si="1724"/>
        <v>-409.62929999999903</v>
      </c>
      <c r="W215" s="23">
        <f t="shared" si="1724"/>
        <v>-623.47190000000001</v>
      </c>
      <c r="X215" s="23">
        <f t="shared" si="1724"/>
        <v>-1708.2849999999996</v>
      </c>
      <c r="Y215" s="23">
        <f t="shared" si="1724"/>
        <v>-185.55979999999965</v>
      </c>
      <c r="Z215" s="23">
        <f t="shared" si="1724"/>
        <v>615.49919999999861</v>
      </c>
      <c r="AA215" s="23">
        <f t="shared" si="1724"/>
        <v>-284.33550000000139</v>
      </c>
      <c r="AB215" s="24">
        <f t="shared" ref="AB215" si="1725">AA167-AB167+AA182+AA183-AB182-AB183</f>
        <v>-511.58878548926941</v>
      </c>
      <c r="AC215" s="24">
        <f t="shared" ref="AC215" si="1726">AB167-AC167+AB182+AB183-AC182-AC183</f>
        <v>-945.14728171237221</v>
      </c>
      <c r="AD215" s="24">
        <f t="shared" ref="AD215" si="1727">AC167-AD167+AC182+AC183-AD182-AD183</f>
        <v>-1039.662009883612</v>
      </c>
      <c r="AE215" s="24">
        <f t="shared" ref="AE215" si="1728">AD167-AE167+AD182+AD183-AE182-AE183</f>
        <v>-1143.6282108719715</v>
      </c>
      <c r="AI215" s="23">
        <f>AH167-AI167+AH182+AH183-AI182-AJ183</f>
        <v>0</v>
      </c>
      <c r="AJ215" s="23">
        <f t="shared" ref="AJ215:AL215" si="1729">AI167-AJ167+AI182+AI183-AJ182-AK183</f>
        <v>-4320.41</v>
      </c>
      <c r="AK215" s="23">
        <f t="shared" si="1729"/>
        <v>-172.5958886452072</v>
      </c>
      <c r="AL215" s="23">
        <f t="shared" si="1729"/>
        <v>-55.22411135479237</v>
      </c>
      <c r="AM215" s="23">
        <f t="shared" ref="AM215" si="1730">AL167-AM167+AL182+AL183-AM182-AM183</f>
        <v>-802.23580601385675</v>
      </c>
      <c r="AN215" s="23">
        <f t="shared" ref="AN215" si="1731">AM167-AN167+AM182+AM183-AN182-AN183</f>
        <v>1278.935806013857</v>
      </c>
      <c r="AO215" s="23">
        <f t="shared" ref="AO215" si="1732">AN167-AO167+AN182+AN183-AO182-AO183</f>
        <v>-1213.2235518427842</v>
      </c>
      <c r="AP215" s="23">
        <f t="shared" ref="AP215" si="1733">AO167-AP167+AO182+AO183-AP182-AP183</f>
        <v>387.0635518427834</v>
      </c>
      <c r="AQ215" s="23">
        <f t="shared" ref="AQ215" si="1734">AP167-AQ167+AP182+AP183-AQ182-AQ183</f>
        <v>576.35541904398815</v>
      </c>
      <c r="AR215" s="23">
        <f t="shared" ref="AR215" si="1735">AQ167-AR167+AQ182+AQ183-AR182-AR183</f>
        <v>107.56458095601243</v>
      </c>
      <c r="AS215" s="23">
        <f t="shared" ref="AS215" si="1736">AR167-AS167+AR182+AR183-AS182-AS183</f>
        <v>-350.87716223858843</v>
      </c>
      <c r="AT215" s="23">
        <f t="shared" ref="AT215" si="1737">AS167-AT167+AS182+AS183-AT182-AT183</f>
        <v>-1830.8328377614114</v>
      </c>
      <c r="AU215" s="23">
        <f t="shared" ref="AU215" si="1738">AT167-AU167+AT182+AT183-AU182-AU183</f>
        <v>352.82852904659194</v>
      </c>
      <c r="AV215" s="23">
        <f t="shared" ref="AV215" si="1739">AU167-AV167+AU182+AU183-AV182-AV183</f>
        <v>677.17147095340761</v>
      </c>
      <c r="AW215" s="23">
        <f t="shared" ref="AW215" si="1740">AV167-AW167+AV182+AV183-AW182-AW183</f>
        <v>818.64404125166675</v>
      </c>
      <c r="AX215" s="23">
        <f t="shared" ref="AX215" si="1741">AW167-AX167+AW182+AW183-AX182-AX183</f>
        <v>-1052.3840412516656</v>
      </c>
      <c r="AY215" s="23">
        <f t="shared" ref="AY215" si="1742">AX167-AY167+AX182+AX183-AY182-AY183</f>
        <v>1312.7869937864807</v>
      </c>
      <c r="AZ215" s="23">
        <f t="shared" ref="AZ215" si="1743">AY167-AZ167+AY182+AY183-AZ182-AZ183</f>
        <v>70.733006213519388</v>
      </c>
      <c r="BA215" s="23">
        <f t="shared" ref="BA215" si="1744">AZ167-BA167+AZ182+AZ183-BA182-BA183</f>
        <v>94.426371029296206</v>
      </c>
      <c r="BB215" s="23">
        <f t="shared" ref="BB215" si="1745">BA167-BB167+BA182+BA183-BB182-BB183</f>
        <v>-735.62637102929671</v>
      </c>
      <c r="BC215" s="23">
        <f t="shared" ref="BC215" si="1746">BB167-BC167+BB182+BB183-BC182-BC183</f>
        <v>778.99190241342512</v>
      </c>
      <c r="BD215" s="23">
        <f t="shared" ref="BD215" si="1747">BC167-BD167+BC182+BC183-BD182-BD183</f>
        <v>-376.01190241342465</v>
      </c>
      <c r="BE215" s="23">
        <f t="shared" ref="BE215" si="1748">BD167-BE167+BD182+BD183-BE182-BE183</f>
        <v>-1892.8529621023474</v>
      </c>
      <c r="BF215" s="23">
        <f t="shared" ref="BF215" si="1749">BE167-BF167+BE182+BE183-BF182-BF183</f>
        <v>819.37296210234638</v>
      </c>
      <c r="BG215" s="23">
        <f t="shared" ref="BG215" si="1750">BF167-BG167+BF182+BF183-BG182-BG183</f>
        <v>-543.86719156366144</v>
      </c>
      <c r="BH215" s="23">
        <f t="shared" ref="BH215" si="1751">BG167-BH167+BG182+BG183-BH182-BH183</f>
        <v>562.33719156366169</v>
      </c>
      <c r="BI215" s="23">
        <f t="shared" ref="BI215" si="1752">BH167-BI167+BH182+BH183-BI182-BI183</f>
        <v>2.7872518681670044</v>
      </c>
      <c r="BJ215" s="23">
        <f t="shared" ref="BJ215" si="1753">BI167-BJ167+BI182+BI183-BJ182-BJ183</f>
        <v>-1237.0572518681661</v>
      </c>
      <c r="BK215" s="23">
        <f t="shared" ref="BK215" si="1754">BJ167-BK167+BJ182+BJ183-BK182-BK183</f>
        <v>598.70202642556615</v>
      </c>
      <c r="BL215" s="23">
        <f t="shared" ref="BL215" si="1755">BK167-BL167+BK182+BK183-BL182-BL183</f>
        <v>-446.20202642556717</v>
      </c>
      <c r="BM215" s="23">
        <f t="shared" ref="BM215" si="1756">BL167-BM167+BL182+BL183-BM182-BM183</f>
        <v>-547.78768335203949</v>
      </c>
      <c r="BN215" s="23">
        <f t="shared" ref="BN215" si="1757">BM167-BN167+BM182+BM183-BN182-BN183</f>
        <v>220.30768335203945</v>
      </c>
      <c r="BO215" s="23">
        <f t="shared" ref="BO215" si="1758">BN167-BO167+BN182+BN183-BO182-BO183</f>
        <v>1977.0487475439677</v>
      </c>
      <c r="BP215" s="23">
        <f t="shared" ref="BP215" si="1759">BO167-BP167+BO182+BO183-BP182-BP183</f>
        <v>-1962.1387475439687</v>
      </c>
      <c r="BQ215" s="23">
        <f t="shared" ref="BQ215" si="1760">BP167-BQ167+BP182+BP183-BQ182-BQ183</f>
        <v>-881.44271134472092</v>
      </c>
      <c r="BR215" s="23">
        <f t="shared" ref="BR215" si="1761">BQ167-BR167+BQ182+BQ183-BR182-BR183</f>
        <v>487.54271134472259</v>
      </c>
      <c r="BS215" s="23">
        <f t="shared" ref="BS215" si="1762">BR167-BS167+BR182+BR183-BS182-BS183</f>
        <v>1198.6759973307608</v>
      </c>
      <c r="BT215" s="23">
        <f t="shared" ref="BT215" si="1763">BS167-BT167+BS182+BS183-BT182-BT183</f>
        <v>-1137.6159973307608</v>
      </c>
      <c r="BU215" s="23">
        <f t="shared" ref="BU215" si="1764">BT167-BU167+BT182+BT183-BU182-BU183</f>
        <v>-773.23819838002328</v>
      </c>
      <c r="BV215" s="23">
        <f t="shared" ref="BV215" si="1765">BU167-BV167+BU182+BU183-BV182-BV183</f>
        <v>100.04819838002373</v>
      </c>
      <c r="BW215" s="23">
        <f t="shared" ref="BW215" si="1766">BV167-BW167+BV182+BV183-BW182-BW183</f>
        <v>688.69152210383072</v>
      </c>
      <c r="BX215" s="23">
        <f t="shared" ref="BX215" si="1767">BW167-BX167+BW182+BW183-BX182-BX183</f>
        <v>-1808.6715221038316</v>
      </c>
      <c r="BY215" s="23">
        <f t="shared" ref="BY215" si="1768">BX167-BY167+BX182+BX183-BY182-BY183</f>
        <v>-1858.3604030131992</v>
      </c>
      <c r="BZ215" s="23">
        <f t="shared" ref="BZ215" si="1769">BY167-BZ167+BY182+BY183-BZ182-BZ183</f>
        <v>1321.0904030131992</v>
      </c>
      <c r="CA215" s="23">
        <f t="shared" ref="CA215" si="1770">BZ167-CA167+BZ182+BZ183-CA182-CA183</f>
        <v>1149.6518246792166</v>
      </c>
      <c r="CB215" s="23">
        <f t="shared" ref="CB215" si="1771">CA167-CB167+CA182+CA183-CB182-CB183</f>
        <v>-1585.6018246792166</v>
      </c>
      <c r="CC215" s="23">
        <f t="shared" ref="CC215" si="1772">CB167-CC167+CB182+CB183-CC182-CC183</f>
        <v>-273.03638207024233</v>
      </c>
      <c r="CD215" s="23">
        <f t="shared" ref="CD215" si="1773">CC167-CD167+CC182+CC183-CD182-CD183</f>
        <v>532.45638207024331</v>
      </c>
      <c r="CE215" s="23">
        <f t="shared" ref="CE215" si="1774">CD167-CE167+CD182+CD183-CE182-CE183</f>
        <v>749.46218404618412</v>
      </c>
      <c r="CF215" s="23">
        <f t="shared" ref="CF215" si="1775">CE167-CF167+CE182+CE183-CF182-CF183</f>
        <v>-882.91218404618564</v>
      </c>
      <c r="CG215" s="23">
        <f t="shared" ref="CG215" si="1776">CF167-CG167+CF182+CF183-CG182-CG183</f>
        <v>470.14794354549122</v>
      </c>
      <c r="CH215" s="23">
        <f t="shared" ref="CH215:CL215" si="1777">CG167-CH167+CG182+CG183-CH182-CH183</f>
        <v>452.93825645450943</v>
      </c>
      <c r="CI215" s="23">
        <f t="shared" si="1777"/>
        <v>1857.497178570482</v>
      </c>
      <c r="CJ215" s="23">
        <f t="shared" si="1777"/>
        <v>-2787.5233785704822</v>
      </c>
      <c r="CK215" s="23">
        <f t="shared" ref="CK215" si="1778">CJ167-CK167+CJ182+CJ183-CK182-CK183</f>
        <v>-1790.8719564909277</v>
      </c>
      <c r="CL215" s="23">
        <f t="shared" si="1777"/>
        <v>1803.2719564909291</v>
      </c>
      <c r="CM215" s="24">
        <f t="shared" ref="CM215" si="1779">CL167-CM167+CL182+CL183-CM182-CM183</f>
        <v>1995.8369692608612</v>
      </c>
      <c r="CN215" s="24">
        <f t="shared" ref="CN215" si="1780">CM167-CN167+CM182+CM183-CN182-CN183</f>
        <v>619.34395479256</v>
      </c>
      <c r="CO215" s="24">
        <f t="shared" ref="CO215" si="1781">CN167-CO167+CN182+CN183-CO182-CO183</f>
        <v>-1828.5512736646406</v>
      </c>
      <c r="CP215" s="24">
        <f t="shared" ref="CP215" si="1782">CO167-CP167+CO182+CO183-CP182-CP183</f>
        <v>-664.92773587805277</v>
      </c>
      <c r="CQ215" s="24">
        <f t="shared" ref="CQ215" si="1783">CP167-CQ167+CP182+CP183-CQ182-CQ183</f>
        <v>935.64831405697259</v>
      </c>
      <c r="CR215" s="24">
        <f t="shared" ref="CR215" si="1784">CQ167-CR167+CQ182+CQ183-CR182-CR183</f>
        <v>862.03131472761561</v>
      </c>
      <c r="CS215" s="24">
        <f t="shared" ref="CS215" si="1785">CR167-CS167+CR182+CR183-CS182-CS183</f>
        <v>-2011.4064010311049</v>
      </c>
      <c r="CT215" s="24">
        <f t="shared" ref="CT215" si="1786">CS167-CT167+CS182+CS183-CT182-CT183</f>
        <v>-731.4205094658555</v>
      </c>
      <c r="CU215" s="24">
        <f t="shared" ref="CU215" si="1787">CT167-CU167+CT182+CT183-CU182-CU183</f>
        <v>1029.2131454626669</v>
      </c>
      <c r="CV215" s="24">
        <f t="shared" ref="CV215" si="1788">CU167-CV167+CU182+CU183-CV182-CV183</f>
        <v>948.23444620038026</v>
      </c>
      <c r="CW215" s="24">
        <f t="shared" ref="CW215" si="1789">CV167-CW167+CV182+CV183-CW182-CW183</f>
        <v>-2212.5470411342212</v>
      </c>
      <c r="CX215" s="24">
        <f t="shared" ref="CX215" si="1790">CW167-CX167+CW182+CW183-CX182-CX183</f>
        <v>-804.56256041243796</v>
      </c>
      <c r="CY215" s="24">
        <f t="shared" ref="CY215" si="1791">CX167-CY167+CX182+CX183-CY182-CY183</f>
        <v>1132.1344600089378</v>
      </c>
      <c r="CZ215" s="24">
        <f t="shared" ref="CZ215" si="1792">CY167-CZ167+CY182+CY183-CZ182-CZ183</f>
        <v>1043.0578908204152</v>
      </c>
      <c r="DA215" s="24">
        <f t="shared" ref="DA215" si="1793">CZ167-DA167+CZ182+CZ183-DA182-DA183</f>
        <v>-2433.8017452476433</v>
      </c>
      <c r="DB215" s="24">
        <f t="shared" ref="DB215" si="1794">DA167-DB167+DA182+DA183-DB182-DB183</f>
        <v>-885.01881645368121</v>
      </c>
      <c r="DE215" s="123"/>
      <c r="DF215" s="23">
        <v>-284.33550000000139</v>
      </c>
    </row>
    <row r="216" spans="1:110" s="23" customFormat="1" x14ac:dyDescent="0.2">
      <c r="A216" s="23" t="s">
        <v>73</v>
      </c>
      <c r="C216" s="23">
        <f t="shared" ref="C216:AA216" si="1795">B175-C175</f>
        <v>0</v>
      </c>
      <c r="D216" s="23">
        <f t="shared" si="1795"/>
        <v>0</v>
      </c>
      <c r="E216" s="23">
        <f>D175-E175</f>
        <v>0</v>
      </c>
      <c r="F216" s="23">
        <f t="shared" si="1795"/>
        <v>0</v>
      </c>
      <c r="G216" s="23">
        <f t="shared" si="1795"/>
        <v>0</v>
      </c>
      <c r="H216" s="23">
        <f t="shared" si="1795"/>
        <v>0</v>
      </c>
      <c r="I216" s="23">
        <f t="shared" si="1795"/>
        <v>0</v>
      </c>
      <c r="J216" s="23">
        <f>I175-J175</f>
        <v>0</v>
      </c>
      <c r="K216" s="23">
        <f>J175-K175</f>
        <v>-1010.4163</v>
      </c>
      <c r="L216" s="23">
        <f t="shared" si="1795"/>
        <v>-101.66410000000008</v>
      </c>
      <c r="M216" s="23">
        <f t="shared" si="1795"/>
        <v>-854.54700000000003</v>
      </c>
      <c r="N216" s="23">
        <f t="shared" si="1795"/>
        <v>343.27140000000009</v>
      </c>
      <c r="O216" s="23">
        <f t="shared" si="1795"/>
        <v>38.520600000000059</v>
      </c>
      <c r="P216" s="23">
        <f t="shared" si="1795"/>
        <v>-647.63969999999972</v>
      </c>
      <c r="Q216" s="23">
        <f t="shared" si="1795"/>
        <v>703.02919999999949</v>
      </c>
      <c r="R216" s="23">
        <f t="shared" si="1795"/>
        <v>345.94730000000027</v>
      </c>
      <c r="S216" s="23">
        <f t="shared" si="1795"/>
        <v>-296.69470000000001</v>
      </c>
      <c r="T216" s="23">
        <f t="shared" si="1795"/>
        <v>-1492.0320999999999</v>
      </c>
      <c r="U216" s="23">
        <f t="shared" si="1795"/>
        <v>-371.33460000000014</v>
      </c>
      <c r="V216" s="23">
        <f t="shared" si="1795"/>
        <v>-726.26709999999957</v>
      </c>
      <c r="W216" s="23">
        <f t="shared" si="1795"/>
        <v>485.17579999999953</v>
      </c>
      <c r="X216" s="23">
        <f t="shared" si="1795"/>
        <v>-1909.4433000000004</v>
      </c>
      <c r="Y216" s="23">
        <f t="shared" si="1795"/>
        <v>321.3730000000005</v>
      </c>
      <c r="Z216" s="23">
        <f t="shared" si="1795"/>
        <v>899.0614999999998</v>
      </c>
      <c r="AA216" s="23">
        <f t="shared" si="1795"/>
        <v>-150.78390000000036</v>
      </c>
      <c r="AB216" s="24">
        <f t="shared" ref="AB216" si="1796">AA175-AB175</f>
        <v>-35.096805260931433</v>
      </c>
      <c r="AC216" s="24">
        <f t="shared" ref="AC216" si="1797">AB175-AC175</f>
        <v>-398.60901685243698</v>
      </c>
      <c r="AD216" s="24">
        <f t="shared" ref="AD216" si="1798">AC175-AD175</f>
        <v>-438.46991853768031</v>
      </c>
      <c r="AE216" s="24">
        <f t="shared" ref="AE216" si="1799">AD175-AE175</f>
        <v>-482.31691039144789</v>
      </c>
      <c r="AI216" s="23">
        <f t="shared" ref="AI216" si="1800">AH175-AI175</f>
        <v>0</v>
      </c>
      <c r="AJ216" s="23">
        <f t="shared" ref="AJ216" si="1801">AI175-AJ175</f>
        <v>-1645.5500000000002</v>
      </c>
      <c r="AK216" s="23">
        <f t="shared" ref="AK216" si="1802">AJ175-AK175</f>
        <v>0</v>
      </c>
      <c r="AL216" s="23">
        <f t="shared" ref="AL216" si="1803">AK175-AL175</f>
        <v>-190.92999999999984</v>
      </c>
      <c r="AM216" s="23">
        <f t="shared" ref="AM216" si="1804">AL175-AM175</f>
        <v>-183.64155131776329</v>
      </c>
      <c r="AN216" s="23">
        <f t="shared" ref="AN216" si="1805">AM175-AN175</f>
        <v>814.28155131776316</v>
      </c>
      <c r="AO216" s="23">
        <f t="shared" ref="AO216" si="1806">AN175-AO175</f>
        <v>-179.55467947518696</v>
      </c>
      <c r="AP216" s="23">
        <f t="shared" ref="AP216" si="1807">AO175-AP175</f>
        <v>-413.50532052481321</v>
      </c>
      <c r="AQ216" s="23">
        <f t="shared" ref="AQ216" si="1808">AP175-AQ175</f>
        <v>106.92621408351579</v>
      </c>
      <c r="AR216" s="23">
        <f t="shared" ref="AR216" si="1809">AQ175-AR175</f>
        <v>321.41378591648458</v>
      </c>
      <c r="AS216" s="23">
        <f t="shared" ref="AS216" si="1810">AR175-AS175</f>
        <v>-34.487071749949791</v>
      </c>
      <c r="AT216" s="23">
        <f t="shared" ref="AT216" si="1811">AS175-AT175</f>
        <v>-1319.9429282500505</v>
      </c>
      <c r="AU216" s="23">
        <f t="shared" ref="AU216" si="1812">AT175-AU175</f>
        <v>62.646478281570126</v>
      </c>
      <c r="AV216" s="23">
        <f t="shared" ref="AV216" si="1813">AU175-AV175</f>
        <v>1375.1035217184301</v>
      </c>
      <c r="AW216" s="23">
        <f t="shared" ref="AW216" si="1814">AV175-AW175</f>
        <v>66.292545682691525</v>
      </c>
      <c r="AX216" s="23">
        <f t="shared" ref="AX216" si="1815">AW175-AX175</f>
        <v>-876.16254568269164</v>
      </c>
      <c r="AY216" s="23">
        <f t="shared" ref="AY216" si="1816">AX175-AY175</f>
        <v>155.70932027866706</v>
      </c>
      <c r="AZ216" s="23">
        <f t="shared" ref="AZ216" si="1817">AY175-AZ175</f>
        <v>479.69067972133303</v>
      </c>
      <c r="BA216" s="23">
        <f t="shared" ref="BA216" si="1818">AZ175-BA175</f>
        <v>8.212170377292523</v>
      </c>
      <c r="BB216" s="23">
        <f t="shared" ref="BB216" si="1819">BA175-BB175</f>
        <v>-451.68217037729232</v>
      </c>
      <c r="BC216" s="23">
        <f t="shared" ref="BC216" si="1820">BB175-BC175</f>
        <v>87.081941969449872</v>
      </c>
      <c r="BD216" s="23">
        <f t="shared" ref="BD216" si="1821">BC175-BD175</f>
        <v>722.9180580305499</v>
      </c>
      <c r="BE216" s="23">
        <f t="shared" ref="BE216" si="1822">BD175-BE175</f>
        <v>-154.50304271149503</v>
      </c>
      <c r="BF216" s="23">
        <f t="shared" ref="BF216" si="1823">BE175-BF175</f>
        <v>-541.22695728850499</v>
      </c>
      <c r="BG216" s="23">
        <f t="shared" ref="BG216" si="1824">BF175-BG175</f>
        <v>-70.108837724207206</v>
      </c>
      <c r="BH216" s="23">
        <f t="shared" ref="BH216" si="1825">BG175-BH175</f>
        <v>-479.56116227579309</v>
      </c>
      <c r="BI216" s="23">
        <f t="shared" ref="BI216" si="1826">BH175-BI175</f>
        <v>0.93999567585115074</v>
      </c>
      <c r="BJ216" s="23">
        <f t="shared" ref="BJ216" si="1827">BI175-BJ175</f>
        <v>-1030.9299956758505</v>
      </c>
      <c r="BK216" s="23">
        <f t="shared" ref="BK216" si="1828">BJ175-BK175</f>
        <v>199.98051280261097</v>
      </c>
      <c r="BL216" s="23">
        <f t="shared" ref="BL216" si="1829">BK175-BL175</f>
        <v>246.15948719738844</v>
      </c>
      <c r="BM216" s="23">
        <f t="shared" ref="BM216" si="1830">BL175-BM175</f>
        <v>-135.386508974153</v>
      </c>
      <c r="BN216" s="23">
        <f t="shared" ref="BN216" si="1831">BM175-BN175</f>
        <v>-768.44349102584692</v>
      </c>
      <c r="BO216" s="23">
        <f t="shared" ref="BO216" si="1832">BN175-BO175</f>
        <v>608.78116041943895</v>
      </c>
      <c r="BP216" s="23">
        <f t="shared" ref="BP216" si="1833">BO175-BP175</f>
        <v>-383.49116041943853</v>
      </c>
      <c r="BQ216" s="23">
        <f t="shared" ref="BQ216" si="1834">BP175-BQ175</f>
        <v>-196.44181121331576</v>
      </c>
      <c r="BR216" s="23">
        <f t="shared" ref="BR216" si="1835">BQ175-BR175</f>
        <v>-270.41818878668482</v>
      </c>
      <c r="BS216" s="23">
        <f t="shared" ref="BS216" si="1836">BR175-BS175</f>
        <v>460.26361576172394</v>
      </c>
      <c r="BT216" s="23">
        <f t="shared" ref="BT216" si="1837">BS175-BT175</f>
        <v>365.59638423827619</v>
      </c>
      <c r="BU216" s="23">
        <f t="shared" ref="BU216" si="1838">BT175-BU175</f>
        <v>-203.94719463954107</v>
      </c>
      <c r="BV216" s="23">
        <f t="shared" ref="BV216" si="1839">BU175-BV175</f>
        <v>-136.73280536045831</v>
      </c>
      <c r="BW216" s="23">
        <f t="shared" ref="BW216" si="1840">BV175-BW175</f>
        <v>190.72364402125913</v>
      </c>
      <c r="BX216" s="23">
        <f t="shared" ref="BX216" si="1841">BW175-BX175</f>
        <v>-886.54364402125975</v>
      </c>
      <c r="BY216" s="23">
        <f t="shared" ref="BY216" si="1842">BX175-BY175</f>
        <v>-566.44087111788212</v>
      </c>
      <c r="BZ216" s="23">
        <f t="shared" ref="BZ216" si="1843">BY175-BZ175</f>
        <v>-647.17912888211777</v>
      </c>
      <c r="CA216" s="23">
        <f t="shared" ref="CA216" si="1844">BZ175-CA175</f>
        <v>450.42359721978573</v>
      </c>
      <c r="CB216" s="23">
        <f t="shared" ref="CB216" si="1845">CA175-CB175</f>
        <v>-191.48359721978522</v>
      </c>
      <c r="CC216" s="23">
        <f t="shared" ref="CC216" si="1846">CB175-CC175</f>
        <v>-90.022754353100026</v>
      </c>
      <c r="CD216" s="23">
        <f t="shared" ref="CD216" si="1847">CC175-CD175</f>
        <v>152.44275435309919</v>
      </c>
      <c r="CE216" s="23">
        <f t="shared" ref="CE216" si="1848">CD175-CE175</f>
        <v>264.5917483723988</v>
      </c>
      <c r="CF216" s="23">
        <f t="shared" ref="CF216" si="1849">CE175-CF175</f>
        <v>117.79825162760244</v>
      </c>
      <c r="CG216" s="23">
        <f t="shared" ref="CG216" si="1850">CF175-CG175</f>
        <v>136.44632011945578</v>
      </c>
      <c r="CH216" s="23">
        <f t="shared" ref="CH216:CL216" si="1851">CG175-CH175</f>
        <v>380.2335798805434</v>
      </c>
      <c r="CI216" s="23">
        <f t="shared" si="1851"/>
        <v>814.58497456520172</v>
      </c>
      <c r="CJ216" s="23">
        <f t="shared" si="1851"/>
        <v>-27.12487456520148</v>
      </c>
      <c r="CK216" s="23">
        <f t="shared" ref="CK216" si="1852">CJ175-CK175</f>
        <v>-584.50009967875985</v>
      </c>
      <c r="CL216" s="23">
        <f t="shared" si="1851"/>
        <v>-353.75990032124037</v>
      </c>
      <c r="CM216" s="24">
        <f t="shared" ref="CM216" si="1853">CL175-CM175</f>
        <v>755.32207276372355</v>
      </c>
      <c r="CN216" s="24">
        <f t="shared" ref="CN216" si="1854">CM175-CN175</f>
        <v>261.20382472674919</v>
      </c>
      <c r="CO216" s="24">
        <f t="shared" ref="CO216" si="1855">CN175-CO175</f>
        <v>-771.1782486843631</v>
      </c>
      <c r="CP216" s="24">
        <f t="shared" ref="CP216" si="1856">CO175-CP175</f>
        <v>-280.42845406704146</v>
      </c>
      <c r="CQ216" s="24">
        <f t="shared" ref="CQ216" si="1857">CP175-CQ175</f>
        <v>394.60289608005132</v>
      </c>
      <c r="CR216" s="24">
        <f t="shared" ref="CR216" si="1858">CQ175-CR175</f>
        <v>363.5554600940568</v>
      </c>
      <c r="CS216" s="24">
        <f t="shared" ref="CS216" si="1859">CR175-CS175</f>
        <v>-848.2960735527995</v>
      </c>
      <c r="CT216" s="24">
        <f t="shared" ref="CT216" si="1860">CS175-CT175</f>
        <v>-308.4712994737456</v>
      </c>
      <c r="CU216" s="24">
        <f t="shared" ref="CU216" si="1861">CT175-CU175</f>
        <v>434.06318568805546</v>
      </c>
      <c r="CV216" s="24">
        <f t="shared" ref="CV216" si="1862">CU175-CV175</f>
        <v>399.91100610346348</v>
      </c>
      <c r="CW216" s="24">
        <f t="shared" ref="CW216" si="1863">CV175-CW175</f>
        <v>-933.12568090808054</v>
      </c>
      <c r="CX216" s="24">
        <f t="shared" ref="CX216" si="1864">CW175-CX175</f>
        <v>-339.31842942111871</v>
      </c>
      <c r="CY216" s="24">
        <f t="shared" ref="CY216" si="1865">CX175-CY175</f>
        <v>477.46950425686191</v>
      </c>
      <c r="CZ216" s="24">
        <f t="shared" ref="CZ216" si="1866">CY175-CZ175</f>
        <v>439.90210671380737</v>
      </c>
      <c r="DA216" s="24">
        <f t="shared" ref="DA216" si="1867">CZ175-DA175</f>
        <v>-1026.4382489988875</v>
      </c>
      <c r="DB216" s="24">
        <f t="shared" ref="DB216" si="1868">DA175-DB175</f>
        <v>-373.25027236322967</v>
      </c>
      <c r="DE216" s="123"/>
      <c r="DF216" s="23">
        <v>-150.78390000000036</v>
      </c>
    </row>
    <row r="217" spans="1:110" s="22" customFormat="1" x14ac:dyDescent="0.2">
      <c r="A217" s="22" t="s">
        <v>90</v>
      </c>
      <c r="C217" s="22">
        <f t="shared" ref="C217:W217" si="1869">C215-C216</f>
        <v>0</v>
      </c>
      <c r="D217" s="22">
        <f t="shared" si="1869"/>
        <v>0</v>
      </c>
      <c r="E217" s="22">
        <f t="shared" si="1869"/>
        <v>0</v>
      </c>
      <c r="F217" s="22">
        <f t="shared" si="1869"/>
        <v>0</v>
      </c>
      <c r="G217" s="22">
        <f t="shared" si="1869"/>
        <v>0</v>
      </c>
      <c r="H217" s="22">
        <f t="shared" si="1869"/>
        <v>0</v>
      </c>
      <c r="I217" s="22">
        <f t="shared" si="1869"/>
        <v>0</v>
      </c>
      <c r="J217" s="22">
        <f>J215-J216</f>
        <v>0</v>
      </c>
      <c r="K217" s="22">
        <f t="shared" si="1869"/>
        <v>-1082.0554000000002</v>
      </c>
      <c r="L217" s="22">
        <f t="shared" si="1869"/>
        <v>-1647.2761999999998</v>
      </c>
      <c r="M217" s="22">
        <f t="shared" si="1869"/>
        <v>31.175200000000018</v>
      </c>
      <c r="N217" s="22">
        <f t="shared" si="1869"/>
        <v>-226.70469999999978</v>
      </c>
      <c r="O217" s="22">
        <f t="shared" si="1869"/>
        <v>-387.99210000000102</v>
      </c>
      <c r="P217" s="22">
        <f t="shared" si="1869"/>
        <v>-813.1078</v>
      </c>
      <c r="Q217" s="22">
        <f t="shared" si="1869"/>
        <v>56.193299999999795</v>
      </c>
      <c r="R217" s="22">
        <f t="shared" si="1869"/>
        <v>396.43050000000142</v>
      </c>
      <c r="S217" s="22">
        <f t="shared" si="1869"/>
        <v>-373.65090000000077</v>
      </c>
      <c r="T217" s="22">
        <f t="shared" si="1869"/>
        <v>276.14139999999884</v>
      </c>
      <c r="U217" s="22">
        <f t="shared" si="1869"/>
        <v>472.40970000000061</v>
      </c>
      <c r="V217" s="22">
        <f t="shared" si="1869"/>
        <v>316.63780000000054</v>
      </c>
      <c r="W217" s="22">
        <f t="shared" si="1869"/>
        <v>-1108.6476999999995</v>
      </c>
      <c r="X217" s="22">
        <f t="shared" ref="X217:Y217" si="1870">X215-X216</f>
        <v>201.15830000000074</v>
      </c>
      <c r="Y217" s="22">
        <f t="shared" si="1870"/>
        <v>-506.93280000000016</v>
      </c>
      <c r="Z217" s="22">
        <f t="shared" ref="Z217:AA217" si="1871">Z215-Z216</f>
        <v>-283.56230000000119</v>
      </c>
      <c r="AA217" s="22">
        <f t="shared" si="1871"/>
        <v>-133.55160000000103</v>
      </c>
      <c r="AB217" s="21">
        <f t="shared" ref="AB217:AD217" si="1872">AB215-AB216</f>
        <v>-476.49198022833798</v>
      </c>
      <c r="AC217" s="21">
        <f t="shared" si="1872"/>
        <v>-546.53826485993523</v>
      </c>
      <c r="AD217" s="21">
        <f t="shared" si="1872"/>
        <v>-601.19209134593166</v>
      </c>
      <c r="AE217" s="21">
        <f t="shared" ref="AE217" si="1873">AE215-AE216</f>
        <v>-661.31130048052364</v>
      </c>
      <c r="AI217" s="22">
        <f t="shared" ref="AI217" si="1874">AI215-AI216</f>
        <v>0</v>
      </c>
      <c r="AJ217" s="22">
        <f t="shared" ref="AJ217:AL217" si="1875">AJ215-AJ216</f>
        <v>-2674.8599999999997</v>
      </c>
      <c r="AK217" s="22">
        <f t="shared" si="1875"/>
        <v>-172.5958886452072</v>
      </c>
      <c r="AL217" s="22">
        <f t="shared" si="1875"/>
        <v>135.70588864520747</v>
      </c>
      <c r="AM217" s="22">
        <f t="shared" ref="AM217" si="1876">AM215-AM216</f>
        <v>-618.59425469609346</v>
      </c>
      <c r="AN217" s="22">
        <f t="shared" ref="AN217:CD217" si="1877">AN215-AN216</f>
        <v>464.65425469609386</v>
      </c>
      <c r="AO217" s="22">
        <f t="shared" si="1877"/>
        <v>-1033.6688723675973</v>
      </c>
      <c r="AP217" s="22">
        <f t="shared" si="1877"/>
        <v>800.56887236759667</v>
      </c>
      <c r="AQ217" s="22">
        <f t="shared" si="1877"/>
        <v>469.42920496047236</v>
      </c>
      <c r="AR217" s="22">
        <f t="shared" si="1877"/>
        <v>-213.84920496047215</v>
      </c>
      <c r="AS217" s="22">
        <f t="shared" si="1877"/>
        <v>-316.39009048863863</v>
      </c>
      <c r="AT217" s="22">
        <f t="shared" si="1877"/>
        <v>-510.88990951136088</v>
      </c>
      <c r="AU217" s="22">
        <f t="shared" si="1877"/>
        <v>290.18205076502181</v>
      </c>
      <c r="AV217" s="22">
        <f t="shared" si="1877"/>
        <v>-697.9320507650225</v>
      </c>
      <c r="AW217" s="22">
        <f t="shared" si="1877"/>
        <v>752.35149556897522</v>
      </c>
      <c r="AX217" s="22">
        <f t="shared" si="1877"/>
        <v>-176.22149556897398</v>
      </c>
      <c r="AY217" s="22">
        <f t="shared" si="1877"/>
        <v>1157.0776735078136</v>
      </c>
      <c r="AZ217" s="22">
        <f t="shared" si="1877"/>
        <v>-408.95767350781364</v>
      </c>
      <c r="BA217" s="22">
        <f t="shared" si="1877"/>
        <v>86.214200652003683</v>
      </c>
      <c r="BB217" s="22">
        <f t="shared" si="1877"/>
        <v>-283.94420065200438</v>
      </c>
      <c r="BC217" s="22">
        <f t="shared" si="1877"/>
        <v>691.90996044397525</v>
      </c>
      <c r="BD217" s="22">
        <f t="shared" si="1877"/>
        <v>-1098.9299604439746</v>
      </c>
      <c r="BE217" s="22">
        <f t="shared" si="1877"/>
        <v>-1738.3499193908524</v>
      </c>
      <c r="BF217" s="22">
        <f t="shared" si="1877"/>
        <v>1360.5999193908515</v>
      </c>
      <c r="BG217" s="22">
        <f t="shared" si="1877"/>
        <v>-473.75835383945423</v>
      </c>
      <c r="BH217" s="22">
        <f t="shared" si="1877"/>
        <v>1041.8983538394548</v>
      </c>
      <c r="BI217" s="22">
        <f t="shared" si="1877"/>
        <v>1.8472561923158537</v>
      </c>
      <c r="BJ217" s="22">
        <f t="shared" si="1877"/>
        <v>-206.1272561923156</v>
      </c>
      <c r="BK217" s="22">
        <f t="shared" si="1877"/>
        <v>398.72151362295517</v>
      </c>
      <c r="BL217" s="22">
        <f t="shared" si="1877"/>
        <v>-692.36151362295561</v>
      </c>
      <c r="BM217" s="22">
        <f t="shared" si="1877"/>
        <v>-412.40117437788649</v>
      </c>
      <c r="BN217" s="22">
        <f t="shared" si="1877"/>
        <v>988.7511743778864</v>
      </c>
      <c r="BO217" s="22">
        <f t="shared" si="1877"/>
        <v>1368.2675871245287</v>
      </c>
      <c r="BP217" s="22">
        <f t="shared" si="1877"/>
        <v>-1578.6475871245302</v>
      </c>
      <c r="BQ217" s="22">
        <f t="shared" si="1877"/>
        <v>-685.00090013140516</v>
      </c>
      <c r="BR217" s="22">
        <f t="shared" si="1877"/>
        <v>757.96090013140747</v>
      </c>
      <c r="BS217" s="22">
        <f t="shared" si="1877"/>
        <v>738.41238156903682</v>
      </c>
      <c r="BT217" s="22">
        <f t="shared" si="1877"/>
        <v>-1503.212381569037</v>
      </c>
      <c r="BU217" s="22">
        <f t="shared" si="1877"/>
        <v>-569.29100374048221</v>
      </c>
      <c r="BV217" s="22">
        <f t="shared" si="1877"/>
        <v>236.78100374048205</v>
      </c>
      <c r="BW217" s="22">
        <f t="shared" si="1877"/>
        <v>497.96787808257159</v>
      </c>
      <c r="BX217" s="22">
        <f t="shared" si="1877"/>
        <v>-922.1278780825719</v>
      </c>
      <c r="BY217" s="22">
        <f t="shared" si="1877"/>
        <v>-1291.919531895317</v>
      </c>
      <c r="BZ217" s="22">
        <f t="shared" si="1877"/>
        <v>1968.269531895317</v>
      </c>
      <c r="CA217" s="22">
        <f t="shared" si="1877"/>
        <v>699.22822745943085</v>
      </c>
      <c r="CB217" s="22">
        <f t="shared" si="1877"/>
        <v>-1394.1182274594314</v>
      </c>
      <c r="CC217" s="22">
        <f t="shared" si="1877"/>
        <v>-183.0136277171423</v>
      </c>
      <c r="CD217" s="22">
        <f t="shared" si="1877"/>
        <v>380.01362771714412</v>
      </c>
      <c r="CE217" s="22">
        <f t="shared" ref="CE217:CF217" si="1878">CE215-CE216</f>
        <v>484.87043567378532</v>
      </c>
      <c r="CF217" s="22">
        <f t="shared" si="1878"/>
        <v>-1000.7104356737881</v>
      </c>
      <c r="CG217" s="22">
        <f t="shared" ref="CG217:CH217" si="1879">CG215-CG216</f>
        <v>333.70162342603544</v>
      </c>
      <c r="CH217" s="22">
        <f t="shared" si="1879"/>
        <v>72.704676573966026</v>
      </c>
      <c r="CI217" s="22">
        <f t="shared" ref="CI217:CJ217" si="1880">CI215-CI216</f>
        <v>1042.9122040052803</v>
      </c>
      <c r="CJ217" s="22">
        <f t="shared" si="1880"/>
        <v>-2760.3985040052808</v>
      </c>
      <c r="CK217" s="22">
        <f t="shared" ref="CK217:DB217" si="1881">CK215-CK216</f>
        <v>-1206.3718568121678</v>
      </c>
      <c r="CL217" s="22">
        <f t="shared" si="1881"/>
        <v>2157.0318568121693</v>
      </c>
      <c r="CM217" s="21">
        <f t="shared" si="1881"/>
        <v>1240.5148964971377</v>
      </c>
      <c r="CN217" s="21">
        <f t="shared" si="1881"/>
        <v>358.14013006581081</v>
      </c>
      <c r="CO217" s="21">
        <f t="shared" si="1881"/>
        <v>-1057.3730249802775</v>
      </c>
      <c r="CP217" s="21">
        <f t="shared" si="1881"/>
        <v>-384.49928181101131</v>
      </c>
      <c r="CQ217" s="21">
        <f t="shared" si="1881"/>
        <v>541.04541797692127</v>
      </c>
      <c r="CR217" s="21">
        <f t="shared" si="1881"/>
        <v>498.47585463355881</v>
      </c>
      <c r="CS217" s="21">
        <f t="shared" si="1881"/>
        <v>-1163.1103274783054</v>
      </c>
      <c r="CT217" s="21">
        <f t="shared" si="1881"/>
        <v>-422.9492099921099</v>
      </c>
      <c r="CU217" s="21">
        <f t="shared" si="1881"/>
        <v>595.14995977461149</v>
      </c>
      <c r="CV217" s="21">
        <f t="shared" si="1881"/>
        <v>548.32344009691678</v>
      </c>
      <c r="CW217" s="21">
        <f t="shared" si="1881"/>
        <v>-1279.4213602261407</v>
      </c>
      <c r="CX217" s="21">
        <f t="shared" si="1881"/>
        <v>-465.24413099131925</v>
      </c>
      <c r="CY217" s="21">
        <f t="shared" si="1881"/>
        <v>654.66495575207591</v>
      </c>
      <c r="CZ217" s="21">
        <f t="shared" si="1881"/>
        <v>603.15578410660783</v>
      </c>
      <c r="DA217" s="21">
        <f t="shared" si="1881"/>
        <v>-1407.3634962487558</v>
      </c>
      <c r="DB217" s="21">
        <f t="shared" si="1881"/>
        <v>-511.76854409045154</v>
      </c>
      <c r="DE217" s="126"/>
      <c r="DF217" s="22">
        <v>-133.55160000000103</v>
      </c>
    </row>
    <row r="218" spans="1:110" s="22" customFormat="1" x14ac:dyDescent="0.2">
      <c r="A218" s="22" t="s">
        <v>91</v>
      </c>
      <c r="C218" s="22">
        <f t="shared" ref="C218:W218" si="1882">C214+C217</f>
        <v>0</v>
      </c>
      <c r="D218" s="22">
        <f>D214+D217</f>
        <v>0</v>
      </c>
      <c r="E218" s="22">
        <f t="shared" si="1882"/>
        <v>0</v>
      </c>
      <c r="F218" s="22">
        <f t="shared" si="1882"/>
        <v>0</v>
      </c>
      <c r="G218" s="22">
        <f t="shared" si="1882"/>
        <v>0</v>
      </c>
      <c r="H218" s="22">
        <f t="shared" si="1882"/>
        <v>0</v>
      </c>
      <c r="I218" s="22">
        <f t="shared" si="1882"/>
        <v>0</v>
      </c>
      <c r="J218" s="22">
        <f>J214+J217</f>
        <v>0</v>
      </c>
      <c r="K218" s="22">
        <f t="shared" si="1882"/>
        <v>-243.77929999999992</v>
      </c>
      <c r="L218" s="22">
        <f t="shared" si="1882"/>
        <v>-1038.8368999999989</v>
      </c>
      <c r="M218" s="22">
        <f t="shared" si="1882"/>
        <v>402.05130000000059</v>
      </c>
      <c r="N218" s="22">
        <f t="shared" si="1882"/>
        <v>-26.579600000000028</v>
      </c>
      <c r="O218" s="22">
        <f t="shared" si="1882"/>
        <v>-152.25100000000052</v>
      </c>
      <c r="P218" s="22">
        <f t="shared" si="1882"/>
        <v>-492.09889999999814</v>
      </c>
      <c r="Q218" s="22">
        <f t="shared" si="1882"/>
        <v>343.96450000000124</v>
      </c>
      <c r="R218" s="22">
        <f t="shared" si="1882"/>
        <v>847.60630000000174</v>
      </c>
      <c r="S218" s="22">
        <f t="shared" si="1882"/>
        <v>168.32830000000001</v>
      </c>
      <c r="T218" s="22">
        <f t="shared" si="1882"/>
        <v>1522.5825999999977</v>
      </c>
      <c r="U218" s="22">
        <f t="shared" si="1882"/>
        <v>1448.8329000000006</v>
      </c>
      <c r="V218" s="22">
        <f t="shared" si="1882"/>
        <v>1094.3406999999997</v>
      </c>
      <c r="W218" s="22">
        <f t="shared" si="1882"/>
        <v>-223.91080000000079</v>
      </c>
      <c r="X218" s="22">
        <f t="shared" ref="X218:Y218" si="1883">X214+X217</f>
        <v>1315.4389999999987</v>
      </c>
      <c r="Y218" s="22">
        <f t="shared" si="1883"/>
        <v>1738.0867000000021</v>
      </c>
      <c r="Z218" s="22">
        <f t="shared" ref="Z218:AA218" si="1884">Z214+Z217</f>
        <v>2056.8637999999983</v>
      </c>
      <c r="AA218" s="22">
        <f t="shared" si="1884"/>
        <v>1470.2917999999986</v>
      </c>
      <c r="AB218" s="21">
        <f t="shared" ref="AB218:AD218" si="1885">AB214+AB217</f>
        <v>1354.6481137777596</v>
      </c>
      <c r="AC218" s="21">
        <f t="shared" si="1885"/>
        <v>1569.6276720208598</v>
      </c>
      <c r="AD218" s="21">
        <f t="shared" si="1885"/>
        <v>1760.4922788836197</v>
      </c>
      <c r="AE218" s="21">
        <f t="shared" ref="AE218" si="1886">AE214+AE217</f>
        <v>1985.848819281483</v>
      </c>
      <c r="AI218" s="22">
        <f t="shared" ref="AI218" si="1887">AI214+AI217</f>
        <v>73.899999999999778</v>
      </c>
      <c r="AJ218" s="22">
        <f t="shared" ref="AJ218:AL218" si="1888">AJ214+AJ217</f>
        <v>-2572.1899999999996</v>
      </c>
      <c r="AK218" s="22">
        <f t="shared" si="1888"/>
        <v>-73.935888645207129</v>
      </c>
      <c r="AL218" s="22">
        <f t="shared" si="1888"/>
        <v>208.83588864520738</v>
      </c>
      <c r="AM218" s="22">
        <f t="shared" ref="AM218" si="1889">AM214+AM217</f>
        <v>-557.99425469609344</v>
      </c>
      <c r="AN218" s="22">
        <f t="shared" ref="AN218:CD218" si="1890">AN214+AN217</f>
        <v>537.87425469609377</v>
      </c>
      <c r="AO218" s="22">
        <f t="shared" si="1890"/>
        <v>-929.76887236759717</v>
      </c>
      <c r="AP218" s="22">
        <f t="shared" si="1890"/>
        <v>919.86887236759696</v>
      </c>
      <c r="AQ218" s="22">
        <f t="shared" si="1890"/>
        <v>586.39920496047239</v>
      </c>
      <c r="AR218" s="22">
        <f t="shared" si="1890"/>
        <v>-76.189204960472182</v>
      </c>
      <c r="AS218" s="22">
        <f t="shared" si="1890"/>
        <v>-192.42009048863875</v>
      </c>
      <c r="AT218" s="22">
        <f t="shared" si="1890"/>
        <v>-361.13990951136088</v>
      </c>
      <c r="AU218" s="22">
        <f t="shared" si="1890"/>
        <v>441.55205076502176</v>
      </c>
      <c r="AV218" s="22">
        <f t="shared" si="1890"/>
        <v>-569.02205076502241</v>
      </c>
      <c r="AW218" s="22">
        <f t="shared" si="1890"/>
        <v>793.50149556897509</v>
      </c>
      <c r="AX218" s="22">
        <f t="shared" si="1890"/>
        <v>-49.11149556897395</v>
      </c>
      <c r="AY218" s="22">
        <f t="shared" si="1890"/>
        <v>1280.7076735078138</v>
      </c>
      <c r="AZ218" s="22">
        <f t="shared" si="1890"/>
        <v>-303.22767350781356</v>
      </c>
      <c r="BA218" s="22">
        <f t="shared" si="1890"/>
        <v>224.00420065200376</v>
      </c>
      <c r="BB218" s="22">
        <f t="shared" si="1890"/>
        <v>-105.08420065200445</v>
      </c>
      <c r="BC218" s="22">
        <f t="shared" si="1890"/>
        <v>816.7599604439755</v>
      </c>
      <c r="BD218" s="22">
        <f t="shared" si="1890"/>
        <v>-970.96996044397451</v>
      </c>
      <c r="BE218" s="22">
        <f t="shared" si="1890"/>
        <v>-1580.4799193908525</v>
      </c>
      <c r="BF218" s="22">
        <f t="shared" si="1890"/>
        <v>1591.8799193908512</v>
      </c>
      <c r="BG218" s="22">
        <f t="shared" si="1890"/>
        <v>-287.83835383945438</v>
      </c>
      <c r="BH218" s="22">
        <f t="shared" si="1890"/>
        <v>1239.5683538394546</v>
      </c>
      <c r="BI218" s="22">
        <f t="shared" si="1890"/>
        <v>243.6872561923156</v>
      </c>
      <c r="BJ218" s="22">
        <f t="shared" si="1890"/>
        <v>414.88274380768416</v>
      </c>
      <c r="BK218" s="22">
        <f t="shared" si="1890"/>
        <v>630.3015136229551</v>
      </c>
      <c r="BL218" s="22">
        <f t="shared" si="1890"/>
        <v>-290.60151362295574</v>
      </c>
      <c r="BM218" s="22">
        <f t="shared" si="1890"/>
        <v>-220.67117437788636</v>
      </c>
      <c r="BN218" s="22">
        <f t="shared" si="1890"/>
        <v>1140.0911743778863</v>
      </c>
      <c r="BO218" s="22">
        <f t="shared" si="1890"/>
        <v>1466.5375871245287</v>
      </c>
      <c r="BP218" s="22">
        <f t="shared" si="1890"/>
        <v>-1386.9775871245301</v>
      </c>
      <c r="BQ218" s="22">
        <f t="shared" si="1890"/>
        <v>-505.86090013140546</v>
      </c>
      <c r="BR218" s="22">
        <f t="shared" si="1890"/>
        <v>1066.5809001314071</v>
      </c>
      <c r="BS218" s="22">
        <f t="shared" si="1890"/>
        <v>1002.7523815690367</v>
      </c>
      <c r="BT218" s="22">
        <f t="shared" si="1890"/>
        <v>-1263.0323815690372</v>
      </c>
      <c r="BU218" s="22">
        <f t="shared" si="1890"/>
        <v>-434.45100374048207</v>
      </c>
      <c r="BV218" s="22">
        <f t="shared" si="1890"/>
        <v>482.16100374048176</v>
      </c>
      <c r="BW218" s="22">
        <f t="shared" si="1890"/>
        <v>612.58787808257171</v>
      </c>
      <c r="BX218" s="22">
        <f t="shared" si="1890"/>
        <v>-745.43787808257173</v>
      </c>
      <c r="BY218" s="22">
        <f t="shared" si="1890"/>
        <v>-959.37953189531765</v>
      </c>
      <c r="BZ218" s="22">
        <f t="shared" si="1890"/>
        <v>2450.9695318953172</v>
      </c>
      <c r="CA218" s="22">
        <f t="shared" si="1890"/>
        <v>1095.3982274594312</v>
      </c>
      <c r="CB218" s="22">
        <f t="shared" si="1890"/>
        <v>-876.07822745943167</v>
      </c>
      <c r="CC218" s="22">
        <f t="shared" si="1890"/>
        <v>496.99637228285815</v>
      </c>
      <c r="CD218" s="22">
        <f t="shared" si="1890"/>
        <v>1030.8036277171443</v>
      </c>
      <c r="CE218" s="22">
        <f t="shared" ref="CE218:CF218" si="1891">CE214+CE217</f>
        <v>1074.0304356737847</v>
      </c>
      <c r="CF218" s="22">
        <f t="shared" si="1891"/>
        <v>-350.41043567378767</v>
      </c>
      <c r="CG218" s="22">
        <f t="shared" ref="CG218:CH218" si="1892">CG214+CG217</f>
        <v>990.77162342603606</v>
      </c>
      <c r="CH218" s="22">
        <f t="shared" si="1892"/>
        <v>516.59967657396601</v>
      </c>
      <c r="CI218" s="22">
        <f t="shared" ref="CI218:CJ218" si="1893">CI214+CI217</f>
        <v>1620.2847040052807</v>
      </c>
      <c r="CJ218" s="22">
        <f t="shared" si="1893"/>
        <v>-2452.9985040052802</v>
      </c>
      <c r="CK218" s="22">
        <f t="shared" ref="CK218:DB218" si="1894">CK214+CK217</f>
        <v>-793.47185681216718</v>
      </c>
      <c r="CL218" s="22">
        <f t="shared" si="1894"/>
        <v>2463.2018568121689</v>
      </c>
      <c r="CM218" s="21">
        <f t="shared" si="1894"/>
        <v>1599.6562063672029</v>
      </c>
      <c r="CN218" s="21">
        <f t="shared" si="1894"/>
        <v>773.30268386154671</v>
      </c>
      <c r="CO218" s="21">
        <f t="shared" si="1894"/>
        <v>-535.33401578754808</v>
      </c>
      <c r="CP218" s="21">
        <f t="shared" si="1894"/>
        <v>150.29793933655537</v>
      </c>
      <c r="CQ218" s="21">
        <f t="shared" si="1894"/>
        <v>1024.3931721121378</v>
      </c>
      <c r="CR218" s="21">
        <f t="shared" si="1894"/>
        <v>957.08997670436599</v>
      </c>
      <c r="CS218" s="21">
        <f t="shared" si="1894"/>
        <v>-583.44410517997414</v>
      </c>
      <c r="CT218" s="21">
        <f t="shared" si="1894"/>
        <v>171.58862838432867</v>
      </c>
      <c r="CU218" s="21">
        <f t="shared" si="1894"/>
        <v>1133.9546410798109</v>
      </c>
      <c r="CV218" s="21">
        <f t="shared" si="1894"/>
        <v>1060.8066470763176</v>
      </c>
      <c r="CW218" s="21">
        <f t="shared" si="1894"/>
        <v>-632.87045109363828</v>
      </c>
      <c r="CX218" s="21">
        <f t="shared" si="1894"/>
        <v>198.60144182113186</v>
      </c>
      <c r="CY218" s="21">
        <f t="shared" si="1894"/>
        <v>1258.1660759056331</v>
      </c>
      <c r="CZ218" s="21">
        <f t="shared" si="1894"/>
        <v>1178.6920941154349</v>
      </c>
      <c r="DA218" s="21">
        <f t="shared" si="1894"/>
        <v>-683.33643561516658</v>
      </c>
      <c r="DB218" s="21">
        <f t="shared" si="1894"/>
        <v>232.32708487558193</v>
      </c>
      <c r="DE218" s="126"/>
      <c r="DF218" s="22">
        <v>1470.2917999999986</v>
      </c>
    </row>
    <row r="219" spans="1:110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92</v>
      </c>
      <c r="C220" s="22">
        <f t="shared" ref="C220:W220" si="1895">C221+C222</f>
        <v>0</v>
      </c>
      <c r="D220" s="22">
        <f>D221+D222</f>
        <v>0</v>
      </c>
      <c r="E220" s="22">
        <f t="shared" si="1895"/>
        <v>0</v>
      </c>
      <c r="F220" s="22">
        <f t="shared" si="1895"/>
        <v>0</v>
      </c>
      <c r="G220" s="22">
        <f t="shared" si="1895"/>
        <v>0</v>
      </c>
      <c r="H220" s="22">
        <f t="shared" si="1895"/>
        <v>0</v>
      </c>
      <c r="I220" s="22">
        <f t="shared" si="1895"/>
        <v>0</v>
      </c>
      <c r="J220" s="22">
        <f t="shared" si="1895"/>
        <v>0</v>
      </c>
      <c r="K220" s="22">
        <f t="shared" si="1895"/>
        <v>-3251.7242000000001</v>
      </c>
      <c r="L220" s="22">
        <f t="shared" si="1895"/>
        <v>-318.83590000000015</v>
      </c>
      <c r="M220" s="22">
        <f t="shared" si="1895"/>
        <v>-1248.0471999999993</v>
      </c>
      <c r="N220" s="22">
        <f t="shared" si="1895"/>
        <v>-1571.5131000000001</v>
      </c>
      <c r="O220" s="22">
        <f t="shared" si="1895"/>
        <v>-850.32650000000012</v>
      </c>
      <c r="P220" s="22">
        <f t="shared" si="1895"/>
        <v>-2927.6683000000012</v>
      </c>
      <c r="Q220" s="22">
        <f t="shared" si="1895"/>
        <v>202.26200000000074</v>
      </c>
      <c r="R220" s="22">
        <f t="shared" si="1895"/>
        <v>246.82899999999879</v>
      </c>
      <c r="S220" s="22">
        <f t="shared" si="1895"/>
        <v>-45.127499999999543</v>
      </c>
      <c r="T220" s="22">
        <f t="shared" si="1895"/>
        <v>-651.99099999999908</v>
      </c>
      <c r="U220" s="22">
        <f t="shared" si="1895"/>
        <v>-850.34849999999972</v>
      </c>
      <c r="V220" s="22">
        <f t="shared" si="1895"/>
        <v>-271.18400000000167</v>
      </c>
      <c r="W220" s="22">
        <f t="shared" si="1895"/>
        <v>-483.836399999999</v>
      </c>
      <c r="X220" s="22">
        <f t="shared" ref="X220:Y220" si="1896">X221+X222</f>
        <v>-560.98299999999847</v>
      </c>
      <c r="Y220" s="22">
        <f t="shared" si="1896"/>
        <v>-2273.4347000000007</v>
      </c>
      <c r="Z220" s="22">
        <f t="shared" ref="Z220:AA220" si="1897">Z221+Z222</f>
        <v>-1090.9170999999999</v>
      </c>
      <c r="AA220" s="22">
        <f t="shared" si="1897"/>
        <v>-1436.6226000000011</v>
      </c>
      <c r="AB220" s="21">
        <f t="shared" ref="AB220:AD220" si="1898">AB221+AB222</f>
        <v>-566.72279999999819</v>
      </c>
      <c r="AC220" s="21">
        <f t="shared" si="1898"/>
        <v>-1200</v>
      </c>
      <c r="AD220" s="21">
        <f t="shared" si="1898"/>
        <v>-1200</v>
      </c>
      <c r="AE220" s="21">
        <f t="shared" ref="AE220" si="1899">AE221+AE222</f>
        <v>-1199.9999999999982</v>
      </c>
      <c r="AI220" s="22">
        <f t="shared" ref="AI220" si="1900">AI221+AI222</f>
        <v>-38.71</v>
      </c>
      <c r="AJ220" s="22">
        <f t="shared" ref="AJ220:AL220" si="1901">AJ221+AJ222</f>
        <v>-4021.7</v>
      </c>
      <c r="AK220" s="22">
        <f t="shared" si="1901"/>
        <v>-38.630000000000109</v>
      </c>
      <c r="AL220" s="22">
        <f t="shared" si="1901"/>
        <v>-1722.9300000000007</v>
      </c>
      <c r="AM220" s="22">
        <f t="shared" ref="AM220" si="1902">AM221+AM222</f>
        <v>-45.390000000000327</v>
      </c>
      <c r="AN220" s="22">
        <f t="shared" ref="AN220:CD220" si="1903">AN221+AN222</f>
        <v>1114.6400000000001</v>
      </c>
      <c r="AO220" s="22">
        <f t="shared" si="1903"/>
        <v>-53.860000000000127</v>
      </c>
      <c r="AP220" s="22">
        <f t="shared" si="1903"/>
        <v>-1757.1899999999994</v>
      </c>
      <c r="AQ220" s="22">
        <f t="shared" si="1903"/>
        <v>-62.069999999999709</v>
      </c>
      <c r="AR220" s="22">
        <f t="shared" si="1903"/>
        <v>1537.6599999999994</v>
      </c>
      <c r="AS220" s="22">
        <f t="shared" si="1903"/>
        <v>-62.050000000000182</v>
      </c>
      <c r="AT220" s="22">
        <f t="shared" si="1903"/>
        <v>-4246.2599999999984</v>
      </c>
      <c r="AU220" s="22">
        <f t="shared" si="1903"/>
        <v>-54.170000000000073</v>
      </c>
      <c r="AV220" s="22">
        <f t="shared" si="1903"/>
        <v>3761.7599999999993</v>
      </c>
      <c r="AW220" s="22">
        <f t="shared" si="1903"/>
        <v>-56.920000000000073</v>
      </c>
      <c r="AX220" s="22">
        <f t="shared" si="1903"/>
        <v>-3347.6999999999994</v>
      </c>
      <c r="AY220" s="22">
        <f t="shared" si="1903"/>
        <v>-57.850000000000364</v>
      </c>
      <c r="AZ220" s="22">
        <f t="shared" si="1903"/>
        <v>1673.8199999999997</v>
      </c>
      <c r="BA220" s="22">
        <f t="shared" si="1903"/>
        <v>-57.119999999999891</v>
      </c>
      <c r="BB220" s="22">
        <f t="shared" si="1903"/>
        <v>-1212.9199999999998</v>
      </c>
      <c r="BC220" s="22">
        <f t="shared" si="1903"/>
        <v>-60.8100000000004</v>
      </c>
      <c r="BD220" s="22">
        <f t="shared" si="1903"/>
        <v>1206.0700000000011</v>
      </c>
      <c r="BE220" s="22">
        <f t="shared" si="1903"/>
        <v>-61.640000000000327</v>
      </c>
      <c r="BF220" s="22">
        <f t="shared" si="1903"/>
        <v>-1021.4299999999998</v>
      </c>
      <c r="BG220" s="22">
        <f t="shared" si="1903"/>
        <v>-93.170000000000073</v>
      </c>
      <c r="BH220" s="22">
        <f t="shared" si="1903"/>
        <v>783.87</v>
      </c>
      <c r="BI220" s="22">
        <f t="shared" si="1903"/>
        <v>-102.93000000000029</v>
      </c>
      <c r="BJ220" s="22">
        <f t="shared" si="1903"/>
        <v>-1239.7599999999993</v>
      </c>
      <c r="BK220" s="22">
        <f t="shared" si="1903"/>
        <v>-100.21000000000004</v>
      </c>
      <c r="BL220" s="22">
        <f t="shared" si="1903"/>
        <v>-85.330000000000354</v>
      </c>
      <c r="BM220" s="22">
        <f t="shared" si="1903"/>
        <v>-102.18000000000029</v>
      </c>
      <c r="BN220" s="22">
        <f t="shared" si="1903"/>
        <v>-287.52999999999992</v>
      </c>
      <c r="BO220" s="22">
        <f t="shared" si="1903"/>
        <v>-107.51000000000022</v>
      </c>
      <c r="BP220" s="22">
        <f t="shared" si="1903"/>
        <v>77.70999999999917</v>
      </c>
      <c r="BQ220" s="22">
        <f t="shared" si="1903"/>
        <v>-113.36999999999989</v>
      </c>
      <c r="BR220" s="22">
        <f t="shared" si="1903"/>
        <v>-157.56999999999962</v>
      </c>
      <c r="BS220" s="22">
        <f t="shared" si="1903"/>
        <v>-112.23999999999978</v>
      </c>
      <c r="BT220" s="22">
        <f t="shared" si="1903"/>
        <v>-9.4100000000006787</v>
      </c>
      <c r="BU220" s="22">
        <f t="shared" si="1903"/>
        <v>-122.19999999999982</v>
      </c>
      <c r="BV220" s="22">
        <f t="shared" si="1903"/>
        <v>-251.33000000000027</v>
      </c>
      <c r="BW220" s="22">
        <f t="shared" si="1903"/>
        <v>-109.77000000000044</v>
      </c>
      <c r="BX220" s="22">
        <f t="shared" si="1903"/>
        <v>-149.55000000000044</v>
      </c>
      <c r="BY220" s="22">
        <f t="shared" si="1903"/>
        <v>-118.10000000000036</v>
      </c>
      <c r="BZ220" s="22">
        <f t="shared" si="1903"/>
        <v>-234.93999999999957</v>
      </c>
      <c r="CA220" s="22">
        <f t="shared" si="1903"/>
        <v>-131.56999999999971</v>
      </c>
      <c r="CB220" s="22">
        <f t="shared" si="1903"/>
        <v>-1614.0099999999989</v>
      </c>
      <c r="CC220" s="22">
        <f t="shared" si="1903"/>
        <v>-146.79999999999927</v>
      </c>
      <c r="CD220" s="22">
        <f t="shared" si="1903"/>
        <v>-390.1000000000011</v>
      </c>
      <c r="CE220" s="22">
        <f t="shared" ref="CE220:CF220" si="1904">CE221+CE222</f>
        <v>-148.10000000000036</v>
      </c>
      <c r="CF220" s="22">
        <f t="shared" si="1904"/>
        <v>-298.07000000000096</v>
      </c>
      <c r="CG220" s="22">
        <f t="shared" ref="CG220:CH220" si="1905">CG221+CG222</f>
        <v>-150.64999999999964</v>
      </c>
      <c r="CH220" s="22">
        <f t="shared" si="1905"/>
        <v>-668.2257000000003</v>
      </c>
      <c r="CI220" s="22">
        <f t="shared" ref="CI220:CJ220" si="1906">CI221+CI222</f>
        <v>0</v>
      </c>
      <c r="CJ220" s="22">
        <f t="shared" si="1906"/>
        <v>-348.1243000000004</v>
      </c>
      <c r="CK220" s="22">
        <f t="shared" ref="CK220:DB220" si="1907">CK221+CK222</f>
        <v>0</v>
      </c>
      <c r="CL220" s="22">
        <f t="shared" si="1907"/>
        <v>-455.22000000000116</v>
      </c>
      <c r="CM220" s="21">
        <f t="shared" si="1907"/>
        <v>-299.99999999999818</v>
      </c>
      <c r="CN220" s="21">
        <f t="shared" si="1907"/>
        <v>-300</v>
      </c>
      <c r="CO220" s="21">
        <f t="shared" si="1907"/>
        <v>-300</v>
      </c>
      <c r="CP220" s="21">
        <f t="shared" si="1907"/>
        <v>-300</v>
      </c>
      <c r="CQ220" s="21">
        <f t="shared" si="1907"/>
        <v>-300</v>
      </c>
      <c r="CR220" s="21">
        <f t="shared" si="1907"/>
        <v>-299.99999999999818</v>
      </c>
      <c r="CS220" s="21">
        <f t="shared" si="1907"/>
        <v>-300</v>
      </c>
      <c r="CT220" s="21">
        <f t="shared" si="1907"/>
        <v>-300</v>
      </c>
      <c r="CU220" s="21">
        <f t="shared" si="1907"/>
        <v>-300</v>
      </c>
      <c r="CV220" s="21">
        <f t="shared" si="1907"/>
        <v>-300</v>
      </c>
      <c r="CW220" s="21">
        <f t="shared" si="1907"/>
        <v>-300.00000000000182</v>
      </c>
      <c r="CX220" s="21">
        <f t="shared" si="1907"/>
        <v>-299.99999999999818</v>
      </c>
      <c r="CY220" s="21">
        <f t="shared" si="1907"/>
        <v>-300</v>
      </c>
      <c r="CZ220" s="21">
        <f t="shared" si="1907"/>
        <v>-300</v>
      </c>
      <c r="DA220" s="21">
        <f t="shared" si="1907"/>
        <v>-300</v>
      </c>
      <c r="DB220" s="21">
        <f t="shared" si="1907"/>
        <v>-300</v>
      </c>
      <c r="DE220" s="126"/>
      <c r="DF220" s="22">
        <v>-1436.6226000000011</v>
      </c>
    </row>
    <row r="221" spans="1:110" s="23" customFormat="1" x14ac:dyDescent="0.2">
      <c r="A221" s="23" t="s">
        <v>93</v>
      </c>
      <c r="C221" s="23">
        <f t="shared" ref="C221:AA221" si="1908">B159-C159</f>
        <v>0</v>
      </c>
      <c r="D221" s="23">
        <f t="shared" si="1908"/>
        <v>0</v>
      </c>
      <c r="E221" s="23">
        <f>D159-E159</f>
        <v>0</v>
      </c>
      <c r="F221" s="23">
        <f t="shared" si="1908"/>
        <v>0</v>
      </c>
      <c r="G221" s="23">
        <f t="shared" si="1908"/>
        <v>0</v>
      </c>
      <c r="H221" s="23">
        <f t="shared" si="1908"/>
        <v>0</v>
      </c>
      <c r="I221" s="23">
        <f t="shared" si="1908"/>
        <v>0</v>
      </c>
      <c r="J221" s="23">
        <f>I159-J159</f>
        <v>0</v>
      </c>
      <c r="K221" s="23">
        <f>J159-K159</f>
        <v>-325.6841</v>
      </c>
      <c r="L221" s="23">
        <f t="shared" si="1908"/>
        <v>240.84739999999999</v>
      </c>
      <c r="M221" s="23">
        <f t="shared" si="1908"/>
        <v>72.367899999999992</v>
      </c>
      <c r="N221" s="23">
        <f t="shared" si="1908"/>
        <v>2.1263000000000005</v>
      </c>
      <c r="O221" s="23">
        <f t="shared" si="1908"/>
        <v>0</v>
      </c>
      <c r="P221" s="23">
        <f t="shared" si="1908"/>
        <v>-8.349000000000002</v>
      </c>
      <c r="Q221" s="23">
        <f t="shared" si="1908"/>
        <v>-7.6254999999999988</v>
      </c>
      <c r="R221" s="23">
        <f t="shared" si="1908"/>
        <v>-90.922200000000004</v>
      </c>
      <c r="S221" s="23">
        <f t="shared" si="1908"/>
        <v>8.3389999999999986</v>
      </c>
      <c r="T221" s="23">
        <f t="shared" si="1908"/>
        <v>-79.720299999999995</v>
      </c>
      <c r="U221" s="23">
        <f t="shared" si="1908"/>
        <v>62.611799999999988</v>
      </c>
      <c r="V221" s="23">
        <f t="shared" si="1908"/>
        <v>-6.8837000000000046</v>
      </c>
      <c r="W221" s="23">
        <f t="shared" si="1908"/>
        <v>-80.275299999999987</v>
      </c>
      <c r="X221" s="23">
        <f t="shared" si="1908"/>
        <v>43.503199999999993</v>
      </c>
      <c r="Y221" s="23">
        <f t="shared" si="1908"/>
        <v>-4.3525999999999954</v>
      </c>
      <c r="Z221" s="23">
        <f t="shared" si="1908"/>
        <v>7.9465999999999894</v>
      </c>
      <c r="AA221" s="23">
        <f t="shared" si="1908"/>
        <v>73.372100000000003</v>
      </c>
      <c r="AB221" s="24">
        <f t="shared" ref="AB221" si="1909">AA159-AB159</f>
        <v>-1.5999999999962711E-3</v>
      </c>
      <c r="AC221" s="24">
        <f t="shared" ref="AC221" si="1910">AB159-AC159</f>
        <v>0</v>
      </c>
      <c r="AD221" s="24">
        <f t="shared" ref="AD221" si="1911">AC159-AD159</f>
        <v>0</v>
      </c>
      <c r="AE221" s="24">
        <f t="shared" ref="AE221" si="1912">AD159-AE159</f>
        <v>0</v>
      </c>
      <c r="AI221" s="23">
        <f t="shared" ref="AI221" si="1913">AH159-AI159</f>
        <v>0</v>
      </c>
      <c r="AJ221" s="23">
        <f t="shared" ref="AJ221" si="1914">AI159-AJ159</f>
        <v>-789.96</v>
      </c>
      <c r="AK221" s="23">
        <f t="shared" ref="AK221" si="1915">AJ159-AK159</f>
        <v>0</v>
      </c>
      <c r="AL221" s="23">
        <f t="shared" ref="AL221" si="1916">AK159-AL159</f>
        <v>779.62</v>
      </c>
      <c r="AM221" s="23">
        <f t="shared" ref="AM221" si="1917">AL159-AM159</f>
        <v>0</v>
      </c>
      <c r="AN221" s="23">
        <f t="shared" ref="AN221" si="1918">AM159-AN159</f>
        <v>-750.58999999999992</v>
      </c>
      <c r="AO221" s="23">
        <f t="shared" ref="AO221" si="1919">AN159-AO159</f>
        <v>0</v>
      </c>
      <c r="AP221" s="23">
        <f t="shared" ref="AP221" si="1920">AO159-AP159</f>
        <v>750.58999999999992</v>
      </c>
      <c r="AQ221" s="23">
        <f t="shared" ref="AQ221" si="1921">AP159-AQ159</f>
        <v>0</v>
      </c>
      <c r="AR221" s="23">
        <f t="shared" ref="AR221" si="1922">AQ159-AR159</f>
        <v>-830.37</v>
      </c>
      <c r="AS221" s="23">
        <f t="shared" ref="AS221" si="1923">AR159-AS159</f>
        <v>0</v>
      </c>
      <c r="AT221" s="23">
        <f t="shared" ref="AT221" si="1924">AS159-AT159</f>
        <v>822.02</v>
      </c>
      <c r="AU221" s="23">
        <f t="shared" ref="AU221" si="1925">AT159-AU159</f>
        <v>0</v>
      </c>
      <c r="AV221" s="23">
        <f t="shared" ref="AV221" si="1926">AU159-AV159</f>
        <v>-1034.24</v>
      </c>
      <c r="AW221" s="23">
        <f t="shared" ref="AW221" si="1927">AV159-AW159</f>
        <v>0</v>
      </c>
      <c r="AX221" s="23">
        <f t="shared" ref="AX221" si="1928">AW159-AX159</f>
        <v>1026.6100000000001</v>
      </c>
      <c r="AY221" s="23">
        <f t="shared" ref="AY221" si="1929">AX159-AY159</f>
        <v>0</v>
      </c>
      <c r="AZ221" s="23">
        <f t="shared" ref="AZ221" si="1930">AY159-AZ159</f>
        <v>-574.91</v>
      </c>
      <c r="BA221" s="23">
        <f t="shared" ref="BA221" si="1931">AZ159-BA159</f>
        <v>0</v>
      </c>
      <c r="BB221" s="23">
        <f t="shared" ref="BB221" si="1932">BA159-BB159</f>
        <v>483.99</v>
      </c>
      <c r="BC221" s="23">
        <f t="shared" ref="BC221" si="1933">BB159-BC159</f>
        <v>0</v>
      </c>
      <c r="BD221" s="23">
        <f t="shared" ref="BD221" si="1934">BC159-BD159</f>
        <v>-501.64</v>
      </c>
      <c r="BE221" s="23">
        <f t="shared" ref="BE221" si="1935">BD159-BE159</f>
        <v>0</v>
      </c>
      <c r="BF221" s="23">
        <f t="shared" ref="BF221" si="1936">BE159-BF159</f>
        <v>509.98</v>
      </c>
      <c r="BG221" s="23">
        <f t="shared" ref="BG221" si="1937">BF159-BG159</f>
        <v>0</v>
      </c>
      <c r="BH221" s="23">
        <f t="shared" ref="BH221" si="1938">BG159-BH159</f>
        <v>-546.59</v>
      </c>
      <c r="BI221" s="23">
        <f t="shared" ref="BI221" si="1939">BH159-BI159</f>
        <v>0</v>
      </c>
      <c r="BJ221" s="23">
        <f t="shared" ref="BJ221" si="1940">BI159-BJ159</f>
        <v>466.87</v>
      </c>
      <c r="BK221" s="23">
        <f t="shared" ref="BK221" si="1941">BJ159-BK159</f>
        <v>0</v>
      </c>
      <c r="BL221" s="23">
        <f t="shared" ref="BL221" si="1942">BK159-BL159</f>
        <v>1.7700000000000102</v>
      </c>
      <c r="BM221" s="23">
        <f t="shared" ref="BM221" si="1943">BL159-BM159</f>
        <v>0</v>
      </c>
      <c r="BN221" s="23">
        <f t="shared" ref="BN221" si="1944">BM159-BN159</f>
        <v>60.839999999999989</v>
      </c>
      <c r="BO221" s="23">
        <f t="shared" ref="BO221" si="1945">BN159-BO159</f>
        <v>0</v>
      </c>
      <c r="BP221" s="23">
        <f t="shared" ref="BP221" si="1946">BO159-BP159</f>
        <v>-1.7099999999999937</v>
      </c>
      <c r="BQ221" s="23">
        <f t="shared" ref="BQ221" si="1947">BP159-BQ159</f>
        <v>0</v>
      </c>
      <c r="BR221" s="23">
        <f t="shared" ref="BR221" si="1948">BQ159-BR159</f>
        <v>-5.1699999999999875</v>
      </c>
      <c r="BS221" s="23">
        <f t="shared" ref="BS221" si="1949">BR159-BS159</f>
        <v>0</v>
      </c>
      <c r="BT221" s="23">
        <f t="shared" ref="BT221" si="1950">BS159-BT159</f>
        <v>-3.3800000000000239</v>
      </c>
      <c r="BU221" s="23">
        <f t="shared" ref="BU221" si="1951">BT159-BU159</f>
        <v>0</v>
      </c>
      <c r="BV221" s="23">
        <f t="shared" ref="BV221" si="1952">BU159-BV159</f>
        <v>-76.899999999999977</v>
      </c>
      <c r="BW221" s="23">
        <f t="shared" ref="BW221" si="1953">BV159-BW159</f>
        <v>0</v>
      </c>
      <c r="BX221" s="23">
        <f t="shared" ref="BX221" si="1954">BW159-BX159</f>
        <v>-26.28</v>
      </c>
      <c r="BY221" s="23">
        <f t="shared" ref="BY221" si="1955">BX159-BY159</f>
        <v>0</v>
      </c>
      <c r="BZ221" s="23">
        <f t="shared" ref="BZ221" si="1956">BY159-BZ159</f>
        <v>69.789999999999992</v>
      </c>
      <c r="CA221" s="23">
        <f t="shared" ref="CA221" si="1957">BZ159-CA159</f>
        <v>0</v>
      </c>
      <c r="CB221" s="23">
        <f t="shared" ref="CB221" si="1958">CA159-CB159</f>
        <v>-77.31</v>
      </c>
      <c r="CC221" s="23">
        <f t="shared" ref="CC221" si="1959">CB159-CC159</f>
        <v>0</v>
      </c>
      <c r="CD221" s="23">
        <f t="shared" ref="CD221" si="1960">CC159-CD159</f>
        <v>72.949999999999989</v>
      </c>
      <c r="CE221" s="23">
        <f t="shared" ref="CE221" si="1961">CD159-CE159</f>
        <v>0</v>
      </c>
      <c r="CF221" s="23">
        <f t="shared" ref="CF221" si="1962">CE159-CF159</f>
        <v>27.640000000000015</v>
      </c>
      <c r="CG221" s="23">
        <f t="shared" ref="CG221" si="1963">CF159-CG159</f>
        <v>0</v>
      </c>
      <c r="CH221" s="23">
        <f t="shared" ref="CH221:CL221" si="1964">CG159-CH159</f>
        <v>-19.690500000000014</v>
      </c>
      <c r="CI221" s="23">
        <f t="shared" si="1964"/>
        <v>0</v>
      </c>
      <c r="CJ221" s="23">
        <f t="shared" si="1964"/>
        <v>-25.879499999999979</v>
      </c>
      <c r="CK221" s="23">
        <f t="shared" ref="CK221" si="1965">CJ159-CK159</f>
        <v>0</v>
      </c>
      <c r="CL221" s="23">
        <f t="shared" si="1964"/>
        <v>99.249999999999986</v>
      </c>
      <c r="CM221" s="24">
        <f t="shared" ref="CM221" si="1966">CL159-CM159</f>
        <v>0</v>
      </c>
      <c r="CN221" s="24">
        <f t="shared" ref="CN221" si="1967">CM159-CN159</f>
        <v>0</v>
      </c>
      <c r="CO221" s="24">
        <f t="shared" ref="CO221" si="1968">CN159-CO159</f>
        <v>0</v>
      </c>
      <c r="CP221" s="24">
        <f t="shared" ref="CP221" si="1969">CO159-CP159</f>
        <v>0</v>
      </c>
      <c r="CQ221" s="24">
        <f t="shared" ref="CQ221" si="1970">CP159-CQ159</f>
        <v>0</v>
      </c>
      <c r="CR221" s="24">
        <f t="shared" ref="CR221" si="1971">CQ159-CR159</f>
        <v>0</v>
      </c>
      <c r="CS221" s="24">
        <f t="shared" ref="CS221" si="1972">CR159-CS159</f>
        <v>0</v>
      </c>
      <c r="CT221" s="24">
        <f t="shared" ref="CT221" si="1973">CS159-CT159</f>
        <v>0</v>
      </c>
      <c r="CU221" s="24">
        <f t="shared" ref="CU221" si="1974">CT159-CU159</f>
        <v>0</v>
      </c>
      <c r="CV221" s="24">
        <f t="shared" ref="CV221" si="1975">CU159-CV159</f>
        <v>0</v>
      </c>
      <c r="CW221" s="24">
        <f t="shared" ref="CW221" si="1976">CV159-CW159</f>
        <v>0</v>
      </c>
      <c r="CX221" s="24">
        <f t="shared" ref="CX221" si="1977">CW159-CX159</f>
        <v>0</v>
      </c>
      <c r="CY221" s="24">
        <f t="shared" ref="CY221" si="1978">CX159-CY159</f>
        <v>0</v>
      </c>
      <c r="CZ221" s="24">
        <f t="shared" ref="CZ221" si="1979">CY159-CZ159</f>
        <v>0</v>
      </c>
      <c r="DA221" s="24">
        <f t="shared" ref="DA221" si="1980">CZ159-DA159</f>
        <v>0</v>
      </c>
      <c r="DB221" s="24">
        <f t="shared" ref="DB221" si="1981">DA159-DB159</f>
        <v>0</v>
      </c>
      <c r="DE221" s="123"/>
      <c r="DF221" s="23">
        <v>73.372100000000003</v>
      </c>
    </row>
    <row r="222" spans="1:110" s="23" customFormat="1" x14ac:dyDescent="0.2">
      <c r="A222" s="23" t="s">
        <v>94</v>
      </c>
      <c r="C222" s="23">
        <f t="shared" ref="C222:AE222" si="1982">B157-C51-C157</f>
        <v>0</v>
      </c>
      <c r="D222" s="23">
        <f t="shared" si="1982"/>
        <v>0</v>
      </c>
      <c r="E222" s="23">
        <f t="shared" si="1982"/>
        <v>0</v>
      </c>
      <c r="F222" s="23">
        <f t="shared" si="1982"/>
        <v>0</v>
      </c>
      <c r="G222" s="23">
        <f t="shared" si="1982"/>
        <v>0</v>
      </c>
      <c r="H222" s="23">
        <f t="shared" si="1982"/>
        <v>0</v>
      </c>
      <c r="I222" s="23">
        <f t="shared" si="1982"/>
        <v>0</v>
      </c>
      <c r="J222" s="23">
        <f t="shared" si="1982"/>
        <v>0</v>
      </c>
      <c r="K222" s="23">
        <f t="shared" si="1982"/>
        <v>-2926.0401000000002</v>
      </c>
      <c r="L222" s="23">
        <f t="shared" si="1982"/>
        <v>-559.68330000000014</v>
      </c>
      <c r="M222" s="23">
        <f t="shared" si="1982"/>
        <v>-1320.4150999999993</v>
      </c>
      <c r="N222" s="23">
        <f t="shared" si="1982"/>
        <v>-1573.6394</v>
      </c>
      <c r="O222" s="23">
        <f t="shared" si="1982"/>
        <v>-850.32650000000012</v>
      </c>
      <c r="P222" s="23">
        <f t="shared" si="1982"/>
        <v>-2919.319300000001</v>
      </c>
      <c r="Q222" s="23">
        <f t="shared" si="1982"/>
        <v>209.88750000000073</v>
      </c>
      <c r="R222" s="23">
        <f t="shared" si="1982"/>
        <v>337.75119999999879</v>
      </c>
      <c r="S222" s="23">
        <f t="shared" si="1982"/>
        <v>-53.466499999999542</v>
      </c>
      <c r="T222" s="23">
        <f t="shared" si="1982"/>
        <v>-572.27069999999912</v>
      </c>
      <c r="U222" s="23">
        <f t="shared" si="1982"/>
        <v>-912.96029999999973</v>
      </c>
      <c r="V222" s="23">
        <f t="shared" si="1982"/>
        <v>-264.3003000000017</v>
      </c>
      <c r="W222" s="23">
        <f t="shared" si="1982"/>
        <v>-403.56109999999899</v>
      </c>
      <c r="X222" s="23">
        <f t="shared" si="1982"/>
        <v>-604.48619999999846</v>
      </c>
      <c r="Y222" s="23">
        <f t="shared" si="1982"/>
        <v>-2269.0821000000005</v>
      </c>
      <c r="Z222" s="23">
        <f t="shared" si="1982"/>
        <v>-1098.8636999999999</v>
      </c>
      <c r="AA222" s="23">
        <f t="shared" si="1982"/>
        <v>-1509.9947000000011</v>
      </c>
      <c r="AB222" s="24">
        <f t="shared" si="1982"/>
        <v>-566.72119999999813</v>
      </c>
      <c r="AC222" s="24">
        <f t="shared" si="1982"/>
        <v>-1200</v>
      </c>
      <c r="AD222" s="24">
        <f t="shared" si="1982"/>
        <v>-1200</v>
      </c>
      <c r="AE222" s="24">
        <f t="shared" si="1982"/>
        <v>-1199.9999999999982</v>
      </c>
      <c r="AI222" s="23">
        <f t="shared" ref="AI222:BN222" si="1983">AH157-AI51-AI157</f>
        <v>-38.71</v>
      </c>
      <c r="AJ222" s="23">
        <f t="shared" si="1983"/>
        <v>-3231.74</v>
      </c>
      <c r="AK222" s="23">
        <f t="shared" si="1983"/>
        <v>-38.630000000000109</v>
      </c>
      <c r="AL222" s="23">
        <f t="shared" si="1983"/>
        <v>-2502.5500000000006</v>
      </c>
      <c r="AM222" s="23">
        <f t="shared" si="1983"/>
        <v>-45.390000000000327</v>
      </c>
      <c r="AN222" s="23">
        <f t="shared" si="1983"/>
        <v>1865.23</v>
      </c>
      <c r="AO222" s="23">
        <f t="shared" si="1983"/>
        <v>-53.860000000000127</v>
      </c>
      <c r="AP222" s="23">
        <f t="shared" si="1983"/>
        <v>-2507.7799999999993</v>
      </c>
      <c r="AQ222" s="23">
        <f t="shared" si="1983"/>
        <v>-62.069999999999709</v>
      </c>
      <c r="AR222" s="23">
        <f t="shared" si="1983"/>
        <v>2368.0299999999993</v>
      </c>
      <c r="AS222" s="23">
        <f t="shared" si="1983"/>
        <v>-62.050000000000182</v>
      </c>
      <c r="AT222" s="23">
        <f t="shared" si="1983"/>
        <v>-5068.2799999999988</v>
      </c>
      <c r="AU222" s="23">
        <f t="shared" si="1983"/>
        <v>-54.170000000000073</v>
      </c>
      <c r="AV222" s="23">
        <f t="shared" si="1983"/>
        <v>4795.9999999999991</v>
      </c>
      <c r="AW222" s="23">
        <f t="shared" si="1983"/>
        <v>-56.920000000000073</v>
      </c>
      <c r="AX222" s="23">
        <f t="shared" si="1983"/>
        <v>-4374.3099999999995</v>
      </c>
      <c r="AY222" s="23">
        <f t="shared" si="1983"/>
        <v>-57.850000000000364</v>
      </c>
      <c r="AZ222" s="23">
        <f t="shared" si="1983"/>
        <v>2248.7299999999996</v>
      </c>
      <c r="BA222" s="23">
        <f t="shared" si="1983"/>
        <v>-57.119999999999891</v>
      </c>
      <c r="BB222" s="23">
        <f t="shared" si="1983"/>
        <v>-1696.9099999999999</v>
      </c>
      <c r="BC222" s="23">
        <f t="shared" si="1983"/>
        <v>-60.8100000000004</v>
      </c>
      <c r="BD222" s="23">
        <f t="shared" si="1983"/>
        <v>1707.7100000000009</v>
      </c>
      <c r="BE222" s="23">
        <f t="shared" si="1983"/>
        <v>-61.640000000000327</v>
      </c>
      <c r="BF222" s="23">
        <f t="shared" si="1983"/>
        <v>-1531.4099999999999</v>
      </c>
      <c r="BG222" s="23">
        <f t="shared" si="1983"/>
        <v>-93.170000000000073</v>
      </c>
      <c r="BH222" s="23">
        <f t="shared" si="1983"/>
        <v>1330.46</v>
      </c>
      <c r="BI222" s="23">
        <f t="shared" si="1983"/>
        <v>-102.93000000000029</v>
      </c>
      <c r="BJ222" s="23">
        <f t="shared" si="1983"/>
        <v>-1706.6299999999992</v>
      </c>
      <c r="BK222" s="23">
        <f t="shared" si="1983"/>
        <v>-100.21000000000004</v>
      </c>
      <c r="BL222" s="23">
        <f t="shared" si="1983"/>
        <v>-87.100000000000364</v>
      </c>
      <c r="BM222" s="23">
        <f t="shared" si="1983"/>
        <v>-102.18000000000029</v>
      </c>
      <c r="BN222" s="23">
        <f t="shared" si="1983"/>
        <v>-348.36999999999989</v>
      </c>
      <c r="BO222" s="23">
        <f t="shared" ref="BO222:CT222" si="1984">BN157-BO51-BO157</f>
        <v>-107.51000000000022</v>
      </c>
      <c r="BP222" s="23">
        <f t="shared" si="1984"/>
        <v>79.419999999999163</v>
      </c>
      <c r="BQ222" s="23">
        <f t="shared" si="1984"/>
        <v>-113.36999999999989</v>
      </c>
      <c r="BR222" s="23">
        <f t="shared" si="1984"/>
        <v>-152.39999999999964</v>
      </c>
      <c r="BS222" s="23">
        <f t="shared" si="1984"/>
        <v>-112.23999999999978</v>
      </c>
      <c r="BT222" s="23">
        <f t="shared" si="1984"/>
        <v>-6.0300000000006548</v>
      </c>
      <c r="BU222" s="23">
        <f t="shared" si="1984"/>
        <v>-122.19999999999982</v>
      </c>
      <c r="BV222" s="23">
        <f t="shared" si="1984"/>
        <v>-174.43000000000029</v>
      </c>
      <c r="BW222" s="23">
        <f t="shared" si="1984"/>
        <v>-109.77000000000044</v>
      </c>
      <c r="BX222" s="23">
        <f t="shared" si="1984"/>
        <v>-123.27000000000044</v>
      </c>
      <c r="BY222" s="23">
        <f t="shared" si="1984"/>
        <v>-118.10000000000036</v>
      </c>
      <c r="BZ222" s="23">
        <f t="shared" si="1984"/>
        <v>-304.72999999999956</v>
      </c>
      <c r="CA222" s="23">
        <f t="shared" si="1984"/>
        <v>-131.56999999999971</v>
      </c>
      <c r="CB222" s="23">
        <f t="shared" si="1984"/>
        <v>-1536.6999999999989</v>
      </c>
      <c r="CC222" s="23">
        <f t="shared" si="1984"/>
        <v>-146.79999999999927</v>
      </c>
      <c r="CD222" s="23">
        <f t="shared" si="1984"/>
        <v>-463.05000000000109</v>
      </c>
      <c r="CE222" s="23">
        <f t="shared" si="1984"/>
        <v>-148.10000000000036</v>
      </c>
      <c r="CF222" s="23">
        <f t="shared" si="1984"/>
        <v>-325.71000000000095</v>
      </c>
      <c r="CG222" s="23">
        <f t="shared" si="1984"/>
        <v>-150.64999999999964</v>
      </c>
      <c r="CH222" s="23">
        <f t="shared" si="1984"/>
        <v>-648.53520000000026</v>
      </c>
      <c r="CI222" s="23">
        <f t="shared" si="1984"/>
        <v>0</v>
      </c>
      <c r="CJ222" s="23">
        <f t="shared" si="1984"/>
        <v>-322.2448000000004</v>
      </c>
      <c r="CK222" s="23">
        <f t="shared" si="1984"/>
        <v>0</v>
      </c>
      <c r="CL222" s="23">
        <f t="shared" si="1984"/>
        <v>-554.47000000000116</v>
      </c>
      <c r="CM222" s="24">
        <f t="shared" si="1984"/>
        <v>-299.99999999999818</v>
      </c>
      <c r="CN222" s="24">
        <f t="shared" si="1984"/>
        <v>-300</v>
      </c>
      <c r="CO222" s="24">
        <f t="shared" si="1984"/>
        <v>-300</v>
      </c>
      <c r="CP222" s="24">
        <f t="shared" si="1984"/>
        <v>-300</v>
      </c>
      <c r="CQ222" s="24">
        <f t="shared" si="1984"/>
        <v>-300</v>
      </c>
      <c r="CR222" s="24">
        <f t="shared" si="1984"/>
        <v>-299.99999999999818</v>
      </c>
      <c r="CS222" s="24">
        <f t="shared" si="1984"/>
        <v>-300</v>
      </c>
      <c r="CT222" s="24">
        <f t="shared" si="1984"/>
        <v>-300</v>
      </c>
      <c r="CU222" s="24">
        <f t="shared" ref="CU222:DB222" si="1985">CT157-CU51-CU157</f>
        <v>-300</v>
      </c>
      <c r="CV222" s="24">
        <f t="shared" si="1985"/>
        <v>-300</v>
      </c>
      <c r="CW222" s="24">
        <f t="shared" si="1985"/>
        <v>-300.00000000000182</v>
      </c>
      <c r="CX222" s="24">
        <f t="shared" si="1985"/>
        <v>-299.99999999999818</v>
      </c>
      <c r="CY222" s="24">
        <f t="shared" si="1985"/>
        <v>-300</v>
      </c>
      <c r="CZ222" s="24">
        <f t="shared" si="1985"/>
        <v>-300</v>
      </c>
      <c r="DA222" s="24">
        <f t="shared" si="1985"/>
        <v>-300</v>
      </c>
      <c r="DB222" s="24">
        <f t="shared" si="1985"/>
        <v>-300</v>
      </c>
      <c r="DE222" s="123"/>
      <c r="DF222" s="23">
        <v>-1509.9947000000011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95</v>
      </c>
      <c r="C224" s="22">
        <f t="shared" ref="C224:W224" si="1986">C225+C226</f>
        <v>0</v>
      </c>
      <c r="D224" s="22">
        <f t="shared" si="1986"/>
        <v>0</v>
      </c>
      <c r="E224" s="22">
        <f t="shared" si="1986"/>
        <v>0</v>
      </c>
      <c r="F224" s="22">
        <f t="shared" si="1986"/>
        <v>0</v>
      </c>
      <c r="G224" s="22">
        <f t="shared" si="1986"/>
        <v>0</v>
      </c>
      <c r="H224" s="22">
        <f t="shared" si="1986"/>
        <v>0</v>
      </c>
      <c r="I224" s="22">
        <f t="shared" si="1986"/>
        <v>0</v>
      </c>
      <c r="J224" s="22">
        <f t="shared" si="1986"/>
        <v>0</v>
      </c>
      <c r="K224" s="22">
        <f t="shared" si="1986"/>
        <v>4094.6562999999996</v>
      </c>
      <c r="L224" s="22">
        <f t="shared" si="1986"/>
        <v>1161.2256999999993</v>
      </c>
      <c r="M224" s="22">
        <f t="shared" si="1986"/>
        <v>770.56719999999939</v>
      </c>
      <c r="N224" s="22">
        <f t="shared" si="1986"/>
        <v>1703.7226000000003</v>
      </c>
      <c r="O224" s="22">
        <f t="shared" si="1986"/>
        <v>775.92309999999929</v>
      </c>
      <c r="P224" s="22">
        <f t="shared" si="1986"/>
        <v>3836.5354999999981</v>
      </c>
      <c r="Q224" s="22">
        <f t="shared" si="1986"/>
        <v>-833.56370000000265</v>
      </c>
      <c r="R224" s="22">
        <f t="shared" si="1986"/>
        <v>-1295.8519000000003</v>
      </c>
      <c r="S224" s="22">
        <f t="shared" si="1986"/>
        <v>-112.22490000000039</v>
      </c>
      <c r="T224" s="22">
        <f t="shared" si="1986"/>
        <v>-782.4188999999983</v>
      </c>
      <c r="U224" s="22">
        <f t="shared" si="1986"/>
        <v>-485.91370000000035</v>
      </c>
      <c r="V224" s="22">
        <f t="shared" si="1986"/>
        <v>-380.32729999999913</v>
      </c>
      <c r="W224" s="22">
        <f t="shared" si="1986"/>
        <v>601.81230000000039</v>
      </c>
      <c r="X224" s="22">
        <f t="shared" ref="X224:Y224" si="1987">X225+X226</f>
        <v>-1219.1821999999975</v>
      </c>
      <c r="Y224" s="22">
        <f t="shared" si="1987"/>
        <v>1215.5434999999977</v>
      </c>
      <c r="Z224" s="22">
        <f t="shared" ref="Z224:AA224" si="1988">Z225+Z226</f>
        <v>-1092.2119999999991</v>
      </c>
      <c r="AA224" s="22">
        <f t="shared" si="1988"/>
        <v>-250.42949999999843</v>
      </c>
      <c r="AB224" s="21">
        <f t="shared" ref="AB224:AD224" si="1989">AB225+AB226</f>
        <v>-400.00699999999847</v>
      </c>
      <c r="AC224" s="21">
        <f t="shared" si="1989"/>
        <v>-400.00000000000182</v>
      </c>
      <c r="AD224" s="21">
        <f t="shared" si="1989"/>
        <v>-400</v>
      </c>
      <c r="AE224" s="21">
        <f t="shared" ref="AE224" si="1990">AE225+AE226</f>
        <v>-399.99999999999636</v>
      </c>
      <c r="AI224" s="22">
        <f t="shared" ref="AI224" si="1991">AI225+AI226</f>
        <v>-35.189999999999785</v>
      </c>
      <c r="AJ224" s="22">
        <f t="shared" ref="AJ224:AL224" si="1992">AJ225+AJ226</f>
        <v>6666.92</v>
      </c>
      <c r="AK224" s="22">
        <f t="shared" si="1992"/>
        <v>0</v>
      </c>
      <c r="AL224" s="22">
        <f t="shared" si="1992"/>
        <v>1986.5399999999995</v>
      </c>
      <c r="AM224" s="22">
        <f t="shared" ref="AM224" si="1993">AM225+AM226</f>
        <v>0</v>
      </c>
      <c r="AN224" s="22">
        <f t="shared" ref="AN224:CD224" si="1994">AN225+AN226</f>
        <v>-1428.56</v>
      </c>
      <c r="AO224" s="22">
        <f t="shared" si="1994"/>
        <v>0</v>
      </c>
      <c r="AP224" s="22">
        <f t="shared" si="1994"/>
        <v>1973.7199999999993</v>
      </c>
      <c r="AQ224" s="22">
        <f t="shared" si="1994"/>
        <v>0</v>
      </c>
      <c r="AR224" s="22">
        <f t="shared" si="1994"/>
        <v>-2079.5999999999995</v>
      </c>
      <c r="AS224" s="22">
        <f t="shared" si="1994"/>
        <v>0</v>
      </c>
      <c r="AT224" s="22">
        <f t="shared" si="1994"/>
        <v>5372.4399999999987</v>
      </c>
      <c r="AU224" s="22">
        <f t="shared" si="1994"/>
        <v>0</v>
      </c>
      <c r="AV224" s="22">
        <f t="shared" si="1994"/>
        <v>-4145.1099999999988</v>
      </c>
      <c r="AW224" s="22">
        <f t="shared" si="1994"/>
        <v>0</v>
      </c>
      <c r="AX224" s="22">
        <f t="shared" si="1994"/>
        <v>2937.8800000000006</v>
      </c>
      <c r="AY224" s="22">
        <f t="shared" si="1994"/>
        <v>0</v>
      </c>
      <c r="AZ224" s="22">
        <f t="shared" si="1994"/>
        <v>-2903.0999999999995</v>
      </c>
      <c r="BA224" s="22">
        <f t="shared" si="1994"/>
        <v>0</v>
      </c>
      <c r="BB224" s="22">
        <f t="shared" si="1994"/>
        <v>1259.2999999999984</v>
      </c>
      <c r="BC224" s="22">
        <f t="shared" si="1994"/>
        <v>0</v>
      </c>
      <c r="BD224" s="22">
        <f t="shared" si="1994"/>
        <v>-1052.9599999999996</v>
      </c>
      <c r="BE224" s="22">
        <f t="shared" si="1994"/>
        <v>0</v>
      </c>
      <c r="BF224" s="22">
        <f t="shared" si="1994"/>
        <v>1144.4000000000001</v>
      </c>
      <c r="BG224" s="22">
        <f t="shared" si="1994"/>
        <v>0</v>
      </c>
      <c r="BH224" s="22">
        <f t="shared" si="1994"/>
        <v>-1715.4299999999998</v>
      </c>
      <c r="BI224" s="22">
        <f t="shared" si="1994"/>
        <v>0</v>
      </c>
      <c r="BJ224" s="22">
        <f t="shared" si="1994"/>
        <v>845.38000000000011</v>
      </c>
      <c r="BK224" s="22">
        <f t="shared" si="1994"/>
        <v>0</v>
      </c>
      <c r="BL224" s="22">
        <f t="shared" si="1994"/>
        <v>-177.94999999999868</v>
      </c>
      <c r="BM224" s="22">
        <f t="shared" si="1994"/>
        <v>0</v>
      </c>
      <c r="BN224" s="22">
        <f t="shared" si="1994"/>
        <v>-394.31000000000063</v>
      </c>
      <c r="BO224" s="22">
        <f t="shared" si="1994"/>
        <v>0</v>
      </c>
      <c r="BP224" s="22">
        <f t="shared" si="1994"/>
        <v>-38.750000000000171</v>
      </c>
      <c r="BQ224" s="22">
        <f t="shared" si="1994"/>
        <v>0</v>
      </c>
      <c r="BR224" s="22">
        <f t="shared" si="1994"/>
        <v>143.12000000000131</v>
      </c>
      <c r="BS224" s="22">
        <f t="shared" si="1994"/>
        <v>0</v>
      </c>
      <c r="BT224" s="22">
        <f t="shared" si="1994"/>
        <v>162.91999999999928</v>
      </c>
      <c r="BU224" s="22">
        <f t="shared" si="1994"/>
        <v>0</v>
      </c>
      <c r="BV224" s="22">
        <f t="shared" si="1994"/>
        <v>438.90000000000003</v>
      </c>
      <c r="BW224" s="22">
        <f t="shared" si="1994"/>
        <v>0</v>
      </c>
      <c r="BX224" s="22">
        <f t="shared" si="1994"/>
        <v>115.50999999999942</v>
      </c>
      <c r="BY224" s="22">
        <f t="shared" si="1994"/>
        <v>0</v>
      </c>
      <c r="BZ224" s="22">
        <f t="shared" si="1994"/>
        <v>-1326.619999999999</v>
      </c>
      <c r="CA224" s="22">
        <f t="shared" si="1994"/>
        <v>0</v>
      </c>
      <c r="CB224" s="22">
        <f t="shared" si="1994"/>
        <v>1587.4100000000008</v>
      </c>
      <c r="CC224" s="22">
        <f t="shared" si="1994"/>
        <v>0</v>
      </c>
      <c r="CD224" s="22">
        <f t="shared" si="1994"/>
        <v>-371.85000000000105</v>
      </c>
      <c r="CE224" s="22">
        <f t="shared" ref="CE224:CF224" si="1995">CE225+CE226</f>
        <v>0</v>
      </c>
      <c r="CF224" s="22">
        <f t="shared" si="1995"/>
        <v>-448.65999999999963</v>
      </c>
      <c r="CG224" s="22">
        <f t="shared" ref="CG224:CH224" si="1996">CG225+CG226</f>
        <v>0</v>
      </c>
      <c r="CH224" s="22">
        <f t="shared" si="1996"/>
        <v>-643.55080000000009</v>
      </c>
      <c r="CI224" s="22">
        <f t="shared" ref="CI224:CJ224" si="1997">CI225+CI226</f>
        <v>0</v>
      </c>
      <c r="CJ224" s="22">
        <f t="shared" si="1997"/>
        <v>618.89329999999904</v>
      </c>
      <c r="CK224" s="22">
        <f t="shared" ref="CK224:DB224" si="1998">CK225+CK226</f>
        <v>0</v>
      </c>
      <c r="CL224" s="22">
        <f t="shared" si="1998"/>
        <v>-869.32999999999811</v>
      </c>
      <c r="CM224" s="21">
        <f t="shared" si="1998"/>
        <v>-100</v>
      </c>
      <c r="CN224" s="21">
        <f t="shared" si="1998"/>
        <v>-100</v>
      </c>
      <c r="CO224" s="21">
        <f t="shared" si="1998"/>
        <v>-100</v>
      </c>
      <c r="CP224" s="21">
        <f t="shared" si="1998"/>
        <v>-100</v>
      </c>
      <c r="CQ224" s="21">
        <f t="shared" si="1998"/>
        <v>-100</v>
      </c>
      <c r="CR224" s="21">
        <f t="shared" si="1998"/>
        <v>-100</v>
      </c>
      <c r="CS224" s="21">
        <f t="shared" si="1998"/>
        <v>-100</v>
      </c>
      <c r="CT224" s="21">
        <f t="shared" si="1998"/>
        <v>-100</v>
      </c>
      <c r="CU224" s="21">
        <f t="shared" si="1998"/>
        <v>-100</v>
      </c>
      <c r="CV224" s="21">
        <f t="shared" si="1998"/>
        <v>-100</v>
      </c>
      <c r="CW224" s="21">
        <f t="shared" si="1998"/>
        <v>-100</v>
      </c>
      <c r="CX224" s="21">
        <f t="shared" si="1998"/>
        <v>-100</v>
      </c>
      <c r="CY224" s="21">
        <f t="shared" si="1998"/>
        <v>-100</v>
      </c>
      <c r="CZ224" s="21">
        <f t="shared" si="1998"/>
        <v>-100</v>
      </c>
      <c r="DA224" s="21">
        <f t="shared" si="1998"/>
        <v>-100</v>
      </c>
      <c r="DB224" s="21">
        <f t="shared" si="1998"/>
        <v>-100</v>
      </c>
      <c r="DE224" s="126"/>
      <c r="DF224" s="22">
        <v>-250.42949999999843</v>
      </c>
    </row>
    <row r="225" spans="1:110" s="23" customFormat="1" x14ac:dyDescent="0.2">
      <c r="A225" s="23" t="s">
        <v>49</v>
      </c>
      <c r="C225" s="23">
        <f t="shared" ref="C225:AA225" si="1999">C147-B147</f>
        <v>0</v>
      </c>
      <c r="D225" s="23">
        <f t="shared" si="1999"/>
        <v>0</v>
      </c>
      <c r="E225" s="23">
        <f>E147-D147</f>
        <v>0</v>
      </c>
      <c r="F225" s="23">
        <f t="shared" si="1999"/>
        <v>0</v>
      </c>
      <c r="G225" s="23">
        <f t="shared" si="1999"/>
        <v>0</v>
      </c>
      <c r="H225" s="23">
        <f t="shared" si="1999"/>
        <v>0</v>
      </c>
      <c r="I225" s="23">
        <f t="shared" si="1999"/>
        <v>0</v>
      </c>
      <c r="J225" s="23">
        <f>J147-I147</f>
        <v>0</v>
      </c>
      <c r="K225" s="23">
        <f>K147-J147</f>
        <v>1080.6596999999999</v>
      </c>
      <c r="L225" s="23">
        <f t="shared" si="1999"/>
        <v>1208.1829</v>
      </c>
      <c r="M225" s="23">
        <f t="shared" si="1999"/>
        <v>1297.6750000000002</v>
      </c>
      <c r="N225" s="23">
        <f t="shared" si="1999"/>
        <v>1572.8267000000005</v>
      </c>
      <c r="O225" s="23">
        <f t="shared" si="1999"/>
        <v>829.63379999999961</v>
      </c>
      <c r="P225" s="23">
        <f t="shared" si="1999"/>
        <v>2113.2268999999997</v>
      </c>
      <c r="Q225" s="23">
        <f t="shared" si="1999"/>
        <v>-555.07489999999962</v>
      </c>
      <c r="R225" s="23">
        <f t="shared" si="1999"/>
        <v>-1325.2289000000001</v>
      </c>
      <c r="S225" s="23">
        <f t="shared" si="1999"/>
        <v>125.80889999999999</v>
      </c>
      <c r="T225" s="23">
        <f t="shared" si="1999"/>
        <v>-632.3741</v>
      </c>
      <c r="U225" s="23">
        <f t="shared" si="1999"/>
        <v>-319.96900000000005</v>
      </c>
      <c r="V225" s="23">
        <f t="shared" si="1999"/>
        <v>-312.01330000000053</v>
      </c>
      <c r="W225" s="23">
        <f t="shared" si="1999"/>
        <v>703.85699999999997</v>
      </c>
      <c r="X225" s="23">
        <f t="shared" si="1999"/>
        <v>-1005.0018999999993</v>
      </c>
      <c r="Y225" s="23">
        <f t="shared" si="1999"/>
        <v>804.33389999999963</v>
      </c>
      <c r="Z225" s="23">
        <f t="shared" si="1999"/>
        <v>-940.78039999999964</v>
      </c>
      <c r="AA225" s="23">
        <f t="shared" si="1999"/>
        <v>-605.71290000000045</v>
      </c>
      <c r="AB225" s="24">
        <f t="shared" ref="AB225" si="2000">AB147-AA147</f>
        <v>-399.9993999999997</v>
      </c>
      <c r="AC225" s="24">
        <f t="shared" ref="AC225" si="2001">AC147-AB147</f>
        <v>-400</v>
      </c>
      <c r="AD225" s="24">
        <f t="shared" ref="AD225" si="2002">AD147-AC147</f>
        <v>-400</v>
      </c>
      <c r="AE225" s="24">
        <f t="shared" ref="AE225" si="2003">AE147-AD147</f>
        <v>-400</v>
      </c>
      <c r="AI225" s="23">
        <f t="shared" ref="AI225" si="2004">AI147-AH147</f>
        <v>0</v>
      </c>
      <c r="AJ225" s="23">
        <f t="shared" ref="AJ225" si="2005">AJ147-AI147</f>
        <v>3070.4300000000003</v>
      </c>
      <c r="AK225" s="23">
        <f t="shared" ref="AK225" si="2006">AK147-AJ147</f>
        <v>0</v>
      </c>
      <c r="AL225" s="23">
        <f t="shared" ref="AL225" si="2007">AL147-AK147</f>
        <v>1875.7799999999997</v>
      </c>
      <c r="AM225" s="23">
        <f t="shared" ref="AM225" si="2008">AM147-AL147</f>
        <v>0</v>
      </c>
      <c r="AN225" s="23">
        <f t="shared" ref="AN225" si="2009">AN147-AM147</f>
        <v>-1291.44</v>
      </c>
      <c r="AO225" s="23">
        <f t="shared" ref="AO225" si="2010">AO147-AN147</f>
        <v>0</v>
      </c>
      <c r="AP225" s="23">
        <f t="shared" ref="AP225" si="2011">AP147-AO147</f>
        <v>2120.1299999999997</v>
      </c>
      <c r="AQ225" s="23">
        <f t="shared" ref="AQ225" si="2012">AQ147-AP147</f>
        <v>0</v>
      </c>
      <c r="AR225" s="23">
        <f t="shared" ref="AR225" si="2013">AR147-AQ147</f>
        <v>-2228.5499999999993</v>
      </c>
      <c r="AS225" s="23">
        <f t="shared" ref="AS225" si="2014">AS147-AR147</f>
        <v>0</v>
      </c>
      <c r="AT225" s="23">
        <f t="shared" ref="AT225" si="2015">AT147-AS147</f>
        <v>4058.7099999999991</v>
      </c>
      <c r="AU225" s="23">
        <f t="shared" ref="AU225" si="2016">AU147-AT147</f>
        <v>0</v>
      </c>
      <c r="AV225" s="23">
        <f t="shared" ref="AV225" si="2017">AV147-AU147</f>
        <v>-3056.8799999999992</v>
      </c>
      <c r="AW225" s="23">
        <f t="shared" ref="AW225" si="2018">AW147-AV147</f>
        <v>0</v>
      </c>
      <c r="AX225" s="23">
        <f t="shared" ref="AX225" si="2019">AX147-AW147</f>
        <v>2431.29</v>
      </c>
      <c r="AY225" s="23">
        <f t="shared" ref="AY225" si="2020">AY147-AX147</f>
        <v>0</v>
      </c>
      <c r="AZ225" s="23">
        <f t="shared" ref="AZ225" si="2021">AZ147-AY147</f>
        <v>-3087.4500000000003</v>
      </c>
      <c r="BA225" s="23">
        <f t="shared" ref="BA225" si="2022">BA147-AZ147</f>
        <v>0</v>
      </c>
      <c r="BB225" s="23">
        <f t="shared" ref="BB225" si="2023">BB147-BA147</f>
        <v>1608.1999999999994</v>
      </c>
      <c r="BC225" s="23">
        <f t="shared" ref="BC225" si="2024">BC147-BB147</f>
        <v>0</v>
      </c>
      <c r="BD225" s="23">
        <f t="shared" ref="BD225" si="2025">BD147-BC147</f>
        <v>-1315.1899999999996</v>
      </c>
      <c r="BE225" s="23">
        <f t="shared" ref="BE225" si="2026">BE147-BD147</f>
        <v>0</v>
      </c>
      <c r="BF225" s="23">
        <f t="shared" ref="BF225" si="2027">BF147-BE147</f>
        <v>1851.96</v>
      </c>
      <c r="BG225" s="23">
        <f t="shared" ref="BG225" si="2028">BG147-BF147</f>
        <v>0</v>
      </c>
      <c r="BH225" s="23">
        <f t="shared" ref="BH225" si="2029">BH147-BG147</f>
        <v>-2392.54</v>
      </c>
      <c r="BI225" s="23">
        <f t="shared" ref="BI225" si="2030">BI147-BH147</f>
        <v>0</v>
      </c>
      <c r="BJ225" s="23">
        <f t="shared" ref="BJ225" si="2031">BJ147-BI147</f>
        <v>1672.54</v>
      </c>
      <c r="BK225" s="23">
        <f t="shared" ref="BK225" si="2032">BK147-BJ147</f>
        <v>0</v>
      </c>
      <c r="BL225" s="23">
        <f t="shared" ref="BL225" si="2033">BL147-BK147</f>
        <v>-36.219999999999345</v>
      </c>
      <c r="BM225" s="23">
        <f t="shared" ref="BM225" si="2034">BM147-BL147</f>
        <v>0</v>
      </c>
      <c r="BN225" s="23">
        <f t="shared" ref="BN225" si="2035">BN147-BM147</f>
        <v>-370.11000000000058</v>
      </c>
      <c r="BO225" s="23">
        <f t="shared" ref="BO225" si="2036">BO147-BN147</f>
        <v>0</v>
      </c>
      <c r="BP225" s="23">
        <f t="shared" ref="BP225" si="2037">BP147-BO147</f>
        <v>55.989999999999782</v>
      </c>
      <c r="BQ225" s="23">
        <f t="shared" ref="BQ225" si="2038">BQ147-BP147</f>
        <v>0</v>
      </c>
      <c r="BR225" s="23">
        <f t="shared" ref="BR225" si="2039">BR147-BQ147</f>
        <v>116.70000000000073</v>
      </c>
      <c r="BS225" s="23">
        <f t="shared" ref="BS225" si="2040">BS147-BR147</f>
        <v>0</v>
      </c>
      <c r="BT225" s="23">
        <f t="shared" ref="BT225" si="2041">BT147-BS147</f>
        <v>267.69999999999982</v>
      </c>
      <c r="BU225" s="23">
        <f t="shared" ref="BU225" si="2042">BU147-BT147</f>
        <v>0</v>
      </c>
      <c r="BV225" s="23">
        <f t="shared" ref="BV225" si="2043">BV147-BU147</f>
        <v>436.15999999999985</v>
      </c>
      <c r="BW225" s="23">
        <f t="shared" ref="BW225" si="2044">BW147-BV147</f>
        <v>0</v>
      </c>
      <c r="BX225" s="23">
        <f t="shared" ref="BX225" si="2045">BX147-BW147</f>
        <v>186.11999999999989</v>
      </c>
      <c r="BY225" s="23">
        <f t="shared" ref="BY225" si="2046">BY147-BX147</f>
        <v>0</v>
      </c>
      <c r="BZ225" s="23">
        <f t="shared" ref="BZ225" si="2047">BZ147-BY147</f>
        <v>-1191.1300000000001</v>
      </c>
      <c r="CA225" s="23">
        <f t="shared" ref="CA225" si="2048">CA147-BZ147</f>
        <v>0</v>
      </c>
      <c r="CB225" s="23">
        <f t="shared" ref="CB225" si="2049">CB147-CA147</f>
        <v>1161.17</v>
      </c>
      <c r="CC225" s="23">
        <f t="shared" ref="CC225" si="2050">CC147-CB147</f>
        <v>0</v>
      </c>
      <c r="CD225" s="23">
        <f t="shared" ref="CD225" si="2051">CD147-CC147</f>
        <v>-356.82999999999993</v>
      </c>
      <c r="CE225" s="23">
        <f t="shared" ref="CE225" si="2052">CE147-CD147</f>
        <v>0</v>
      </c>
      <c r="CF225" s="23">
        <f t="shared" ref="CF225" si="2053">CF147-CE147</f>
        <v>-275.68000000000029</v>
      </c>
      <c r="CG225" s="23">
        <f t="shared" ref="CG225" si="2054">CG147-CF147</f>
        <v>0</v>
      </c>
      <c r="CH225" s="23">
        <f t="shared" ref="CH225:CL225" si="2055">CH147-CG147</f>
        <v>-665.09769999999935</v>
      </c>
      <c r="CI225" s="23">
        <f t="shared" si="2055"/>
        <v>0</v>
      </c>
      <c r="CJ225" s="23">
        <f t="shared" si="2055"/>
        <v>331.40769999999975</v>
      </c>
      <c r="CK225" s="23">
        <f t="shared" ref="CK225" si="2056">CK147-CJ147</f>
        <v>0</v>
      </c>
      <c r="CL225" s="23">
        <f t="shared" si="2055"/>
        <v>-937.11999999999989</v>
      </c>
      <c r="CM225" s="24">
        <f t="shared" ref="CM225" si="2057">CM147-CL147</f>
        <v>-100</v>
      </c>
      <c r="CN225" s="24">
        <f t="shared" ref="CN225" si="2058">CN147-CM147</f>
        <v>-100</v>
      </c>
      <c r="CO225" s="24">
        <f t="shared" ref="CO225" si="2059">CO147-CN147</f>
        <v>-100</v>
      </c>
      <c r="CP225" s="24">
        <f t="shared" ref="CP225" si="2060">CP147-CO147</f>
        <v>-100</v>
      </c>
      <c r="CQ225" s="24">
        <f t="shared" ref="CQ225" si="2061">CQ147-CP147</f>
        <v>-100</v>
      </c>
      <c r="CR225" s="24">
        <f t="shared" ref="CR225" si="2062">CR147-CQ147</f>
        <v>-100</v>
      </c>
      <c r="CS225" s="24">
        <f t="shared" ref="CS225" si="2063">CS147-CR147</f>
        <v>-100</v>
      </c>
      <c r="CT225" s="24">
        <f t="shared" ref="CT225" si="2064">CT147-CS147</f>
        <v>-100</v>
      </c>
      <c r="CU225" s="24">
        <f t="shared" ref="CU225" si="2065">CU147-CT147</f>
        <v>-100</v>
      </c>
      <c r="CV225" s="24">
        <f t="shared" ref="CV225" si="2066">CV147-CU147</f>
        <v>-100</v>
      </c>
      <c r="CW225" s="24">
        <f t="shared" ref="CW225" si="2067">CW147-CV147</f>
        <v>-100</v>
      </c>
      <c r="CX225" s="24">
        <f t="shared" ref="CX225" si="2068">CX147-CW147</f>
        <v>-100</v>
      </c>
      <c r="CY225" s="24">
        <f t="shared" ref="CY225" si="2069">CY147-CX147</f>
        <v>-100</v>
      </c>
      <c r="CZ225" s="24">
        <f t="shared" ref="CZ225" si="2070">CZ147-CY147</f>
        <v>-100</v>
      </c>
      <c r="DA225" s="24">
        <f t="shared" ref="DA225" si="2071">DA147-CZ147</f>
        <v>-100</v>
      </c>
      <c r="DB225" s="24">
        <f t="shared" ref="DB225" si="2072">DB147-DA147</f>
        <v>-100</v>
      </c>
      <c r="DE225" s="123"/>
      <c r="DF225" s="23">
        <v>-605.71290000000045</v>
      </c>
    </row>
    <row r="226" spans="1:110" s="23" customFormat="1" x14ac:dyDescent="0.2">
      <c r="A226" s="23" t="s">
        <v>27</v>
      </c>
      <c r="C226" s="23">
        <f t="shared" ref="C226:AE226" si="2073">C139-C67-B139+C141-B141</f>
        <v>0</v>
      </c>
      <c r="D226" s="23">
        <f t="shared" si="2073"/>
        <v>0</v>
      </c>
      <c r="E226" s="23">
        <f t="shared" si="2073"/>
        <v>0</v>
      </c>
      <c r="F226" s="23">
        <f t="shared" si="2073"/>
        <v>0</v>
      </c>
      <c r="G226" s="23">
        <f t="shared" si="2073"/>
        <v>0</v>
      </c>
      <c r="H226" s="23">
        <f t="shared" si="2073"/>
        <v>0</v>
      </c>
      <c r="I226" s="23">
        <f t="shared" si="2073"/>
        <v>0</v>
      </c>
      <c r="J226" s="23">
        <f t="shared" si="2073"/>
        <v>0</v>
      </c>
      <c r="K226" s="23">
        <f t="shared" si="2073"/>
        <v>3013.9965999999995</v>
      </c>
      <c r="L226" s="23">
        <f t="shared" si="2073"/>
        <v>-46.957200000000718</v>
      </c>
      <c r="M226" s="23">
        <f t="shared" si="2073"/>
        <v>-527.10780000000079</v>
      </c>
      <c r="N226" s="23">
        <f t="shared" si="2073"/>
        <v>130.89589999999981</v>
      </c>
      <c r="O226" s="23">
        <f t="shared" si="2073"/>
        <v>-53.710700000000315</v>
      </c>
      <c r="P226" s="23">
        <f t="shared" si="2073"/>
        <v>1723.3085999999985</v>
      </c>
      <c r="Q226" s="23">
        <f t="shared" si="2073"/>
        <v>-278.48880000000304</v>
      </c>
      <c r="R226" s="23">
        <f t="shared" si="2073"/>
        <v>29.3769999999998</v>
      </c>
      <c r="S226" s="23">
        <f t="shared" si="2073"/>
        <v>-238.03380000000038</v>
      </c>
      <c r="T226" s="23">
        <f t="shared" si="2073"/>
        <v>-150.04479999999836</v>
      </c>
      <c r="U226" s="23">
        <f t="shared" si="2073"/>
        <v>-165.9447000000003</v>
      </c>
      <c r="V226" s="23">
        <f t="shared" si="2073"/>
        <v>-68.3139999999986</v>
      </c>
      <c r="W226" s="23">
        <f t="shared" si="2073"/>
        <v>-102.04469999999958</v>
      </c>
      <c r="X226" s="23">
        <f t="shared" si="2073"/>
        <v>-214.18029999999817</v>
      </c>
      <c r="Y226" s="23">
        <f t="shared" si="2073"/>
        <v>411.20959999999809</v>
      </c>
      <c r="Z226" s="23">
        <f t="shared" si="2073"/>
        <v>-151.43159999999943</v>
      </c>
      <c r="AA226" s="23">
        <f t="shared" si="2073"/>
        <v>355.28340000000202</v>
      </c>
      <c r="AB226" s="24">
        <f t="shared" si="2073"/>
        <v>-7.5999999987743649E-3</v>
      </c>
      <c r="AC226" s="24">
        <f t="shared" si="2073"/>
        <v>-1.8189894035458565E-12</v>
      </c>
      <c r="AD226" s="24">
        <f t="shared" si="2073"/>
        <v>0</v>
      </c>
      <c r="AE226" s="24">
        <f t="shared" si="2073"/>
        <v>3.637978807091713E-12</v>
      </c>
      <c r="AI226" s="23">
        <f t="shared" ref="AI226:BN226" si="2074">AI139-AI67-AH139+AI141-AH141</f>
        <v>-35.189999999999785</v>
      </c>
      <c r="AJ226" s="23">
        <f t="shared" si="2074"/>
        <v>3596.49</v>
      </c>
      <c r="AK226" s="23">
        <f t="shared" si="2074"/>
        <v>0</v>
      </c>
      <c r="AL226" s="23">
        <f t="shared" si="2074"/>
        <v>110.75999999999974</v>
      </c>
      <c r="AM226" s="23">
        <f t="shared" si="2074"/>
        <v>0</v>
      </c>
      <c r="AN226" s="23">
        <f t="shared" si="2074"/>
        <v>-137.11999999999986</v>
      </c>
      <c r="AO226" s="23">
        <f t="shared" si="2074"/>
        <v>0</v>
      </c>
      <c r="AP226" s="23">
        <f t="shared" si="2074"/>
        <v>-146.41000000000022</v>
      </c>
      <c r="AQ226" s="23">
        <f t="shared" si="2074"/>
        <v>0</v>
      </c>
      <c r="AR226" s="23">
        <f t="shared" si="2074"/>
        <v>148.94999999999973</v>
      </c>
      <c r="AS226" s="23">
        <f t="shared" si="2074"/>
        <v>0</v>
      </c>
      <c r="AT226" s="23">
        <f t="shared" si="2074"/>
        <v>1313.7299999999998</v>
      </c>
      <c r="AU226" s="23">
        <f t="shared" si="2074"/>
        <v>0</v>
      </c>
      <c r="AV226" s="23">
        <f t="shared" si="2074"/>
        <v>-1088.2299999999998</v>
      </c>
      <c r="AW226" s="23">
        <f t="shared" si="2074"/>
        <v>0</v>
      </c>
      <c r="AX226" s="23">
        <f t="shared" si="2074"/>
        <v>506.5900000000006</v>
      </c>
      <c r="AY226" s="23">
        <f t="shared" si="2074"/>
        <v>0</v>
      </c>
      <c r="AZ226" s="23">
        <f t="shared" si="2074"/>
        <v>184.35000000000079</v>
      </c>
      <c r="BA226" s="23">
        <f t="shared" si="2074"/>
        <v>0</v>
      </c>
      <c r="BB226" s="23">
        <f t="shared" si="2074"/>
        <v>-348.90000000000111</v>
      </c>
      <c r="BC226" s="23">
        <f t="shared" si="2074"/>
        <v>0</v>
      </c>
      <c r="BD226" s="23">
        <f t="shared" si="2074"/>
        <v>262.23000000000013</v>
      </c>
      <c r="BE226" s="23">
        <f t="shared" si="2074"/>
        <v>0</v>
      </c>
      <c r="BF226" s="23">
        <f t="shared" si="2074"/>
        <v>-707.55999999999983</v>
      </c>
      <c r="BG226" s="23">
        <f t="shared" si="2074"/>
        <v>0</v>
      </c>
      <c r="BH226" s="23">
        <f t="shared" si="2074"/>
        <v>677.11</v>
      </c>
      <c r="BI226" s="23">
        <f t="shared" si="2074"/>
        <v>0</v>
      </c>
      <c r="BJ226" s="23">
        <f t="shared" si="2074"/>
        <v>-827.15999999999985</v>
      </c>
      <c r="BK226" s="23">
        <f t="shared" si="2074"/>
        <v>0</v>
      </c>
      <c r="BL226" s="23">
        <f t="shared" si="2074"/>
        <v>-141.72999999999934</v>
      </c>
      <c r="BM226" s="23">
        <f t="shared" si="2074"/>
        <v>0</v>
      </c>
      <c r="BN226" s="23">
        <f t="shared" si="2074"/>
        <v>-24.200000000000045</v>
      </c>
      <c r="BO226" s="23">
        <f t="shared" ref="BO226:CT226" si="2075">BO139-BO67-BN139+BO141-BN141</f>
        <v>0</v>
      </c>
      <c r="BP226" s="23">
        <f t="shared" si="2075"/>
        <v>-94.739999999999952</v>
      </c>
      <c r="BQ226" s="23">
        <f t="shared" si="2075"/>
        <v>0</v>
      </c>
      <c r="BR226" s="23">
        <f t="shared" si="2075"/>
        <v>26.420000000000584</v>
      </c>
      <c r="BS226" s="23">
        <f t="shared" si="2075"/>
        <v>0</v>
      </c>
      <c r="BT226" s="23">
        <f t="shared" si="2075"/>
        <v>-104.78000000000054</v>
      </c>
      <c r="BU226" s="23">
        <f t="shared" si="2075"/>
        <v>0</v>
      </c>
      <c r="BV226" s="23">
        <f t="shared" si="2075"/>
        <v>2.7400000000001796</v>
      </c>
      <c r="BW226" s="23">
        <f t="shared" si="2075"/>
        <v>0</v>
      </c>
      <c r="BX226" s="23">
        <f t="shared" si="2075"/>
        <v>-70.610000000000468</v>
      </c>
      <c r="BY226" s="23">
        <f t="shared" si="2075"/>
        <v>0</v>
      </c>
      <c r="BZ226" s="23">
        <f t="shared" si="2075"/>
        <v>-135.48999999999876</v>
      </c>
      <c r="CA226" s="23">
        <f t="shared" si="2075"/>
        <v>0</v>
      </c>
      <c r="CB226" s="23">
        <f t="shared" si="2075"/>
        <v>426.24000000000058</v>
      </c>
      <c r="CC226" s="23">
        <f t="shared" si="2075"/>
        <v>0</v>
      </c>
      <c r="CD226" s="23">
        <f t="shared" si="2075"/>
        <v>-15.020000000001119</v>
      </c>
      <c r="CE226" s="23">
        <f t="shared" si="2075"/>
        <v>0</v>
      </c>
      <c r="CF226" s="23">
        <f t="shared" si="2075"/>
        <v>-172.97999999999934</v>
      </c>
      <c r="CG226" s="23">
        <f t="shared" si="2075"/>
        <v>0</v>
      </c>
      <c r="CH226" s="23">
        <f t="shared" si="2075"/>
        <v>21.546899999999255</v>
      </c>
      <c r="CI226" s="23">
        <f t="shared" si="2075"/>
        <v>0</v>
      </c>
      <c r="CJ226" s="23">
        <f t="shared" si="2075"/>
        <v>287.48559999999929</v>
      </c>
      <c r="CK226" s="23">
        <f t="shared" si="2075"/>
        <v>0</v>
      </c>
      <c r="CL226" s="23">
        <f t="shared" si="2075"/>
        <v>67.790000000001726</v>
      </c>
      <c r="CM226" s="24">
        <f t="shared" si="2075"/>
        <v>0</v>
      </c>
      <c r="CN226" s="24">
        <f t="shared" si="2075"/>
        <v>0</v>
      </c>
      <c r="CO226" s="24">
        <f t="shared" si="2075"/>
        <v>0</v>
      </c>
      <c r="CP226" s="24">
        <f t="shared" si="2075"/>
        <v>0</v>
      </c>
      <c r="CQ226" s="24">
        <f t="shared" si="2075"/>
        <v>0</v>
      </c>
      <c r="CR226" s="24">
        <f t="shared" si="2075"/>
        <v>0</v>
      </c>
      <c r="CS226" s="24">
        <f t="shared" si="2075"/>
        <v>0</v>
      </c>
      <c r="CT226" s="24">
        <f t="shared" si="2075"/>
        <v>0</v>
      </c>
      <c r="CU226" s="24">
        <f t="shared" ref="CU226:DB226" si="2076">CU139-CU67-CT139+CU141-CT141</f>
        <v>0</v>
      </c>
      <c r="CV226" s="24">
        <f t="shared" si="2076"/>
        <v>0</v>
      </c>
      <c r="CW226" s="24">
        <f t="shared" si="2076"/>
        <v>0</v>
      </c>
      <c r="CX226" s="24">
        <f t="shared" si="2076"/>
        <v>0</v>
      </c>
      <c r="CY226" s="24">
        <f t="shared" si="2076"/>
        <v>0</v>
      </c>
      <c r="CZ226" s="24">
        <f t="shared" si="2076"/>
        <v>0</v>
      </c>
      <c r="DA226" s="24">
        <f t="shared" si="2076"/>
        <v>0</v>
      </c>
      <c r="DB226" s="24">
        <f t="shared" si="2076"/>
        <v>0</v>
      </c>
      <c r="DE226" s="123"/>
      <c r="DF226" s="23">
        <v>355.28340000000202</v>
      </c>
    </row>
    <row r="227" spans="1:110" s="23" customFormat="1" x14ac:dyDescent="0.2"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3" customFormat="1" x14ac:dyDescent="0.2">
      <c r="A228" s="23" t="s">
        <v>442</v>
      </c>
      <c r="C228" s="23">
        <f t="shared" ref="C228" si="2077">B180</f>
        <v>0</v>
      </c>
      <c r="D228" s="23">
        <f t="shared" ref="D228" si="2078">C180</f>
        <v>0</v>
      </c>
      <c r="E228" s="23">
        <f>D180</f>
        <v>0</v>
      </c>
      <c r="F228" s="23">
        <f t="shared" ref="F228" si="2079">E180</f>
        <v>0</v>
      </c>
      <c r="G228" s="23">
        <f t="shared" ref="G228" si="2080">F180</f>
        <v>0</v>
      </c>
      <c r="H228" s="23">
        <f t="shared" ref="H228" si="2081">G180</f>
        <v>0</v>
      </c>
      <c r="I228" s="23">
        <f t="shared" ref="I228" si="2082">H180</f>
        <v>0</v>
      </c>
      <c r="J228" s="23">
        <f>I180</f>
        <v>0</v>
      </c>
      <c r="K228" s="23">
        <f>J180</f>
        <v>0</v>
      </c>
      <c r="L228" s="23">
        <f t="shared" ref="L228" si="2083">K180</f>
        <v>599.15279999999996</v>
      </c>
      <c r="M228" s="23">
        <f t="shared" ref="M228" si="2084">L180</f>
        <v>402.70569999999998</v>
      </c>
      <c r="N228" s="23">
        <f t="shared" ref="N228" si="2085">M180</f>
        <v>327.27699999999999</v>
      </c>
      <c r="O228" s="23">
        <f t="shared" ref="O228" si="2086">N180</f>
        <v>432.90689999999995</v>
      </c>
      <c r="P228" s="23">
        <f t="shared" ref="P228" si="2087">O180</f>
        <v>206.2525</v>
      </c>
      <c r="Q228" s="23">
        <f t="shared" ref="Q228" si="2088">P180</f>
        <v>623.02080000000001</v>
      </c>
      <c r="R228" s="23">
        <f t="shared" ref="R228" si="2089">Q180</f>
        <v>335.68360000000001</v>
      </c>
      <c r="S228" s="23">
        <f t="shared" ref="S228" si="2090">R180</f>
        <v>134.267</v>
      </c>
      <c r="T228" s="23">
        <f t="shared" ref="T228" si="2091">S180</f>
        <v>145.24289999999999</v>
      </c>
      <c r="U228" s="23">
        <f t="shared" ref="U228" si="2092">T180</f>
        <v>233.41559999999998</v>
      </c>
      <c r="V228" s="23">
        <f t="shared" ref="V228" si="2093">U180</f>
        <v>345.98630000000003</v>
      </c>
      <c r="W228" s="23">
        <f t="shared" ref="W228:AA228" si="2094">V180</f>
        <v>788.81570000000011</v>
      </c>
      <c r="X228" s="23">
        <f t="shared" si="2094"/>
        <v>682.88080000000002</v>
      </c>
      <c r="Y228" s="23">
        <f t="shared" si="2094"/>
        <v>218.15460000000002</v>
      </c>
      <c r="Z228" s="23">
        <f t="shared" si="2094"/>
        <v>898.3501</v>
      </c>
      <c r="AA228" s="23">
        <f t="shared" si="2094"/>
        <v>772.08479999999997</v>
      </c>
      <c r="AB228" s="24">
        <f t="shared" ref="AB228" si="2095">AA180</f>
        <v>555.32450000000006</v>
      </c>
      <c r="AC228" s="24">
        <f t="shared" ref="AC228" si="2096">AB180</f>
        <v>943.24281377775833</v>
      </c>
      <c r="AD228" s="24">
        <f t="shared" ref="AD228" si="2097">AC180</f>
        <v>912.87048579861846</v>
      </c>
      <c r="AE228" s="24">
        <f t="shared" ref="AE228" si="2098">AD180</f>
        <v>1073.3627646822404</v>
      </c>
      <c r="AI228" s="23">
        <f t="shared" ref="AI228" si="2099">AH180</f>
        <v>0</v>
      </c>
      <c r="AJ228" s="23">
        <f t="shared" ref="AJ228" si="2100">AI180</f>
        <v>0</v>
      </c>
      <c r="AK228" s="23">
        <f t="shared" ref="AK228" si="2101">AJ180</f>
        <v>73.03</v>
      </c>
      <c r="AL228" s="23">
        <f t="shared" ref="AL228" si="2102">AK180</f>
        <v>-39.535888645207237</v>
      </c>
      <c r="AM228" s="23">
        <f t="shared" ref="AM228" si="2103">AL180</f>
        <v>432.90999999999997</v>
      </c>
      <c r="AN228" s="23">
        <f t="shared" ref="AN228" si="2104">AM180</f>
        <v>-170.47425469609379</v>
      </c>
      <c r="AO228" s="23">
        <f t="shared" ref="AO228" si="2105">AN180</f>
        <v>53.48</v>
      </c>
      <c r="AP228" s="23">
        <f t="shared" ref="AP228" si="2106">AO180</f>
        <v>-930.14887236759728</v>
      </c>
      <c r="AQ228" s="23">
        <f t="shared" ref="AQ228" si="2107">AP180</f>
        <v>206.25</v>
      </c>
      <c r="AR228" s="23">
        <f t="shared" ref="AR228" si="2108">AQ180</f>
        <v>730.57920496047268</v>
      </c>
      <c r="AS228" s="23">
        <f t="shared" ref="AS228" si="2109">AR180</f>
        <v>112.45</v>
      </c>
      <c r="AT228" s="23">
        <f t="shared" ref="AT228" si="2110">AS180</f>
        <v>-142.02009048863891</v>
      </c>
      <c r="AU228" s="23">
        <f t="shared" ref="AU228" si="2111">AT180</f>
        <v>623.02</v>
      </c>
      <c r="AV228" s="23">
        <f t="shared" ref="AV228" si="2112">AU180</f>
        <v>1010.4020507650216</v>
      </c>
      <c r="AW228" s="23">
        <f t="shared" ref="AW228" si="2113">AV180</f>
        <v>58.03</v>
      </c>
      <c r="AX228" s="23">
        <f t="shared" ref="AX228" si="2114">AW180</f>
        <v>794.61149556897499</v>
      </c>
      <c r="AY228" s="23">
        <f t="shared" ref="AY228" si="2115">AX180</f>
        <v>335.68</v>
      </c>
      <c r="AZ228" s="23">
        <f t="shared" ref="AZ228" si="2116">AY180</f>
        <v>1558.5376735078135</v>
      </c>
      <c r="BA228" s="23">
        <f t="shared" ref="BA228" si="2117">AZ180</f>
        <v>26.03</v>
      </c>
      <c r="BB228" s="23">
        <f t="shared" ref="BB228" si="2118">BA180</f>
        <v>192.91420065200387</v>
      </c>
      <c r="BC228" s="23">
        <f t="shared" ref="BC228" si="2119">BB180</f>
        <v>134.21</v>
      </c>
      <c r="BD228" s="23">
        <f t="shared" ref="BD228" si="2120">BC180</f>
        <v>890.15996044397514</v>
      </c>
      <c r="BE228" s="23">
        <f t="shared" ref="BE228" si="2121">BD180</f>
        <v>72.3</v>
      </c>
      <c r="BF228" s="23">
        <f t="shared" ref="BF228" si="2122">BE180</f>
        <v>-1569.8199193908529</v>
      </c>
      <c r="BG228" s="23">
        <f t="shared" ref="BG228" si="2123">BF180</f>
        <v>145.03</v>
      </c>
      <c r="BH228" s="23">
        <f t="shared" ref="BH228" si="2124">BG180</f>
        <v>-235.97835383945446</v>
      </c>
      <c r="BI228" s="23">
        <f t="shared" ref="BI228" si="2125">BH180</f>
        <v>72.03</v>
      </c>
      <c r="BJ228" s="23">
        <f t="shared" ref="BJ228" si="2126">BI180</f>
        <v>212.78725619231531</v>
      </c>
      <c r="BK228" s="23">
        <f t="shared" ref="BK228" si="2127">BJ180</f>
        <v>233.29000000000002</v>
      </c>
      <c r="BL228" s="23">
        <f t="shared" ref="BL228" si="2128">BK180</f>
        <v>763.38151362295503</v>
      </c>
      <c r="BM228" s="23">
        <f t="shared" ref="BM228" si="2129">BL180</f>
        <v>209.51000000000002</v>
      </c>
      <c r="BN228" s="23">
        <f t="shared" ref="BN228" si="2130">BM180</f>
        <v>-113.34117437788663</v>
      </c>
      <c r="BO228" s="23">
        <f t="shared" ref="BO228" si="2131">BN180</f>
        <v>344.90000000000003</v>
      </c>
      <c r="BP228" s="23">
        <f t="shared" ref="BP228" si="2132">BO180</f>
        <v>1703.9275871245286</v>
      </c>
      <c r="BQ228" s="23">
        <f t="shared" ref="BQ228" si="2133">BP180</f>
        <v>355.90999999999997</v>
      </c>
      <c r="BR228" s="23">
        <f t="shared" ref="BR228" si="2134">BQ180</f>
        <v>-263.32090013140538</v>
      </c>
      <c r="BS228" s="23">
        <f t="shared" ref="BS228" si="2135">BR180</f>
        <v>788.81000000000006</v>
      </c>
      <c r="BT228" s="23">
        <f t="shared" ref="BT228" si="2136">BS180</f>
        <v>1679.3223815690371</v>
      </c>
      <c r="BU228" s="23">
        <f t="shared" ref="BU228" si="2137">BT180</f>
        <v>569.79999999999995</v>
      </c>
      <c r="BV228" s="23">
        <f t="shared" ref="BV228" si="2138">BU180</f>
        <v>13.148996259518071</v>
      </c>
      <c r="BW228" s="23">
        <f t="shared" ref="BW228" si="2139">BV180</f>
        <v>682.88</v>
      </c>
      <c r="BX228" s="23">
        <f t="shared" ref="BX228" si="2140">BW180</f>
        <v>1185.6978780825712</v>
      </c>
      <c r="BY228" s="23">
        <f t="shared" ref="BY228" si="2141">BX180</f>
        <v>406.22</v>
      </c>
      <c r="BZ228" s="23">
        <f t="shared" ref="BZ228" si="2142">BY180</f>
        <v>-671.25953189531799</v>
      </c>
      <c r="CA228" s="23">
        <f t="shared" ref="CA228" si="2143">BZ180</f>
        <v>218.15</v>
      </c>
      <c r="CB228" s="23">
        <f t="shared" ref="CB228" si="2144">CA180</f>
        <v>1181.9782274594315</v>
      </c>
      <c r="CC228" s="23">
        <f t="shared" ref="CC228" si="2145">CB180</f>
        <v>279.3</v>
      </c>
      <c r="CD228" s="23">
        <f t="shared" ref="CD228" si="2146">CC180</f>
        <v>629.49637228285883</v>
      </c>
      <c r="CE228" s="23">
        <f t="shared" ref="CE228" si="2147">CD180</f>
        <v>898.35</v>
      </c>
      <c r="CF228" s="23">
        <f t="shared" ref="CF228" si="2148">CE180</f>
        <v>1824.2804356737843</v>
      </c>
      <c r="CG228" s="23">
        <f t="shared" ref="CG228" si="2149">CF180</f>
        <v>727.14</v>
      </c>
      <c r="CH228" s="23">
        <f t="shared" ref="CH228:CL228" si="2150">CG180</f>
        <v>1567.2616234260363</v>
      </c>
      <c r="CI228" s="23">
        <f t="shared" si="2150"/>
        <v>772.08479999999997</v>
      </c>
      <c r="CJ228" s="23">
        <f t="shared" si="2150"/>
        <v>2392.3695040052808</v>
      </c>
      <c r="CK228" s="23">
        <f t="shared" ref="CK228" si="2151">CJ180</f>
        <v>210.14</v>
      </c>
      <c r="CL228" s="23">
        <f t="shared" si="2150"/>
        <v>-583.33185681216719</v>
      </c>
      <c r="CM228" s="24">
        <f t="shared" ref="CM228" si="2152">CL180</f>
        <v>555.31999999999994</v>
      </c>
      <c r="CN228" s="24">
        <f t="shared" ref="CN228" si="2153">CM180</f>
        <v>1754.9762063672047</v>
      </c>
      <c r="CO228" s="24">
        <f t="shared" ref="CO228" si="2154">CN180</f>
        <v>2128.2788902287512</v>
      </c>
      <c r="CP228" s="24">
        <f t="shared" ref="CP228" si="2155">CO180</f>
        <v>1192.944874441203</v>
      </c>
      <c r="CQ228" s="24">
        <f t="shared" ref="CQ228" si="2156">CP180</f>
        <v>943.24281377775833</v>
      </c>
      <c r="CR228" s="24">
        <f t="shared" ref="CR228" si="2157">CQ180</f>
        <v>1567.6359858898961</v>
      </c>
      <c r="CS228" s="24">
        <f t="shared" ref="CS228" si="2158">CR180</f>
        <v>2124.7259625942638</v>
      </c>
      <c r="CT228" s="24">
        <f t="shared" ref="CT228" si="2159">CS180</f>
        <v>1141.2818574142898</v>
      </c>
      <c r="CU228" s="24">
        <f t="shared" ref="CU228" si="2160">CT180</f>
        <v>912.87048579861846</v>
      </c>
      <c r="CV228" s="24">
        <f t="shared" ref="CV228" si="2161">CU180</f>
        <v>1646.8251268784293</v>
      </c>
      <c r="CW228" s="24">
        <f t="shared" ref="CW228" si="2162">CV180</f>
        <v>2307.6317739547467</v>
      </c>
      <c r="CX228" s="24">
        <f t="shared" ref="CX228" si="2163">CW180</f>
        <v>1274.7613228611067</v>
      </c>
      <c r="CY228" s="24">
        <f t="shared" ref="CY228" si="2164">CX180</f>
        <v>1073.3627646822404</v>
      </c>
      <c r="CZ228" s="24">
        <f t="shared" ref="CZ228" si="2165">CY180</f>
        <v>1931.5288405878734</v>
      </c>
      <c r="DA228" s="24">
        <f t="shared" ref="DA228" si="2166">CZ180</f>
        <v>2710.2209347033086</v>
      </c>
      <c r="DB228" s="24">
        <f t="shared" ref="DB228" si="2167">DA180</f>
        <v>1626.8844990881421</v>
      </c>
      <c r="DE228" s="123"/>
      <c r="DF228" s="23">
        <v>772.08479999999997</v>
      </c>
    </row>
    <row r="229" spans="1:110" s="23" customFormat="1" x14ac:dyDescent="0.2">
      <c r="A229" s="23" t="s">
        <v>443</v>
      </c>
      <c r="C229" s="23">
        <f t="shared" ref="C229:W229" si="2168">C228+C224+C220+C218</f>
        <v>0</v>
      </c>
      <c r="D229" s="23">
        <f t="shared" si="2168"/>
        <v>0</v>
      </c>
      <c r="E229" s="23">
        <f t="shared" si="2168"/>
        <v>0</v>
      </c>
      <c r="F229" s="23">
        <f t="shared" si="2168"/>
        <v>0</v>
      </c>
      <c r="G229" s="23">
        <f t="shared" si="2168"/>
        <v>0</v>
      </c>
      <c r="H229" s="23">
        <f t="shared" si="2168"/>
        <v>0</v>
      </c>
      <c r="I229" s="23">
        <f t="shared" si="2168"/>
        <v>0</v>
      </c>
      <c r="J229" s="23">
        <f>J228+J224+J220+J218</f>
        <v>0</v>
      </c>
      <c r="K229" s="23">
        <f>K228+K224+K220+K218</f>
        <v>599.15279999999962</v>
      </c>
      <c r="L229" s="23">
        <f>L228+L224+L220+L218</f>
        <v>402.70570000000043</v>
      </c>
      <c r="M229" s="23">
        <f>M228+M224+M220+M218</f>
        <v>327.27700000000078</v>
      </c>
      <c r="N229" s="23">
        <f t="shared" si="2168"/>
        <v>432.90690000000018</v>
      </c>
      <c r="O229" s="23">
        <f t="shared" si="2168"/>
        <v>206.25249999999861</v>
      </c>
      <c r="P229" s="23">
        <f t="shared" si="2168"/>
        <v>623.02079999999887</v>
      </c>
      <c r="Q229" s="23">
        <f t="shared" si="2168"/>
        <v>335.68359999999933</v>
      </c>
      <c r="R229" s="23">
        <f t="shared" si="2168"/>
        <v>134.26700000000028</v>
      </c>
      <c r="S229" s="23">
        <f t="shared" si="2168"/>
        <v>145.24290000000008</v>
      </c>
      <c r="T229" s="23">
        <f t="shared" si="2168"/>
        <v>233.41560000000027</v>
      </c>
      <c r="U229" s="23">
        <f t="shared" si="2168"/>
        <v>345.98630000000048</v>
      </c>
      <c r="V229" s="23">
        <f t="shared" si="2168"/>
        <v>788.81569999999897</v>
      </c>
      <c r="W229" s="23">
        <f t="shared" si="2168"/>
        <v>682.88080000000082</v>
      </c>
      <c r="X229" s="23">
        <f t="shared" ref="X229:Y229" si="2169">X228+X224+X220+X218</f>
        <v>218.1546000000028</v>
      </c>
      <c r="Y229" s="23">
        <f t="shared" si="2169"/>
        <v>898.3500999999992</v>
      </c>
      <c r="Z229" s="23">
        <f t="shared" ref="Z229:AA229" si="2170">Z228+Z224+Z220+Z218</f>
        <v>772.08479999999918</v>
      </c>
      <c r="AA229" s="23">
        <f t="shared" si="2170"/>
        <v>555.32449999999903</v>
      </c>
      <c r="AB229" s="24">
        <f t="shared" ref="AB229:AD229" si="2171">AB228+AB224+AB220+AB218</f>
        <v>943.24281377776299</v>
      </c>
      <c r="AC229" s="24">
        <f t="shared" si="2171"/>
        <v>912.8704857986163</v>
      </c>
      <c r="AD229" s="24">
        <f t="shared" si="2171"/>
        <v>1073.3627646822383</v>
      </c>
      <c r="AE229" s="24">
        <f t="shared" ref="AE229" si="2172">AE228+AE224+AE220+AE218</f>
        <v>1459.2115839637288</v>
      </c>
      <c r="AI229" s="23">
        <f t="shared" ref="AI229" si="2173">AI228+AI224+AI220+AI218</f>
        <v>0</v>
      </c>
      <c r="AJ229" s="23">
        <f t="shared" ref="AJ229:AL229" si="2174">AJ228+AJ224+AJ220+AJ218</f>
        <v>73.030000000000655</v>
      </c>
      <c r="AK229" s="23">
        <f t="shared" si="2174"/>
        <v>-39.535888645207237</v>
      </c>
      <c r="AL229" s="23">
        <f t="shared" si="2174"/>
        <v>432.90999999999889</v>
      </c>
      <c r="AM229" s="23">
        <f t="shared" ref="AM229" si="2175">AM228+AM224+AM220+AM218</f>
        <v>-170.47425469609379</v>
      </c>
      <c r="AN229" s="23">
        <f t="shared" ref="AN229:CD229" si="2176">AN228+AN224+AN220+AN218</f>
        <v>53.480000000000132</v>
      </c>
      <c r="AO229" s="23">
        <f t="shared" si="2176"/>
        <v>-930.14887236759728</v>
      </c>
      <c r="AP229" s="23">
        <f t="shared" si="2176"/>
        <v>206.24999999999966</v>
      </c>
      <c r="AQ229" s="23">
        <f t="shared" si="2176"/>
        <v>730.57920496047268</v>
      </c>
      <c r="AR229" s="23">
        <f t="shared" si="2176"/>
        <v>112.45000000000044</v>
      </c>
      <c r="AS229" s="23">
        <f t="shared" si="2176"/>
        <v>-142.02009048863891</v>
      </c>
      <c r="AT229" s="23">
        <f t="shared" si="2176"/>
        <v>623.02000000000066</v>
      </c>
      <c r="AU229" s="23">
        <f t="shared" si="2176"/>
        <v>1010.4020507650216</v>
      </c>
      <c r="AV229" s="23">
        <f t="shared" si="2176"/>
        <v>58.029999999999745</v>
      </c>
      <c r="AW229" s="23">
        <f t="shared" si="2176"/>
        <v>794.61149556897499</v>
      </c>
      <c r="AX229" s="23">
        <f t="shared" si="2176"/>
        <v>335.68000000000222</v>
      </c>
      <c r="AY229" s="23">
        <f t="shared" si="2176"/>
        <v>1558.5376735078135</v>
      </c>
      <c r="AZ229" s="23">
        <f t="shared" si="2176"/>
        <v>26.030000000000143</v>
      </c>
      <c r="BA229" s="23">
        <f t="shared" si="2176"/>
        <v>192.91420065200387</v>
      </c>
      <c r="BB229" s="23">
        <f t="shared" si="2176"/>
        <v>134.20999999999802</v>
      </c>
      <c r="BC229" s="23">
        <f t="shared" si="2176"/>
        <v>890.15996044397514</v>
      </c>
      <c r="BD229" s="23">
        <f t="shared" si="2176"/>
        <v>72.300000000002228</v>
      </c>
      <c r="BE229" s="23">
        <f t="shared" si="2176"/>
        <v>-1569.8199193908529</v>
      </c>
      <c r="BF229" s="23">
        <f t="shared" si="2176"/>
        <v>145.02999999999861</v>
      </c>
      <c r="BG229" s="23">
        <f t="shared" si="2176"/>
        <v>-235.97835383945446</v>
      </c>
      <c r="BH229" s="23">
        <f t="shared" si="2176"/>
        <v>72.0300000000002</v>
      </c>
      <c r="BI229" s="23">
        <f t="shared" si="2176"/>
        <v>212.78725619231531</v>
      </c>
      <c r="BJ229" s="23">
        <f t="shared" si="2176"/>
        <v>233.29000000000019</v>
      </c>
      <c r="BK229" s="23">
        <f t="shared" si="2176"/>
        <v>763.38151362295503</v>
      </c>
      <c r="BL229" s="23">
        <f t="shared" si="2176"/>
        <v>209.50000000000023</v>
      </c>
      <c r="BM229" s="23">
        <f t="shared" si="2176"/>
        <v>-113.34117437788663</v>
      </c>
      <c r="BN229" s="23">
        <f t="shared" si="2176"/>
        <v>344.90999999999917</v>
      </c>
      <c r="BO229" s="23">
        <f t="shared" si="2176"/>
        <v>1703.9275871245286</v>
      </c>
      <c r="BP229" s="23">
        <f t="shared" si="2176"/>
        <v>355.90999999999735</v>
      </c>
      <c r="BQ229" s="23">
        <f t="shared" si="2176"/>
        <v>-263.32090013140538</v>
      </c>
      <c r="BR229" s="23">
        <f t="shared" si="2176"/>
        <v>788.81000000000347</v>
      </c>
      <c r="BS229" s="23">
        <f t="shared" si="2176"/>
        <v>1679.3223815690371</v>
      </c>
      <c r="BT229" s="23">
        <f t="shared" si="2176"/>
        <v>569.79999999999836</v>
      </c>
      <c r="BU229" s="23">
        <f t="shared" si="2176"/>
        <v>13.148996259518071</v>
      </c>
      <c r="BV229" s="23">
        <f t="shared" si="2176"/>
        <v>682.87999999999965</v>
      </c>
      <c r="BW229" s="23">
        <f t="shared" si="2176"/>
        <v>1185.6978780825712</v>
      </c>
      <c r="BX229" s="23">
        <f t="shared" si="2176"/>
        <v>406.21999999999832</v>
      </c>
      <c r="BY229" s="23">
        <f t="shared" si="2176"/>
        <v>-671.25953189531799</v>
      </c>
      <c r="BZ229" s="23">
        <f t="shared" si="2176"/>
        <v>218.15000000000055</v>
      </c>
      <c r="CA229" s="23">
        <f t="shared" si="2176"/>
        <v>1181.9782274594315</v>
      </c>
      <c r="CB229" s="23">
        <f t="shared" si="2176"/>
        <v>279.300000000002</v>
      </c>
      <c r="CC229" s="23">
        <f t="shared" si="2176"/>
        <v>629.49637228285883</v>
      </c>
      <c r="CD229" s="23">
        <f t="shared" si="2176"/>
        <v>898.35000000000105</v>
      </c>
      <c r="CE229" s="23">
        <f t="shared" ref="CE229:CF229" si="2177">CE228+CE224+CE220+CE218</f>
        <v>1824.2804356737843</v>
      </c>
      <c r="CF229" s="23">
        <f t="shared" si="2177"/>
        <v>727.13999999999612</v>
      </c>
      <c r="CG229" s="23">
        <f t="shared" ref="CG229:CH229" si="2178">CG228+CG224+CG220+CG218</f>
        <v>1567.2616234260363</v>
      </c>
      <c r="CH229" s="23">
        <f t="shared" si="2178"/>
        <v>772.08480000000191</v>
      </c>
      <c r="CI229" s="23">
        <f t="shared" ref="CI229:CJ229" si="2179">CI228+CI224+CI220+CI218</f>
        <v>2392.3695040052808</v>
      </c>
      <c r="CJ229" s="23">
        <f t="shared" si="2179"/>
        <v>210.13999999999896</v>
      </c>
      <c r="CK229" s="23">
        <f t="shared" ref="CK229:DB229" si="2180">CK228+CK224+CK220+CK218</f>
        <v>-583.33185681216719</v>
      </c>
      <c r="CL229" s="23">
        <f t="shared" si="2180"/>
        <v>555.32000000000244</v>
      </c>
      <c r="CM229" s="24">
        <f t="shared" si="2180"/>
        <v>1754.9762063672047</v>
      </c>
      <c r="CN229" s="24">
        <f t="shared" si="2180"/>
        <v>2128.2788902287512</v>
      </c>
      <c r="CO229" s="24">
        <f t="shared" si="2180"/>
        <v>1192.944874441203</v>
      </c>
      <c r="CP229" s="24">
        <f t="shared" si="2180"/>
        <v>943.24281377775833</v>
      </c>
      <c r="CQ229" s="24">
        <f t="shared" si="2180"/>
        <v>1567.6359858898961</v>
      </c>
      <c r="CR229" s="24">
        <f t="shared" si="2180"/>
        <v>2124.7259625942638</v>
      </c>
      <c r="CS229" s="24">
        <f t="shared" si="2180"/>
        <v>1141.2818574142898</v>
      </c>
      <c r="CT229" s="24">
        <f t="shared" si="2180"/>
        <v>912.87048579861846</v>
      </c>
      <c r="CU229" s="24">
        <f t="shared" si="2180"/>
        <v>1646.8251268784293</v>
      </c>
      <c r="CV229" s="24">
        <f t="shared" si="2180"/>
        <v>2307.6317739547467</v>
      </c>
      <c r="CW229" s="24">
        <f t="shared" si="2180"/>
        <v>1274.7613228611067</v>
      </c>
      <c r="CX229" s="24">
        <f t="shared" si="2180"/>
        <v>1073.3627646822404</v>
      </c>
      <c r="CY229" s="24">
        <f t="shared" si="2180"/>
        <v>1931.5288405878734</v>
      </c>
      <c r="CZ229" s="24">
        <f t="shared" si="2180"/>
        <v>2710.2209347033086</v>
      </c>
      <c r="DA229" s="24">
        <f t="shared" si="2180"/>
        <v>1626.8844990881421</v>
      </c>
      <c r="DB229" s="24">
        <f t="shared" si="2180"/>
        <v>1459.211583963724</v>
      </c>
      <c r="DE229" s="123"/>
      <c r="DF229" s="23">
        <v>555.32449999999903</v>
      </c>
    </row>
    <row r="230" spans="1:110" s="28" customFormat="1" x14ac:dyDescent="0.2">
      <c r="A230" s="28" t="s">
        <v>444</v>
      </c>
      <c r="C230" s="28">
        <f t="shared" ref="C230:W230" si="2181">C229-C180</f>
        <v>0</v>
      </c>
      <c r="D230" s="28">
        <f t="shared" si="2181"/>
        <v>0</v>
      </c>
      <c r="E230" s="28">
        <f t="shared" si="2181"/>
        <v>0</v>
      </c>
      <c r="F230" s="28">
        <f t="shared" si="2181"/>
        <v>0</v>
      </c>
      <c r="G230" s="28">
        <f t="shared" si="2181"/>
        <v>0</v>
      </c>
      <c r="H230" s="28">
        <f t="shared" si="2181"/>
        <v>0</v>
      </c>
      <c r="I230" s="28">
        <f t="shared" si="2181"/>
        <v>0</v>
      </c>
      <c r="J230" s="28">
        <f>J229-J180</f>
        <v>0</v>
      </c>
      <c r="K230" s="28">
        <f t="shared" si="2181"/>
        <v>0</v>
      </c>
      <c r="L230" s="28">
        <f t="shared" si="2181"/>
        <v>4.5474735088646412E-13</v>
      </c>
      <c r="M230" s="28">
        <f t="shared" si="2181"/>
        <v>7.9580786405131221E-13</v>
      </c>
      <c r="N230" s="28">
        <f t="shared" si="2181"/>
        <v>0</v>
      </c>
      <c r="O230" s="28">
        <f t="shared" si="2181"/>
        <v>-1.3926637620897964E-12</v>
      </c>
      <c r="P230" s="28">
        <f t="shared" si="2181"/>
        <v>-1.1368683772161603E-12</v>
      </c>
      <c r="Q230" s="28">
        <f t="shared" si="2181"/>
        <v>-6.8212102632969618E-13</v>
      </c>
      <c r="R230" s="28">
        <f t="shared" si="2181"/>
        <v>2.8421709430404007E-13</v>
      </c>
      <c r="S230" s="28">
        <f t="shared" si="2181"/>
        <v>0</v>
      </c>
      <c r="T230" s="28">
        <f t="shared" si="2181"/>
        <v>2.8421709430404007E-13</v>
      </c>
      <c r="U230" s="28">
        <f t="shared" si="2181"/>
        <v>4.5474735088646412E-13</v>
      </c>
      <c r="V230" s="28">
        <f t="shared" si="2181"/>
        <v>-1.1368683772161603E-12</v>
      </c>
      <c r="W230" s="28">
        <f t="shared" si="2181"/>
        <v>0</v>
      </c>
      <c r="X230" s="28">
        <f t="shared" ref="X230:Y230" si="2182">X229-X180</f>
        <v>2.7853275241795927E-12</v>
      </c>
      <c r="Y230" s="28">
        <f t="shared" si="2182"/>
        <v>0</v>
      </c>
      <c r="Z230" s="28">
        <f t="shared" ref="Z230:AA230" si="2183">Z229-Z180</f>
        <v>0</v>
      </c>
      <c r="AA230" s="28">
        <f t="shared" si="2183"/>
        <v>-1.0231815394945443E-12</v>
      </c>
      <c r="AB230" s="30">
        <f t="shared" ref="AB230:AD230" si="2184">AB229-AB180</f>
        <v>4.6611603465862572E-12</v>
      </c>
      <c r="AC230" s="30">
        <f t="shared" si="2184"/>
        <v>-2.1600499167107046E-12</v>
      </c>
      <c r="AD230" s="30">
        <f t="shared" si="2184"/>
        <v>-2.0463630789890885E-12</v>
      </c>
      <c r="AE230" s="30">
        <f t="shared" ref="AE230" si="2185">AE229-AE180</f>
        <v>4.7748471843078732E-12</v>
      </c>
      <c r="AI230" s="28">
        <f t="shared" ref="AI230" si="2186">AI229-AI180</f>
        <v>0</v>
      </c>
      <c r="AJ230" s="28">
        <f t="shared" ref="AJ230:AL230" si="2187">AJ229-AJ180</f>
        <v>6.5369931689929217E-13</v>
      </c>
      <c r="AK230" s="28">
        <f t="shared" si="2187"/>
        <v>0</v>
      </c>
      <c r="AL230" s="28">
        <f t="shared" si="2187"/>
        <v>-1.0800249583553523E-12</v>
      </c>
      <c r="AM230" s="28">
        <f t="shared" ref="AM230" si="2188">AM229-AM180</f>
        <v>0</v>
      </c>
      <c r="AN230" s="28">
        <f t="shared" ref="AN230:CD230" si="2189">AN229-AN180</f>
        <v>1.3500311979441904E-13</v>
      </c>
      <c r="AO230" s="28">
        <f t="shared" si="2189"/>
        <v>0</v>
      </c>
      <c r="AP230" s="28">
        <f t="shared" si="2189"/>
        <v>-3.4106051316484809E-13</v>
      </c>
      <c r="AQ230" s="28">
        <f t="shared" si="2189"/>
        <v>0</v>
      </c>
      <c r="AR230" s="28">
        <f t="shared" si="2189"/>
        <v>4.4053649617126212E-13</v>
      </c>
      <c r="AS230" s="28">
        <f t="shared" si="2189"/>
        <v>0</v>
      </c>
      <c r="AT230" s="28">
        <f t="shared" si="2189"/>
        <v>0</v>
      </c>
      <c r="AU230" s="28">
        <f t="shared" si="2189"/>
        <v>0</v>
      </c>
      <c r="AV230" s="28">
        <f t="shared" si="2189"/>
        <v>-2.5579538487363607E-13</v>
      </c>
      <c r="AW230" s="28">
        <f t="shared" si="2189"/>
        <v>0</v>
      </c>
      <c r="AX230" s="28">
        <f t="shared" si="2189"/>
        <v>2.2168933355715126E-12</v>
      </c>
      <c r="AY230" s="28">
        <f t="shared" si="2189"/>
        <v>0</v>
      </c>
      <c r="AZ230" s="28">
        <f t="shared" si="2189"/>
        <v>1.4210854715202004E-13</v>
      </c>
      <c r="BA230" s="28">
        <f t="shared" si="2189"/>
        <v>0</v>
      </c>
      <c r="BB230" s="28">
        <f t="shared" si="2189"/>
        <v>-1.9895196601282805E-12</v>
      </c>
      <c r="BC230" s="28">
        <f t="shared" si="2189"/>
        <v>0</v>
      </c>
      <c r="BD230" s="28">
        <f t="shared" si="2189"/>
        <v>2.2311041902867146E-12</v>
      </c>
      <c r="BE230" s="28">
        <f t="shared" si="2189"/>
        <v>0</v>
      </c>
      <c r="BF230" s="28">
        <f t="shared" si="2189"/>
        <v>-1.3926637620897964E-12</v>
      </c>
      <c r="BG230" s="28">
        <f t="shared" si="2189"/>
        <v>0</v>
      </c>
      <c r="BH230" s="28">
        <f t="shared" si="2189"/>
        <v>1.9895196601282805E-13</v>
      </c>
      <c r="BI230" s="28">
        <f t="shared" si="2189"/>
        <v>0</v>
      </c>
      <c r="BJ230" s="28">
        <f t="shared" si="2189"/>
        <v>0</v>
      </c>
      <c r="BK230" s="28">
        <f t="shared" si="2189"/>
        <v>0</v>
      </c>
      <c r="BL230" s="28">
        <f t="shared" si="2189"/>
        <v>-9.9999999997919531E-3</v>
      </c>
      <c r="BM230" s="28">
        <f t="shared" si="2189"/>
        <v>0</v>
      </c>
      <c r="BN230" s="28">
        <f t="shared" si="2189"/>
        <v>9.9999999991382538E-3</v>
      </c>
      <c r="BO230" s="28">
        <f t="shared" si="2189"/>
        <v>0</v>
      </c>
      <c r="BP230" s="28">
        <f t="shared" si="2189"/>
        <v>-2.6147972675971687E-12</v>
      </c>
      <c r="BQ230" s="28">
        <f t="shared" si="2189"/>
        <v>0</v>
      </c>
      <c r="BR230" s="28">
        <f t="shared" si="2189"/>
        <v>3.4106051316484809E-12</v>
      </c>
      <c r="BS230" s="28">
        <f t="shared" si="2189"/>
        <v>0</v>
      </c>
      <c r="BT230" s="28">
        <f t="shared" si="2189"/>
        <v>-1.5916157281026244E-12</v>
      </c>
      <c r="BU230" s="28">
        <f t="shared" si="2189"/>
        <v>0</v>
      </c>
      <c r="BV230" s="28">
        <f t="shared" si="2189"/>
        <v>0</v>
      </c>
      <c r="BW230" s="28">
        <f t="shared" si="2189"/>
        <v>0</v>
      </c>
      <c r="BX230" s="28">
        <f t="shared" si="2189"/>
        <v>-1.7053025658242404E-12</v>
      </c>
      <c r="BY230" s="28">
        <f t="shared" si="2189"/>
        <v>0</v>
      </c>
      <c r="BZ230" s="28">
        <f t="shared" si="2189"/>
        <v>5.4001247917767614E-13</v>
      </c>
      <c r="CA230" s="28">
        <f t="shared" si="2189"/>
        <v>0</v>
      </c>
      <c r="CB230" s="28">
        <f t="shared" si="2189"/>
        <v>1.9895196601282805E-12</v>
      </c>
      <c r="CC230" s="28">
        <f t="shared" si="2189"/>
        <v>0</v>
      </c>
      <c r="CD230" s="28">
        <f t="shared" si="2189"/>
        <v>1.0231815394945443E-12</v>
      </c>
      <c r="CE230" s="28">
        <f t="shared" ref="CE230:CF230" si="2190">CE229-CE180</f>
        <v>0</v>
      </c>
      <c r="CF230" s="28">
        <f t="shared" si="2190"/>
        <v>-3.865352482534945E-12</v>
      </c>
      <c r="CG230" s="28">
        <f t="shared" ref="CG230:CH230" si="2191">CG229-CG180</f>
        <v>0</v>
      </c>
      <c r="CH230" s="28">
        <f t="shared" si="2191"/>
        <v>1.9326762412674725E-12</v>
      </c>
      <c r="CI230" s="28">
        <f t="shared" ref="CI230:CJ230" si="2192">CI229-CI180</f>
        <v>0</v>
      </c>
      <c r="CJ230" s="28">
        <f t="shared" si="2192"/>
        <v>-1.0231815394945443E-12</v>
      </c>
      <c r="CK230" s="28">
        <f t="shared" ref="CK230:DB230" si="2193">CK229-CK180</f>
        <v>0</v>
      </c>
      <c r="CL230" s="28">
        <f t="shared" si="2193"/>
        <v>2.5011104298755527E-12</v>
      </c>
      <c r="CM230" s="30">
        <f t="shared" si="2193"/>
        <v>0</v>
      </c>
      <c r="CN230" s="30">
        <f t="shared" si="2193"/>
        <v>0</v>
      </c>
      <c r="CO230" s="30">
        <f t="shared" si="2193"/>
        <v>0</v>
      </c>
      <c r="CP230" s="30">
        <f t="shared" si="2193"/>
        <v>0</v>
      </c>
      <c r="CQ230" s="30">
        <f t="shared" si="2193"/>
        <v>0</v>
      </c>
      <c r="CR230" s="30">
        <f t="shared" si="2193"/>
        <v>0</v>
      </c>
      <c r="CS230" s="30">
        <f t="shared" si="2193"/>
        <v>0</v>
      </c>
      <c r="CT230" s="30">
        <f t="shared" si="2193"/>
        <v>0</v>
      </c>
      <c r="CU230" s="30">
        <f t="shared" si="2193"/>
        <v>0</v>
      </c>
      <c r="CV230" s="30">
        <f t="shared" si="2193"/>
        <v>0</v>
      </c>
      <c r="CW230" s="30">
        <f t="shared" si="2193"/>
        <v>0</v>
      </c>
      <c r="CX230" s="30">
        <f t="shared" si="2193"/>
        <v>0</v>
      </c>
      <c r="CY230" s="30">
        <f t="shared" si="2193"/>
        <v>0</v>
      </c>
      <c r="CZ230" s="30">
        <f t="shared" si="2193"/>
        <v>0</v>
      </c>
      <c r="DA230" s="30">
        <f t="shared" si="2193"/>
        <v>0</v>
      </c>
      <c r="DB230" s="30">
        <f t="shared" si="2193"/>
        <v>0</v>
      </c>
      <c r="DE230" s="139"/>
      <c r="DF230" s="28">
        <v>-1.0231815394945443E-12</v>
      </c>
    </row>
    <row r="231" spans="1:110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2" customFormat="1" x14ac:dyDescent="0.2">
      <c r="A232" s="22" t="s">
        <v>96</v>
      </c>
      <c r="C232" s="22">
        <f t="shared" ref="C232:W232" si="2194">C218+C220</f>
        <v>0</v>
      </c>
      <c r="D232" s="22">
        <f t="shared" si="2194"/>
        <v>0</v>
      </c>
      <c r="E232" s="22">
        <f t="shared" si="2194"/>
        <v>0</v>
      </c>
      <c r="F232" s="22">
        <f t="shared" si="2194"/>
        <v>0</v>
      </c>
      <c r="G232" s="22">
        <f t="shared" si="2194"/>
        <v>0</v>
      </c>
      <c r="H232" s="22">
        <f t="shared" si="2194"/>
        <v>0</v>
      </c>
      <c r="I232" s="22">
        <f t="shared" si="2194"/>
        <v>0</v>
      </c>
      <c r="J232" s="22">
        <f>J218+J220</f>
        <v>0</v>
      </c>
      <c r="K232" s="22">
        <f t="shared" si="2194"/>
        <v>-3495.5034999999998</v>
      </c>
      <c r="L232" s="22">
        <f t="shared" si="2194"/>
        <v>-1357.6727999999989</v>
      </c>
      <c r="M232" s="22">
        <f t="shared" si="2194"/>
        <v>-845.99589999999876</v>
      </c>
      <c r="N232" s="22">
        <f t="shared" si="2194"/>
        <v>-1598.0927000000001</v>
      </c>
      <c r="O232" s="22">
        <f t="shared" si="2194"/>
        <v>-1002.5775000000007</v>
      </c>
      <c r="P232" s="22">
        <f t="shared" si="2194"/>
        <v>-3419.7671999999993</v>
      </c>
      <c r="Q232" s="22">
        <f t="shared" si="2194"/>
        <v>546.22650000000203</v>
      </c>
      <c r="R232" s="22">
        <f t="shared" si="2194"/>
        <v>1094.4353000000006</v>
      </c>
      <c r="S232" s="22">
        <f t="shared" si="2194"/>
        <v>123.20080000000047</v>
      </c>
      <c r="T232" s="22">
        <f t="shared" si="2194"/>
        <v>870.59159999999861</v>
      </c>
      <c r="U232" s="22">
        <f t="shared" si="2194"/>
        <v>598.48440000000085</v>
      </c>
      <c r="V232" s="22">
        <f t="shared" si="2194"/>
        <v>823.15669999999807</v>
      </c>
      <c r="W232" s="22">
        <f t="shared" si="2194"/>
        <v>-707.74719999999979</v>
      </c>
      <c r="X232" s="22">
        <f t="shared" ref="X232:Y232" si="2195">X218+X220</f>
        <v>754.45600000000024</v>
      </c>
      <c r="Y232" s="22">
        <f t="shared" si="2195"/>
        <v>-535.34799999999859</v>
      </c>
      <c r="Z232" s="22">
        <f t="shared" ref="Z232:AA232" si="2196">Z218+Z220</f>
        <v>965.94669999999837</v>
      </c>
      <c r="AA232" s="22">
        <f t="shared" si="2196"/>
        <v>33.669199999997545</v>
      </c>
      <c r="AB232" s="21">
        <f t="shared" ref="AB232:AD232" si="2197">AB218+AB220</f>
        <v>787.9253137777614</v>
      </c>
      <c r="AC232" s="21">
        <f t="shared" si="2197"/>
        <v>369.62767202085979</v>
      </c>
      <c r="AD232" s="21">
        <f t="shared" si="2197"/>
        <v>560.49227888361975</v>
      </c>
      <c r="AE232" s="21">
        <f t="shared" ref="AE232" si="2198">AE218+AE220</f>
        <v>785.84881928148479</v>
      </c>
      <c r="AI232" s="22">
        <f t="shared" ref="AI232" si="2199">AI218+AI220</f>
        <v>35.189999999999777</v>
      </c>
      <c r="AJ232" s="22">
        <f t="shared" ref="AJ232:AL232" si="2200">AJ218+AJ220</f>
        <v>-6593.8899999999994</v>
      </c>
      <c r="AK232" s="22">
        <f t="shared" si="2200"/>
        <v>-112.56588864520724</v>
      </c>
      <c r="AL232" s="22">
        <f t="shared" si="2200"/>
        <v>-1514.0941113547933</v>
      </c>
      <c r="AM232" s="22">
        <f t="shared" ref="AM232" si="2201">AM218+AM220</f>
        <v>-603.38425469609376</v>
      </c>
      <c r="AN232" s="22">
        <f t="shared" ref="AN232:CD232" si="2202">AN218+AN220</f>
        <v>1652.5142546960938</v>
      </c>
      <c r="AO232" s="22">
        <f t="shared" si="2202"/>
        <v>-983.6288723675973</v>
      </c>
      <c r="AP232" s="22">
        <f t="shared" si="2202"/>
        <v>-837.32112763240241</v>
      </c>
      <c r="AQ232" s="22">
        <f t="shared" si="2202"/>
        <v>524.32920496047268</v>
      </c>
      <c r="AR232" s="22">
        <f t="shared" si="2202"/>
        <v>1461.4707950395273</v>
      </c>
      <c r="AS232" s="22">
        <f t="shared" si="2202"/>
        <v>-254.47009048863893</v>
      </c>
      <c r="AT232" s="22">
        <f t="shared" si="2202"/>
        <v>-4607.3999095113595</v>
      </c>
      <c r="AU232" s="22">
        <f t="shared" si="2202"/>
        <v>387.38205076502169</v>
      </c>
      <c r="AV232" s="22">
        <f t="shared" si="2202"/>
        <v>3192.7379492349769</v>
      </c>
      <c r="AW232" s="22">
        <f t="shared" si="2202"/>
        <v>736.58149556897501</v>
      </c>
      <c r="AX232" s="22">
        <f t="shared" si="2202"/>
        <v>-3396.8114955689734</v>
      </c>
      <c r="AY232" s="22">
        <f t="shared" si="2202"/>
        <v>1222.8576735078134</v>
      </c>
      <c r="AZ232" s="22">
        <f t="shared" si="2202"/>
        <v>1370.5923264921862</v>
      </c>
      <c r="BA232" s="22">
        <f t="shared" si="2202"/>
        <v>166.88420065200387</v>
      </c>
      <c r="BB232" s="22">
        <f t="shared" si="2202"/>
        <v>-1318.0042006520043</v>
      </c>
      <c r="BC232" s="22">
        <f t="shared" si="2202"/>
        <v>755.9499604439751</v>
      </c>
      <c r="BD232" s="22">
        <f t="shared" si="2202"/>
        <v>235.10003955602656</v>
      </c>
      <c r="BE232" s="22">
        <f t="shared" si="2202"/>
        <v>-1642.1199193908528</v>
      </c>
      <c r="BF232" s="22">
        <f t="shared" si="2202"/>
        <v>570.44991939085139</v>
      </c>
      <c r="BG232" s="22">
        <f t="shared" si="2202"/>
        <v>-381.00835383945446</v>
      </c>
      <c r="BH232" s="22">
        <f t="shared" si="2202"/>
        <v>2023.4383538394545</v>
      </c>
      <c r="BI232" s="22">
        <f t="shared" si="2202"/>
        <v>140.75725619231531</v>
      </c>
      <c r="BJ232" s="22">
        <f t="shared" si="2202"/>
        <v>-824.87725619231514</v>
      </c>
      <c r="BK232" s="22">
        <f t="shared" si="2202"/>
        <v>530.09151362295506</v>
      </c>
      <c r="BL232" s="22">
        <f t="shared" si="2202"/>
        <v>-375.93151362295612</v>
      </c>
      <c r="BM232" s="22">
        <f t="shared" si="2202"/>
        <v>-322.85117437788665</v>
      </c>
      <c r="BN232" s="22">
        <f t="shared" si="2202"/>
        <v>852.56117437788635</v>
      </c>
      <c r="BO232" s="22">
        <f t="shared" si="2202"/>
        <v>1359.0275871245285</v>
      </c>
      <c r="BP232" s="22">
        <f t="shared" si="2202"/>
        <v>-1309.267587124531</v>
      </c>
      <c r="BQ232" s="22">
        <f t="shared" si="2202"/>
        <v>-619.23090013140541</v>
      </c>
      <c r="BR232" s="22">
        <f t="shared" si="2202"/>
        <v>909.01090013140754</v>
      </c>
      <c r="BS232" s="22">
        <f t="shared" si="2202"/>
        <v>890.51238156903696</v>
      </c>
      <c r="BT232" s="22">
        <f t="shared" si="2202"/>
        <v>-1272.4423815690379</v>
      </c>
      <c r="BU232" s="22">
        <f t="shared" si="2202"/>
        <v>-556.65100374048188</v>
      </c>
      <c r="BV232" s="22">
        <f t="shared" si="2202"/>
        <v>230.83100374048149</v>
      </c>
      <c r="BW232" s="22">
        <f t="shared" si="2202"/>
        <v>502.81787808257127</v>
      </c>
      <c r="BX232" s="22">
        <f t="shared" si="2202"/>
        <v>-894.98787808257214</v>
      </c>
      <c r="BY232" s="22">
        <f t="shared" si="2202"/>
        <v>-1077.4795318953179</v>
      </c>
      <c r="BZ232" s="22">
        <f t="shared" si="2202"/>
        <v>2216.0295318953176</v>
      </c>
      <c r="CA232" s="22">
        <f t="shared" si="2202"/>
        <v>963.82822745943145</v>
      </c>
      <c r="CB232" s="22">
        <f t="shared" si="2202"/>
        <v>-2490.0882274594305</v>
      </c>
      <c r="CC232" s="22">
        <f t="shared" si="2202"/>
        <v>350.19637228285887</v>
      </c>
      <c r="CD232" s="22">
        <f t="shared" si="2202"/>
        <v>640.70362771714326</v>
      </c>
      <c r="CE232" s="22">
        <f t="shared" ref="CE232:CF232" si="2203">CE218+CE220</f>
        <v>925.93043567378436</v>
      </c>
      <c r="CF232" s="22">
        <f t="shared" si="2203"/>
        <v>-648.48043567378863</v>
      </c>
      <c r="CG232" s="22">
        <f t="shared" ref="CG232:CH232" si="2204">CG218+CG220</f>
        <v>840.12162342603642</v>
      </c>
      <c r="CH232" s="22">
        <f t="shared" si="2204"/>
        <v>-151.62602342603429</v>
      </c>
      <c r="CI232" s="22">
        <f t="shared" ref="CI232:CJ232" si="2205">CI218+CI220</f>
        <v>1620.2847040052807</v>
      </c>
      <c r="CJ232" s="22">
        <f t="shared" si="2205"/>
        <v>-2801.1228040052806</v>
      </c>
      <c r="CK232" s="22">
        <f t="shared" ref="CK232:DB232" si="2206">CK218+CK220</f>
        <v>-793.47185681216718</v>
      </c>
      <c r="CL232" s="22">
        <f t="shared" si="2206"/>
        <v>2007.9818568121677</v>
      </c>
      <c r="CM232" s="21">
        <f t="shared" si="2206"/>
        <v>1299.6562063672047</v>
      </c>
      <c r="CN232" s="21">
        <f t="shared" si="2206"/>
        <v>473.30268386154671</v>
      </c>
      <c r="CO232" s="21">
        <f t="shared" si="2206"/>
        <v>-835.33401578754808</v>
      </c>
      <c r="CP232" s="21">
        <f t="shared" si="2206"/>
        <v>-149.70206066344463</v>
      </c>
      <c r="CQ232" s="21">
        <f t="shared" si="2206"/>
        <v>724.39317211213779</v>
      </c>
      <c r="CR232" s="21">
        <f t="shared" si="2206"/>
        <v>657.08997670436781</v>
      </c>
      <c r="CS232" s="21">
        <f t="shared" si="2206"/>
        <v>-883.44410517997414</v>
      </c>
      <c r="CT232" s="21">
        <f t="shared" si="2206"/>
        <v>-128.41137161567133</v>
      </c>
      <c r="CU232" s="21">
        <f t="shared" si="2206"/>
        <v>833.95464107981093</v>
      </c>
      <c r="CV232" s="21">
        <f t="shared" si="2206"/>
        <v>760.80664707631763</v>
      </c>
      <c r="CW232" s="21">
        <f t="shared" si="2206"/>
        <v>-932.8704510936401</v>
      </c>
      <c r="CX232" s="21">
        <f t="shared" si="2206"/>
        <v>-101.39855817886632</v>
      </c>
      <c r="CY232" s="21">
        <f t="shared" si="2206"/>
        <v>958.16607590563308</v>
      </c>
      <c r="CZ232" s="21">
        <f t="shared" si="2206"/>
        <v>878.69209411543488</v>
      </c>
      <c r="DA232" s="21">
        <f t="shared" si="2206"/>
        <v>-983.33643561516658</v>
      </c>
      <c r="DB232" s="21">
        <f t="shared" si="2206"/>
        <v>-67.672915124418068</v>
      </c>
      <c r="DE232" s="126"/>
      <c r="DF232" s="22">
        <v>33.669199999997545</v>
      </c>
    </row>
    <row r="233" spans="1:110" x14ac:dyDescent="0.2">
      <c r="A233" s="152" t="s">
        <v>496</v>
      </c>
      <c r="AA233" s="2"/>
      <c r="CL233" s="2"/>
    </row>
    <row r="234" spans="1:110" x14ac:dyDescent="0.2">
      <c r="AA234" s="2"/>
      <c r="CL234" s="2"/>
    </row>
    <row r="235" spans="1:110" s="7" customFormat="1" hidden="1" outlineLevel="1" x14ac:dyDescent="0.2">
      <c r="A235" s="61" t="s">
        <v>97</v>
      </c>
      <c r="AB235" s="77"/>
      <c r="AC235" s="77"/>
      <c r="AD235" s="77"/>
      <c r="AE235" s="77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E235" s="138"/>
    </row>
    <row r="236" spans="1:110" s="62" customFormat="1" hidden="1" outlineLevel="1" x14ac:dyDescent="0.2">
      <c r="A236" s="62" t="s">
        <v>98</v>
      </c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237" s="62" t="s">
        <v>99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100</v>
      </c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83" customFormat="1" x14ac:dyDescent="0.2">
      <c r="A243" s="82" t="s">
        <v>101</v>
      </c>
      <c r="AB243" s="72"/>
      <c r="AC243" s="72"/>
      <c r="AD243" s="72"/>
      <c r="AE243" s="72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6" customFormat="1" x14ac:dyDescent="0.2">
      <c r="A244" s="66" t="s">
        <v>471</v>
      </c>
      <c r="AB244" s="50"/>
      <c r="AC244" s="50"/>
      <c r="AD244" s="50"/>
      <c r="AE244" s="50"/>
      <c r="AL244" s="66">
        <f t="shared" ref="AL244:BQ244" si="2207">SUM(AI29:AL29)</f>
        <v>5630.16</v>
      </c>
      <c r="AM244" s="66">
        <f t="shared" si="2207"/>
        <v>5546.74</v>
      </c>
      <c r="AN244" s="66">
        <f t="shared" si="2207"/>
        <v>5139.2000000000007</v>
      </c>
      <c r="AO244" s="66">
        <f t="shared" si="2207"/>
        <v>5126.08</v>
      </c>
      <c r="AP244" s="66">
        <f t="shared" si="2207"/>
        <v>5509.59</v>
      </c>
      <c r="AQ244" s="66">
        <f t="shared" si="2207"/>
        <v>5451.65</v>
      </c>
      <c r="AR244" s="66">
        <f t="shared" si="2207"/>
        <v>5813.62</v>
      </c>
      <c r="AS244" s="66">
        <f t="shared" si="2207"/>
        <v>5881.4400000000005</v>
      </c>
      <c r="AT244" s="66">
        <f t="shared" si="2207"/>
        <v>6601.8799999999992</v>
      </c>
      <c r="AU244" s="66">
        <f t="shared" si="2207"/>
        <v>7444.95</v>
      </c>
      <c r="AV244" s="66">
        <f t="shared" si="2207"/>
        <v>7199.62</v>
      </c>
      <c r="AW244" s="66">
        <f t="shared" si="2207"/>
        <v>6499.9699999999993</v>
      </c>
      <c r="AX244" s="66">
        <f t="shared" si="2207"/>
        <v>6245.26</v>
      </c>
      <c r="AY244" s="66">
        <f t="shared" si="2207"/>
        <v>5532.51</v>
      </c>
      <c r="AZ244" s="66">
        <f t="shared" si="2207"/>
        <v>5519.7300000000005</v>
      </c>
      <c r="BA244" s="66">
        <f t="shared" si="2207"/>
        <v>5801.45</v>
      </c>
      <c r="BB244" s="66">
        <f t="shared" si="2207"/>
        <v>5690.64</v>
      </c>
      <c r="BC244" s="66">
        <f t="shared" si="2207"/>
        <v>5808.31</v>
      </c>
      <c r="BD244" s="66">
        <f t="shared" si="2207"/>
        <v>5796.25</v>
      </c>
      <c r="BE244" s="66">
        <f t="shared" si="2207"/>
        <v>6551.4400000000005</v>
      </c>
      <c r="BF244" s="66">
        <f t="shared" si="2207"/>
        <v>7289.93</v>
      </c>
      <c r="BG244" s="66">
        <f t="shared" si="2207"/>
        <v>8654.0499999999993</v>
      </c>
      <c r="BH244" s="66">
        <f t="shared" si="2207"/>
        <v>10292.98</v>
      </c>
      <c r="BI244" s="66">
        <f t="shared" si="2207"/>
        <v>11136.41</v>
      </c>
      <c r="BJ244" s="66">
        <f t="shared" si="2207"/>
        <v>12116.999999999998</v>
      </c>
      <c r="BK244" s="66">
        <f t="shared" si="2207"/>
        <v>12412.279999999999</v>
      </c>
      <c r="BL244" s="66">
        <f t="shared" si="2207"/>
        <v>12133.75</v>
      </c>
      <c r="BM244" s="66">
        <f t="shared" si="2207"/>
        <v>12163.6</v>
      </c>
      <c r="BN244" s="66">
        <f t="shared" si="2207"/>
        <v>11627.04</v>
      </c>
      <c r="BO244" s="66">
        <f t="shared" si="2207"/>
        <v>10211.369999999999</v>
      </c>
      <c r="BP244" s="66">
        <f t="shared" si="2207"/>
        <v>9904.1</v>
      </c>
      <c r="BQ244" s="66">
        <f t="shared" si="2207"/>
        <v>9780.81</v>
      </c>
      <c r="BR244" s="66">
        <f t="shared" ref="BR244:CW244" si="2208">SUM(BO29:BR29)</f>
        <v>10663.64</v>
      </c>
      <c r="BS244" s="66">
        <f t="shared" si="2208"/>
        <v>11907.45</v>
      </c>
      <c r="BT244" s="66">
        <f t="shared" si="2208"/>
        <v>12506.009999999998</v>
      </c>
      <c r="BU244" s="66">
        <f t="shared" si="2208"/>
        <v>13112.369999999999</v>
      </c>
      <c r="BV244" s="66">
        <f t="shared" si="2208"/>
        <v>13298.42</v>
      </c>
      <c r="BW244" s="66">
        <f t="shared" si="2208"/>
        <v>13892.1</v>
      </c>
      <c r="BX244" s="66">
        <f t="shared" si="2208"/>
        <v>14962.760000000002</v>
      </c>
      <c r="BY244" s="66">
        <f t="shared" si="2208"/>
        <v>16649.66</v>
      </c>
      <c r="BZ244" s="66">
        <f t="shared" si="2208"/>
        <v>17867.849999999999</v>
      </c>
      <c r="CA244" s="66">
        <f t="shared" si="2208"/>
        <v>18799.79</v>
      </c>
      <c r="CB244" s="66">
        <f t="shared" si="2208"/>
        <v>20222.47</v>
      </c>
      <c r="CC244" s="66">
        <f t="shared" si="2208"/>
        <v>20720.620000000003</v>
      </c>
      <c r="CD244" s="66">
        <f t="shared" si="2208"/>
        <v>20957.690000000002</v>
      </c>
      <c r="CE244" s="66">
        <f t="shared" si="2208"/>
        <v>21486.550000000003</v>
      </c>
      <c r="CF244" s="66">
        <f t="shared" si="2208"/>
        <v>21592.25</v>
      </c>
      <c r="CG244" s="66">
        <f t="shared" si="2208"/>
        <v>21207.46</v>
      </c>
      <c r="CH244" s="66">
        <f t="shared" si="2208"/>
        <v>20828.89</v>
      </c>
      <c r="CI244" s="66">
        <f t="shared" si="2208"/>
        <v>19974.490000000002</v>
      </c>
      <c r="CJ244" s="66">
        <f t="shared" si="2208"/>
        <v>18636.169999999998</v>
      </c>
      <c r="CK244" s="66">
        <f t="shared" si="2208"/>
        <v>18308.28</v>
      </c>
      <c r="CL244" s="66">
        <f t="shared" si="2208"/>
        <v>17895.169999999998</v>
      </c>
      <c r="CM244" s="50">
        <f t="shared" si="2208"/>
        <v>18158.320511210761</v>
      </c>
      <c r="CN244" s="50">
        <f t="shared" si="2208"/>
        <v>17963.031461883409</v>
      </c>
      <c r="CO244" s="50">
        <f t="shared" si="2208"/>
        <v>17971.75805381166</v>
      </c>
      <c r="CP244" s="50">
        <f t="shared" si="2208"/>
        <v>18622.714878923765</v>
      </c>
      <c r="CQ244" s="50">
        <f t="shared" si="2208"/>
        <v>19091.72729327354</v>
      </c>
      <c r="CR244" s="50">
        <f t="shared" si="2208"/>
        <v>19439.455751569505</v>
      </c>
      <c r="CS244" s="50">
        <f t="shared" si="2208"/>
        <v>19878.566773991031</v>
      </c>
      <c r="CT244" s="50">
        <f t="shared" si="2208"/>
        <v>20350.907819730943</v>
      </c>
      <c r="CU244" s="50">
        <f t="shared" si="2208"/>
        <v>20776.489475515697</v>
      </c>
      <c r="CV244" s="50">
        <f t="shared" si="2208"/>
        <v>21158.990779641255</v>
      </c>
      <c r="CW244" s="50">
        <f t="shared" si="2208"/>
        <v>21642.012904304938</v>
      </c>
      <c r="CX244" s="50">
        <f t="shared" ref="CX244:DB244" si="2209">SUM(CU29:CX29)</f>
        <v>22161.588054618835</v>
      </c>
      <c r="CY244" s="50">
        <f t="shared" si="2209"/>
        <v>22629.727875982062</v>
      </c>
      <c r="CZ244" s="50">
        <f t="shared" si="2209"/>
        <v>23050.479310520182</v>
      </c>
      <c r="DA244" s="50">
        <f t="shared" si="2209"/>
        <v>23581.803647650224</v>
      </c>
      <c r="DB244" s="50">
        <f t="shared" si="2209"/>
        <v>24153.336312995518</v>
      </c>
      <c r="DE244" s="138"/>
    </row>
    <row r="245" spans="1:110" s="66" customFormat="1" x14ac:dyDescent="0.2">
      <c r="A245" s="66" t="s">
        <v>472</v>
      </c>
      <c r="AB245" s="50"/>
      <c r="AC245" s="50"/>
      <c r="AD245" s="50"/>
      <c r="AE245" s="50"/>
      <c r="AL245" s="66">
        <f t="shared" ref="AL245:BQ245" si="2210">SUM(AI47:AL47)</f>
        <v>619.6099999999999</v>
      </c>
      <c r="AM245" s="66">
        <f t="shared" si="2210"/>
        <v>601.73000000000013</v>
      </c>
      <c r="AN245" s="66">
        <f t="shared" si="2210"/>
        <v>552.07999999999993</v>
      </c>
      <c r="AO245" s="66">
        <f t="shared" si="2210"/>
        <v>559.25</v>
      </c>
      <c r="AP245" s="66">
        <f t="shared" si="2210"/>
        <v>619.00000000000023</v>
      </c>
      <c r="AQ245" s="66">
        <f t="shared" si="2210"/>
        <v>638.48000000000025</v>
      </c>
      <c r="AR245" s="66">
        <f t="shared" si="2210"/>
        <v>699.69000000000028</v>
      </c>
      <c r="AS245" s="66">
        <f t="shared" si="2210"/>
        <v>772.46000000000015</v>
      </c>
      <c r="AT245" s="66">
        <f t="shared" si="2210"/>
        <v>837.64999999999986</v>
      </c>
      <c r="AU245" s="66">
        <f t="shared" si="2210"/>
        <v>960.05999999999983</v>
      </c>
      <c r="AV245" s="66">
        <f t="shared" si="2210"/>
        <v>918.88999999999987</v>
      </c>
      <c r="AW245" s="66">
        <f t="shared" si="2210"/>
        <v>863.31</v>
      </c>
      <c r="AX245" s="66">
        <f t="shared" si="2210"/>
        <v>950.44999999999982</v>
      </c>
      <c r="AY245" s="66">
        <f t="shared" si="2210"/>
        <v>911.72</v>
      </c>
      <c r="AZ245" s="66">
        <f t="shared" si="2210"/>
        <v>950.05000000000007</v>
      </c>
      <c r="BA245" s="66">
        <f t="shared" si="2210"/>
        <v>1002.3000000000003</v>
      </c>
      <c r="BB245" s="66">
        <f t="shared" si="2210"/>
        <v>955.9100000000002</v>
      </c>
      <c r="BC245" s="66">
        <f t="shared" si="2210"/>
        <v>880.29000000000042</v>
      </c>
      <c r="BD245" s="66">
        <f t="shared" si="2210"/>
        <v>894.18000000000029</v>
      </c>
      <c r="BE245" s="66">
        <f t="shared" si="2210"/>
        <v>911.50000000000023</v>
      </c>
      <c r="BF245" s="66">
        <f t="shared" si="2210"/>
        <v>1047.1100000000001</v>
      </c>
      <c r="BG245" s="66">
        <f t="shared" si="2210"/>
        <v>1232.4299999999998</v>
      </c>
      <c r="BH245" s="66">
        <f t="shared" si="2210"/>
        <v>1357.1499999999996</v>
      </c>
      <c r="BI245" s="66">
        <f t="shared" si="2210"/>
        <v>1471.1599999999996</v>
      </c>
      <c r="BJ245" s="66">
        <f t="shared" si="2210"/>
        <v>1475.0499999999995</v>
      </c>
      <c r="BK245" s="66">
        <f t="shared" si="2210"/>
        <v>1516.2199999999993</v>
      </c>
      <c r="BL245" s="66">
        <f t="shared" si="2210"/>
        <v>1512.6899999999994</v>
      </c>
      <c r="BM245" s="66">
        <f t="shared" si="2210"/>
        <v>1525.8299999999997</v>
      </c>
      <c r="BN245" s="66">
        <f t="shared" si="2210"/>
        <v>1512.3799999999997</v>
      </c>
      <c r="BO245" s="66">
        <f t="shared" si="2210"/>
        <v>1299.4299999999998</v>
      </c>
      <c r="BP245" s="66">
        <f t="shared" si="2210"/>
        <v>1234.0999999999999</v>
      </c>
      <c r="BQ245" s="66">
        <f t="shared" si="2210"/>
        <v>1162.7899999999995</v>
      </c>
      <c r="BR245" s="66">
        <f t="shared" ref="BR245:CW245" si="2211">SUM(BO47:BR47)</f>
        <v>1243.0699999999993</v>
      </c>
      <c r="BS245" s="66">
        <f t="shared" si="2211"/>
        <v>1478.2999999999993</v>
      </c>
      <c r="BT245" s="66">
        <f t="shared" si="2211"/>
        <v>1580.119999999999</v>
      </c>
      <c r="BU245" s="66">
        <f t="shared" si="2211"/>
        <v>1476.3999999999996</v>
      </c>
      <c r="BV245" s="66">
        <f t="shared" si="2211"/>
        <v>1402.0299999999997</v>
      </c>
      <c r="BW245" s="66">
        <f t="shared" si="2211"/>
        <v>1221.8199999999997</v>
      </c>
      <c r="BX245" s="66">
        <f t="shared" si="2211"/>
        <v>1175.03</v>
      </c>
      <c r="BY245" s="66">
        <f t="shared" si="2211"/>
        <v>1465.5999999999992</v>
      </c>
      <c r="BZ245" s="66">
        <f t="shared" si="2211"/>
        <v>1664.9099999999996</v>
      </c>
      <c r="CA245" s="66">
        <f t="shared" si="2211"/>
        <v>2034.11</v>
      </c>
      <c r="CB245" s="66">
        <f t="shared" si="2211"/>
        <v>2506.7899999999995</v>
      </c>
      <c r="CC245" s="66">
        <f t="shared" si="2211"/>
        <v>3000.5600000000004</v>
      </c>
      <c r="CD245" s="66">
        <f t="shared" si="2211"/>
        <v>3320.9500000000007</v>
      </c>
      <c r="CE245" s="66">
        <f t="shared" si="2211"/>
        <v>3552.85</v>
      </c>
      <c r="CF245" s="66">
        <f t="shared" si="2211"/>
        <v>3662.9300000000003</v>
      </c>
      <c r="CG245" s="66">
        <f t="shared" si="2211"/>
        <v>3613.4000000000005</v>
      </c>
      <c r="CH245" s="66">
        <f t="shared" si="2211"/>
        <v>3429.25</v>
      </c>
      <c r="CI245" s="66">
        <f t="shared" si="2211"/>
        <v>3259.8000000000011</v>
      </c>
      <c r="CJ245" s="66">
        <f t="shared" si="2211"/>
        <v>2796.8100000000009</v>
      </c>
      <c r="CK245" s="66">
        <f t="shared" si="2211"/>
        <v>2470.0200000000013</v>
      </c>
      <c r="CL245" s="66">
        <f t="shared" si="2211"/>
        <v>2214.7400000000007</v>
      </c>
      <c r="CM245" s="50">
        <f t="shared" si="2211"/>
        <v>2069.4614977578476</v>
      </c>
      <c r="CN245" s="50">
        <f t="shared" si="2211"/>
        <v>2171.634107623318</v>
      </c>
      <c r="CO245" s="50">
        <f t="shared" si="2211"/>
        <v>2237.500789237667</v>
      </c>
      <c r="CP245" s="50">
        <f t="shared" si="2211"/>
        <v>2480.6462242152456</v>
      </c>
      <c r="CQ245" s="50">
        <f t="shared" si="2211"/>
        <v>2615.7747013452904</v>
      </c>
      <c r="CR245" s="50">
        <f t="shared" si="2211"/>
        <v>2663.4172896860973</v>
      </c>
      <c r="CS245" s="50">
        <f t="shared" si="2211"/>
        <v>2723.5802852017928</v>
      </c>
      <c r="CT245" s="50">
        <f t="shared" si="2211"/>
        <v>2788.2961560538106</v>
      </c>
      <c r="CU245" s="50">
        <f t="shared" si="2211"/>
        <v>2846.6054808968602</v>
      </c>
      <c r="CV245" s="50">
        <f t="shared" si="2211"/>
        <v>2899.012328071748</v>
      </c>
      <c r="CW245" s="50">
        <f t="shared" si="2211"/>
        <v>2965.1916231390128</v>
      </c>
      <c r="CX245" s="50">
        <f t="shared" ref="CX245:DB245" si="2212">SUM(CU47:CX47)</f>
        <v>3036.3790810762325</v>
      </c>
      <c r="CY245" s="50">
        <f t="shared" si="2212"/>
        <v>3100.5193384035865</v>
      </c>
      <c r="CZ245" s="50">
        <f t="shared" si="2212"/>
        <v>3158.1668702959632</v>
      </c>
      <c r="DA245" s="50">
        <f t="shared" si="2212"/>
        <v>3230.9640948699548</v>
      </c>
      <c r="DB245" s="50">
        <f t="shared" si="2212"/>
        <v>3309.2702986008962</v>
      </c>
      <c r="DE245" s="138"/>
    </row>
    <row r="246" spans="1:110" s="66" customFormat="1" x14ac:dyDescent="0.2">
      <c r="A246" s="66" t="s">
        <v>473</v>
      </c>
      <c r="AB246" s="50"/>
      <c r="AC246" s="50"/>
      <c r="AD246" s="50"/>
      <c r="AE246" s="50"/>
      <c r="AL246" s="66">
        <f t="shared" ref="AL246:BQ246" si="2213">SUM(AI60:AL60)</f>
        <v>324.4799999999999</v>
      </c>
      <c r="AM246" s="66">
        <f t="shared" si="2213"/>
        <v>299.96000000000015</v>
      </c>
      <c r="AN246" s="66">
        <f t="shared" si="2213"/>
        <v>236.14999999999995</v>
      </c>
      <c r="AO246" s="66">
        <f t="shared" si="2213"/>
        <v>207.47999999999996</v>
      </c>
      <c r="AP246" s="66">
        <f t="shared" si="2213"/>
        <v>218.19000000000028</v>
      </c>
      <c r="AQ246" s="66">
        <f t="shared" si="2213"/>
        <v>195.24000000000032</v>
      </c>
      <c r="AR246" s="66">
        <f t="shared" si="2213"/>
        <v>219.78000000000034</v>
      </c>
      <c r="AS246" s="66">
        <f t="shared" si="2213"/>
        <v>274.44000000000011</v>
      </c>
      <c r="AT246" s="66">
        <f t="shared" si="2213"/>
        <v>322.2199999999998</v>
      </c>
      <c r="AU246" s="66">
        <f t="shared" si="2213"/>
        <v>375.05999999999972</v>
      </c>
      <c r="AV246" s="66">
        <f t="shared" si="2213"/>
        <v>368.18999999999983</v>
      </c>
      <c r="AW246" s="66">
        <f t="shared" si="2213"/>
        <v>308.78999999999985</v>
      </c>
      <c r="AX246" s="66">
        <f t="shared" si="2213"/>
        <v>354.53999999999985</v>
      </c>
      <c r="AY246" s="66">
        <f t="shared" si="2213"/>
        <v>323.12</v>
      </c>
      <c r="AZ246" s="66">
        <f t="shared" si="2213"/>
        <v>332.38000000000011</v>
      </c>
      <c r="BA246" s="66">
        <f t="shared" si="2213"/>
        <v>370.5500000000003</v>
      </c>
      <c r="BB246" s="66">
        <f t="shared" si="2213"/>
        <v>385.45000000000016</v>
      </c>
      <c r="BC246" s="66">
        <f t="shared" si="2213"/>
        <v>383.26000000000033</v>
      </c>
      <c r="BD246" s="66">
        <f t="shared" si="2213"/>
        <v>363.59000000000032</v>
      </c>
      <c r="BE246" s="66">
        <f t="shared" si="2213"/>
        <v>392.97000000000014</v>
      </c>
      <c r="BF246" s="66">
        <f t="shared" si="2213"/>
        <v>394.29000000000013</v>
      </c>
      <c r="BG246" s="66">
        <f t="shared" si="2213"/>
        <v>408.95999999999975</v>
      </c>
      <c r="BH246" s="66">
        <f t="shared" si="2213"/>
        <v>420.35999999999967</v>
      </c>
      <c r="BI246" s="66">
        <f t="shared" si="2213"/>
        <v>432.05999999999949</v>
      </c>
      <c r="BJ246" s="66">
        <f t="shared" si="2213"/>
        <v>398.08999999999946</v>
      </c>
      <c r="BK246" s="66">
        <f t="shared" si="2213"/>
        <v>430.78999999999951</v>
      </c>
      <c r="BL246" s="66">
        <f t="shared" si="2213"/>
        <v>639.57999999999936</v>
      </c>
      <c r="BM246" s="66">
        <f t="shared" si="2213"/>
        <v>621.23999999999978</v>
      </c>
      <c r="BN246" s="66">
        <f t="shared" si="2213"/>
        <v>575.14999999999975</v>
      </c>
      <c r="BO246" s="66">
        <f t="shared" si="2213"/>
        <v>437.61999999999978</v>
      </c>
      <c r="BP246" s="66">
        <f t="shared" si="2213"/>
        <v>234.68000000000004</v>
      </c>
      <c r="BQ246" s="66">
        <f t="shared" si="2213"/>
        <v>219.35999999999967</v>
      </c>
      <c r="BR246" s="66">
        <f t="shared" ref="BR246:CW246" si="2214">SUM(BO60:BR60)</f>
        <v>327.72999999999945</v>
      </c>
      <c r="BS246" s="66">
        <f t="shared" si="2214"/>
        <v>500.0399999999994</v>
      </c>
      <c r="BT246" s="66">
        <f t="shared" si="2214"/>
        <v>528.1099999999991</v>
      </c>
      <c r="BU246" s="66">
        <f t="shared" si="2214"/>
        <v>440.69999999999953</v>
      </c>
      <c r="BV246" s="66">
        <f t="shared" si="2214"/>
        <v>375.8799999999996</v>
      </c>
      <c r="BW246" s="66">
        <f t="shared" si="2214"/>
        <v>214.65999999999977</v>
      </c>
      <c r="BX246" s="66">
        <f t="shared" si="2214"/>
        <v>153.11000000000004</v>
      </c>
      <c r="BY246" s="66">
        <f t="shared" si="2214"/>
        <v>295.72999999999922</v>
      </c>
      <c r="BZ246" s="66">
        <f t="shared" si="2214"/>
        <v>471.56999999999965</v>
      </c>
      <c r="CA246" s="66">
        <f t="shared" si="2214"/>
        <v>731.26</v>
      </c>
      <c r="CB246" s="66">
        <f t="shared" si="2214"/>
        <v>1041.4899999999996</v>
      </c>
      <c r="CC246" s="66">
        <f t="shared" si="2214"/>
        <v>1411.6900000000005</v>
      </c>
      <c r="CD246" s="66">
        <f t="shared" si="2214"/>
        <v>1593.670000000001</v>
      </c>
      <c r="CE246" s="66">
        <f t="shared" si="2214"/>
        <v>1760.66</v>
      </c>
      <c r="CF246" s="66">
        <f t="shared" si="2214"/>
        <v>1872.8800000000006</v>
      </c>
      <c r="CG246" s="66">
        <f t="shared" si="2214"/>
        <v>1831.3600000000006</v>
      </c>
      <c r="CH246" s="66">
        <f t="shared" si="2214"/>
        <v>1700.9450000000002</v>
      </c>
      <c r="CI246" s="66">
        <f t="shared" si="2214"/>
        <v>1562.6775000000011</v>
      </c>
      <c r="CJ246" s="66">
        <f t="shared" si="2214"/>
        <v>1223.287500000001</v>
      </c>
      <c r="CK246" s="66">
        <f t="shared" si="2214"/>
        <v>996.25750000000107</v>
      </c>
      <c r="CL246" s="66">
        <f t="shared" si="2214"/>
        <v>773.85250000000087</v>
      </c>
      <c r="CM246" s="50">
        <f t="shared" si="2214"/>
        <v>669.86391366334669</v>
      </c>
      <c r="CN246" s="50">
        <f t="shared" si="2214"/>
        <v>763.4613335411068</v>
      </c>
      <c r="CO246" s="50">
        <f t="shared" si="2214"/>
        <v>845.91838427998516</v>
      </c>
      <c r="CP246" s="50">
        <f t="shared" si="2214"/>
        <v>1057.0869875863459</v>
      </c>
      <c r="CQ246" s="50">
        <f t="shared" si="2214"/>
        <v>1172.5849816276909</v>
      </c>
      <c r="CR246" s="50">
        <f t="shared" si="2214"/>
        <v>1207.4873186747811</v>
      </c>
      <c r="CS246" s="50">
        <f t="shared" si="2214"/>
        <v>1256.7216085034397</v>
      </c>
      <c r="CT246" s="50">
        <f t="shared" si="2214"/>
        <v>1308.2227525850528</v>
      </c>
      <c r="CU246" s="50">
        <f t="shared" si="2214"/>
        <v>1355.5908511664434</v>
      </c>
      <c r="CV246" s="50">
        <f t="shared" si="2214"/>
        <v>1401.5189977691221</v>
      </c>
      <c r="CW246" s="50">
        <f t="shared" si="2214"/>
        <v>1460.607932661253</v>
      </c>
      <c r="CX246" s="50">
        <f t="shared" ref="CX246:DB246" si="2215">SUM(CU60:CX60)</f>
        <v>1522.2624470367905</v>
      </c>
      <c r="CY246" s="50">
        <f t="shared" si="2215"/>
        <v>1579.4455917565601</v>
      </c>
      <c r="CZ246" s="50">
        <f t="shared" si="2215"/>
        <v>1635.1227682849035</v>
      </c>
      <c r="DA246" s="50">
        <f t="shared" si="2215"/>
        <v>1705.3578493822158</v>
      </c>
      <c r="DB246" s="50">
        <f t="shared" si="2215"/>
        <v>1778.4992256181329</v>
      </c>
      <c r="DE246" s="138"/>
    </row>
    <row r="247" spans="1:110" s="93" customFormat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11" customFormat="1" x14ac:dyDescent="0.2"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249" s="61" t="s">
        <v>339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474</v>
      </c>
      <c r="B250" s="64">
        <f t="shared" ref="B250:Z250" si="2216">B27-B256</f>
        <v>0</v>
      </c>
      <c r="C250" s="64">
        <f t="shared" si="2216"/>
        <v>0</v>
      </c>
      <c r="D250" s="64">
        <f t="shared" si="2216"/>
        <v>0</v>
      </c>
      <c r="E250" s="64">
        <f t="shared" si="2216"/>
        <v>0</v>
      </c>
      <c r="F250" s="64">
        <f t="shared" si="2216"/>
        <v>0</v>
      </c>
      <c r="G250" s="64">
        <f t="shared" si="2216"/>
        <v>0</v>
      </c>
      <c r="H250" s="64">
        <f t="shared" si="2216"/>
        <v>0</v>
      </c>
      <c r="I250" s="64">
        <f t="shared" si="2216"/>
        <v>0</v>
      </c>
      <c r="J250" s="64">
        <f t="shared" si="2216"/>
        <v>0</v>
      </c>
      <c r="K250" s="64">
        <f t="shared" si="2216"/>
        <v>7314.5981000000002</v>
      </c>
      <c r="L250" s="64">
        <f t="shared" si="2216"/>
        <v>4754.7852000000003</v>
      </c>
      <c r="M250" s="64">
        <f t="shared" si="2216"/>
        <v>6230.0772999999999</v>
      </c>
      <c r="N250" s="64">
        <f t="shared" si="2216"/>
        <v>6924.1437999999998</v>
      </c>
      <c r="O250" s="64">
        <f t="shared" si="2216"/>
        <v>6948.0411000000004</v>
      </c>
      <c r="P250" s="64">
        <f t="shared" si="2216"/>
        <v>8519.5488000000005</v>
      </c>
      <c r="Q250" s="64">
        <f t="shared" si="2216"/>
        <v>7940.4062000000004</v>
      </c>
      <c r="R250" s="64">
        <f t="shared" si="2216"/>
        <v>7343.0641999999998</v>
      </c>
      <c r="S250" s="64">
        <f t="shared" si="2216"/>
        <v>8564.3294999999998</v>
      </c>
      <c r="T250" s="64">
        <f t="shared" si="2216"/>
        <v>12117.0016</v>
      </c>
      <c r="U250" s="64">
        <f t="shared" si="2216"/>
        <v>11627.0368</v>
      </c>
      <c r="V250" s="64">
        <f t="shared" si="2216"/>
        <v>10663.6358</v>
      </c>
      <c r="W250" s="64">
        <f t="shared" si="2216"/>
        <v>13298.4211</v>
      </c>
      <c r="X250" s="64">
        <f t="shared" si="2216"/>
        <v>17868.068899999998</v>
      </c>
      <c r="Y250" s="64">
        <f t="shared" si="2216"/>
        <v>20957.6901</v>
      </c>
      <c r="Z250" s="64">
        <f t="shared" si="2216"/>
        <v>20828.894799999998</v>
      </c>
      <c r="AA250" s="64">
        <f t="shared" ref="AA250" si="2217">AA27-AA256</f>
        <v>17895.165199999999</v>
      </c>
      <c r="AB250" s="30"/>
      <c r="AC250" s="30"/>
      <c r="AD250" s="30"/>
      <c r="AE250" s="30"/>
      <c r="AI250" s="64">
        <f t="shared" ref="AI250:BN250" si="2218">AI27-AI256</f>
        <v>1290.4299999999998</v>
      </c>
      <c r="AJ250" s="64">
        <f t="shared" si="2218"/>
        <v>1636.93</v>
      </c>
      <c r="AK250" s="64">
        <f t="shared" si="2218"/>
        <v>1722.73</v>
      </c>
      <c r="AL250" s="64">
        <f t="shared" si="2218"/>
        <v>980.06999999999994</v>
      </c>
      <c r="AM250" s="64">
        <f t="shared" si="2218"/>
        <v>1207.01</v>
      </c>
      <c r="AN250" s="64">
        <f t="shared" si="2218"/>
        <v>1229.3900000000001</v>
      </c>
      <c r="AO250" s="64">
        <f t="shared" si="2218"/>
        <v>1709.6100000000001</v>
      </c>
      <c r="AP250" s="64">
        <f t="shared" si="2218"/>
        <v>1363.5800000000002</v>
      </c>
      <c r="AQ250" s="64">
        <f t="shared" si="2218"/>
        <v>1149.07</v>
      </c>
      <c r="AR250" s="64">
        <f t="shared" si="2218"/>
        <v>1591.36</v>
      </c>
      <c r="AS250" s="64">
        <f t="shared" si="2218"/>
        <v>1777.4299999999998</v>
      </c>
      <c r="AT250" s="64">
        <f t="shared" si="2218"/>
        <v>2142.42</v>
      </c>
      <c r="AU250" s="64">
        <f t="shared" si="2218"/>
        <v>1992.14</v>
      </c>
      <c r="AV250" s="64">
        <f t="shared" si="2218"/>
        <v>1402.61</v>
      </c>
      <c r="AW250" s="64">
        <f t="shared" si="2218"/>
        <v>1128.6099999999999</v>
      </c>
      <c r="AX250" s="64">
        <f t="shared" si="2218"/>
        <v>1858.85</v>
      </c>
      <c r="AY250" s="64">
        <f t="shared" si="2218"/>
        <v>1327.13</v>
      </c>
      <c r="AZ250" s="64">
        <f t="shared" si="2218"/>
        <v>1401.83</v>
      </c>
      <c r="BA250" s="64">
        <f t="shared" si="2218"/>
        <v>1426.75</v>
      </c>
      <c r="BB250" s="64">
        <f t="shared" si="2218"/>
        <v>1772.17</v>
      </c>
      <c r="BC250" s="64">
        <f t="shared" si="2218"/>
        <v>1450.42</v>
      </c>
      <c r="BD250" s="64">
        <f t="shared" si="2218"/>
        <v>1321.19</v>
      </c>
      <c r="BE250" s="64">
        <f t="shared" si="2218"/>
        <v>2114.69</v>
      </c>
      <c r="BF250" s="64">
        <f t="shared" si="2218"/>
        <v>2456.9899999999998</v>
      </c>
      <c r="BG250" s="64">
        <f t="shared" si="2218"/>
        <v>2761.18</v>
      </c>
      <c r="BH250" s="64">
        <f t="shared" si="2218"/>
        <v>2960.12</v>
      </c>
      <c r="BI250" s="64">
        <f t="shared" si="2218"/>
        <v>2958.12</v>
      </c>
      <c r="BJ250" s="64">
        <f t="shared" si="2218"/>
        <v>3437.58</v>
      </c>
      <c r="BK250" s="64">
        <f t="shared" si="2218"/>
        <v>3056.46</v>
      </c>
      <c r="BL250" s="64">
        <f t="shared" si="2218"/>
        <v>2681.59</v>
      </c>
      <c r="BM250" s="64">
        <f t="shared" si="2218"/>
        <v>2987.97</v>
      </c>
      <c r="BN250" s="64">
        <f t="shared" si="2218"/>
        <v>2901.02</v>
      </c>
      <c r="BO250" s="64">
        <f t="shared" ref="BO250:CT250" si="2219">BO27-BO256</f>
        <v>1640.79</v>
      </c>
      <c r="BP250" s="64">
        <f t="shared" si="2219"/>
        <v>2374.3200000000002</v>
      </c>
      <c r="BQ250" s="64">
        <f t="shared" si="2219"/>
        <v>2864.68</v>
      </c>
      <c r="BR250" s="64">
        <f t="shared" si="2219"/>
        <v>3783.85</v>
      </c>
      <c r="BS250" s="64">
        <f t="shared" si="2219"/>
        <v>2884.6</v>
      </c>
      <c r="BT250" s="64">
        <f t="shared" si="2219"/>
        <v>2972.88</v>
      </c>
      <c r="BU250" s="64">
        <f t="shared" si="2219"/>
        <v>3471.04</v>
      </c>
      <c r="BV250" s="64">
        <f t="shared" si="2219"/>
        <v>3969.9</v>
      </c>
      <c r="BW250" s="64">
        <f t="shared" si="2219"/>
        <v>3478.28</v>
      </c>
      <c r="BX250" s="64">
        <f t="shared" si="2219"/>
        <v>4043.54</v>
      </c>
      <c r="BY250" s="64">
        <f t="shared" si="2219"/>
        <v>5157.9399999999996</v>
      </c>
      <c r="BZ250" s="64">
        <f t="shared" si="2219"/>
        <v>5188.09</v>
      </c>
      <c r="CA250" s="64">
        <f t="shared" si="2219"/>
        <v>4410.22</v>
      </c>
      <c r="CB250" s="64">
        <f t="shared" si="2219"/>
        <v>5466.22</v>
      </c>
      <c r="CC250" s="64">
        <f t="shared" si="2219"/>
        <v>5656.09</v>
      </c>
      <c r="CD250" s="64">
        <f t="shared" si="2219"/>
        <v>5425.16</v>
      </c>
      <c r="CE250" s="64">
        <f t="shared" si="2219"/>
        <v>4939.08</v>
      </c>
      <c r="CF250" s="64">
        <f t="shared" si="2219"/>
        <v>5571.92</v>
      </c>
      <c r="CG250" s="64">
        <f t="shared" si="2219"/>
        <v>5271.3</v>
      </c>
      <c r="CH250" s="64">
        <f t="shared" si="2219"/>
        <v>5046.59</v>
      </c>
      <c r="CI250" s="64">
        <f t="shared" si="2219"/>
        <v>4084.68</v>
      </c>
      <c r="CJ250" s="64">
        <f t="shared" si="2219"/>
        <v>4233.6000000000004</v>
      </c>
      <c r="CK250" s="64">
        <f t="shared" si="2219"/>
        <v>4943.41</v>
      </c>
      <c r="CL250" s="64">
        <f t="shared" ref="CL250" si="2220">CL27-CL256</f>
        <v>4633.4799999999996</v>
      </c>
      <c r="CM250" s="30">
        <f t="shared" si="2219"/>
        <v>4347.8305112107619</v>
      </c>
      <c r="CN250" s="30">
        <f t="shared" si="2219"/>
        <v>4038.310950672645</v>
      </c>
      <c r="CO250" s="30">
        <f t="shared" si="2219"/>
        <v>4952.1365919282507</v>
      </c>
      <c r="CP250" s="30">
        <f t="shared" si="2219"/>
        <v>5284.4368251121077</v>
      </c>
      <c r="CQ250" s="30">
        <f t="shared" si="2219"/>
        <v>4816.8429255605379</v>
      </c>
      <c r="CR250" s="30">
        <f t="shared" si="2219"/>
        <v>4386.0394089686097</v>
      </c>
      <c r="CS250" s="30">
        <f t="shared" si="2219"/>
        <v>5391.2476143497761</v>
      </c>
      <c r="CT250" s="30">
        <f t="shared" si="2219"/>
        <v>5756.7778708520182</v>
      </c>
      <c r="CU250" s="30">
        <f t="shared" ref="CU250:DB250" si="2221">CU27-CU256</f>
        <v>5242.4245813452926</v>
      </c>
      <c r="CV250" s="30">
        <f t="shared" si="2221"/>
        <v>4768.5407130941703</v>
      </c>
      <c r="CW250" s="30">
        <f t="shared" si="2221"/>
        <v>5874.2697390134545</v>
      </c>
      <c r="CX250" s="30">
        <f t="shared" si="2221"/>
        <v>6276.353021165919</v>
      </c>
      <c r="CY250" s="30">
        <f t="shared" si="2221"/>
        <v>5710.56440270852</v>
      </c>
      <c r="CZ250" s="30">
        <f t="shared" si="2221"/>
        <v>5189.2921476322872</v>
      </c>
      <c r="DA250" s="30">
        <f t="shared" si="2221"/>
        <v>6405.5940761434995</v>
      </c>
      <c r="DB250" s="30">
        <f t="shared" si="2221"/>
        <v>6847.8856865112111</v>
      </c>
      <c r="DE250" s="139"/>
      <c r="DF250" s="64">
        <v>17895.165199999999</v>
      </c>
    </row>
    <row r="251" spans="1:110" s="64" customFormat="1" hidden="1" outlineLevel="1" x14ac:dyDescent="0.2">
      <c r="A251" s="64" t="s">
        <v>475</v>
      </c>
      <c r="B251" s="64">
        <f t="shared" ref="B251:Z251" si="2222">B47-B257</f>
        <v>0</v>
      </c>
      <c r="C251" s="64">
        <f t="shared" si="2222"/>
        <v>0</v>
      </c>
      <c r="D251" s="64">
        <f t="shared" si="2222"/>
        <v>0</v>
      </c>
      <c r="E251" s="64">
        <f t="shared" si="2222"/>
        <v>0</v>
      </c>
      <c r="F251" s="64">
        <f t="shared" si="2222"/>
        <v>0</v>
      </c>
      <c r="G251" s="64">
        <f t="shared" si="2222"/>
        <v>0</v>
      </c>
      <c r="H251" s="64">
        <f t="shared" si="2222"/>
        <v>0</v>
      </c>
      <c r="I251" s="64">
        <f t="shared" si="2222"/>
        <v>0</v>
      </c>
      <c r="J251" s="64">
        <f t="shared" si="2222"/>
        <v>0</v>
      </c>
      <c r="K251" s="64">
        <f t="shared" si="2222"/>
        <v>1244.9928000000004</v>
      </c>
      <c r="L251" s="64">
        <f t="shared" si="2222"/>
        <v>861.4448000000009</v>
      </c>
      <c r="M251" s="64">
        <f t="shared" si="2222"/>
        <v>668.3866000000005</v>
      </c>
      <c r="N251" s="64">
        <f t="shared" si="2222"/>
        <v>603.67849999999976</v>
      </c>
      <c r="O251" s="64">
        <f t="shared" si="2222"/>
        <v>640.01150000000052</v>
      </c>
      <c r="P251" s="64">
        <f t="shared" si="2222"/>
        <v>808.32330000000184</v>
      </c>
      <c r="Q251" s="64">
        <f t="shared" si="2222"/>
        <v>670.43910000000142</v>
      </c>
      <c r="R251" s="64">
        <f t="shared" si="2222"/>
        <v>722.67210000000023</v>
      </c>
      <c r="S251" s="64">
        <f t="shared" si="2222"/>
        <v>995.95800000000054</v>
      </c>
      <c r="T251" s="64">
        <f t="shared" si="2222"/>
        <v>1431.9545999999987</v>
      </c>
      <c r="U251" s="64">
        <f t="shared" si="2222"/>
        <v>1463.9722999999999</v>
      </c>
      <c r="V251" s="64">
        <f t="shared" si="2222"/>
        <v>1184.9303999999993</v>
      </c>
      <c r="W251" s="64">
        <f t="shared" si="2222"/>
        <v>1355.3927999999987</v>
      </c>
      <c r="X251" s="64">
        <f t="shared" si="2222"/>
        <v>1604.2102999999979</v>
      </c>
      <c r="Y251" s="64">
        <f t="shared" si="2222"/>
        <v>3176.6821000000018</v>
      </c>
      <c r="Z251" s="64">
        <f t="shared" si="2222"/>
        <v>3338.1096999999991</v>
      </c>
      <c r="AA251" s="64">
        <f t="shared" ref="AA251" si="2223">AA47-AA257</f>
        <v>2161.7327999999998</v>
      </c>
      <c r="AB251" s="30"/>
      <c r="AC251" s="30"/>
      <c r="AD251" s="30"/>
      <c r="AE251" s="30"/>
      <c r="AI251" s="64">
        <f t="shared" ref="AI251:BN251" si="2224">AI47-AI257</f>
        <v>160.23999999999978</v>
      </c>
      <c r="AJ251" s="64">
        <f t="shared" si="2224"/>
        <v>197.85000000000014</v>
      </c>
      <c r="AK251" s="64">
        <f t="shared" si="2224"/>
        <v>158.56000000000006</v>
      </c>
      <c r="AL251" s="64">
        <f t="shared" si="2224"/>
        <v>102.95999999999992</v>
      </c>
      <c r="AM251" s="64">
        <f t="shared" si="2224"/>
        <v>142.36000000000001</v>
      </c>
      <c r="AN251" s="64">
        <f t="shared" si="2224"/>
        <v>148.19999999999993</v>
      </c>
      <c r="AO251" s="64">
        <f t="shared" si="2224"/>
        <v>165.73000000000008</v>
      </c>
      <c r="AP251" s="64">
        <f t="shared" si="2224"/>
        <v>162.71000000000026</v>
      </c>
      <c r="AQ251" s="64">
        <f t="shared" si="2224"/>
        <v>161.84000000000003</v>
      </c>
      <c r="AR251" s="64">
        <f t="shared" si="2224"/>
        <v>209.40999999999997</v>
      </c>
      <c r="AS251" s="64">
        <f t="shared" si="2224"/>
        <v>238.49999999999989</v>
      </c>
      <c r="AT251" s="64">
        <f t="shared" si="2224"/>
        <v>227.89999999999998</v>
      </c>
      <c r="AU251" s="64">
        <f t="shared" si="2224"/>
        <v>284.25</v>
      </c>
      <c r="AV251" s="64">
        <f t="shared" si="2224"/>
        <v>168.24</v>
      </c>
      <c r="AW251" s="64">
        <f t="shared" si="2224"/>
        <v>182.9199999999999</v>
      </c>
      <c r="AX251" s="64">
        <f t="shared" si="2224"/>
        <v>315.04000000000002</v>
      </c>
      <c r="AY251" s="64">
        <f t="shared" si="2224"/>
        <v>245.5200000000001</v>
      </c>
      <c r="AZ251" s="64">
        <f t="shared" si="2224"/>
        <v>206.57000000000005</v>
      </c>
      <c r="BA251" s="64">
        <f t="shared" si="2224"/>
        <v>235.17000000000007</v>
      </c>
      <c r="BB251" s="64">
        <f t="shared" si="2224"/>
        <v>268.64999999999998</v>
      </c>
      <c r="BC251" s="64">
        <f t="shared" si="2224"/>
        <v>169.90000000000026</v>
      </c>
      <c r="BD251" s="64">
        <f t="shared" si="2224"/>
        <v>220.46000000000009</v>
      </c>
      <c r="BE251" s="64">
        <f t="shared" si="2224"/>
        <v>252.4899999999999</v>
      </c>
      <c r="BF251" s="64">
        <f t="shared" si="2224"/>
        <v>404.25999999999988</v>
      </c>
      <c r="BG251" s="64">
        <f t="shared" si="2224"/>
        <v>355.21999999999991</v>
      </c>
      <c r="BH251" s="64">
        <f t="shared" si="2224"/>
        <v>345.17999999999995</v>
      </c>
      <c r="BI251" s="64">
        <f t="shared" si="2224"/>
        <v>366.49999999999977</v>
      </c>
      <c r="BJ251" s="64">
        <f t="shared" si="2224"/>
        <v>408.14999999999986</v>
      </c>
      <c r="BK251" s="64">
        <f t="shared" si="2224"/>
        <v>396.38999999999987</v>
      </c>
      <c r="BL251" s="64">
        <f t="shared" si="2224"/>
        <v>341.64999999999986</v>
      </c>
      <c r="BM251" s="64">
        <f t="shared" si="2224"/>
        <v>379.6400000000001</v>
      </c>
      <c r="BN251" s="64">
        <f t="shared" si="2224"/>
        <v>394.69999999999982</v>
      </c>
      <c r="BO251" s="64">
        <f t="shared" ref="BO251:CT251" si="2225">BO47-BO257</f>
        <v>183.43999999999994</v>
      </c>
      <c r="BP251" s="64">
        <f t="shared" si="2225"/>
        <v>276.32000000000016</v>
      </c>
      <c r="BQ251" s="64">
        <f t="shared" si="2225"/>
        <v>308.3299999999997</v>
      </c>
      <c r="BR251" s="64">
        <f t="shared" si="2225"/>
        <v>474.97999999999956</v>
      </c>
      <c r="BS251" s="64">
        <f t="shared" si="2225"/>
        <v>418.66999999999996</v>
      </c>
      <c r="BT251" s="64">
        <f t="shared" si="2225"/>
        <v>378.13999999999987</v>
      </c>
      <c r="BU251" s="64">
        <f t="shared" si="2225"/>
        <v>204.61000000000013</v>
      </c>
      <c r="BV251" s="64">
        <f t="shared" si="2225"/>
        <v>400.60999999999967</v>
      </c>
      <c r="BW251" s="64">
        <f t="shared" si="2225"/>
        <v>238.46000000000004</v>
      </c>
      <c r="BX251" s="64">
        <f t="shared" si="2225"/>
        <v>331.35000000000014</v>
      </c>
      <c r="BY251" s="64">
        <f t="shared" si="2225"/>
        <v>495.17999999999938</v>
      </c>
      <c r="BZ251" s="64">
        <f t="shared" si="2225"/>
        <v>599.92000000000007</v>
      </c>
      <c r="CA251" s="64">
        <f t="shared" si="2225"/>
        <v>607.66000000000031</v>
      </c>
      <c r="CB251" s="64">
        <f t="shared" si="2225"/>
        <v>804.02999999999975</v>
      </c>
      <c r="CC251" s="64">
        <f t="shared" si="2225"/>
        <v>988.9500000000005</v>
      </c>
      <c r="CD251" s="64">
        <f t="shared" si="2225"/>
        <v>920.31000000000017</v>
      </c>
      <c r="CE251" s="64">
        <f t="shared" si="2225"/>
        <v>839.55999999999949</v>
      </c>
      <c r="CF251" s="64">
        <f t="shared" si="2225"/>
        <v>914.11000000000035</v>
      </c>
      <c r="CG251" s="64">
        <f t="shared" si="2225"/>
        <v>939.42000000000053</v>
      </c>
      <c r="CH251" s="64">
        <f t="shared" si="2225"/>
        <v>736.15999999999985</v>
      </c>
      <c r="CI251" s="64">
        <f t="shared" si="2225"/>
        <v>670.11000000000035</v>
      </c>
      <c r="CJ251" s="64">
        <f t="shared" si="2225"/>
        <v>451.12000000000035</v>
      </c>
      <c r="CK251" s="64">
        <f t="shared" si="2225"/>
        <v>612.63000000000056</v>
      </c>
      <c r="CL251" s="64">
        <f t="shared" ref="CL251" si="2226">CL47-CL257</f>
        <v>480.87999999999965</v>
      </c>
      <c r="CM251" s="30">
        <f t="shared" si="2225"/>
        <v>524.83149775784727</v>
      </c>
      <c r="CN251" s="30">
        <f t="shared" si="2225"/>
        <v>553.29260986547058</v>
      </c>
      <c r="CO251" s="30">
        <f t="shared" si="2225"/>
        <v>678.49668161434954</v>
      </c>
      <c r="CP251" s="30">
        <f t="shared" si="2225"/>
        <v>724.02543497757813</v>
      </c>
      <c r="CQ251" s="30">
        <f t="shared" si="2225"/>
        <v>659.95997488789214</v>
      </c>
      <c r="CR251" s="30">
        <f t="shared" si="2225"/>
        <v>600.93519820627773</v>
      </c>
      <c r="CS251" s="30">
        <f t="shared" si="2225"/>
        <v>738.65967713004466</v>
      </c>
      <c r="CT251" s="30">
        <f t="shared" si="2225"/>
        <v>788.74130582959617</v>
      </c>
      <c r="CU251" s="30">
        <f t="shared" ref="CU251:DB251" si="2227">CU47-CU257</f>
        <v>718.26929973094161</v>
      </c>
      <c r="CV251" s="30">
        <f t="shared" si="2227"/>
        <v>653.34204538116569</v>
      </c>
      <c r="CW251" s="30">
        <f t="shared" si="2227"/>
        <v>804.83897219730932</v>
      </c>
      <c r="CX251" s="30">
        <f t="shared" si="2227"/>
        <v>859.92876376681591</v>
      </c>
      <c r="CY251" s="30">
        <f t="shared" si="2227"/>
        <v>782.40955705829572</v>
      </c>
      <c r="CZ251" s="30">
        <f t="shared" si="2227"/>
        <v>710.98957727354241</v>
      </c>
      <c r="DA251" s="30">
        <f t="shared" si="2227"/>
        <v>877.63619677130043</v>
      </c>
      <c r="DB251" s="30">
        <f t="shared" si="2227"/>
        <v>938.23496749775768</v>
      </c>
      <c r="DE251" s="139"/>
      <c r="DF251" s="64">
        <v>2161.7327999999998</v>
      </c>
    </row>
    <row r="252" spans="1:110" s="89" customFormat="1" hidden="1" outlineLevel="1" x14ac:dyDescent="0.2">
      <c r="A252" s="86" t="s">
        <v>476</v>
      </c>
      <c r="B252" s="86" t="e">
        <f>+B251/B250</f>
        <v>#DIV/0!</v>
      </c>
      <c r="C252" s="86" t="e">
        <f t="shared" ref="C252" si="2228">+C251/C250</f>
        <v>#DIV/0!</v>
      </c>
      <c r="D252" s="86" t="e">
        <f t="shared" ref="D252" si="2229">+D251/D250</f>
        <v>#DIV/0!</v>
      </c>
      <c r="E252" s="86" t="e">
        <f t="shared" ref="E252" si="2230">+E251/E250</f>
        <v>#DIV/0!</v>
      </c>
      <c r="F252" s="86" t="e">
        <f t="shared" ref="F252" si="2231">+F251/F250</f>
        <v>#DIV/0!</v>
      </c>
      <c r="G252" s="86" t="e">
        <f t="shared" ref="G252" si="2232">+G251/G250</f>
        <v>#DIV/0!</v>
      </c>
      <c r="H252" s="86" t="e">
        <f t="shared" ref="H252" si="2233">+H251/H250</f>
        <v>#DIV/0!</v>
      </c>
      <c r="I252" s="86" t="e">
        <f t="shared" ref="I252" si="2234">+I251/I250</f>
        <v>#DIV/0!</v>
      </c>
      <c r="J252" s="86" t="e">
        <f t="shared" ref="J252" si="2235">+J251/J250</f>
        <v>#DIV/0!</v>
      </c>
      <c r="K252" s="86">
        <f t="shared" ref="K252" si="2236">+K251/K250</f>
        <v>0.17020659002440619</v>
      </c>
      <c r="L252" s="86">
        <f t="shared" ref="L252" si="2237">+L251/L250</f>
        <v>0.18117428312008729</v>
      </c>
      <c r="M252" s="86">
        <f t="shared" ref="M252" si="2238">+M251/M250</f>
        <v>0.10728383739315731</v>
      </c>
      <c r="N252" s="86">
        <f t="shared" ref="N252" si="2239">+N251/N250</f>
        <v>8.7184570025827565E-2</v>
      </c>
      <c r="O252" s="86">
        <f t="shared" ref="O252" si="2240">+O251/O250</f>
        <v>9.2113948491179834E-2</v>
      </c>
      <c r="P252" s="86">
        <f t="shared" ref="P252" si="2241">+P251/P250</f>
        <v>9.4878651320126461E-2</v>
      </c>
      <c r="Q252" s="86">
        <f t="shared" ref="Q252" si="2242">+Q251/Q250</f>
        <v>8.4433854278135212E-2</v>
      </c>
      <c r="R252" s="86">
        <f t="shared" ref="R252" si="2243">+R251/R250</f>
        <v>9.8415604210569246E-2</v>
      </c>
      <c r="S252" s="86">
        <f t="shared" ref="S252" si="2244">+S251/S250</f>
        <v>0.11629141545756741</v>
      </c>
      <c r="T252" s="86">
        <f t="shared" ref="T252" si="2245">+T251/T250</f>
        <v>0.11817730551426177</v>
      </c>
      <c r="U252" s="86">
        <f t="shared" ref="U252" si="2246">+U251/U250</f>
        <v>0.12591104037788889</v>
      </c>
      <c r="V252" s="86">
        <f t="shared" ref="V252" si="2247">+V251/V250</f>
        <v>0.1111187987121615</v>
      </c>
      <c r="W252" s="86">
        <f t="shared" ref="W252" si="2248">+W251/W250</f>
        <v>0.10192133260090544</v>
      </c>
      <c r="X252" s="86">
        <f t="shared" ref="X252:Y252" si="2249">+X251/X250</f>
        <v>8.9780843636661709E-2</v>
      </c>
      <c r="Y252" s="86">
        <f t="shared" si="2249"/>
        <v>0.15157596494854181</v>
      </c>
      <c r="Z252" s="86">
        <f t="shared" ref="Z252:AA252" si="2250">+Z251/Z250</f>
        <v>0.16026340965532168</v>
      </c>
      <c r="AA252" s="86">
        <f t="shared" si="2250"/>
        <v>0.1207998236305748</v>
      </c>
      <c r="AB252" s="87"/>
      <c r="AC252" s="87"/>
      <c r="AD252" s="87"/>
      <c r="AE252" s="87"/>
      <c r="AF252" s="86"/>
      <c r="AG252" s="86"/>
      <c r="AH252" s="86"/>
      <c r="AI252" s="86">
        <f t="shared" ref="AI252" si="2251">+AI251/AI250</f>
        <v>0.12417566237610704</v>
      </c>
      <c r="AJ252" s="86">
        <f t="shared" ref="AJ252" si="2252">+AJ251/AJ250</f>
        <v>0.12086650009468952</v>
      </c>
      <c r="AK252" s="86">
        <f t="shared" ref="AK252" si="2253">+AK251/AK250</f>
        <v>9.2039959831198184E-2</v>
      </c>
      <c r="AL252" s="86">
        <f t="shared" ref="AL252" si="2254">+AL251/AL250</f>
        <v>0.10505372065260637</v>
      </c>
      <c r="AM252" s="86">
        <f t="shared" ref="AM252" si="2255">+AM251/AM250</f>
        <v>0.11794434180329907</v>
      </c>
      <c r="AN252" s="86">
        <f t="shared" ref="AN252" si="2256">+AN251/AN250</f>
        <v>0.12054758864152133</v>
      </c>
      <c r="AO252" s="86">
        <f t="shared" ref="AO252" si="2257">+AO251/AO250</f>
        <v>9.6940237832020201E-2</v>
      </c>
      <c r="AP252" s="86">
        <f t="shared" ref="AP252" si="2258">+AP251/AP250</f>
        <v>0.1193255987914169</v>
      </c>
      <c r="AQ252" s="86">
        <f t="shared" ref="AQ252" si="2259">+AQ251/AQ250</f>
        <v>0.14084433498394358</v>
      </c>
      <c r="AR252" s="86">
        <f t="shared" ref="AR252" si="2260">+AR251/AR250</f>
        <v>0.13159184596822843</v>
      </c>
      <c r="AS252" s="86">
        <f t="shared" ref="AS252" si="2261">+AS251/AS250</f>
        <v>0.13418249945145513</v>
      </c>
      <c r="AT252" s="86">
        <f t="shared" ref="AT252" si="2262">+AT251/AT250</f>
        <v>0.10637503384023672</v>
      </c>
      <c r="AU252" s="86">
        <f t="shared" ref="AU252" si="2263">+AU251/AU250</f>
        <v>0.14268575501721767</v>
      </c>
      <c r="AV252" s="86">
        <f t="shared" ref="AV252" si="2264">+AV251/AV250</f>
        <v>0.11994781157984045</v>
      </c>
      <c r="AW252" s="86">
        <f t="shared" ref="AW252" si="2265">+AW251/AW250</f>
        <v>0.16207547336989742</v>
      </c>
      <c r="AX252" s="86">
        <f t="shared" ref="AX252" si="2266">+AX251/AX250</f>
        <v>0.16948113080668156</v>
      </c>
      <c r="AY252" s="86">
        <f t="shared" ref="AY252" si="2267">+AY251/AY250</f>
        <v>0.18500071583040101</v>
      </c>
      <c r="AZ252" s="86">
        <f t="shared" ref="AZ252" si="2268">+AZ251/AZ250</f>
        <v>0.14735738284956099</v>
      </c>
      <c r="BA252" s="86">
        <f t="shared" ref="BA252" si="2269">+BA251/BA250</f>
        <v>0.16482915717539867</v>
      </c>
      <c r="BB252" s="86">
        <f t="shared" ref="BB252" si="2270">+BB251/BB250</f>
        <v>0.15159380872038233</v>
      </c>
      <c r="BC252" s="86">
        <f t="shared" ref="BC252" si="2271">+BC251/BC250</f>
        <v>0.11713848402531699</v>
      </c>
      <c r="BD252" s="86">
        <f t="shared" ref="BD252" si="2272">+BD251/BD250</f>
        <v>0.16686472044142031</v>
      </c>
      <c r="BE252" s="86">
        <f t="shared" ref="BE252" si="2273">+BE251/BE250</f>
        <v>0.11939811509015501</v>
      </c>
      <c r="BF252" s="86">
        <f t="shared" ref="BF252" si="2274">+BF251/BF250</f>
        <v>0.16453465419069671</v>
      </c>
      <c r="BG252" s="86">
        <f t="shared" ref="BG252" si="2275">+BG251/BG250</f>
        <v>0.12864789691363834</v>
      </c>
      <c r="BH252" s="86">
        <f t="shared" ref="BH252" si="2276">+BH251/BH250</f>
        <v>0.11661013742686106</v>
      </c>
      <c r="BI252" s="86">
        <f t="shared" ref="BI252" si="2277">+BI251/BI250</f>
        <v>0.12389625843441097</v>
      </c>
      <c r="BJ252" s="86">
        <f t="shared" ref="BJ252" si="2278">+BJ251/BJ250</f>
        <v>0.11873178224215869</v>
      </c>
      <c r="BK252" s="86">
        <f t="shared" ref="BK252" si="2279">+BK251/BK250</f>
        <v>0.12968924834612586</v>
      </c>
      <c r="BL252" s="86">
        <f t="shared" ref="BL252" si="2280">+BL251/BL250</f>
        <v>0.12740575554055611</v>
      </c>
      <c r="BM252" s="86">
        <f t="shared" ref="BM252" si="2281">+BM251/BM250</f>
        <v>0.12705616187578861</v>
      </c>
      <c r="BN252" s="86">
        <f t="shared" ref="BN252" si="2282">+BN251/BN250</f>
        <v>0.1360555942392675</v>
      </c>
      <c r="BO252" s="86">
        <f t="shared" ref="BO252" si="2283">+BO251/BO250</f>
        <v>0.11179980375307014</v>
      </c>
      <c r="BP252" s="86">
        <f t="shared" ref="BP252" si="2284">+BP251/BP250</f>
        <v>0.1163785841841033</v>
      </c>
      <c r="BQ252" s="86">
        <f t="shared" ref="BQ252" si="2285">+BQ251/BQ250</f>
        <v>0.10763156792381687</v>
      </c>
      <c r="BR252" s="86">
        <f t="shared" ref="BR252" si="2286">+BR251/BR250</f>
        <v>0.12552823182737147</v>
      </c>
      <c r="BS252" s="86">
        <f t="shared" ref="BS252" si="2287">+BS251/BS250</f>
        <v>0.14513970741177284</v>
      </c>
      <c r="BT252" s="86">
        <f t="shared" ref="BT252" si="2288">+BT251/BT250</f>
        <v>0.12719652323672662</v>
      </c>
      <c r="BU252" s="86">
        <f t="shared" ref="BU252" si="2289">+BU251/BU250</f>
        <v>5.8947750530100526E-2</v>
      </c>
      <c r="BV252" s="86">
        <f t="shared" ref="BV252" si="2290">+BV251/BV250</f>
        <v>0.10091186175974197</v>
      </c>
      <c r="BW252" s="86">
        <f t="shared" ref="BW252" si="2291">+BW251/BW250</f>
        <v>6.8556872937198851E-2</v>
      </c>
      <c r="BX252" s="86">
        <f t="shared" ref="BX252" si="2292">+BX251/BX250</f>
        <v>8.1945522982337288E-2</v>
      </c>
      <c r="BY252" s="86">
        <f t="shared" ref="BY252" si="2293">+BY251/BY250</f>
        <v>9.6003443235089872E-2</v>
      </c>
      <c r="BZ252" s="86">
        <f t="shared" ref="BZ252" si="2294">+BZ251/BZ250</f>
        <v>0.11563407728084903</v>
      </c>
      <c r="CA252" s="86">
        <f t="shared" ref="CA252" si="2295">+CA251/CA250</f>
        <v>0.13778450961630037</v>
      </c>
      <c r="CB252" s="86">
        <f t="shared" ref="CB252:CC252" si="2296">+CB251/CB250</f>
        <v>0.14709067692116301</v>
      </c>
      <c r="CC252" s="86">
        <f t="shared" si="2296"/>
        <v>0.17484693489672201</v>
      </c>
      <c r="CD252" s="86">
        <f t="shared" ref="CD252" si="2297">+CD251/CD250</f>
        <v>0.16963739318287391</v>
      </c>
      <c r="CE252" s="86">
        <f t="shared" ref="CE252:CF252" si="2298">+CE251/CE250</f>
        <v>0.16998307377082361</v>
      </c>
      <c r="CF252" s="86">
        <f t="shared" si="2298"/>
        <v>0.16405655501155803</v>
      </c>
      <c r="CG252" s="86">
        <f t="shared" ref="CG252:CH252" si="2299">+CG251/CG250</f>
        <v>0.17821410278299479</v>
      </c>
      <c r="CH252" s="86">
        <f t="shared" si="2299"/>
        <v>0.14587275764427066</v>
      </c>
      <c r="CI252" s="86">
        <f t="shared" ref="CI252:CJ252" si="2300">+CI251/CI250</f>
        <v>0.16405446693498643</v>
      </c>
      <c r="CJ252" s="86">
        <f t="shared" si="2300"/>
        <v>0.10655706727135306</v>
      </c>
      <c r="CK252" s="86">
        <f t="shared" ref="CK252:DB252" si="2301">+CK251/CK250</f>
        <v>0.12392862416833736</v>
      </c>
      <c r="CL252" s="86">
        <f t="shared" si="2301"/>
        <v>0.10378376511822641</v>
      </c>
      <c r="CM252" s="47">
        <f t="shared" si="2301"/>
        <v>0.12071112165126575</v>
      </c>
      <c r="CN252" s="47">
        <f t="shared" si="2301"/>
        <v>0.13701089802738217</v>
      </c>
      <c r="CO252" s="47">
        <f t="shared" si="2301"/>
        <v>0.1370108980273822</v>
      </c>
      <c r="CP252" s="47">
        <f t="shared" si="2301"/>
        <v>0.13701089802738217</v>
      </c>
      <c r="CQ252" s="47">
        <f t="shared" si="2301"/>
        <v>0.1370108980273822</v>
      </c>
      <c r="CR252" s="47">
        <f t="shared" si="2301"/>
        <v>0.13701089802738217</v>
      </c>
      <c r="CS252" s="47">
        <f t="shared" si="2301"/>
        <v>0.1370108980273822</v>
      </c>
      <c r="CT252" s="47">
        <f t="shared" si="2301"/>
        <v>0.13701089802738217</v>
      </c>
      <c r="CU252" s="47">
        <f t="shared" si="2301"/>
        <v>0.13701089802738217</v>
      </c>
      <c r="CV252" s="47">
        <f t="shared" si="2301"/>
        <v>0.13701089802738217</v>
      </c>
      <c r="CW252" s="47">
        <f t="shared" si="2301"/>
        <v>0.13701089802738217</v>
      </c>
      <c r="CX252" s="47">
        <f t="shared" si="2301"/>
        <v>0.1370108980273822</v>
      </c>
      <c r="CY252" s="47">
        <f t="shared" si="2301"/>
        <v>0.1370108980273822</v>
      </c>
      <c r="CZ252" s="47">
        <f t="shared" si="2301"/>
        <v>0.1370108980273822</v>
      </c>
      <c r="DA252" s="47">
        <f t="shared" si="2301"/>
        <v>0.1370108980273822</v>
      </c>
      <c r="DB252" s="47">
        <f t="shared" si="2301"/>
        <v>0.1370108980273822</v>
      </c>
      <c r="DE252" s="130"/>
      <c r="DF252" s="89">
        <v>0.1207998236305748</v>
      </c>
    </row>
    <row r="253" spans="1:110" s="64" customFormat="1" hidden="1" outlineLevel="1" x14ac:dyDescent="0.2">
      <c r="A253" s="64" t="s">
        <v>477</v>
      </c>
      <c r="B253" s="64">
        <f t="shared" ref="B253:Z253" si="2302">B60-B259</f>
        <v>0</v>
      </c>
      <c r="C253" s="64">
        <f t="shared" si="2302"/>
        <v>0</v>
      </c>
      <c r="D253" s="64">
        <f t="shared" si="2302"/>
        <v>0</v>
      </c>
      <c r="E253" s="64">
        <f t="shared" si="2302"/>
        <v>0</v>
      </c>
      <c r="F253" s="64">
        <f t="shared" si="2302"/>
        <v>0</v>
      </c>
      <c r="G253" s="64">
        <f t="shared" si="2302"/>
        <v>0</v>
      </c>
      <c r="H253" s="64">
        <f t="shared" si="2302"/>
        <v>0</v>
      </c>
      <c r="I253" s="64">
        <f t="shared" si="2302"/>
        <v>0</v>
      </c>
      <c r="J253" s="64">
        <f t="shared" si="2302"/>
        <v>0</v>
      </c>
      <c r="K253" s="64">
        <f t="shared" si="2302"/>
        <v>678.98860000000025</v>
      </c>
      <c r="L253" s="64">
        <f t="shared" si="2302"/>
        <v>444.49810000000082</v>
      </c>
      <c r="M253" s="64">
        <f t="shared" si="2302"/>
        <v>329.25240000000059</v>
      </c>
      <c r="N253" s="64">
        <f t="shared" si="2302"/>
        <v>180.52369999999974</v>
      </c>
      <c r="O253" s="64">
        <f t="shared" si="2302"/>
        <v>-32.487499999999493</v>
      </c>
      <c r="P253" s="64">
        <f t="shared" si="2302"/>
        <v>-42.953799999998125</v>
      </c>
      <c r="Q253" s="64">
        <f t="shared" si="2302"/>
        <v>4.4460000000014332</v>
      </c>
      <c r="R253" s="64">
        <f t="shared" si="2302"/>
        <v>43.016400000000239</v>
      </c>
      <c r="S253" s="64">
        <f t="shared" si="2302"/>
        <v>96.824700000000689</v>
      </c>
      <c r="T253" s="64">
        <f t="shared" si="2302"/>
        <v>398.09319999999866</v>
      </c>
      <c r="U253" s="64">
        <f t="shared" si="2302"/>
        <v>573.31319999999994</v>
      </c>
      <c r="V253" s="64">
        <f t="shared" si="2302"/>
        <v>327.73129999999935</v>
      </c>
      <c r="W253" s="64">
        <f t="shared" si="2302"/>
        <v>375.88979999999879</v>
      </c>
      <c r="X253" s="64">
        <f t="shared" si="2302"/>
        <v>477.28669999999789</v>
      </c>
      <c r="Y253" s="64">
        <f t="shared" si="2302"/>
        <v>1593.685700000002</v>
      </c>
      <c r="Z253" s="64">
        <f t="shared" si="2302"/>
        <v>1431.7727999999993</v>
      </c>
      <c r="AA253" s="64">
        <f t="shared" ref="AA253" si="2303">AA60-AA259</f>
        <v>905.99259999999958</v>
      </c>
      <c r="AB253" s="30"/>
      <c r="AC253" s="30"/>
      <c r="AD253" s="30"/>
      <c r="AE253" s="30"/>
      <c r="AI253" s="64">
        <f t="shared" ref="AI253:BN253" si="2304">AI60-AI259</f>
        <v>91.829999999999785</v>
      </c>
      <c r="AJ253" s="64">
        <f t="shared" si="2304"/>
        <v>118.85000000000014</v>
      </c>
      <c r="AK253" s="64">
        <f t="shared" si="2304"/>
        <v>75.910000000000068</v>
      </c>
      <c r="AL253" s="64">
        <f t="shared" si="2304"/>
        <v>37.889999999999922</v>
      </c>
      <c r="AM253" s="64">
        <f t="shared" si="2304"/>
        <v>67.310000000000031</v>
      </c>
      <c r="AN253" s="64">
        <f t="shared" si="2304"/>
        <v>55.039999999999935</v>
      </c>
      <c r="AO253" s="64">
        <f t="shared" si="2304"/>
        <v>47.240000000000073</v>
      </c>
      <c r="AP253" s="64">
        <f t="shared" si="2304"/>
        <v>48.600000000000264</v>
      </c>
      <c r="AQ253" s="64">
        <f t="shared" si="2304"/>
        <v>44.360000000000042</v>
      </c>
      <c r="AR253" s="64">
        <f t="shared" si="2304"/>
        <v>79.579999999999956</v>
      </c>
      <c r="AS253" s="64">
        <f t="shared" si="2304"/>
        <v>101.89999999999988</v>
      </c>
      <c r="AT253" s="64">
        <f t="shared" si="2304"/>
        <v>96.379999999999967</v>
      </c>
      <c r="AU253" s="64">
        <f t="shared" si="2304"/>
        <v>97.19999999999996</v>
      </c>
      <c r="AV253" s="64">
        <f t="shared" si="2304"/>
        <v>72.710000000000022</v>
      </c>
      <c r="AW253" s="64">
        <f t="shared" si="2304"/>
        <v>42.499999999999893</v>
      </c>
      <c r="AX253" s="64">
        <f t="shared" si="2304"/>
        <v>142.13000000000002</v>
      </c>
      <c r="AY253" s="64">
        <f t="shared" si="2304"/>
        <v>65.780000000000115</v>
      </c>
      <c r="AZ253" s="64">
        <f t="shared" si="2304"/>
        <v>81.97000000000007</v>
      </c>
      <c r="BA253" s="64">
        <f t="shared" si="2304"/>
        <v>80.670000000000073</v>
      </c>
      <c r="BB253" s="64">
        <f t="shared" si="2304"/>
        <v>157.02999999999992</v>
      </c>
      <c r="BC253" s="64">
        <f t="shared" si="2304"/>
        <v>63.590000000000259</v>
      </c>
      <c r="BD253" s="64">
        <f t="shared" si="2304"/>
        <v>62.300000000000082</v>
      </c>
      <c r="BE253" s="64">
        <f t="shared" si="2304"/>
        <v>110.04999999999991</v>
      </c>
      <c r="BF253" s="64">
        <f t="shared" si="2304"/>
        <v>158.34999999999988</v>
      </c>
      <c r="BG253" s="64">
        <f t="shared" si="2304"/>
        <v>78.259999999999877</v>
      </c>
      <c r="BH253" s="64">
        <f t="shared" si="2304"/>
        <v>73.69999999999996</v>
      </c>
      <c r="BI253" s="64">
        <f t="shared" si="2304"/>
        <v>121.74999999999974</v>
      </c>
      <c r="BJ253" s="64">
        <f t="shared" si="2304"/>
        <v>124.37999999999988</v>
      </c>
      <c r="BK253" s="64">
        <f t="shared" si="2304"/>
        <v>110.95999999999991</v>
      </c>
      <c r="BL253" s="64">
        <f t="shared" si="2304"/>
        <v>282.48999999999984</v>
      </c>
      <c r="BM253" s="64">
        <f t="shared" si="2304"/>
        <v>103.41000000000011</v>
      </c>
      <c r="BN253" s="64">
        <f t="shared" si="2304"/>
        <v>78.289999999999836</v>
      </c>
      <c r="BO253" s="64">
        <f t="shared" ref="BO253:CT253" si="2305">BO60-BO259</f>
        <v>-26.570000000000071</v>
      </c>
      <c r="BP253" s="64">
        <f t="shared" si="2305"/>
        <v>79.550000000000182</v>
      </c>
      <c r="BQ253" s="64">
        <f t="shared" si="2305"/>
        <v>88.089999999999705</v>
      </c>
      <c r="BR253" s="64">
        <f t="shared" si="2305"/>
        <v>186.6599999999996</v>
      </c>
      <c r="BS253" s="64">
        <f t="shared" si="2305"/>
        <v>145.73999999999992</v>
      </c>
      <c r="BT253" s="64">
        <f t="shared" si="2305"/>
        <v>107.61999999999988</v>
      </c>
      <c r="BU253" s="64">
        <f t="shared" si="2305"/>
        <v>0.68000000000012761</v>
      </c>
      <c r="BV253" s="64">
        <f t="shared" si="2305"/>
        <v>121.83999999999968</v>
      </c>
      <c r="BW253" s="64">
        <f t="shared" si="2305"/>
        <v>-15.479999999999936</v>
      </c>
      <c r="BX253" s="64">
        <f t="shared" si="2305"/>
        <v>46.070000000000164</v>
      </c>
      <c r="BY253" s="64">
        <f t="shared" si="2305"/>
        <v>143.29999999999936</v>
      </c>
      <c r="BZ253" s="64">
        <f t="shared" si="2305"/>
        <v>297.68000000000006</v>
      </c>
      <c r="CA253" s="64">
        <f t="shared" si="2305"/>
        <v>244.21000000000038</v>
      </c>
      <c r="CB253" s="64">
        <f t="shared" si="2305"/>
        <v>356.29999999999973</v>
      </c>
      <c r="CC253" s="64">
        <f t="shared" si="2305"/>
        <v>513.50000000000045</v>
      </c>
      <c r="CD253" s="64">
        <f t="shared" si="2305"/>
        <v>479.6600000000002</v>
      </c>
      <c r="CE253" s="64">
        <f t="shared" si="2305"/>
        <v>411.19999999999953</v>
      </c>
      <c r="CF253" s="64">
        <f t="shared" si="2305"/>
        <v>468.52000000000032</v>
      </c>
      <c r="CG253" s="64">
        <f t="shared" si="2305"/>
        <v>471.98000000000059</v>
      </c>
      <c r="CH253" s="64">
        <f t="shared" si="2305"/>
        <v>349.24499999999989</v>
      </c>
      <c r="CI253" s="64">
        <f t="shared" si="2305"/>
        <v>272.93250000000023</v>
      </c>
      <c r="CJ253" s="64">
        <f t="shared" si="2305"/>
        <v>129.13000000000036</v>
      </c>
      <c r="CK253" s="64">
        <f t="shared" si="2305"/>
        <v>244.95000000000061</v>
      </c>
      <c r="CL253" s="64">
        <f t="shared" ref="CL253" si="2306">CL60-CL259</f>
        <v>126.83999999999966</v>
      </c>
      <c r="CM253" s="30">
        <f t="shared" si="2305"/>
        <v>168.943913663346</v>
      </c>
      <c r="CN253" s="30">
        <f t="shared" si="2305"/>
        <v>222.72741987776044</v>
      </c>
      <c r="CO253" s="30">
        <f t="shared" si="2305"/>
        <v>327.40705073887909</v>
      </c>
      <c r="CP253" s="30">
        <f t="shared" si="2305"/>
        <v>338.00860330636021</v>
      </c>
      <c r="CQ253" s="30">
        <f t="shared" si="2305"/>
        <v>284.44190770469106</v>
      </c>
      <c r="CR253" s="30">
        <f t="shared" si="2305"/>
        <v>257.62975692485071</v>
      </c>
      <c r="CS253" s="30">
        <f t="shared" si="2305"/>
        <v>376.64134056753772</v>
      </c>
      <c r="CT253" s="30">
        <f t="shared" si="2305"/>
        <v>389.50974738797328</v>
      </c>
      <c r="CU253" s="30">
        <f t="shared" ref="CU253:DB253" si="2307">CU60-CU259</f>
        <v>331.81000628608177</v>
      </c>
      <c r="CV253" s="30">
        <f t="shared" si="2307"/>
        <v>303.55790352752945</v>
      </c>
      <c r="CW253" s="30">
        <f t="shared" si="2307"/>
        <v>435.73027545966863</v>
      </c>
      <c r="CX253" s="30">
        <f t="shared" si="2307"/>
        <v>451.16426176351064</v>
      </c>
      <c r="CY253" s="30">
        <f t="shared" si="2307"/>
        <v>388.99315100585136</v>
      </c>
      <c r="CZ253" s="30">
        <f t="shared" si="2307"/>
        <v>359.23508005587297</v>
      </c>
      <c r="DA253" s="30">
        <f t="shared" si="2307"/>
        <v>505.96535655698085</v>
      </c>
      <c r="DB253" s="30">
        <f t="shared" si="2307"/>
        <v>524.30563799942774</v>
      </c>
      <c r="DE253" s="139"/>
      <c r="DF253" s="64">
        <v>905.99259999999958</v>
      </c>
    </row>
    <row r="254" spans="1:110" s="64" customFormat="1" hidden="1" outlineLevel="1" x14ac:dyDescent="0.2"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5" t="s">
        <v>352</v>
      </c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4" t="s">
        <v>478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479</v>
      </c>
      <c r="AB257" s="30"/>
      <c r="AC257" s="30"/>
      <c r="AD257" s="30"/>
      <c r="AE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9" customFormat="1" hidden="1" outlineLevel="1" x14ac:dyDescent="0.2">
      <c r="A258" s="86" t="s">
        <v>480</v>
      </c>
      <c r="B258" s="86" t="e">
        <f>+B257/B256</f>
        <v>#DIV/0!</v>
      </c>
      <c r="C258" s="86" t="e">
        <f t="shared" ref="C258:X258" si="2308">+C257/C256</f>
        <v>#DIV/0!</v>
      </c>
      <c r="D258" s="86" t="e">
        <f t="shared" si="2308"/>
        <v>#DIV/0!</v>
      </c>
      <c r="E258" s="86" t="e">
        <f t="shared" si="2308"/>
        <v>#DIV/0!</v>
      </c>
      <c r="F258" s="86" t="e">
        <f t="shared" si="2308"/>
        <v>#DIV/0!</v>
      </c>
      <c r="G258" s="86" t="e">
        <f t="shared" si="2308"/>
        <v>#DIV/0!</v>
      </c>
      <c r="H258" s="86" t="e">
        <f t="shared" si="2308"/>
        <v>#DIV/0!</v>
      </c>
      <c r="I258" s="86" t="e">
        <f t="shared" si="2308"/>
        <v>#DIV/0!</v>
      </c>
      <c r="J258" s="86" t="e">
        <f t="shared" si="2308"/>
        <v>#DIV/0!</v>
      </c>
      <c r="K258" s="86" t="e">
        <f t="shared" si="2308"/>
        <v>#DIV/0!</v>
      </c>
      <c r="L258" s="86" t="e">
        <f t="shared" si="2308"/>
        <v>#DIV/0!</v>
      </c>
      <c r="M258" s="86" t="e">
        <f t="shared" si="2308"/>
        <v>#DIV/0!</v>
      </c>
      <c r="N258" s="86" t="e">
        <f t="shared" si="2308"/>
        <v>#DIV/0!</v>
      </c>
      <c r="O258" s="86" t="e">
        <f t="shared" si="2308"/>
        <v>#DIV/0!</v>
      </c>
      <c r="P258" s="86" t="e">
        <f t="shared" si="2308"/>
        <v>#DIV/0!</v>
      </c>
      <c r="Q258" s="86" t="e">
        <f t="shared" si="2308"/>
        <v>#DIV/0!</v>
      </c>
      <c r="R258" s="86" t="e">
        <f t="shared" si="2308"/>
        <v>#DIV/0!</v>
      </c>
      <c r="S258" s="86" t="e">
        <f t="shared" si="2308"/>
        <v>#DIV/0!</v>
      </c>
      <c r="T258" s="86" t="e">
        <f t="shared" si="2308"/>
        <v>#DIV/0!</v>
      </c>
      <c r="U258" s="86" t="e">
        <f t="shared" si="2308"/>
        <v>#DIV/0!</v>
      </c>
      <c r="V258" s="86" t="e">
        <f t="shared" si="2308"/>
        <v>#DIV/0!</v>
      </c>
      <c r="W258" s="86" t="e">
        <f t="shared" si="2308"/>
        <v>#DIV/0!</v>
      </c>
      <c r="X258" s="86" t="e">
        <f t="shared" si="2308"/>
        <v>#DIV/0!</v>
      </c>
      <c r="Y258" s="86" t="e">
        <f t="shared" ref="Y258:Z258" si="2309">+Y257/Y256</f>
        <v>#DIV/0!</v>
      </c>
      <c r="Z258" s="86" t="e">
        <f t="shared" si="2309"/>
        <v>#DIV/0!</v>
      </c>
      <c r="AA258" s="86" t="e">
        <f t="shared" ref="AA258" si="2310">+AA257/AA256</f>
        <v>#DIV/0!</v>
      </c>
      <c r="AB258" s="87"/>
      <c r="AC258" s="87"/>
      <c r="AD258" s="87"/>
      <c r="AE258" s="87"/>
      <c r="AF258" s="86"/>
      <c r="AG258" s="86"/>
      <c r="AH258" s="86"/>
      <c r="AI258" s="86" t="e">
        <f t="shared" ref="AI258" si="2311">+AI257/AI256</f>
        <v>#DIV/0!</v>
      </c>
      <c r="AJ258" s="86" t="e">
        <f t="shared" ref="AJ258" si="2312">+AJ257/AJ256</f>
        <v>#DIV/0!</v>
      </c>
      <c r="AK258" s="86" t="e">
        <f t="shared" ref="AK258" si="2313">+AK257/AK256</f>
        <v>#DIV/0!</v>
      </c>
      <c r="AL258" s="86" t="e">
        <f t="shared" ref="AL258" si="2314">+AL257/AL256</f>
        <v>#DIV/0!</v>
      </c>
      <c r="AM258" s="86" t="e">
        <f t="shared" ref="AM258" si="2315">+AM257/AM256</f>
        <v>#DIV/0!</v>
      </c>
      <c r="AN258" s="86" t="e">
        <f t="shared" ref="AN258" si="2316">+AN257/AN256</f>
        <v>#DIV/0!</v>
      </c>
      <c r="AO258" s="86" t="e">
        <f t="shared" ref="AO258" si="2317">+AO257/AO256</f>
        <v>#DIV/0!</v>
      </c>
      <c r="AP258" s="86" t="e">
        <f t="shared" ref="AP258" si="2318">+AP257/AP256</f>
        <v>#DIV/0!</v>
      </c>
      <c r="AQ258" s="86" t="e">
        <f t="shared" ref="AQ258" si="2319">+AQ257/AQ256</f>
        <v>#DIV/0!</v>
      </c>
      <c r="AR258" s="86" t="e">
        <f t="shared" ref="AR258" si="2320">+AR257/AR256</f>
        <v>#DIV/0!</v>
      </c>
      <c r="AS258" s="86" t="e">
        <f t="shared" ref="AS258" si="2321">+AS257/AS256</f>
        <v>#DIV/0!</v>
      </c>
      <c r="AT258" s="86" t="e">
        <f t="shared" ref="AT258" si="2322">+AT257/AT256</f>
        <v>#DIV/0!</v>
      </c>
      <c r="AU258" s="86" t="e">
        <f t="shared" ref="AU258" si="2323">+AU257/AU256</f>
        <v>#DIV/0!</v>
      </c>
      <c r="AV258" s="86" t="e">
        <f t="shared" ref="AV258" si="2324">+AV257/AV256</f>
        <v>#DIV/0!</v>
      </c>
      <c r="AW258" s="86" t="e">
        <f t="shared" ref="AW258" si="2325">+AW257/AW256</f>
        <v>#DIV/0!</v>
      </c>
      <c r="AX258" s="86" t="e">
        <f t="shared" ref="AX258" si="2326">+AX257/AX256</f>
        <v>#DIV/0!</v>
      </c>
      <c r="AY258" s="86" t="e">
        <f t="shared" ref="AY258" si="2327">+AY257/AY256</f>
        <v>#DIV/0!</v>
      </c>
      <c r="AZ258" s="86" t="e">
        <f t="shared" ref="AZ258" si="2328">+AZ257/AZ256</f>
        <v>#DIV/0!</v>
      </c>
      <c r="BA258" s="86" t="e">
        <f t="shared" ref="BA258" si="2329">+BA257/BA256</f>
        <v>#DIV/0!</v>
      </c>
      <c r="BB258" s="86" t="e">
        <f t="shared" ref="BB258" si="2330">+BB257/BB256</f>
        <v>#DIV/0!</v>
      </c>
      <c r="BC258" s="86" t="e">
        <f t="shared" ref="BC258" si="2331">+BC257/BC256</f>
        <v>#DIV/0!</v>
      </c>
      <c r="BD258" s="86" t="e">
        <f t="shared" ref="BD258" si="2332">+BD257/BD256</f>
        <v>#DIV/0!</v>
      </c>
      <c r="BE258" s="86" t="e">
        <f t="shared" ref="BE258" si="2333">+BE257/BE256</f>
        <v>#DIV/0!</v>
      </c>
      <c r="BF258" s="86" t="e">
        <f t="shared" ref="BF258" si="2334">+BF257/BF256</f>
        <v>#DIV/0!</v>
      </c>
      <c r="BG258" s="86" t="e">
        <f t="shared" ref="BG258" si="2335">+BG257/BG256</f>
        <v>#DIV/0!</v>
      </c>
      <c r="BH258" s="86" t="e">
        <f t="shared" ref="BH258" si="2336">+BH257/BH256</f>
        <v>#DIV/0!</v>
      </c>
      <c r="BI258" s="86" t="e">
        <f t="shared" ref="BI258" si="2337">+BI257/BI256</f>
        <v>#DIV/0!</v>
      </c>
      <c r="BJ258" s="86" t="e">
        <f t="shared" ref="BJ258" si="2338">+BJ257/BJ256</f>
        <v>#DIV/0!</v>
      </c>
      <c r="BK258" s="86" t="e">
        <f t="shared" ref="BK258" si="2339">+BK257/BK256</f>
        <v>#DIV/0!</v>
      </c>
      <c r="BL258" s="86" t="e">
        <f t="shared" ref="BL258" si="2340">+BL257/BL256</f>
        <v>#DIV/0!</v>
      </c>
      <c r="BM258" s="86" t="e">
        <f t="shared" ref="BM258" si="2341">+BM257/BM256</f>
        <v>#DIV/0!</v>
      </c>
      <c r="BN258" s="86" t="e">
        <f t="shared" ref="BN258" si="2342">+BN257/BN256</f>
        <v>#DIV/0!</v>
      </c>
      <c r="BO258" s="86" t="e">
        <f t="shared" ref="BO258" si="2343">+BO257/BO256</f>
        <v>#DIV/0!</v>
      </c>
      <c r="BP258" s="86" t="e">
        <f t="shared" ref="BP258" si="2344">+BP257/BP256</f>
        <v>#DIV/0!</v>
      </c>
      <c r="BQ258" s="86" t="e">
        <f t="shared" ref="BQ258" si="2345">+BQ257/BQ256</f>
        <v>#DIV/0!</v>
      </c>
      <c r="BR258" s="86" t="e">
        <f t="shared" ref="BR258" si="2346">+BR257/BR256</f>
        <v>#DIV/0!</v>
      </c>
      <c r="BS258" s="86" t="e">
        <f t="shared" ref="BS258" si="2347">+BS257/BS256</f>
        <v>#DIV/0!</v>
      </c>
      <c r="BT258" s="86" t="e">
        <f t="shared" ref="BT258" si="2348">+BT257/BT256</f>
        <v>#DIV/0!</v>
      </c>
      <c r="BU258" s="86" t="e">
        <f t="shared" ref="BU258" si="2349">+BU257/BU256</f>
        <v>#DIV/0!</v>
      </c>
      <c r="BV258" s="86" t="e">
        <f t="shared" ref="BV258" si="2350">+BV257/BV256</f>
        <v>#DIV/0!</v>
      </c>
      <c r="BW258" s="86" t="e">
        <f t="shared" ref="BW258" si="2351">+BW257/BW256</f>
        <v>#DIV/0!</v>
      </c>
      <c r="BX258" s="86" t="e">
        <f t="shared" ref="BX258" si="2352">+BX257/BX256</f>
        <v>#DIV/0!</v>
      </c>
      <c r="BY258" s="86" t="e">
        <f t="shared" ref="BY258" si="2353">+BY257/BY256</f>
        <v>#DIV/0!</v>
      </c>
      <c r="BZ258" s="86" t="e">
        <f t="shared" ref="BZ258" si="2354">+BZ257/BZ256</f>
        <v>#DIV/0!</v>
      </c>
      <c r="CA258" s="86" t="e">
        <f t="shared" ref="CA258" si="2355">+CA257/CA256</f>
        <v>#DIV/0!</v>
      </c>
      <c r="CB258" s="86" t="e">
        <f t="shared" ref="CB258:CC258" si="2356">+CB257/CB256</f>
        <v>#DIV/0!</v>
      </c>
      <c r="CC258" s="86" t="e">
        <f t="shared" si="2356"/>
        <v>#DIV/0!</v>
      </c>
      <c r="CD258" s="86" t="e">
        <f t="shared" ref="CD258" si="2357">+CD257/CD256</f>
        <v>#DIV/0!</v>
      </c>
      <c r="CE258" s="86" t="e">
        <f t="shared" ref="CE258:CF258" si="2358">+CE257/CE256</f>
        <v>#DIV/0!</v>
      </c>
      <c r="CF258" s="86" t="e">
        <f t="shared" si="2358"/>
        <v>#DIV/0!</v>
      </c>
      <c r="CG258" s="86" t="e">
        <f t="shared" ref="CG258:CH258" si="2359">+CG257/CG256</f>
        <v>#DIV/0!</v>
      </c>
      <c r="CH258" s="86" t="e">
        <f t="shared" si="2359"/>
        <v>#DIV/0!</v>
      </c>
      <c r="CI258" s="86" t="e">
        <f t="shared" ref="CI258:CJ258" si="2360">+CI257/CI256</f>
        <v>#DIV/0!</v>
      </c>
      <c r="CJ258" s="86" t="e">
        <f t="shared" si="2360"/>
        <v>#DIV/0!</v>
      </c>
      <c r="CK258" s="86" t="e">
        <f t="shared" ref="CK258:DB258" si="2361">+CK257/CK256</f>
        <v>#DIV/0!</v>
      </c>
      <c r="CL258" s="86" t="e">
        <f t="shared" si="2361"/>
        <v>#DIV/0!</v>
      </c>
      <c r="CM258" s="47" t="e">
        <f t="shared" si="2361"/>
        <v>#DIV/0!</v>
      </c>
      <c r="CN258" s="47" t="e">
        <f t="shared" si="2361"/>
        <v>#DIV/0!</v>
      </c>
      <c r="CO258" s="47" t="e">
        <f t="shared" si="2361"/>
        <v>#DIV/0!</v>
      </c>
      <c r="CP258" s="47" t="e">
        <f t="shared" si="2361"/>
        <v>#DIV/0!</v>
      </c>
      <c r="CQ258" s="47" t="e">
        <f t="shared" si="2361"/>
        <v>#DIV/0!</v>
      </c>
      <c r="CR258" s="47" t="e">
        <f t="shared" si="2361"/>
        <v>#DIV/0!</v>
      </c>
      <c r="CS258" s="47" t="e">
        <f t="shared" si="2361"/>
        <v>#DIV/0!</v>
      </c>
      <c r="CT258" s="47" t="e">
        <f t="shared" si="2361"/>
        <v>#DIV/0!</v>
      </c>
      <c r="CU258" s="47" t="e">
        <f t="shared" si="2361"/>
        <v>#DIV/0!</v>
      </c>
      <c r="CV258" s="47" t="e">
        <f t="shared" si="2361"/>
        <v>#DIV/0!</v>
      </c>
      <c r="CW258" s="47" t="e">
        <f t="shared" si="2361"/>
        <v>#DIV/0!</v>
      </c>
      <c r="CX258" s="47" t="e">
        <f t="shared" si="2361"/>
        <v>#DIV/0!</v>
      </c>
      <c r="CY258" s="47" t="e">
        <f t="shared" si="2361"/>
        <v>#DIV/0!</v>
      </c>
      <c r="CZ258" s="47" t="e">
        <f t="shared" si="2361"/>
        <v>#DIV/0!</v>
      </c>
      <c r="DA258" s="47" t="e">
        <f t="shared" si="2361"/>
        <v>#DIV/0!</v>
      </c>
      <c r="DB258" s="47" t="e">
        <f t="shared" si="2361"/>
        <v>#DIV/0!</v>
      </c>
      <c r="DE258" s="130"/>
    </row>
    <row r="259" spans="1:110" s="64" customFormat="1" hidden="1" outlineLevel="1" x14ac:dyDescent="0.2">
      <c r="A259" s="64" t="s">
        <v>481</v>
      </c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2" customFormat="1" hidden="1" outlineLevel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11" customFormat="1" collapsed="1" x14ac:dyDescent="0.2"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2" customFormat="1" x14ac:dyDescent="0.2">
      <c r="A262" s="154" t="s">
        <v>497</v>
      </c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63"/>
      <c r="AC262" s="63"/>
      <c r="AD262" s="63"/>
      <c r="AE262" s="63"/>
      <c r="AL262" s="179"/>
      <c r="CF262" s="179"/>
      <c r="CG262" s="179"/>
      <c r="CH262" s="179"/>
      <c r="CI262" s="179"/>
      <c r="CJ262" s="179"/>
      <c r="CK262" s="179"/>
      <c r="CL262" s="179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4" customFormat="1" x14ac:dyDescent="0.2">
      <c r="A263" s="84" t="s">
        <v>512</v>
      </c>
      <c r="B263" s="84" t="e">
        <f>B27/B184</f>
        <v>#DIV/0!</v>
      </c>
      <c r="C263" s="84" t="e">
        <f>C27/C184</f>
        <v>#DIV/0!</v>
      </c>
      <c r="D263" s="84" t="e">
        <f>D27/D184</f>
        <v>#DIV/0!</v>
      </c>
      <c r="E263" s="84" t="e">
        <f t="shared" ref="E263:Y263" si="2362">E29/(E180+E167+E157)</f>
        <v>#DIV/0!</v>
      </c>
      <c r="F263" s="84" t="e">
        <f t="shared" si="2362"/>
        <v>#DIV/0!</v>
      </c>
      <c r="G263" s="84" t="e">
        <f t="shared" si="2362"/>
        <v>#DIV/0!</v>
      </c>
      <c r="H263" s="84" t="e">
        <f t="shared" si="2362"/>
        <v>#DIV/0!</v>
      </c>
      <c r="I263" s="84" t="e">
        <f t="shared" si="2362"/>
        <v>#DIV/0!</v>
      </c>
      <c r="J263" s="84" t="e">
        <f t="shared" si="2362"/>
        <v>#DIV/0!</v>
      </c>
      <c r="K263" s="84">
        <f t="shared" si="2362"/>
        <v>1.2728099266165607</v>
      </c>
      <c r="L263" s="84">
        <f t="shared" si="2362"/>
        <v>0.60651823840614405</v>
      </c>
      <c r="M263" s="84">
        <f t="shared" si="2362"/>
        <v>0.64816746260801561</v>
      </c>
      <c r="N263" s="84">
        <f t="shared" si="2362"/>
        <v>0.63206771000437412</v>
      </c>
      <c r="O263" s="84">
        <f t="shared" si="2362"/>
        <v>0.58356664771054489</v>
      </c>
      <c r="P263" s="84">
        <f t="shared" si="2362"/>
        <v>0.51360655978260383</v>
      </c>
      <c r="Q263" s="84">
        <f t="shared" si="2362"/>
        <v>0.53790573050529589</v>
      </c>
      <c r="R263" s="84">
        <f t="shared" si="2362"/>
        <v>0.55501429812389624</v>
      </c>
      <c r="S263" s="84">
        <f t="shared" si="2362"/>
        <v>0.649974901076116</v>
      </c>
      <c r="T263" s="84">
        <f t="shared" si="2362"/>
        <v>0.8303380100217953</v>
      </c>
      <c r="U263" s="84">
        <f t="shared" si="2362"/>
        <v>0.77743615286519474</v>
      </c>
      <c r="V263" s="84">
        <f t="shared" si="2362"/>
        <v>0.67997995214943141</v>
      </c>
      <c r="W263" s="84">
        <f t="shared" si="2362"/>
        <v>0.8193703655446164</v>
      </c>
      <c r="X263" s="84">
        <f t="shared" si="2362"/>
        <v>1.0087449175595555</v>
      </c>
      <c r="Y263" s="84">
        <f t="shared" si="2362"/>
        <v>1.0220921825295384</v>
      </c>
      <c r="Z263" s="84">
        <f>Z29/(Z180+Z167+Z157)</f>
        <v>1.0160826960950233</v>
      </c>
      <c r="AA263" s="84">
        <f>AA29/(AA180+AA167+AA157)</f>
        <v>0.8331384139545871</v>
      </c>
      <c r="AB263" s="50">
        <f t="shared" ref="AB263:AE263" si="2363">AB29/(AB180+AB167+AB157)</f>
        <v>0.83803968401266771</v>
      </c>
      <c r="AC263" s="50">
        <f t="shared" si="2363"/>
        <v>0.86309645669215163</v>
      </c>
      <c r="AD263" s="50">
        <f t="shared" si="2363"/>
        <v>0.87977575099265526</v>
      </c>
      <c r="AE263" s="50">
        <f t="shared" si="2363"/>
        <v>0.8912269646358294</v>
      </c>
      <c r="AL263" s="84">
        <f>SUM(AI29:AL29)/(AL180+AL167+AL157)</f>
        <v>0.52605830017920974</v>
      </c>
      <c r="AM263" s="84">
        <f t="shared" ref="AM263:CL263" si="2364">SUM(AJ29:AM29)/(AM180+AM167+AM157)</f>
        <v>0.5088102719628953</v>
      </c>
      <c r="AN263" s="84">
        <f t="shared" si="2364"/>
        <v>0.63814358230601909</v>
      </c>
      <c r="AO263" s="84">
        <f t="shared" si="2364"/>
        <v>0.6188709462219093</v>
      </c>
      <c r="AP263" s="84">
        <f t="shared" si="2364"/>
        <v>0.48306600522907456</v>
      </c>
      <c r="AQ263" s="84">
        <f t="shared" si="2364"/>
        <v>0.48017631518339149</v>
      </c>
      <c r="AR263" s="84">
        <f t="shared" si="2364"/>
        <v>0.69609852820736329</v>
      </c>
      <c r="AS263" s="84">
        <f t="shared" si="2364"/>
        <v>0.69618271009052368</v>
      </c>
      <c r="AT263" s="84">
        <f t="shared" si="2364"/>
        <v>0.41311478692476061</v>
      </c>
      <c r="AU263" s="84">
        <f t="shared" si="2364"/>
        <v>0.4648650360297088</v>
      </c>
      <c r="AV263" s="84">
        <f t="shared" si="2364"/>
        <v>0.73631330966779263</v>
      </c>
      <c r="AW263" s="84">
        <f t="shared" si="2364"/>
        <v>0.67038560815987003</v>
      </c>
      <c r="AX263" s="84">
        <f t="shared" si="2364"/>
        <v>0.43613460460055714</v>
      </c>
      <c r="AY263" s="84">
        <f t="shared" si="2364"/>
        <v>0.38880180635090689</v>
      </c>
      <c r="AZ263" s="84">
        <f t="shared" si="2364"/>
        <v>0.52489572892754377</v>
      </c>
      <c r="BA263" s="84">
        <f t="shared" si="2364"/>
        <v>0.54791045124933901</v>
      </c>
      <c r="BB263" s="84">
        <f t="shared" si="2364"/>
        <v>0.44672307775639924</v>
      </c>
      <c r="BC263" s="84">
        <f t="shared" si="2364"/>
        <v>0.45678658143787171</v>
      </c>
      <c r="BD263" s="84">
        <f t="shared" si="2364"/>
        <v>0.54056889717882961</v>
      </c>
      <c r="BE263" s="84">
        <f t="shared" si="2364"/>
        <v>0.59703826342697763</v>
      </c>
      <c r="BF263" s="84">
        <f t="shared" si="2364"/>
        <v>0.55701002704084246</v>
      </c>
      <c r="BG263" s="84">
        <f t="shared" si="2364"/>
        <v>0.65311273932902958</v>
      </c>
      <c r="BH263" s="84">
        <f t="shared" si="2364"/>
        <v>0.86603702940223726</v>
      </c>
      <c r="BI263" s="84">
        <f t="shared" si="2364"/>
        <v>0.9262495921187478</v>
      </c>
      <c r="BJ263" s="84">
        <f t="shared" si="2364"/>
        <v>0.83033814505048698</v>
      </c>
      <c r="BK263" s="84">
        <f t="shared" si="2364"/>
        <v>0.85459070066566944</v>
      </c>
      <c r="BL263" s="84">
        <f t="shared" si="2364"/>
        <v>0.85322342130374162</v>
      </c>
      <c r="BM263" s="84">
        <f t="shared" si="2364"/>
        <v>0.84200432780116252</v>
      </c>
      <c r="BN263" s="84">
        <f t="shared" si="2364"/>
        <v>0.77743617449493918</v>
      </c>
      <c r="BO263" s="84">
        <f t="shared" si="2364"/>
        <v>0.71220921398709791</v>
      </c>
      <c r="BP263" s="84">
        <f t="shared" si="2364"/>
        <v>0.67051386813676339</v>
      </c>
      <c r="BQ263" s="84">
        <f t="shared" si="2364"/>
        <v>0.65061735831239131</v>
      </c>
      <c r="BR263" s="84">
        <f t="shared" si="2364"/>
        <v>0.67998020695970229</v>
      </c>
      <c r="BS263" s="84">
        <f t="shared" si="2364"/>
        <v>0.77451280466483641</v>
      </c>
      <c r="BT263" s="84">
        <f t="shared" si="2364"/>
        <v>0.81439218559218551</v>
      </c>
      <c r="BU263" s="84">
        <f t="shared" si="2364"/>
        <v>0.84200263806222275</v>
      </c>
      <c r="BV263" s="84">
        <f t="shared" si="2364"/>
        <v>0.81937074708380264</v>
      </c>
      <c r="BW263" s="84">
        <f t="shared" si="2364"/>
        <v>0.86586611555689907</v>
      </c>
      <c r="BX263" s="84">
        <f t="shared" si="2364"/>
        <v>0.87560611079055706</v>
      </c>
      <c r="BY263" s="84">
        <f t="shared" si="2364"/>
        <v>0.93174449578667751</v>
      </c>
      <c r="BZ263" s="84">
        <f t="shared" si="2364"/>
        <v>1.0087330549715579</v>
      </c>
      <c r="CA263" s="84">
        <f t="shared" si="2364"/>
        <v>1.0725982298723922</v>
      </c>
      <c r="CB263" s="84">
        <f t="shared" si="2364"/>
        <v>1.0297705857670703</v>
      </c>
      <c r="CC263" s="84">
        <f t="shared" si="2364"/>
        <v>1.0226812889533783</v>
      </c>
      <c r="CD263" s="84">
        <f t="shared" si="2364"/>
        <v>1.0220920081737361</v>
      </c>
      <c r="CE263" s="84">
        <f t="shared" si="2364"/>
        <v>1.0389427588699696</v>
      </c>
      <c r="CF263" s="84">
        <f t="shared" si="2364"/>
        <v>1.0461614864701181</v>
      </c>
      <c r="CG263" s="84">
        <f t="shared" si="2364"/>
        <v>1.0094236687285056</v>
      </c>
      <c r="CH263" s="84">
        <f t="shared" si="2364"/>
        <v>1.0160824619396835</v>
      </c>
      <c r="CI263" s="84">
        <f t="shared" si="2364"/>
        <v>0.99332726991556908</v>
      </c>
      <c r="CJ263" s="84">
        <f t="shared" si="2364"/>
        <v>0.89223989141545323</v>
      </c>
      <c r="CK263" s="84">
        <f t="shared" ref="CK263" si="2365">SUM(CH29:CK29)/(CK180+CK167+CK157)</f>
        <v>0.84255645410167113</v>
      </c>
      <c r="CL263" s="84">
        <f t="shared" si="2364"/>
        <v>0.83313833875795373</v>
      </c>
      <c r="CM263" s="50">
        <f t="shared" ref="CM263:DB263" si="2366">SUM(CJ29:CM29)/(CM180+CM167+CM157)</f>
        <v>0.87276783882161479</v>
      </c>
      <c r="CN263" s="50">
        <f t="shared" si="2366"/>
        <v>0.86863721599007337</v>
      </c>
      <c r="CO263" s="50">
        <f t="shared" si="2366"/>
        <v>0.82854553278926379</v>
      </c>
      <c r="CP263" s="50">
        <f t="shared" si="2366"/>
        <v>0.83803968401266771</v>
      </c>
      <c r="CQ263" s="50">
        <f t="shared" si="2366"/>
        <v>0.86685276794860122</v>
      </c>
      <c r="CR263" s="50">
        <f t="shared" si="2366"/>
        <v>0.89045798816380073</v>
      </c>
      <c r="CS263" s="50">
        <f t="shared" si="2366"/>
        <v>0.86547540831594882</v>
      </c>
      <c r="CT263" s="50">
        <f t="shared" si="2366"/>
        <v>0.86309645669215163</v>
      </c>
      <c r="CU263" s="50">
        <f t="shared" si="2366"/>
        <v>0.8882908668269911</v>
      </c>
      <c r="CV263" s="50">
        <f t="shared" si="2366"/>
        <v>0.91180838820375265</v>
      </c>
      <c r="CW263" s="50">
        <f t="shared" si="2366"/>
        <v>0.88381753965252974</v>
      </c>
      <c r="CX263" s="50">
        <f t="shared" si="2366"/>
        <v>0.87977575099265526</v>
      </c>
      <c r="CY263" s="50">
        <f t="shared" si="2366"/>
        <v>0.90467686620424681</v>
      </c>
      <c r="CZ263" s="50">
        <f t="shared" si="2366"/>
        <v>0.92773108102492741</v>
      </c>
      <c r="DA263" s="50">
        <f t="shared" si="2366"/>
        <v>0.89695100716938125</v>
      </c>
      <c r="DB263" s="50">
        <f t="shared" si="2366"/>
        <v>0.8912269646358294</v>
      </c>
      <c r="DE263" s="138"/>
      <c r="DF263" s="84">
        <v>0.8331384139545871</v>
      </c>
    </row>
    <row r="264" spans="1:110" s="84" customFormat="1" x14ac:dyDescent="0.2">
      <c r="A264" s="84" t="s">
        <v>513</v>
      </c>
      <c r="E264" s="180" t="e">
        <f>+E61</f>
        <v>#DIV/0!</v>
      </c>
      <c r="F264" s="180" t="e">
        <f t="shared" ref="F264:AE264" si="2367">+F61</f>
        <v>#DIV/0!</v>
      </c>
      <c r="G264" s="180" t="e">
        <f t="shared" si="2367"/>
        <v>#DIV/0!</v>
      </c>
      <c r="H264" s="180" t="e">
        <f t="shared" si="2367"/>
        <v>#DIV/0!</v>
      </c>
      <c r="I264" s="180" t="e">
        <f t="shared" si="2367"/>
        <v>#DIV/0!</v>
      </c>
      <c r="J264" s="180" t="e">
        <f t="shared" si="2367"/>
        <v>#DIV/0!</v>
      </c>
      <c r="K264" s="180">
        <f t="shared" si="2367"/>
        <v>9.5494134184872181E-2</v>
      </c>
      <c r="L264" s="180">
        <f t="shared" si="2367"/>
        <v>9.6918134068725417E-2</v>
      </c>
      <c r="M264" s="180">
        <f t="shared" si="2367"/>
        <v>5.4544535574432368E-2</v>
      </c>
      <c r="N264" s="180">
        <f t="shared" si="2367"/>
        <v>2.6686025711189703E-2</v>
      </c>
      <c r="O264" s="180">
        <f t="shared" si="2367"/>
        <v>-4.8810464013942824E-3</v>
      </c>
      <c r="P264" s="180">
        <f t="shared" si="2367"/>
        <v>-5.2332710931721309E-3</v>
      </c>
      <c r="Q264" s="180">
        <f t="shared" si="2367"/>
        <v>5.772092997533881E-4</v>
      </c>
      <c r="R264" s="180">
        <f t="shared" si="2367"/>
        <v>6.0842519620667671E-3</v>
      </c>
      <c r="S264" s="180">
        <f t="shared" si="2367"/>
        <v>1.1382276525603394E-2</v>
      </c>
      <c r="T264" s="180">
        <f t="shared" si="2367"/>
        <v>3.2854101463517069E-2</v>
      </c>
      <c r="U264" s="180">
        <f t="shared" si="2367"/>
        <v>4.930862522083012E-2</v>
      </c>
      <c r="V264" s="180">
        <f t="shared" si="2367"/>
        <v>3.0733542118908389E-2</v>
      </c>
      <c r="W264" s="180">
        <f t="shared" si="2367"/>
        <v>2.8265746525352457E-2</v>
      </c>
      <c r="X264" s="180">
        <f t="shared" si="2367"/>
        <v>2.6711711414992245E-2</v>
      </c>
      <c r="Y264" s="180">
        <f t="shared" si="2367"/>
        <v>7.6043003422404942E-2</v>
      </c>
      <c r="Z264" s="180">
        <f t="shared" si="2367"/>
        <v>6.8739739373977704E-2</v>
      </c>
      <c r="AA264" s="180">
        <f t="shared" ref="AA264" si="2368">+AA61</f>
        <v>5.0627786325213676E-2</v>
      </c>
      <c r="AB264" s="181">
        <f t="shared" si="2367"/>
        <v>5.6763312678040453E-2</v>
      </c>
      <c r="AC264" s="181">
        <f t="shared" si="2367"/>
        <v>6.4283262652130191E-2</v>
      </c>
      <c r="AD264" s="181">
        <f t="shared" si="2367"/>
        <v>6.8689231262897874E-2</v>
      </c>
      <c r="AE264" s="181">
        <f t="shared" si="2367"/>
        <v>7.363368780905126E-2</v>
      </c>
      <c r="AL264" s="180">
        <f t="shared" ref="AL264:CW264" si="2369">+AL61</f>
        <v>3.8660503841562263E-2</v>
      </c>
      <c r="AM264" s="180">
        <f t="shared" si="2369"/>
        <v>5.576590086246181E-2</v>
      </c>
      <c r="AN264" s="180">
        <f t="shared" si="2369"/>
        <v>4.4770170572397634E-2</v>
      </c>
      <c r="AO264" s="180">
        <f t="shared" si="2369"/>
        <v>2.7632033036774511E-2</v>
      </c>
      <c r="AP264" s="180">
        <f t="shared" si="2369"/>
        <v>3.564147318089167E-2</v>
      </c>
      <c r="AQ264" s="180">
        <f t="shared" si="2369"/>
        <v>3.860513284656291E-2</v>
      </c>
      <c r="AR264" s="180">
        <f t="shared" si="2369"/>
        <v>5.0007540719887368E-2</v>
      </c>
      <c r="AS264" s="180">
        <f t="shared" si="2369"/>
        <v>5.7329965174437184E-2</v>
      </c>
      <c r="AT264" s="180">
        <f t="shared" si="2369"/>
        <v>4.6247156937073527E-2</v>
      </c>
      <c r="AU264" s="180">
        <f t="shared" si="2369"/>
        <v>4.8791751583724015E-2</v>
      </c>
      <c r="AV264" s="180">
        <f t="shared" si="2369"/>
        <v>5.4018112523495039E-2</v>
      </c>
      <c r="AW264" s="180">
        <f t="shared" si="2369"/>
        <v>3.9432908385755805E-2</v>
      </c>
      <c r="AX264" s="180">
        <f t="shared" si="2369"/>
        <v>7.7695961865402813E-2</v>
      </c>
      <c r="AY264" s="180">
        <f t="shared" si="2369"/>
        <v>5.1415127521709653E-2</v>
      </c>
      <c r="AZ264" s="180">
        <f t="shared" si="2369"/>
        <v>6.1481342583911545E-2</v>
      </c>
      <c r="BA264" s="180">
        <f t="shared" si="2369"/>
        <v>5.933799190879005E-2</v>
      </c>
      <c r="BB264" s="180">
        <f t="shared" si="2369"/>
        <v>9.1376200174570793E-2</v>
      </c>
      <c r="BC264" s="180">
        <f t="shared" si="2369"/>
        <v>4.5517014301461822E-2</v>
      </c>
      <c r="BD264" s="180">
        <f t="shared" si="2369"/>
        <v>4.7154459237505643E-2</v>
      </c>
      <c r="BE264" s="180">
        <f t="shared" si="2369"/>
        <v>5.2040724645219825E-2</v>
      </c>
      <c r="BF264" s="180">
        <f t="shared" si="2369"/>
        <v>6.4448776755298101E-2</v>
      </c>
      <c r="BG264" s="180">
        <f t="shared" si="2369"/>
        <v>2.8342954823662305E-2</v>
      </c>
      <c r="BH264" s="180">
        <f t="shared" si="2369"/>
        <v>2.4897639284893844E-2</v>
      </c>
      <c r="BI264" s="180">
        <f t="shared" si="2369"/>
        <v>4.1157897583600313E-2</v>
      </c>
      <c r="BJ264" s="180">
        <f t="shared" si="2369"/>
        <v>3.6182430663431797E-2</v>
      </c>
      <c r="BK264" s="180">
        <f t="shared" si="2369"/>
        <v>3.6303436001125455E-2</v>
      </c>
      <c r="BL264" s="180">
        <f t="shared" si="2369"/>
        <v>0.1053442174232451</v>
      </c>
      <c r="BM264" s="180">
        <f t="shared" si="2369"/>
        <v>3.4608781212662816E-2</v>
      </c>
      <c r="BN264" s="180">
        <f t="shared" si="2369"/>
        <v>2.6987059723821219E-2</v>
      </c>
      <c r="BO264" s="180">
        <f t="shared" si="2369"/>
        <v>-1.6193419023762989E-2</v>
      </c>
      <c r="BP264" s="180">
        <f t="shared" si="2369"/>
        <v>3.3504329660702929E-2</v>
      </c>
      <c r="BQ264" s="180">
        <f t="shared" si="2369"/>
        <v>3.0750380496250788E-2</v>
      </c>
      <c r="BR264" s="180">
        <f t="shared" si="2369"/>
        <v>4.9330708141178854E-2</v>
      </c>
      <c r="BS264" s="180">
        <f t="shared" si="2369"/>
        <v>5.0523469458503757E-2</v>
      </c>
      <c r="BT264" s="180">
        <f t="shared" si="2369"/>
        <v>3.6200586636527497E-2</v>
      </c>
      <c r="BU264" s="180">
        <f t="shared" si="2369"/>
        <v>1.9590670231404064E-4</v>
      </c>
      <c r="BV264" s="180">
        <f t="shared" si="2369"/>
        <v>3.0690949394191206E-2</v>
      </c>
      <c r="BW264" s="180">
        <f t="shared" si="2369"/>
        <v>-4.4504755223846084E-3</v>
      </c>
      <c r="BX264" s="180">
        <f t="shared" si="2369"/>
        <v>1.1393481948985335E-2</v>
      </c>
      <c r="BY264" s="180">
        <f t="shared" si="2369"/>
        <v>2.7782409256408444E-2</v>
      </c>
      <c r="BZ264" s="180">
        <f t="shared" si="2369"/>
        <v>5.7377570551012037E-2</v>
      </c>
      <c r="CA264" s="180">
        <f t="shared" si="2369"/>
        <v>5.5373654829010882E-2</v>
      </c>
      <c r="CB264" s="180">
        <f t="shared" si="2369"/>
        <v>6.5182155127309127E-2</v>
      </c>
      <c r="CC264" s="180">
        <f t="shared" si="2369"/>
        <v>9.0787098507979974E-2</v>
      </c>
      <c r="CD264" s="180">
        <f t="shared" si="2369"/>
        <v>8.8413982260431068E-2</v>
      </c>
      <c r="CE264" s="180">
        <f t="shared" si="2369"/>
        <v>8.3254371259424739E-2</v>
      </c>
      <c r="CF264" s="180">
        <f t="shared" si="2369"/>
        <v>8.4085916524286125E-2</v>
      </c>
      <c r="CG264" s="180">
        <f t="shared" si="2369"/>
        <v>8.9537685200994171E-2</v>
      </c>
      <c r="CH264" s="180">
        <f t="shared" si="2369"/>
        <v>6.9204155677397988E-2</v>
      </c>
      <c r="CI264" s="180">
        <f t="shared" si="2369"/>
        <v>6.6818575751344103E-2</v>
      </c>
      <c r="CJ264" s="180">
        <f t="shared" si="2369"/>
        <v>3.0501228269085495E-2</v>
      </c>
      <c r="CK264" s="180">
        <f t="shared" si="2369"/>
        <v>4.9550816137039135E-2</v>
      </c>
      <c r="CL264" s="180">
        <f t="shared" ref="CL264" si="2370">+CL61</f>
        <v>2.7374673031932733E-2</v>
      </c>
      <c r="CM264" s="181">
        <f t="shared" si="2369"/>
        <v>3.8857060602461101E-2</v>
      </c>
      <c r="CN264" s="181">
        <f t="shared" si="2369"/>
        <v>5.5153608178850524E-2</v>
      </c>
      <c r="CO264" s="181">
        <f t="shared" si="2369"/>
        <v>6.6114301304317238E-2</v>
      </c>
      <c r="CP264" s="181">
        <f t="shared" si="2369"/>
        <v>6.3963032295156541E-2</v>
      </c>
      <c r="CQ264" s="181">
        <f t="shared" si="2369"/>
        <v>5.9051522356127158E-2</v>
      </c>
      <c r="CR264" s="181">
        <f t="shared" si="2369"/>
        <v>5.8738586889585907E-2</v>
      </c>
      <c r="CS264" s="181">
        <f t="shared" si="2369"/>
        <v>6.9861628978984194E-2</v>
      </c>
      <c r="CT264" s="181">
        <f t="shared" si="2369"/>
        <v>6.7661069460428006E-2</v>
      </c>
      <c r="CU264" s="181">
        <f t="shared" si="2369"/>
        <v>6.3293234101411494E-2</v>
      </c>
      <c r="CV264" s="181">
        <f t="shared" si="2369"/>
        <v>6.3658448525766992E-2</v>
      </c>
      <c r="CW264" s="181">
        <f t="shared" si="2369"/>
        <v>7.4176075464462199E-2</v>
      </c>
      <c r="CX264" s="181">
        <f t="shared" ref="CX264:DB264" si="2371">+CX61</f>
        <v>7.1883187615807601E-2</v>
      </c>
      <c r="CY264" s="181">
        <f t="shared" si="2371"/>
        <v>6.8118161984365669E-2</v>
      </c>
      <c r="CZ264" s="181">
        <f t="shared" si="2371"/>
        <v>6.9226220038465319E-2</v>
      </c>
      <c r="DA264" s="181">
        <f t="shared" si="2371"/>
        <v>7.8988045533724849E-2</v>
      </c>
      <c r="DB264" s="181">
        <f t="shared" si="2371"/>
        <v>7.6564601396923351E-2</v>
      </c>
      <c r="DE264" s="138"/>
      <c r="DF264" s="84">
        <v>5.0627786325213676E-2</v>
      </c>
    </row>
    <row r="265" spans="1:110" s="84" customFormat="1" x14ac:dyDescent="0.2">
      <c r="A265" s="84" t="s">
        <v>514</v>
      </c>
      <c r="E265" s="84" t="e">
        <f>(E180+E167+E157+E159)/E139</f>
        <v>#DIV/0!</v>
      </c>
      <c r="F265" s="84" t="e">
        <f t="shared" ref="F265:AE265" si="2372">(F180+F167+F157+F159)/F139</f>
        <v>#DIV/0!</v>
      </c>
      <c r="G265" s="84" t="e">
        <f t="shared" si="2372"/>
        <v>#DIV/0!</v>
      </c>
      <c r="H265" s="84" t="e">
        <f t="shared" si="2372"/>
        <v>#DIV/0!</v>
      </c>
      <c r="I265" s="84" t="e">
        <f t="shared" si="2372"/>
        <v>#DIV/0!</v>
      </c>
      <c r="J265" s="84" t="e">
        <f t="shared" si="2372"/>
        <v>#DIV/0!</v>
      </c>
      <c r="K265" s="84">
        <f t="shared" si="2372"/>
        <v>1.6034387658749902</v>
      </c>
      <c r="L265" s="84">
        <f t="shared" si="2372"/>
        <v>1.879029500480154</v>
      </c>
      <c r="M265" s="84">
        <f t="shared" si="2372"/>
        <v>2.5050829707264191</v>
      </c>
      <c r="N265" s="84">
        <f t="shared" si="2372"/>
        <v>2.9210453233940146</v>
      </c>
      <c r="O265" s="84">
        <f t="shared" si="2372"/>
        <v>3.1991621504398093</v>
      </c>
      <c r="P265" s="84">
        <f t="shared" si="2372"/>
        <v>2.9683068842162053</v>
      </c>
      <c r="Q265" s="84">
        <f t="shared" si="2372"/>
        <v>2.8006386545146182</v>
      </c>
      <c r="R265" s="84">
        <f t="shared" si="2372"/>
        <v>2.3868437261395576</v>
      </c>
      <c r="S265" s="84">
        <f t="shared" si="2372"/>
        <v>2.4009388513966514</v>
      </c>
      <c r="T265" s="84">
        <f t="shared" si="2372"/>
        <v>2.3528525211888804</v>
      </c>
      <c r="U265" s="84">
        <f t="shared" si="2372"/>
        <v>2.2298557639848497</v>
      </c>
      <c r="V265" s="84">
        <f t="shared" si="2372"/>
        <v>2.2647992675047246</v>
      </c>
      <c r="W265" s="84">
        <f t="shared" si="2372"/>
        <v>2.2328636894664853</v>
      </c>
      <c r="X265" s="84">
        <f t="shared" si="2372"/>
        <v>2.257671914173176</v>
      </c>
      <c r="Y265" s="84">
        <f t="shared" si="2372"/>
        <v>2.0487505450629704</v>
      </c>
      <c r="Z265" s="84">
        <f t="shared" si="2372"/>
        <v>1.8110030870848601</v>
      </c>
      <c r="AA265" s="84">
        <f t="shared" ref="AA265" si="2373">(AA180+AA167+AA157+AA159)/AA139</f>
        <v>1.7155639199898511</v>
      </c>
      <c r="AB265" s="50">
        <f t="shared" si="2372"/>
        <v>1.6309726872931389</v>
      </c>
      <c r="AC265" s="50">
        <f t="shared" si="2372"/>
        <v>1.5738846424449171</v>
      </c>
      <c r="AD265" s="50">
        <f t="shared" si="2372"/>
        <v>1.5218747971726907</v>
      </c>
      <c r="AE265" s="50">
        <f t="shared" si="2372"/>
        <v>1.4745843523818092</v>
      </c>
      <c r="AL265" s="84">
        <f t="shared" ref="AL265:CW265" si="2374">(AL180+AL167+AL157+AL159)/AL139</f>
        <v>2.9210386395054933</v>
      </c>
      <c r="AM265" s="84">
        <f t="shared" si="2374"/>
        <v>2.9629705247013778</v>
      </c>
      <c r="AN265" s="84">
        <f t="shared" si="2374"/>
        <v>2.3407895855021348</v>
      </c>
      <c r="AO265" s="84">
        <f t="shared" si="2374"/>
        <v>2.3702640449829611</v>
      </c>
      <c r="AP265" s="84">
        <f t="shared" si="2374"/>
        <v>3.1991547985360302</v>
      </c>
      <c r="AQ265" s="84">
        <f t="shared" si="2374"/>
        <v>3.1363222786857445</v>
      </c>
      <c r="AR265" s="84">
        <f t="shared" si="2374"/>
        <v>2.2954275882906705</v>
      </c>
      <c r="AS265" s="84">
        <f t="shared" si="2374"/>
        <v>2.284183326017609</v>
      </c>
      <c r="AT265" s="84">
        <f t="shared" si="2374"/>
        <v>2.9458098964326811</v>
      </c>
      <c r="AU265" s="84">
        <f t="shared" si="2374"/>
        <v>2.9002674387429441</v>
      </c>
      <c r="AV265" s="84">
        <f t="shared" si="2374"/>
        <v>2.3760639884869867</v>
      </c>
      <c r="AW265" s="84">
        <f t="shared" si="2374"/>
        <v>2.3662474720844702</v>
      </c>
      <c r="AX265" s="84">
        <f t="shared" si="2374"/>
        <v>2.8006352528224241</v>
      </c>
      <c r="AY265" s="84">
        <f t="shared" si="2374"/>
        <v>2.7477926967649995</v>
      </c>
      <c r="AZ265" s="84">
        <f t="shared" si="2374"/>
        <v>2.0534574350183972</v>
      </c>
      <c r="BA265" s="84">
        <f t="shared" si="2374"/>
        <v>2.0364960350645842</v>
      </c>
      <c r="BB265" s="84">
        <f t="shared" si="2374"/>
        <v>2.3868428967683726</v>
      </c>
      <c r="BC265" s="84">
        <f t="shared" si="2374"/>
        <v>2.3545695844963928</v>
      </c>
      <c r="BD265" s="84">
        <f t="shared" si="2374"/>
        <v>2.008778035781654</v>
      </c>
      <c r="BE265" s="84">
        <f t="shared" si="2374"/>
        <v>2.0187792430542437</v>
      </c>
      <c r="BF265" s="84">
        <f t="shared" si="2374"/>
        <v>2.4009369769303546</v>
      </c>
      <c r="BG265" s="84">
        <f t="shared" si="2374"/>
        <v>2.3902326539320304</v>
      </c>
      <c r="BH265" s="84">
        <f t="shared" si="2374"/>
        <v>2.0670112608454865</v>
      </c>
      <c r="BI265" s="84">
        <f t="shared" si="2374"/>
        <v>2.042976499057219</v>
      </c>
      <c r="BJ265" s="84">
        <f t="shared" si="2374"/>
        <v>2.3528530679553543</v>
      </c>
      <c r="BK265" s="84">
        <f t="shared" si="2374"/>
        <v>2.2939630273175502</v>
      </c>
      <c r="BL265" s="84">
        <f t="shared" si="2374"/>
        <v>2.1709725733882608</v>
      </c>
      <c r="BM265" s="84">
        <f t="shared" si="2374"/>
        <v>2.1755109533321568</v>
      </c>
      <c r="BN265" s="84">
        <f t="shared" si="2374"/>
        <v>2.2298558438678198</v>
      </c>
      <c r="BO265" s="84">
        <f t="shared" si="2374"/>
        <v>2.1414054003814722</v>
      </c>
      <c r="BP265" s="84">
        <f t="shared" si="2374"/>
        <v>2.2079109759567506</v>
      </c>
      <c r="BQ265" s="84">
        <f t="shared" si="2374"/>
        <v>2.2250821240448628</v>
      </c>
      <c r="BR265" s="84">
        <f t="shared" si="2374"/>
        <v>2.2648005235549609</v>
      </c>
      <c r="BS265" s="84">
        <f t="shared" si="2374"/>
        <v>2.1733320043556703</v>
      </c>
      <c r="BT265" s="84">
        <f t="shared" si="2374"/>
        <v>2.1509860437735684</v>
      </c>
      <c r="BU265" s="84">
        <f t="shared" si="2374"/>
        <v>2.1772361520242853</v>
      </c>
      <c r="BV265" s="84">
        <f t="shared" si="2374"/>
        <v>2.2328636725338056</v>
      </c>
      <c r="BW265" s="84">
        <f t="shared" si="2374"/>
        <v>2.2061704669378117</v>
      </c>
      <c r="BX265" s="84">
        <f t="shared" si="2374"/>
        <v>2.3554108941038301</v>
      </c>
      <c r="BY265" s="84">
        <f t="shared" si="2374"/>
        <v>2.3918372109550927</v>
      </c>
      <c r="BZ265" s="84">
        <f t="shared" si="2374"/>
        <v>2.2576695636365471</v>
      </c>
      <c r="CA265" s="84">
        <f t="shared" si="2374"/>
        <v>2.1619880475254125</v>
      </c>
      <c r="CB265" s="84">
        <f t="shared" si="2374"/>
        <v>2.2018002117114523</v>
      </c>
      <c r="CC265" s="84">
        <f t="shared" si="2374"/>
        <v>2.1442126093358054</v>
      </c>
      <c r="CD265" s="84">
        <f t="shared" si="2374"/>
        <v>2.0487510068530401</v>
      </c>
      <c r="CE265" s="84">
        <f t="shared" si="2374"/>
        <v>1.9797243363524228</v>
      </c>
      <c r="CF265" s="84">
        <f t="shared" si="2374"/>
        <v>1.9052222970774384</v>
      </c>
      <c r="CG265" s="84">
        <f t="shared" si="2374"/>
        <v>1.8531156295635605</v>
      </c>
      <c r="CH265" s="84">
        <f t="shared" si="2374"/>
        <v>1.8110030870848601</v>
      </c>
      <c r="CI265" s="84">
        <f t="shared" si="2374"/>
        <v>1.7131167697940799</v>
      </c>
      <c r="CJ265" s="84">
        <f t="shared" si="2374"/>
        <v>1.7445218080743792</v>
      </c>
      <c r="CK265" s="84">
        <f t="shared" si="2374"/>
        <v>1.7763202116279007</v>
      </c>
      <c r="CL265" s="84">
        <f t="shared" ref="CL265" si="2375">(CL180+CL167+CL157+CL159)/CL139</f>
        <v>1.7155653144842149</v>
      </c>
      <c r="CM265" s="50">
        <f t="shared" si="2374"/>
        <v>1.6383280216745277</v>
      </c>
      <c r="CN265" s="50">
        <f t="shared" si="2374"/>
        <v>1.5989615423932624</v>
      </c>
      <c r="CO265" s="50">
        <f t="shared" si="2374"/>
        <v>1.6340324291271586</v>
      </c>
      <c r="CP265" s="50">
        <f t="shared" si="2374"/>
        <v>1.6309726872931389</v>
      </c>
      <c r="CQ265" s="50">
        <f t="shared" si="2374"/>
        <v>1.5821826713979028</v>
      </c>
      <c r="CR265" s="50">
        <f t="shared" si="2374"/>
        <v>1.5386094105958776</v>
      </c>
      <c r="CS265" s="50">
        <f t="shared" si="2374"/>
        <v>1.5754072077856789</v>
      </c>
      <c r="CT265" s="50">
        <f t="shared" si="2374"/>
        <v>1.5738846424449171</v>
      </c>
      <c r="CU265" s="50">
        <f t="shared" si="2374"/>
        <v>1.5263237215923875</v>
      </c>
      <c r="CV265" s="50">
        <f t="shared" si="2374"/>
        <v>1.4838859860479368</v>
      </c>
      <c r="CW265" s="50">
        <f t="shared" si="2374"/>
        <v>1.5220421888865496</v>
      </c>
      <c r="CX265" s="50">
        <f t="shared" ref="CX265:DB265" si="2376">(CX180+CX167+CX157+CX159)/CX139</f>
        <v>1.5218747971726907</v>
      </c>
      <c r="CY265" s="50">
        <f t="shared" si="2376"/>
        <v>1.475617383171312</v>
      </c>
      <c r="CZ265" s="50">
        <f t="shared" si="2376"/>
        <v>1.4343924784449291</v>
      </c>
      <c r="DA265" s="50">
        <f t="shared" si="2376"/>
        <v>1.4735540171510393</v>
      </c>
      <c r="DB265" s="50">
        <f t="shared" si="2376"/>
        <v>1.4745843523818092</v>
      </c>
      <c r="DE265" s="138"/>
      <c r="DF265" s="84">
        <v>1.7155639199898511</v>
      </c>
    </row>
    <row r="266" spans="1:110" s="84" customFormat="1" x14ac:dyDescent="0.2">
      <c r="A266" s="154" t="s">
        <v>498</v>
      </c>
      <c r="AB266" s="50"/>
      <c r="AC266" s="50"/>
      <c r="AD266" s="50"/>
      <c r="AE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E266" s="138"/>
    </row>
    <row r="267" spans="1:110" s="88" customFormat="1" x14ac:dyDescent="0.2">
      <c r="A267" s="88" t="s">
        <v>102</v>
      </c>
      <c r="B267" s="88" t="e">
        <f t="shared" ref="B267:AE267" si="2377">B180/B139</f>
        <v>#DIV/0!</v>
      </c>
      <c r="C267" s="88" t="e">
        <f t="shared" si="2377"/>
        <v>#DIV/0!</v>
      </c>
      <c r="D267" s="88" t="e">
        <f t="shared" si="2377"/>
        <v>#DIV/0!</v>
      </c>
      <c r="F267" s="88" t="e">
        <f t="shared" si="2377"/>
        <v>#DIV/0!</v>
      </c>
      <c r="G267" s="88" t="e">
        <f t="shared" si="2377"/>
        <v>#DIV/0!</v>
      </c>
      <c r="H267" s="88" t="e">
        <f t="shared" si="2377"/>
        <v>#DIV/0!</v>
      </c>
      <c r="I267" s="88" t="e">
        <f t="shared" si="2377"/>
        <v>#DIV/0!</v>
      </c>
      <c r="J267" s="88" t="e">
        <f t="shared" si="2377"/>
        <v>#DIV/0!</v>
      </c>
      <c r="K267" s="88">
        <f t="shared" si="2377"/>
        <v>0.16250196803704423</v>
      </c>
      <c r="L267" s="88">
        <f t="shared" si="2377"/>
        <v>9.8958945495427733E-2</v>
      </c>
      <c r="M267" s="88">
        <f t="shared" si="2377"/>
        <v>8.7915622578490421E-2</v>
      </c>
      <c r="N267" s="88">
        <f t="shared" si="2377"/>
        <v>0.11803929307015143</v>
      </c>
      <c r="O267" s="88">
        <f t="shared" si="2377"/>
        <v>5.7800146638245495E-2</v>
      </c>
      <c r="P267" s="88">
        <f t="shared" si="2377"/>
        <v>0.11558617301577817</v>
      </c>
      <c r="Q267" s="88">
        <f t="shared" si="2377"/>
        <v>6.5532963246295775E-2</v>
      </c>
      <c r="R267" s="88">
        <f t="shared" si="2377"/>
        <v>2.492825331696415E-2</v>
      </c>
      <c r="S267" s="88">
        <f t="shared" si="2377"/>
        <v>2.642511084988948E-2</v>
      </c>
      <c r="T267" s="88">
        <f t="shared" si="2377"/>
        <v>3.7154106093988351E-2</v>
      </c>
      <c r="U267" s="88">
        <f t="shared" si="2377"/>
        <v>5.1154934916813763E-2</v>
      </c>
      <c r="V267" s="88">
        <f t="shared" si="2377"/>
        <v>0.11296173119458033</v>
      </c>
      <c r="W267" s="88">
        <f t="shared" si="2377"/>
        <v>9.2730016252040678E-2</v>
      </c>
      <c r="X267" s="88">
        <f t="shared" si="2377"/>
        <v>2.754158179855324E-2</v>
      </c>
      <c r="Y267" s="88">
        <f t="shared" si="2377"/>
        <v>8.9004339618685965E-2</v>
      </c>
      <c r="Z267" s="88">
        <f t="shared" si="2377"/>
        <v>6.7661690216862927E-2</v>
      </c>
      <c r="AA267" s="88">
        <f t="shared" ref="AA267" si="2378">AA180/AA139</f>
        <v>4.4163646312977783E-2</v>
      </c>
      <c r="AB267" s="42">
        <f t="shared" si="2377"/>
        <v>6.894199630744223E-2</v>
      </c>
      <c r="AC267" s="42">
        <f t="shared" si="2377"/>
        <v>6.0695087360063224E-2</v>
      </c>
      <c r="AD267" s="42">
        <f t="shared" si="2377"/>
        <v>6.4610228766109862E-2</v>
      </c>
      <c r="AE267" s="42">
        <f t="shared" si="2377"/>
        <v>7.9125433983934707E-2</v>
      </c>
      <c r="AL267" s="88">
        <f t="shared" ref="AL267:CW267" si="2379">AL180/AL139</f>
        <v>0.11803985832272208</v>
      </c>
      <c r="AM267" s="88">
        <f t="shared" si="2379"/>
        <v>-4.6290562548155917E-2</v>
      </c>
      <c r="AN267" s="88">
        <f t="shared" si="2379"/>
        <v>1.4202553697762858E-2</v>
      </c>
      <c r="AO267" s="88">
        <f t="shared" si="2379"/>
        <v>-0.24377781305171384</v>
      </c>
      <c r="AP267" s="88">
        <f t="shared" si="2379"/>
        <v>5.7799337514502377E-2</v>
      </c>
      <c r="AQ267" s="88">
        <f t="shared" si="2379"/>
        <v>0.20163476324227569</v>
      </c>
      <c r="AR267" s="88">
        <f t="shared" si="2379"/>
        <v>2.807971693048366E-2</v>
      </c>
      <c r="AS267" s="88">
        <f t="shared" si="2379"/>
        <v>-3.4923631467307724E-2</v>
      </c>
      <c r="AT267" s="88">
        <f t="shared" si="2379"/>
        <v>0.11471024165707709</v>
      </c>
      <c r="AU267" s="88">
        <f t="shared" si="2379"/>
        <v>0.18276407505992126</v>
      </c>
      <c r="AV267" s="88">
        <f t="shared" si="2379"/>
        <v>1.2730567402025309E-2</v>
      </c>
      <c r="AW267" s="88">
        <f t="shared" si="2379"/>
        <v>0.1749263069353062</v>
      </c>
      <c r="AX267" s="88">
        <f t="shared" si="2379"/>
        <v>6.5532165774826887E-2</v>
      </c>
      <c r="AY267" s="88">
        <f t="shared" si="2379"/>
        <v>0.30040335640022237</v>
      </c>
      <c r="AZ267" s="88">
        <f t="shared" si="2379"/>
        <v>4.8080475226456639E-3</v>
      </c>
      <c r="BA267" s="88">
        <f t="shared" si="2379"/>
        <v>3.5110355728173004E-2</v>
      </c>
      <c r="BB267" s="88">
        <f t="shared" si="2379"/>
        <v>2.4917659028543638E-2</v>
      </c>
      <c r="BC267" s="88">
        <f t="shared" si="2379"/>
        <v>0.16332670855714404</v>
      </c>
      <c r="BD267" s="88">
        <f t="shared" si="2379"/>
        <v>1.280573016573059E-2</v>
      </c>
      <c r="BE267" s="88">
        <f t="shared" si="2379"/>
        <v>-0.27338586648720736</v>
      </c>
      <c r="BF267" s="88">
        <f t="shared" si="2379"/>
        <v>2.6386361982388473E-2</v>
      </c>
      <c r="BG267" s="88">
        <f t="shared" si="2379"/>
        <v>-4.2220794546479243E-2</v>
      </c>
      <c r="BH267" s="88">
        <f t="shared" si="2379"/>
        <v>1.1872346317149713E-2</v>
      </c>
      <c r="BI267" s="88">
        <f t="shared" si="2379"/>
        <v>3.4287620137499544E-2</v>
      </c>
      <c r="BJ267" s="88">
        <f t="shared" si="2379"/>
        <v>3.7134134306216142E-2</v>
      </c>
      <c r="BK267" s="88">
        <f t="shared" si="2379"/>
        <v>0.1190230199311407</v>
      </c>
      <c r="BL267" s="88">
        <f t="shared" si="2379"/>
        <v>3.1568780493685042E-2</v>
      </c>
      <c r="BM267" s="88">
        <f t="shared" si="2379"/>
        <v>-1.6850774568273864E-2</v>
      </c>
      <c r="BN267" s="88">
        <f t="shared" si="2379"/>
        <v>5.099430768093443E-2</v>
      </c>
      <c r="BO267" s="88">
        <f t="shared" si="2379"/>
        <v>0.2522745033689151</v>
      </c>
      <c r="BP267" s="88">
        <f t="shared" si="2379"/>
        <v>5.2744285578792613E-2</v>
      </c>
      <c r="BQ267" s="88">
        <f t="shared" si="2379"/>
        <v>-3.8646312326564833E-2</v>
      </c>
      <c r="BR267" s="88">
        <f t="shared" si="2379"/>
        <v>0.11296099257772058</v>
      </c>
      <c r="BS267" s="88">
        <f t="shared" si="2379"/>
        <v>0.2353597455924471</v>
      </c>
      <c r="BT267" s="88">
        <f t="shared" si="2379"/>
        <v>7.9111199968899773E-2</v>
      </c>
      <c r="BU267" s="88">
        <f t="shared" si="2379"/>
        <v>1.8224122901665482E-3</v>
      </c>
      <c r="BV267" s="88">
        <f t="shared" si="2379"/>
        <v>9.2729944134988557E-2</v>
      </c>
      <c r="BW267" s="88">
        <f t="shared" si="2379"/>
        <v>0.16090284312624201</v>
      </c>
      <c r="BX267" s="88">
        <f t="shared" si="2379"/>
        <v>5.5218143065312433E-2</v>
      </c>
      <c r="BY267" s="88">
        <f t="shared" si="2379"/>
        <v>-8.8661001058675651E-2</v>
      </c>
      <c r="BZ267" s="88">
        <f t="shared" si="2379"/>
        <v>2.7540992712967685E-2</v>
      </c>
      <c r="CA267" s="88">
        <f t="shared" si="2379"/>
        <v>0.14439867320090005</v>
      </c>
      <c r="CB267" s="88">
        <f t="shared" si="2379"/>
        <v>3.092625974957813E-2</v>
      </c>
      <c r="CC267" s="88">
        <f t="shared" si="2379"/>
        <v>6.5816815146513441E-2</v>
      </c>
      <c r="CD267" s="88">
        <f t="shared" si="2379"/>
        <v>8.9004322656645526E-2</v>
      </c>
      <c r="CE267" s="88">
        <f t="shared" si="2379"/>
        <v>0.17317380841926153</v>
      </c>
      <c r="CF267" s="88">
        <f t="shared" si="2379"/>
        <v>6.6649251371454499E-2</v>
      </c>
      <c r="CG267" s="88">
        <f t="shared" si="2379"/>
        <v>0.13728195769986748</v>
      </c>
      <c r="CH267" s="88">
        <f t="shared" si="2379"/>
        <v>6.7661690216862927E-2</v>
      </c>
      <c r="CI267" s="88">
        <f t="shared" si="2379"/>
        <v>0.20214356737917219</v>
      </c>
      <c r="CJ267" s="88">
        <f t="shared" si="2379"/>
        <v>1.7391505854136131E-2</v>
      </c>
      <c r="CK267" s="88">
        <f t="shared" si="2379"/>
        <v>-4.726817791345584E-2</v>
      </c>
      <c r="CL267" s="88">
        <f t="shared" ref="CL267" si="2380">CL180/CL139</f>
        <v>4.4163305297178983E-2</v>
      </c>
      <c r="CM267" s="42">
        <f t="shared" si="2379"/>
        <v>0.13758288742381689</v>
      </c>
      <c r="CN267" s="42">
        <f t="shared" si="2379"/>
        <v>0.16382602782060693</v>
      </c>
      <c r="CO267" s="42">
        <f t="shared" si="2379"/>
        <v>8.9485932435038315E-2</v>
      </c>
      <c r="CP267" s="42">
        <f t="shared" si="2379"/>
        <v>6.894199630744223E-2</v>
      </c>
      <c r="CQ267" s="42">
        <f t="shared" si="2379"/>
        <v>0.11214446743170292</v>
      </c>
      <c r="CR267" s="42">
        <f t="shared" si="2379"/>
        <v>0.1491146824654089</v>
      </c>
      <c r="CS267" s="42">
        <f t="shared" si="2379"/>
        <v>7.7966156833602709E-2</v>
      </c>
      <c r="CT267" s="42">
        <f t="shared" si="2379"/>
        <v>6.0695087360063224E-2</v>
      </c>
      <c r="CU267" s="42">
        <f t="shared" si="2379"/>
        <v>0.1070432550076437</v>
      </c>
      <c r="CV267" s="42">
        <f t="shared" si="2379"/>
        <v>0.14697526112322881</v>
      </c>
      <c r="CW267" s="42">
        <f t="shared" si="2379"/>
        <v>7.8936803236573094E-2</v>
      </c>
      <c r="CX267" s="42">
        <f t="shared" ref="CX267:DB267" si="2381">CX180/CX139</f>
        <v>6.4610228766109862E-2</v>
      </c>
      <c r="CY267" s="42">
        <f t="shared" si="2381"/>
        <v>0.11352268008227753</v>
      </c>
      <c r="CZ267" s="42">
        <f t="shared" si="2381"/>
        <v>0.15588255520164299</v>
      </c>
      <c r="DA267" s="42">
        <f t="shared" si="2381"/>
        <v>9.0862753632198451E-2</v>
      </c>
      <c r="DB267" s="42">
        <f t="shared" si="2381"/>
        <v>7.9125433983934707E-2</v>
      </c>
      <c r="DE267" s="125"/>
      <c r="DF267" s="88">
        <v>4.4163646312977783E-2</v>
      </c>
    </row>
    <row r="268" spans="1:110" s="89" customFormat="1" x14ac:dyDescent="0.2">
      <c r="A268" s="89" t="s">
        <v>103</v>
      </c>
      <c r="C268" s="89" t="e">
        <f t="shared" ref="C268:AE268" si="2382">C147/B147-1</f>
        <v>#DIV/0!</v>
      </c>
      <c r="D268" s="89" t="e">
        <f t="shared" si="2382"/>
        <v>#DIV/0!</v>
      </c>
      <c r="F268" s="89" t="e">
        <f t="shared" si="2382"/>
        <v>#DIV/0!</v>
      </c>
      <c r="G268" s="89" t="e">
        <f t="shared" si="2382"/>
        <v>#DIV/0!</v>
      </c>
      <c r="H268" s="89" t="e">
        <f t="shared" si="2382"/>
        <v>#DIV/0!</v>
      </c>
      <c r="I268" s="89" t="e">
        <f t="shared" si="2382"/>
        <v>#DIV/0!</v>
      </c>
      <c r="J268" s="89" t="e">
        <f t="shared" si="2382"/>
        <v>#DIV/0!</v>
      </c>
      <c r="K268" s="89" t="e">
        <f>K147/J147-1</f>
        <v>#DIV/0!</v>
      </c>
      <c r="L268" s="89">
        <f t="shared" si="2382"/>
        <v>1.1180049556766112</v>
      </c>
      <c r="M268" s="89">
        <f t="shared" si="2382"/>
        <v>0.56695685408861229</v>
      </c>
      <c r="N268" s="89">
        <f t="shared" si="2382"/>
        <v>0.43853868164483578</v>
      </c>
      <c r="O268" s="89">
        <f t="shared" si="2382"/>
        <v>0.16080217790466111</v>
      </c>
      <c r="P268" s="89">
        <f t="shared" si="2382"/>
        <v>0.35285266780321001</v>
      </c>
      <c r="Q268" s="89">
        <f t="shared" si="2382"/>
        <v>-6.8509115728372705E-2</v>
      </c>
      <c r="R268" s="89">
        <f t="shared" si="2382"/>
        <v>-0.1755937531804308</v>
      </c>
      <c r="S268" s="89">
        <f t="shared" si="2382"/>
        <v>2.0220330724634472E-2</v>
      </c>
      <c r="T268" s="89">
        <f t="shared" si="2382"/>
        <v>-9.9622397689522746E-2</v>
      </c>
      <c r="U268" s="89">
        <f t="shared" si="2382"/>
        <v>-5.5984285088400809E-2</v>
      </c>
      <c r="V268" s="89">
        <f t="shared" si="2382"/>
        <v>-5.7829856615870701E-2</v>
      </c>
      <c r="W268" s="89">
        <f t="shared" si="2382"/>
        <v>0.13846311737072314</v>
      </c>
      <c r="X268" s="89">
        <f t="shared" si="2382"/>
        <v>-0.17365911699050451</v>
      </c>
      <c r="Y268" s="89">
        <f t="shared" si="2382"/>
        <v>0.16819296974234987</v>
      </c>
      <c r="Z268" s="89">
        <f t="shared" si="2382"/>
        <v>-0.16840118307875807</v>
      </c>
      <c r="AA268" s="89">
        <f t="shared" si="2382"/>
        <v>-0.13037965803803619</v>
      </c>
      <c r="AB268" s="47">
        <f t="shared" si="2382"/>
        <v>-9.9008541826245966E-2</v>
      </c>
      <c r="AC268" s="47">
        <f t="shared" si="2382"/>
        <v>-0.10988860043131277</v>
      </c>
      <c r="AD268" s="47">
        <f t="shared" si="2382"/>
        <v>-0.12345488495547907</v>
      </c>
      <c r="AE268" s="47">
        <f t="shared" si="2382"/>
        <v>-0.14084259079945771</v>
      </c>
      <c r="AL268" s="89">
        <f t="shared" ref="AL268:CW268" si="2383">AL147/AK147-1</f>
        <v>0.61091768905332455</v>
      </c>
      <c r="AM268" s="89">
        <f t="shared" si="2383"/>
        <v>0</v>
      </c>
      <c r="AN268" s="89">
        <f t="shared" si="2383"/>
        <v>-0.26109688023759603</v>
      </c>
      <c r="AO268" s="89">
        <f t="shared" si="2383"/>
        <v>0</v>
      </c>
      <c r="AP268" s="89">
        <f t="shared" si="2383"/>
        <v>0.5800994317015844</v>
      </c>
      <c r="AQ268" s="89">
        <f t="shared" si="2383"/>
        <v>0</v>
      </c>
      <c r="AR268" s="89">
        <f t="shared" si="2383"/>
        <v>-0.38590278619543184</v>
      </c>
      <c r="AS268" s="89">
        <f t="shared" si="2383"/>
        <v>0</v>
      </c>
      <c r="AT268" s="89">
        <f t="shared" si="2383"/>
        <v>1.1444753055958938</v>
      </c>
      <c r="AU268" s="89">
        <f t="shared" si="2383"/>
        <v>0</v>
      </c>
      <c r="AV268" s="89">
        <f t="shared" si="2383"/>
        <v>-0.40195343626480262</v>
      </c>
      <c r="AW268" s="89">
        <f t="shared" si="2383"/>
        <v>0</v>
      </c>
      <c r="AX268" s="89">
        <f t="shared" si="2383"/>
        <v>0.53456327585979446</v>
      </c>
      <c r="AY268" s="89">
        <f t="shared" si="2383"/>
        <v>0</v>
      </c>
      <c r="AZ268" s="89">
        <f t="shared" si="2383"/>
        <v>-0.44236166929580611</v>
      </c>
      <c r="BA268" s="89">
        <f t="shared" si="2383"/>
        <v>0</v>
      </c>
      <c r="BB268" s="89">
        <f t="shared" si="2383"/>
        <v>0.41320445424226993</v>
      </c>
      <c r="BC268" s="89">
        <f t="shared" si="2383"/>
        <v>0</v>
      </c>
      <c r="BD268" s="89">
        <f t="shared" si="2383"/>
        <v>-0.2391158899098581</v>
      </c>
      <c r="BE268" s="89">
        <f t="shared" si="2383"/>
        <v>0</v>
      </c>
      <c r="BF268" s="89">
        <f t="shared" si="2383"/>
        <v>0.44252012530376139</v>
      </c>
      <c r="BG268" s="89">
        <f t="shared" si="2383"/>
        <v>0</v>
      </c>
      <c r="BH268" s="89">
        <f t="shared" si="2383"/>
        <v>-0.39631339458902537</v>
      </c>
      <c r="BI268" s="89">
        <f t="shared" si="2383"/>
        <v>0</v>
      </c>
      <c r="BJ268" s="89">
        <f t="shared" si="2383"/>
        <v>0.45892795895128202</v>
      </c>
      <c r="BK268" s="89">
        <f t="shared" si="2383"/>
        <v>0</v>
      </c>
      <c r="BL268" s="89">
        <f t="shared" si="2383"/>
        <v>-6.8121249052564004E-3</v>
      </c>
      <c r="BM268" s="89">
        <f t="shared" si="2383"/>
        <v>0</v>
      </c>
      <c r="BN268" s="89">
        <f t="shared" si="2383"/>
        <v>-7.0086369980135621E-2</v>
      </c>
      <c r="BO268" s="89">
        <f t="shared" si="2383"/>
        <v>0</v>
      </c>
      <c r="BP268" s="89">
        <f t="shared" si="2383"/>
        <v>1.140172604089873E-2</v>
      </c>
      <c r="BQ268" s="89">
        <f t="shared" si="2383"/>
        <v>0</v>
      </c>
      <c r="BR268" s="89">
        <f t="shared" si="2383"/>
        <v>2.3496723143366482E-2</v>
      </c>
      <c r="BS268" s="89">
        <f t="shared" si="2383"/>
        <v>0</v>
      </c>
      <c r="BT268" s="89">
        <f t="shared" si="2383"/>
        <v>5.2662122419270707E-2</v>
      </c>
      <c r="BU268" s="89">
        <f t="shared" si="2383"/>
        <v>0</v>
      </c>
      <c r="BV268" s="89">
        <f t="shared" si="2383"/>
        <v>8.1509236504984983E-2</v>
      </c>
      <c r="BW268" s="89">
        <f t="shared" si="2383"/>
        <v>0</v>
      </c>
      <c r="BX268" s="89">
        <f t="shared" si="2383"/>
        <v>3.2160574784740881E-2</v>
      </c>
      <c r="BY268" s="89">
        <f t="shared" si="2383"/>
        <v>0</v>
      </c>
      <c r="BZ268" s="89">
        <f t="shared" si="2383"/>
        <v>-0.19940803538394836</v>
      </c>
      <c r="CA268" s="89">
        <f t="shared" si="2383"/>
        <v>0</v>
      </c>
      <c r="CB268" s="89">
        <f t="shared" si="2383"/>
        <v>0.24281084019907162</v>
      </c>
      <c r="CC268" s="89">
        <f t="shared" si="2383"/>
        <v>0</v>
      </c>
      <c r="CD268" s="89">
        <f t="shared" si="2383"/>
        <v>-6.0038328423099974E-2</v>
      </c>
      <c r="CE268" s="89">
        <f t="shared" si="2383"/>
        <v>0</v>
      </c>
      <c r="CF268" s="89">
        <f t="shared" si="2383"/>
        <v>-4.9347180902669652E-2</v>
      </c>
      <c r="CG268" s="89">
        <f t="shared" si="2383"/>
        <v>0</v>
      </c>
      <c r="CH268" s="89">
        <f t="shared" si="2383"/>
        <v>-0.12523352150122569</v>
      </c>
      <c r="CI268" s="89">
        <f t="shared" si="2383"/>
        <v>0</v>
      </c>
      <c r="CJ268" s="89">
        <f t="shared" si="2383"/>
        <v>7.1335483522262821E-2</v>
      </c>
      <c r="CK268" s="89">
        <f t="shared" si="2383"/>
        <v>0</v>
      </c>
      <c r="CL268" s="89">
        <f t="shared" si="2383"/>
        <v>-0.18828370338967726</v>
      </c>
      <c r="CM268" s="47">
        <f t="shared" si="2383"/>
        <v>-2.4752168908800609E-2</v>
      </c>
      <c r="CN268" s="47">
        <f t="shared" si="2383"/>
        <v>-2.5380388573749024E-2</v>
      </c>
      <c r="CO268" s="47">
        <f t="shared" si="2383"/>
        <v>-2.6041327586880381E-2</v>
      </c>
      <c r="CP268" s="47">
        <f t="shared" si="2383"/>
        <v>-2.6737610459753203E-2</v>
      </c>
      <c r="CQ268" s="47">
        <f t="shared" si="2383"/>
        <v>-2.7472150107828219E-2</v>
      </c>
      <c r="CR268" s="47">
        <f t="shared" si="2383"/>
        <v>-2.8248188584906964E-2</v>
      </c>
      <c r="CS268" s="47">
        <f t="shared" si="2383"/>
        <v>-2.9069344922312168E-2</v>
      </c>
      <c r="CT268" s="47">
        <f t="shared" si="2383"/>
        <v>-2.9939671561802994E-2</v>
      </c>
      <c r="CU268" s="47">
        <f t="shared" si="2383"/>
        <v>-3.0863721238869823E-2</v>
      </c>
      <c r="CV268" s="47">
        <f t="shared" si="2383"/>
        <v>-3.1846626646072518E-2</v>
      </c>
      <c r="CW268" s="47">
        <f t="shared" si="2383"/>
        <v>-3.2894195819147765E-2</v>
      </c>
      <c r="CX268" s="47">
        <f t="shared" ref="CX268:DB268" si="2384">CX147/CW147-1</f>
        <v>-3.4013026989336947E-2</v>
      </c>
      <c r="CY268" s="47">
        <f t="shared" si="2384"/>
        <v>-3.5210647699864484E-2</v>
      </c>
      <c r="CZ268" s="47">
        <f t="shared" si="2384"/>
        <v>-3.649568438532147E-2</v>
      </c>
      <c r="DA268" s="47">
        <f t="shared" si="2384"/>
        <v>-3.7878070491089155E-2</v>
      </c>
      <c r="DB268" s="47">
        <f t="shared" si="2384"/>
        <v>-3.9369303753863161E-2</v>
      </c>
      <c r="DE268" s="130"/>
      <c r="DF268" s="89">
        <v>-0.13037965803803619</v>
      </c>
    </row>
    <row r="269" spans="1:110" s="89" customFormat="1" x14ac:dyDescent="0.2">
      <c r="A269" s="89" t="s">
        <v>104</v>
      </c>
      <c r="C269" s="89" t="e">
        <f>C47/B47-1</f>
        <v>#DIV/0!</v>
      </c>
      <c r="D269" s="89" t="e">
        <f>D47/C47-1</f>
        <v>#DIV/0!</v>
      </c>
      <c r="F269" s="89" t="e">
        <f t="shared" ref="F269:AE269" si="2385">F47/E47-1</f>
        <v>#DIV/0!</v>
      </c>
      <c r="G269" s="89" t="e">
        <f t="shared" si="2385"/>
        <v>#DIV/0!</v>
      </c>
      <c r="H269" s="89" t="e">
        <f t="shared" si="2385"/>
        <v>#DIV/0!</v>
      </c>
      <c r="I269" s="89" t="e">
        <f t="shared" si="2385"/>
        <v>#DIV/0!</v>
      </c>
      <c r="J269" s="89" t="e">
        <f t="shared" si="2385"/>
        <v>#DIV/0!</v>
      </c>
      <c r="K269" s="89" t="e">
        <f t="shared" si="2385"/>
        <v>#DIV/0!</v>
      </c>
      <c r="L269" s="89">
        <f t="shared" si="2385"/>
        <v>-0.3080724643548135</v>
      </c>
      <c r="M269" s="89">
        <f t="shared" si="2385"/>
        <v>-0.22410977464835846</v>
      </c>
      <c r="N269" s="89">
        <f t="shared" si="2385"/>
        <v>-9.6812383731212925E-2</v>
      </c>
      <c r="O269" s="89">
        <f t="shared" si="2385"/>
        <v>6.018600960610776E-2</v>
      </c>
      <c r="P269" s="89">
        <f t="shared" si="2385"/>
        <v>0.2629824620338872</v>
      </c>
      <c r="Q269" s="89">
        <f t="shared" si="2385"/>
        <v>-0.17058050906116418</v>
      </c>
      <c r="R269" s="89">
        <f t="shared" si="2385"/>
        <v>7.7908642261465211E-2</v>
      </c>
      <c r="S269" s="89">
        <f t="shared" si="2385"/>
        <v>0.37816030257706124</v>
      </c>
      <c r="T269" s="89">
        <f t="shared" si="2385"/>
        <v>0.43776605037561622</v>
      </c>
      <c r="U269" s="89">
        <f t="shared" si="2385"/>
        <v>2.2359437931901871E-2</v>
      </c>
      <c r="V269" s="89">
        <f t="shared" si="2385"/>
        <v>-0.19060599712166726</v>
      </c>
      <c r="W269" s="89">
        <f t="shared" si="2385"/>
        <v>0.14385857599737473</v>
      </c>
      <c r="X269" s="89">
        <f t="shared" si="2385"/>
        <v>0.18357593459253985</v>
      </c>
      <c r="Y269" s="89">
        <f t="shared" si="2385"/>
        <v>0.98021549917738704</v>
      </c>
      <c r="Z269" s="89">
        <f t="shared" si="2385"/>
        <v>5.0816416285405897E-2</v>
      </c>
      <c r="AA269" s="89">
        <f t="shared" si="2385"/>
        <v>-0.35240810090812758</v>
      </c>
      <c r="AB269" s="47">
        <f t="shared" si="2385"/>
        <v>0.14752675456247233</v>
      </c>
      <c r="AC269" s="47">
        <f t="shared" si="2385"/>
        <v>0.12402007542848725</v>
      </c>
      <c r="AD269" s="47">
        <f t="shared" si="2385"/>
        <v>8.8972946608914638E-2</v>
      </c>
      <c r="AE269" s="47">
        <f t="shared" si="2385"/>
        <v>8.9873895926045222E-2</v>
      </c>
      <c r="AL269" s="89">
        <f t="shared" ref="AL269:CW269" si="2386">AL47/AK47-1</f>
        <v>-0.35065590312815409</v>
      </c>
      <c r="AM269" s="89">
        <f t="shared" si="2386"/>
        <v>0.3826728826728838</v>
      </c>
      <c r="AN269" s="89">
        <f t="shared" si="2386"/>
        <v>4.1022759202022474E-2</v>
      </c>
      <c r="AO269" s="89">
        <f t="shared" si="2386"/>
        <v>0.11828609986504834</v>
      </c>
      <c r="AP269" s="89">
        <f t="shared" si="2386"/>
        <v>-1.8222409943883466E-2</v>
      </c>
      <c r="AQ269" s="89">
        <f t="shared" si="2386"/>
        <v>-5.3469362669794629E-3</v>
      </c>
      <c r="AR269" s="89">
        <f t="shared" si="2386"/>
        <v>0.29393227879387007</v>
      </c>
      <c r="AS269" s="89">
        <f t="shared" si="2386"/>
        <v>0.13891409197268478</v>
      </c>
      <c r="AT269" s="89">
        <f t="shared" si="2386"/>
        <v>-4.4444444444444065E-2</v>
      </c>
      <c r="AU269" s="89">
        <f t="shared" si="2386"/>
        <v>0.24725756910925867</v>
      </c>
      <c r="AV269" s="89">
        <f t="shared" si="2386"/>
        <v>-0.40812664907651708</v>
      </c>
      <c r="AW269" s="89">
        <f t="shared" si="2386"/>
        <v>8.7256300523061547E-2</v>
      </c>
      <c r="AX269" s="89">
        <f t="shared" si="2386"/>
        <v>0.72228296523070301</v>
      </c>
      <c r="AY269" s="89">
        <f t="shared" si="2386"/>
        <v>-0.22067039106145225</v>
      </c>
      <c r="AZ269" s="89">
        <f t="shared" si="2386"/>
        <v>-0.15864288041707408</v>
      </c>
      <c r="BA269" s="89">
        <f t="shared" si="2386"/>
        <v>0.13845185651353065</v>
      </c>
      <c r="BB269" s="89">
        <f t="shared" si="2386"/>
        <v>0.14236509758897764</v>
      </c>
      <c r="BC269" s="89">
        <f t="shared" si="2386"/>
        <v>-0.36757863391029122</v>
      </c>
      <c r="BD269" s="89">
        <f t="shared" si="2386"/>
        <v>0.29758681577398316</v>
      </c>
      <c r="BE269" s="89">
        <f t="shared" si="2386"/>
        <v>0.14528712691644641</v>
      </c>
      <c r="BF269" s="89">
        <f t="shared" si="2386"/>
        <v>0.60109311259851883</v>
      </c>
      <c r="BG269" s="89">
        <f t="shared" si="2386"/>
        <v>-0.12130806906446345</v>
      </c>
      <c r="BH269" s="89">
        <f t="shared" si="2386"/>
        <v>-2.8264174314509227E-2</v>
      </c>
      <c r="BI269" s="89">
        <f t="shared" si="2386"/>
        <v>6.1764876296424465E-2</v>
      </c>
      <c r="BJ269" s="89">
        <f t="shared" si="2386"/>
        <v>0.11364256480218304</v>
      </c>
      <c r="BK269" s="89">
        <f t="shared" si="2386"/>
        <v>-2.8812936420433699E-2</v>
      </c>
      <c r="BL269" s="89">
        <f t="shared" si="2386"/>
        <v>-0.13809631928151578</v>
      </c>
      <c r="BM269" s="89">
        <f t="shared" si="2386"/>
        <v>0.1111956680813706</v>
      </c>
      <c r="BN269" s="89">
        <f t="shared" si="2386"/>
        <v>3.966916025708489E-2</v>
      </c>
      <c r="BO269" s="89">
        <f t="shared" si="2386"/>
        <v>-0.53524195591588541</v>
      </c>
      <c r="BP269" s="89">
        <f t="shared" si="2386"/>
        <v>0.50632359354557477</v>
      </c>
      <c r="BQ269" s="89">
        <f t="shared" si="2386"/>
        <v>0.11584394904458417</v>
      </c>
      <c r="BR269" s="89">
        <f t="shared" si="2386"/>
        <v>0.54049232964680716</v>
      </c>
      <c r="BS269" s="89">
        <f t="shared" si="2386"/>
        <v>-0.11855236009937187</v>
      </c>
      <c r="BT269" s="89">
        <f t="shared" si="2386"/>
        <v>-9.6806554087945362E-2</v>
      </c>
      <c r="BU269" s="89">
        <f t="shared" si="2386"/>
        <v>-0.4589041095890406</v>
      </c>
      <c r="BV269" s="89">
        <f t="shared" si="2386"/>
        <v>0.95791994526171464</v>
      </c>
      <c r="BW269" s="89">
        <f t="shared" si="2386"/>
        <v>-0.40475774443972878</v>
      </c>
      <c r="BX269" s="89">
        <f t="shared" si="2386"/>
        <v>0.38954122284659931</v>
      </c>
      <c r="BY269" s="89">
        <f t="shared" si="2386"/>
        <v>0.494431869624262</v>
      </c>
      <c r="BZ269" s="89">
        <f t="shared" si="2386"/>
        <v>0.21151904358011397</v>
      </c>
      <c r="CA269" s="89">
        <f t="shared" si="2386"/>
        <v>1.29017202293642E-2</v>
      </c>
      <c r="CB269" s="89">
        <f t="shared" si="2386"/>
        <v>0.32315768686436375</v>
      </c>
      <c r="CC269" s="89">
        <f t="shared" si="2386"/>
        <v>0.22999141823066416</v>
      </c>
      <c r="CD269" s="89">
        <f t="shared" si="2386"/>
        <v>-6.9406946761717214E-2</v>
      </c>
      <c r="CE269" s="89">
        <f t="shared" si="2386"/>
        <v>-8.7742173832730974E-2</v>
      </c>
      <c r="CF269" s="89">
        <f t="shared" si="2386"/>
        <v>8.8796512458908072E-2</v>
      </c>
      <c r="CG269" s="89">
        <f t="shared" si="2386"/>
        <v>2.768813381321733E-2</v>
      </c>
      <c r="CH269" s="89">
        <f t="shared" si="2386"/>
        <v>-0.21636754593259733</v>
      </c>
      <c r="CI269" s="89">
        <f t="shared" si="2386"/>
        <v>-8.9722342968919122E-2</v>
      </c>
      <c r="CJ269" s="89">
        <f t="shared" si="2386"/>
        <v>-0.32679709301457949</v>
      </c>
      <c r="CK269" s="89">
        <f t="shared" si="2386"/>
        <v>0.35802003901400981</v>
      </c>
      <c r="CL269" s="89">
        <f t="shared" si="2386"/>
        <v>-0.21505639619346228</v>
      </c>
      <c r="CM269" s="47">
        <f t="shared" si="2386"/>
        <v>9.1398057223938789E-2</v>
      </c>
      <c r="CN269" s="47">
        <f t="shared" si="2386"/>
        <v>5.4229047283200549E-2</v>
      </c>
      <c r="CO269" s="47">
        <f t="shared" si="2386"/>
        <v>0.22628907293614775</v>
      </c>
      <c r="CP269" s="47">
        <f t="shared" si="2386"/>
        <v>6.7102396514161056E-2</v>
      </c>
      <c r="CQ269" s="47">
        <f t="shared" si="2386"/>
        <v>-8.8485095957533622E-2</v>
      </c>
      <c r="CR269" s="47">
        <f t="shared" si="2386"/>
        <v>-8.9436903641983756E-2</v>
      </c>
      <c r="CS269" s="47">
        <f t="shared" si="2386"/>
        <v>0.22918357808771828</v>
      </c>
      <c r="CT269" s="47">
        <f t="shared" si="2386"/>
        <v>6.780068040824494E-2</v>
      </c>
      <c r="CU269" s="47">
        <f t="shared" si="2386"/>
        <v>-8.9347426815097886E-2</v>
      </c>
      <c r="CV269" s="47">
        <f t="shared" si="2386"/>
        <v>-9.0394026828234497E-2</v>
      </c>
      <c r="CW269" s="47">
        <f t="shared" si="2386"/>
        <v>0.23187995918395088</v>
      </c>
      <c r="CX269" s="47">
        <f t="shared" ref="CX269:DB269" si="2387">CX47/CW47-1</f>
        <v>6.8448215695997794E-2</v>
      </c>
      <c r="CY269" s="47">
        <f t="shared" si="2387"/>
        <v>-9.0146079506582044E-2</v>
      </c>
      <c r="CZ269" s="47">
        <f t="shared" si="2387"/>
        <v>-9.1282090230694779E-2</v>
      </c>
      <c r="DA269" s="47">
        <f t="shared" si="2387"/>
        <v>0.23438686701541234</v>
      </c>
      <c r="DB269" s="47">
        <f t="shared" si="2387"/>
        <v>6.9047711283321656E-2</v>
      </c>
      <c r="DE269" s="130"/>
      <c r="DF269" s="89">
        <v>-0.35240810090812758</v>
      </c>
    </row>
    <row r="270" spans="1:110" s="103" customFormat="1" x14ac:dyDescent="0.2">
      <c r="A270" s="147" t="s">
        <v>105</v>
      </c>
      <c r="C270" s="103" t="e">
        <f>IF(C268&gt;C269,"RF",0)</f>
        <v>#DIV/0!</v>
      </c>
      <c r="D270" s="103" t="e">
        <f t="shared" ref="D270:U270" si="2388">IF(D268&gt;D269,"RF",0)</f>
        <v>#DIV/0!</v>
      </c>
      <c r="F270" s="103" t="e">
        <f t="shared" si="2388"/>
        <v>#DIV/0!</v>
      </c>
      <c r="G270" s="103" t="e">
        <f t="shared" si="2388"/>
        <v>#DIV/0!</v>
      </c>
      <c r="H270" s="103" t="e">
        <f t="shared" si="2388"/>
        <v>#DIV/0!</v>
      </c>
      <c r="I270" s="103" t="e">
        <f t="shared" si="2388"/>
        <v>#DIV/0!</v>
      </c>
      <c r="J270" s="103" t="e">
        <f t="shared" si="2388"/>
        <v>#DIV/0!</v>
      </c>
      <c r="K270" s="103" t="e">
        <f t="shared" si="2388"/>
        <v>#DIV/0!</v>
      </c>
      <c r="L270" s="103" t="str">
        <f t="shared" si="2388"/>
        <v>RF</v>
      </c>
      <c r="M270" s="103" t="str">
        <f t="shared" si="2388"/>
        <v>RF</v>
      </c>
      <c r="N270" s="103" t="str">
        <f t="shared" si="2388"/>
        <v>RF</v>
      </c>
      <c r="O270" s="103" t="str">
        <f t="shared" si="2388"/>
        <v>RF</v>
      </c>
      <c r="P270" s="103" t="str">
        <f t="shared" si="2388"/>
        <v>RF</v>
      </c>
      <c r="Q270" s="103" t="str">
        <f t="shared" si="2388"/>
        <v>RF</v>
      </c>
      <c r="R270" s="103">
        <f t="shared" si="2388"/>
        <v>0</v>
      </c>
      <c r="S270" s="103">
        <f t="shared" si="2388"/>
        <v>0</v>
      </c>
      <c r="T270" s="103">
        <f t="shared" si="2388"/>
        <v>0</v>
      </c>
      <c r="U270" s="103">
        <f t="shared" si="2388"/>
        <v>0</v>
      </c>
      <c r="V270" s="103" t="str">
        <f>IF(V268&gt;V269,"RF",0)</f>
        <v>RF</v>
      </c>
      <c r="W270" s="103">
        <f t="shared" ref="W270:AE270" si="2389">IF(W268&gt;W269,"RF",0)</f>
        <v>0</v>
      </c>
      <c r="X270" s="103">
        <f t="shared" si="2389"/>
        <v>0</v>
      </c>
      <c r="Y270" s="103">
        <f t="shared" si="2389"/>
        <v>0</v>
      </c>
      <c r="Z270" s="103">
        <f t="shared" si="2389"/>
        <v>0</v>
      </c>
      <c r="AA270" s="103" t="str">
        <f t="shared" ref="AA270" si="2390">IF(AA268&gt;AA269,"RF",0)</f>
        <v>RF</v>
      </c>
      <c r="AB270" s="73">
        <f t="shared" si="2389"/>
        <v>0</v>
      </c>
      <c r="AC270" s="73">
        <f t="shared" si="2389"/>
        <v>0</v>
      </c>
      <c r="AD270" s="73">
        <f t="shared" si="2389"/>
        <v>0</v>
      </c>
      <c r="AE270" s="73">
        <f t="shared" si="2389"/>
        <v>0</v>
      </c>
      <c r="AL270" s="103" t="str">
        <f t="shared" ref="AL270:CW270" si="2391">IF(AL268&gt;AL269,"RF",0)</f>
        <v>RF</v>
      </c>
      <c r="AM270" s="103">
        <f t="shared" si="2391"/>
        <v>0</v>
      </c>
      <c r="AN270" s="103">
        <f t="shared" si="2391"/>
        <v>0</v>
      </c>
      <c r="AO270" s="103">
        <f t="shared" si="2391"/>
        <v>0</v>
      </c>
      <c r="AP270" s="103" t="str">
        <f t="shared" si="2391"/>
        <v>RF</v>
      </c>
      <c r="AQ270" s="103" t="str">
        <f t="shared" si="2391"/>
        <v>RF</v>
      </c>
      <c r="AR270" s="103">
        <f t="shared" si="2391"/>
        <v>0</v>
      </c>
      <c r="AS270" s="103">
        <f t="shared" si="2391"/>
        <v>0</v>
      </c>
      <c r="AT270" s="103" t="str">
        <f t="shared" si="2391"/>
        <v>RF</v>
      </c>
      <c r="AU270" s="103">
        <f t="shared" si="2391"/>
        <v>0</v>
      </c>
      <c r="AV270" s="103" t="str">
        <f t="shared" si="2391"/>
        <v>RF</v>
      </c>
      <c r="AW270" s="103">
        <f t="shared" si="2391"/>
        <v>0</v>
      </c>
      <c r="AX270" s="103">
        <f t="shared" si="2391"/>
        <v>0</v>
      </c>
      <c r="AY270" s="103" t="str">
        <f t="shared" si="2391"/>
        <v>RF</v>
      </c>
      <c r="AZ270" s="103">
        <f t="shared" si="2391"/>
        <v>0</v>
      </c>
      <c r="BA270" s="103">
        <f t="shared" si="2391"/>
        <v>0</v>
      </c>
      <c r="BB270" s="103" t="str">
        <f t="shared" si="2391"/>
        <v>RF</v>
      </c>
      <c r="BC270" s="103" t="str">
        <f t="shared" si="2391"/>
        <v>RF</v>
      </c>
      <c r="BD270" s="103">
        <f t="shared" si="2391"/>
        <v>0</v>
      </c>
      <c r="BE270" s="103">
        <f t="shared" si="2391"/>
        <v>0</v>
      </c>
      <c r="BF270" s="103">
        <f t="shared" si="2391"/>
        <v>0</v>
      </c>
      <c r="BG270" s="103" t="str">
        <f t="shared" si="2391"/>
        <v>RF</v>
      </c>
      <c r="BH270" s="103">
        <f t="shared" si="2391"/>
        <v>0</v>
      </c>
      <c r="BI270" s="103">
        <f t="shared" si="2391"/>
        <v>0</v>
      </c>
      <c r="BJ270" s="103" t="str">
        <f t="shared" si="2391"/>
        <v>RF</v>
      </c>
      <c r="BK270" s="103" t="str">
        <f t="shared" si="2391"/>
        <v>RF</v>
      </c>
      <c r="BL270" s="103" t="str">
        <f t="shared" si="2391"/>
        <v>RF</v>
      </c>
      <c r="BM270" s="103">
        <f t="shared" si="2391"/>
        <v>0</v>
      </c>
      <c r="BN270" s="103">
        <f t="shared" si="2391"/>
        <v>0</v>
      </c>
      <c r="BO270" s="103" t="str">
        <f t="shared" si="2391"/>
        <v>RF</v>
      </c>
      <c r="BP270" s="103">
        <f t="shared" si="2391"/>
        <v>0</v>
      </c>
      <c r="BQ270" s="103">
        <f t="shared" si="2391"/>
        <v>0</v>
      </c>
      <c r="BR270" s="103">
        <f t="shared" si="2391"/>
        <v>0</v>
      </c>
      <c r="BS270" s="103" t="str">
        <f t="shared" si="2391"/>
        <v>RF</v>
      </c>
      <c r="BT270" s="103" t="str">
        <f t="shared" si="2391"/>
        <v>RF</v>
      </c>
      <c r="BU270" s="103" t="str">
        <f t="shared" si="2391"/>
        <v>RF</v>
      </c>
      <c r="BV270" s="103">
        <f t="shared" si="2391"/>
        <v>0</v>
      </c>
      <c r="BW270" s="103" t="str">
        <f t="shared" si="2391"/>
        <v>RF</v>
      </c>
      <c r="BX270" s="103">
        <f t="shared" si="2391"/>
        <v>0</v>
      </c>
      <c r="BY270" s="103">
        <f t="shared" si="2391"/>
        <v>0</v>
      </c>
      <c r="BZ270" s="103">
        <f t="shared" si="2391"/>
        <v>0</v>
      </c>
      <c r="CA270" s="103">
        <f t="shared" si="2391"/>
        <v>0</v>
      </c>
      <c r="CB270" s="103">
        <f t="shared" si="2391"/>
        <v>0</v>
      </c>
      <c r="CC270" s="103">
        <f t="shared" si="2391"/>
        <v>0</v>
      </c>
      <c r="CD270" s="103" t="str">
        <f t="shared" si="2391"/>
        <v>RF</v>
      </c>
      <c r="CE270" s="103" t="str">
        <f t="shared" si="2391"/>
        <v>RF</v>
      </c>
      <c r="CF270" s="103">
        <f t="shared" si="2391"/>
        <v>0</v>
      </c>
      <c r="CG270" s="103">
        <f t="shared" si="2391"/>
        <v>0</v>
      </c>
      <c r="CH270" s="103" t="str">
        <f t="shared" si="2391"/>
        <v>RF</v>
      </c>
      <c r="CI270" s="103" t="str">
        <f t="shared" si="2391"/>
        <v>RF</v>
      </c>
      <c r="CJ270" s="103" t="str">
        <f t="shared" si="2391"/>
        <v>RF</v>
      </c>
      <c r="CK270" s="103">
        <f t="shared" si="2391"/>
        <v>0</v>
      </c>
      <c r="CL270" s="103" t="str">
        <f t="shared" ref="CL270" si="2392">IF(CL268&gt;CL269,"RF",0)</f>
        <v>RF</v>
      </c>
      <c r="CM270" s="73">
        <f t="shared" si="2391"/>
        <v>0</v>
      </c>
      <c r="CN270" s="73">
        <f t="shared" si="2391"/>
        <v>0</v>
      </c>
      <c r="CO270" s="73">
        <f t="shared" si="2391"/>
        <v>0</v>
      </c>
      <c r="CP270" s="73">
        <f t="shared" si="2391"/>
        <v>0</v>
      </c>
      <c r="CQ270" s="73" t="str">
        <f t="shared" si="2391"/>
        <v>RF</v>
      </c>
      <c r="CR270" s="73" t="str">
        <f t="shared" si="2391"/>
        <v>RF</v>
      </c>
      <c r="CS270" s="73">
        <f t="shared" si="2391"/>
        <v>0</v>
      </c>
      <c r="CT270" s="73">
        <f t="shared" si="2391"/>
        <v>0</v>
      </c>
      <c r="CU270" s="73" t="str">
        <f t="shared" si="2391"/>
        <v>RF</v>
      </c>
      <c r="CV270" s="73" t="str">
        <f t="shared" si="2391"/>
        <v>RF</v>
      </c>
      <c r="CW270" s="73">
        <f t="shared" si="2391"/>
        <v>0</v>
      </c>
      <c r="CX270" s="73">
        <f t="shared" ref="CX270:DB270" si="2393">IF(CX268&gt;CX269,"RF",0)</f>
        <v>0</v>
      </c>
      <c r="CY270" s="73" t="str">
        <f t="shared" si="2393"/>
        <v>RF</v>
      </c>
      <c r="CZ270" s="73" t="str">
        <f t="shared" si="2393"/>
        <v>RF</v>
      </c>
      <c r="DA270" s="73">
        <f t="shared" si="2393"/>
        <v>0</v>
      </c>
      <c r="DB270" s="73">
        <f t="shared" si="2393"/>
        <v>0</v>
      </c>
      <c r="DE270" s="142"/>
      <c r="DF270" s="103" t="s">
        <v>552</v>
      </c>
    </row>
    <row r="271" spans="1:110" s="86" customFormat="1" x14ac:dyDescent="0.2">
      <c r="A271" s="86" t="s">
        <v>432</v>
      </c>
      <c r="B271" s="86" t="e">
        <f>B55/B27</f>
        <v>#DIV/0!</v>
      </c>
      <c r="C271" s="86" t="e">
        <f>C55/C27</f>
        <v>#DIV/0!</v>
      </c>
      <c r="D271" s="86" t="e">
        <f>D55/D27</f>
        <v>#DIV/0!</v>
      </c>
      <c r="F271" s="86" t="e">
        <f t="shared" ref="F271:AE271" si="2394">F55/F27</f>
        <v>#DIV/0!</v>
      </c>
      <c r="G271" s="86" t="e">
        <f t="shared" si="2394"/>
        <v>#DIV/0!</v>
      </c>
      <c r="H271" s="86" t="e">
        <f t="shared" si="2394"/>
        <v>#DIV/0!</v>
      </c>
      <c r="I271" s="86" t="e">
        <f t="shared" si="2394"/>
        <v>#DIV/0!</v>
      </c>
      <c r="J271" s="86" t="e">
        <f t="shared" si="2394"/>
        <v>#DIV/0!</v>
      </c>
      <c r="K271" s="86">
        <f t="shared" si="2394"/>
        <v>3.5261376834907716E-2</v>
      </c>
      <c r="L271" s="86">
        <f t="shared" si="2394"/>
        <v>3.8269383861967099E-2</v>
      </c>
      <c r="M271" s="86">
        <f t="shared" si="2394"/>
        <v>2.6559397585644722E-2</v>
      </c>
      <c r="N271" s="86">
        <f t="shared" si="2394"/>
        <v>3.4031095656909954E-2</v>
      </c>
      <c r="O271" s="86">
        <f t="shared" si="2394"/>
        <v>5.6413857425224499E-2</v>
      </c>
      <c r="P271" s="86">
        <f t="shared" si="2394"/>
        <v>7.1088694274513684E-2</v>
      </c>
      <c r="Q271" s="86">
        <f t="shared" si="2394"/>
        <v>8.549351039497198E-2</v>
      </c>
      <c r="R271" s="86">
        <f t="shared" si="2394"/>
        <v>7.7438326087357373E-2</v>
      </c>
      <c r="S271" s="86">
        <f t="shared" si="2394"/>
        <v>6.7882371877448194E-2</v>
      </c>
      <c r="T271" s="86">
        <f t="shared" si="2394"/>
        <v>5.0773980255973558E-2</v>
      </c>
      <c r="U271" s="86">
        <f t="shared" si="2394"/>
        <v>5.3311141149910181E-2</v>
      </c>
      <c r="V271" s="86">
        <f t="shared" si="2394"/>
        <v>4.6212259049582323E-2</v>
      </c>
      <c r="W271" s="86">
        <f t="shared" si="2394"/>
        <v>3.4599355558082009E-2</v>
      </c>
      <c r="X271" s="86">
        <f t="shared" si="2394"/>
        <v>3.5928264189758079E-2</v>
      </c>
      <c r="Y271" s="86">
        <f t="shared" si="2394"/>
        <v>3.3624559607358634E-2</v>
      </c>
      <c r="Z271" s="86">
        <f t="shared" si="2394"/>
        <v>2.9932140230503255E-2</v>
      </c>
      <c r="AA271" s="86">
        <f t="shared" ref="AA271" si="2395">AA55/AA27</f>
        <v>3.4621602710881931E-2</v>
      </c>
      <c r="AB271" s="87">
        <f t="shared" si="2394"/>
        <v>1.8660211643308059E-2</v>
      </c>
      <c r="AC271" s="87">
        <f t="shared" si="2394"/>
        <v>1.4073866917801187E-2</v>
      </c>
      <c r="AD271" s="87">
        <f t="shared" si="2394"/>
        <v>9.8203203954235607E-3</v>
      </c>
      <c r="AE271" s="87">
        <f t="shared" si="2394"/>
        <v>4.9532330474972705E-3</v>
      </c>
      <c r="AL271" s="86">
        <f t="shared" ref="AL271:CW271" si="2396">AL55/AL27</f>
        <v>3.9068637954431829E-2</v>
      </c>
      <c r="AM271" s="86">
        <f t="shared" si="2396"/>
        <v>3.5608652786638051E-2</v>
      </c>
      <c r="AN271" s="86">
        <f t="shared" si="2396"/>
        <v>4.4493610652437385E-2</v>
      </c>
      <c r="AO271" s="86">
        <f t="shared" si="2396"/>
        <v>4.0453670720222733E-2</v>
      </c>
      <c r="AP271" s="86">
        <f t="shared" si="2396"/>
        <v>4.3525132372138044E-2</v>
      </c>
      <c r="AQ271" s="86">
        <f t="shared" si="2396"/>
        <v>5.4522352859268805E-2</v>
      </c>
      <c r="AR271" s="86">
        <f t="shared" si="2396"/>
        <v>4.0795294590790274E-2</v>
      </c>
      <c r="AS271" s="86">
        <f t="shared" si="2396"/>
        <v>3.9332069336063868E-2</v>
      </c>
      <c r="AT271" s="86">
        <f t="shared" si="2396"/>
        <v>2.7123533200772956E-2</v>
      </c>
      <c r="AU271" s="86">
        <f t="shared" si="2396"/>
        <v>5.8816147459515897E-2</v>
      </c>
      <c r="AV271" s="86">
        <f t="shared" si="2396"/>
        <v>8.6082375000891193E-2</v>
      </c>
      <c r="AW271" s="86">
        <f t="shared" si="2396"/>
        <v>0.12022753652723263</v>
      </c>
      <c r="AX271" s="86">
        <f t="shared" si="2396"/>
        <v>6.5029453694488523E-2</v>
      </c>
      <c r="AY271" s="86">
        <f t="shared" si="2396"/>
        <v>9.4926646221545743E-2</v>
      </c>
      <c r="AZ271" s="86">
        <f t="shared" si="2396"/>
        <v>5.9322457073967598E-2</v>
      </c>
      <c r="BA271" s="86">
        <f t="shared" si="2396"/>
        <v>6.7040476607674787E-2</v>
      </c>
      <c r="BB271" s="86">
        <f t="shared" si="2396"/>
        <v>4.238306708724332E-2</v>
      </c>
      <c r="BC271" s="86">
        <f t="shared" si="2396"/>
        <v>6.021704058134885E-2</v>
      </c>
      <c r="BD271" s="86">
        <f t="shared" si="2396"/>
        <v>8.7875324518048109E-2</v>
      </c>
      <c r="BE271" s="86">
        <f t="shared" si="2396"/>
        <v>4.0823950555400557E-2</v>
      </c>
      <c r="BF271" s="86">
        <f t="shared" si="2396"/>
        <v>5.1013638639147908E-2</v>
      </c>
      <c r="BG271" s="86">
        <f t="shared" si="2396"/>
        <v>6.6308607189679777E-2</v>
      </c>
      <c r="BH271" s="86">
        <f t="shared" si="2396"/>
        <v>5.7578746807561858E-2</v>
      </c>
      <c r="BI271" s="86">
        <f t="shared" si="2396"/>
        <v>3.9109299149459792E-2</v>
      </c>
      <c r="BJ271" s="86">
        <f t="shared" si="2396"/>
        <v>4.2474647862740647E-2</v>
      </c>
      <c r="BK271" s="86">
        <f t="shared" si="2396"/>
        <v>4.7790581260674113E-2</v>
      </c>
      <c r="BL271" s="86">
        <f t="shared" si="2396"/>
        <v>5.7913402123367111E-2</v>
      </c>
      <c r="BM271" s="86">
        <f t="shared" si="2396"/>
        <v>5.1024608680810053E-2</v>
      </c>
      <c r="BN271" s="86">
        <f t="shared" si="2396"/>
        <v>5.7059241232394121E-2</v>
      </c>
      <c r="BO271" s="86">
        <f t="shared" si="2396"/>
        <v>8.2314007276982432E-2</v>
      </c>
      <c r="BP271" s="86">
        <f t="shared" si="2396"/>
        <v>5.0995653492368336E-2</v>
      </c>
      <c r="BQ271" s="86">
        <f t="shared" si="2396"/>
        <v>4.3791976765293159E-2</v>
      </c>
      <c r="BR271" s="86">
        <f t="shared" si="2396"/>
        <v>2.9388057137571522E-2</v>
      </c>
      <c r="BS271" s="86">
        <f t="shared" si="2396"/>
        <v>4.2047424252929351E-2</v>
      </c>
      <c r="BT271" s="86">
        <f t="shared" si="2396"/>
        <v>3.7515809585317937E-2</v>
      </c>
      <c r="BU271" s="86">
        <f t="shared" si="2396"/>
        <v>3.1091546049598968E-2</v>
      </c>
      <c r="BV271" s="86">
        <f t="shared" si="2396"/>
        <v>3.0071286430388672E-2</v>
      </c>
      <c r="BW271" s="86">
        <f t="shared" si="2396"/>
        <v>4.5991122048828728E-2</v>
      </c>
      <c r="BX271" s="86">
        <f t="shared" si="2396"/>
        <v>3.6586753191510411E-2</v>
      </c>
      <c r="BY271" s="86">
        <f t="shared" si="2396"/>
        <v>3.2733998456748237E-2</v>
      </c>
      <c r="BZ271" s="86">
        <f t="shared" si="2396"/>
        <v>3.1134772141578115E-2</v>
      </c>
      <c r="CA271" s="86">
        <f t="shared" si="2396"/>
        <v>3.6211345465759076E-2</v>
      </c>
      <c r="CB271" s="86">
        <f t="shared" si="2396"/>
        <v>3.4568678172484824E-2</v>
      </c>
      <c r="CC271" s="86">
        <f t="shared" si="2396"/>
        <v>3.2108753573581748E-2</v>
      </c>
      <c r="CD271" s="86">
        <f t="shared" si="2396"/>
        <v>3.2150203864955131E-2</v>
      </c>
      <c r="CE271" s="86">
        <f t="shared" si="2396"/>
        <v>3.1218364553722556E-2</v>
      </c>
      <c r="CF271" s="86">
        <f t="shared" si="2396"/>
        <v>2.8290068773421009E-2</v>
      </c>
      <c r="CG271" s="86">
        <f t="shared" si="2396"/>
        <v>3.2792669739912357E-2</v>
      </c>
      <c r="CH271" s="86">
        <f t="shared" si="2396"/>
        <v>2.7497775725787117E-2</v>
      </c>
      <c r="CI271" s="86">
        <f t="shared" si="2396"/>
        <v>4.1898018939060096E-2</v>
      </c>
      <c r="CJ271" s="86">
        <f t="shared" si="2396"/>
        <v>3.6118197278911558E-2</v>
      </c>
      <c r="CK271" s="86">
        <f t="shared" si="2396"/>
        <v>2.6866070182323541E-2</v>
      </c>
      <c r="CL271" s="86">
        <f t="shared" ref="CL271" si="2397">CL55/CL27</f>
        <v>3.5113996391481134E-2</v>
      </c>
      <c r="CM271" s="87">
        <f t="shared" si="2396"/>
        <v>2.8052047954839818E-2</v>
      </c>
      <c r="CN271" s="87">
        <f t="shared" si="2396"/>
        <v>1.8938012379757257E-2</v>
      </c>
      <c r="CO271" s="87">
        <f t="shared" si="2396"/>
        <v>1.2098210081613547E-2</v>
      </c>
      <c r="CP271" s="87">
        <f t="shared" si="2396"/>
        <v>1.6870043553348119E-2</v>
      </c>
      <c r="CQ271" s="87">
        <f t="shared" si="2396"/>
        <v>1.9595459718420125E-2</v>
      </c>
      <c r="CR271" s="87">
        <f t="shared" si="2396"/>
        <v>1.5739596491698492E-2</v>
      </c>
      <c r="CS271" s="87">
        <f t="shared" si="2396"/>
        <v>8.5390886492890377E-3</v>
      </c>
      <c r="CT271" s="87">
        <f t="shared" si="2396"/>
        <v>1.3368048362635547E-2</v>
      </c>
      <c r="CU271" s="87">
        <f t="shared" si="2396"/>
        <v>1.5536948931394378E-2</v>
      </c>
      <c r="CV271" s="87">
        <f t="shared" si="2396"/>
        <v>1.0959929610277584E-2</v>
      </c>
      <c r="CW271" s="87">
        <f t="shared" si="2396"/>
        <v>4.3638850530362348E-3</v>
      </c>
      <c r="CX271" s="87">
        <f t="shared" ref="CX271:DB271" si="2398">CX55/CX27</f>
        <v>9.2864603860402396E-3</v>
      </c>
      <c r="CY271" s="87">
        <f t="shared" si="2398"/>
        <v>1.0828010836686075E-2</v>
      </c>
      <c r="CZ271" s="87">
        <f t="shared" si="2398"/>
        <v>5.4531985816863374E-3</v>
      </c>
      <c r="DA271" s="87">
        <f t="shared" si="2398"/>
        <v>-3.8341216839866049E-4</v>
      </c>
      <c r="DB271" s="87">
        <f t="shared" si="2398"/>
        <v>4.6672497169265807E-3</v>
      </c>
      <c r="DE271" s="141"/>
      <c r="DF271" s="86">
        <v>3.4621602710881931E-2</v>
      </c>
    </row>
    <row r="272" spans="1:110" s="86" customFormat="1" x14ac:dyDescent="0.2">
      <c r="A272" s="86" t="s">
        <v>433</v>
      </c>
      <c r="B272" s="86" t="e">
        <f>B51/B27</f>
        <v>#DIV/0!</v>
      </c>
      <c r="C272" s="86" t="e">
        <f>C51/C27</f>
        <v>#DIV/0!</v>
      </c>
      <c r="D272" s="86" t="e">
        <f>D51/D27</f>
        <v>#DIV/0!</v>
      </c>
      <c r="F272" s="86" t="e">
        <f t="shared" ref="F272:AE272" si="2399">F51/F27</f>
        <v>#DIV/0!</v>
      </c>
      <c r="G272" s="86" t="e">
        <f t="shared" si="2399"/>
        <v>#DIV/0!</v>
      </c>
      <c r="H272" s="86" t="e">
        <f t="shared" si="2399"/>
        <v>#DIV/0!</v>
      </c>
      <c r="I272" s="86" t="e">
        <f t="shared" si="2399"/>
        <v>#DIV/0!</v>
      </c>
      <c r="J272" s="86" t="e">
        <f t="shared" si="2399"/>
        <v>#DIV/0!</v>
      </c>
      <c r="K272" s="86">
        <f t="shared" si="2399"/>
        <v>2.1675298879373837E-2</v>
      </c>
      <c r="L272" s="86">
        <f t="shared" si="2399"/>
        <v>3.444584626031056E-2</v>
      </c>
      <c r="M272" s="86">
        <f t="shared" si="2399"/>
        <v>2.9175609105203237E-2</v>
      </c>
      <c r="N272" s="86">
        <f t="shared" si="2399"/>
        <v>3.1627274985247998E-2</v>
      </c>
      <c r="O272" s="86">
        <f t="shared" si="2399"/>
        <v>4.6240846214913721E-2</v>
      </c>
      <c r="P272" s="86">
        <f t="shared" si="2399"/>
        <v>3.9378083027119933E-2</v>
      </c>
      <c r="Q272" s="86">
        <f t="shared" si="2399"/>
        <v>4.1299574825277831E-2</v>
      </c>
      <c r="R272" s="86">
        <f t="shared" si="2399"/>
        <v>4.594884244645444E-2</v>
      </c>
      <c r="S272" s="86">
        <f t="shared" si="2399"/>
        <v>4.244139602522299E-2</v>
      </c>
      <c r="T272" s="86">
        <f t="shared" si="2399"/>
        <v>3.2704600781764362E-2</v>
      </c>
      <c r="U272" s="86">
        <f t="shared" si="2399"/>
        <v>3.626651461187428E-2</v>
      </c>
      <c r="V272" s="86">
        <f t="shared" si="2399"/>
        <v>4.3031505258272228E-2</v>
      </c>
      <c r="W272" s="86">
        <f t="shared" si="2399"/>
        <v>3.5567214817704938E-2</v>
      </c>
      <c r="X272" s="86">
        <f t="shared" si="2399"/>
        <v>2.6322587103970705E-2</v>
      </c>
      <c r="Y272" s="86">
        <f t="shared" si="2399"/>
        <v>2.7101598377008162E-2</v>
      </c>
      <c r="Z272" s="86">
        <f t="shared" si="2399"/>
        <v>2.8905023803759384E-2</v>
      </c>
      <c r="AA272" s="86">
        <f t="shared" ref="AA272" si="2400">AA51/AA27</f>
        <v>3.5232482793732464E-2</v>
      </c>
      <c r="AB272" s="87">
        <f t="shared" si="2399"/>
        <v>3.8860773583490257E-2</v>
      </c>
      <c r="AC272" s="87">
        <f t="shared" si="2399"/>
        <v>3.7226014240074171E-2</v>
      </c>
      <c r="AD272" s="87">
        <f t="shared" si="2399"/>
        <v>3.5604935948094663E-2</v>
      </c>
      <c r="AE272" s="87">
        <f t="shared" si="2399"/>
        <v>3.3879414567816589E-2</v>
      </c>
      <c r="AL272" s="86">
        <f t="shared" ref="AL272:CW272" si="2401">AL51/AL27</f>
        <v>3.6783086922362686E-2</v>
      </c>
      <c r="AM272" s="86">
        <f t="shared" si="2401"/>
        <v>3.7605322242566346E-2</v>
      </c>
      <c r="AN272" s="86">
        <f t="shared" si="2401"/>
        <v>4.1695474991662526E-2</v>
      </c>
      <c r="AO272" s="86">
        <f t="shared" si="2401"/>
        <v>3.1504261205772072E-2</v>
      </c>
      <c r="AP272" s="86">
        <f t="shared" si="2401"/>
        <v>4.5644553308203405E-2</v>
      </c>
      <c r="AQ272" s="86">
        <f t="shared" si="2401"/>
        <v>5.4017596839182995E-2</v>
      </c>
      <c r="AR272" s="86">
        <f t="shared" si="2401"/>
        <v>3.9620199075005025E-2</v>
      </c>
      <c r="AS272" s="86">
        <f t="shared" si="2401"/>
        <v>3.4909954259802076E-2</v>
      </c>
      <c r="AT272" s="86">
        <f t="shared" si="2401"/>
        <v>2.4911081860699579E-2</v>
      </c>
      <c r="AU272" s="86">
        <f t="shared" si="2401"/>
        <v>2.7191864025620689E-2</v>
      </c>
      <c r="AV272" s="86">
        <f t="shared" si="2401"/>
        <v>4.0110936040667046E-2</v>
      </c>
      <c r="AW272" s="86">
        <f t="shared" si="2401"/>
        <v>5.0433719353895505E-2</v>
      </c>
      <c r="AX272" s="86">
        <f t="shared" si="2401"/>
        <v>3.2202705974123787E-2</v>
      </c>
      <c r="AY272" s="86">
        <f t="shared" si="2401"/>
        <v>4.3590303888842837E-2</v>
      </c>
      <c r="AZ272" s="86">
        <f t="shared" si="2401"/>
        <v>4.1666963897191531E-2</v>
      </c>
      <c r="BA272" s="86">
        <f t="shared" si="2401"/>
        <v>4.0035044681969507E-2</v>
      </c>
      <c r="BB272" s="86">
        <f t="shared" si="2401"/>
        <v>3.6638697190450126E-2</v>
      </c>
      <c r="BC272" s="86">
        <f t="shared" si="2401"/>
        <v>4.1925787013416801E-2</v>
      </c>
      <c r="BD272" s="86">
        <f t="shared" si="2401"/>
        <v>5.1362786578766112E-2</v>
      </c>
      <c r="BE272" s="86">
        <f t="shared" si="2401"/>
        <v>2.9148480391925056E-2</v>
      </c>
      <c r="BF272" s="86">
        <f t="shared" si="2401"/>
        <v>2.6805155902140426E-2</v>
      </c>
      <c r="BG272" s="86">
        <f t="shared" si="2401"/>
        <v>3.3742820098653474E-2</v>
      </c>
      <c r="BH272" s="86">
        <f t="shared" si="2401"/>
        <v>3.3947948056159888E-2</v>
      </c>
      <c r="BI272" s="86">
        <f t="shared" si="2401"/>
        <v>3.4795748651170341E-2</v>
      </c>
      <c r="BJ272" s="86">
        <f t="shared" si="2401"/>
        <v>2.9000052362417747E-2</v>
      </c>
      <c r="BK272" s="86">
        <f t="shared" si="2401"/>
        <v>3.2786295256604044E-2</v>
      </c>
      <c r="BL272" s="86">
        <f t="shared" si="2401"/>
        <v>3.756353506688196E-2</v>
      </c>
      <c r="BM272" s="86">
        <f t="shared" si="2401"/>
        <v>3.419713049327805E-2</v>
      </c>
      <c r="BN272" s="86">
        <f t="shared" si="2401"/>
        <v>4.0864937160033366E-2</v>
      </c>
      <c r="BO272" s="86">
        <f t="shared" si="2401"/>
        <v>6.5523314988511633E-2</v>
      </c>
      <c r="BP272" s="86">
        <f t="shared" si="2401"/>
        <v>4.7790525287240135E-2</v>
      </c>
      <c r="BQ272" s="86">
        <f t="shared" si="2401"/>
        <v>3.9575100883868362E-2</v>
      </c>
      <c r="BR272" s="86">
        <f t="shared" si="2401"/>
        <v>3.2908281247935302E-2</v>
      </c>
      <c r="BS272" s="86">
        <f t="shared" si="2401"/>
        <v>3.8910074187062334E-2</v>
      </c>
      <c r="BT272" s="86">
        <f t="shared" si="2401"/>
        <v>4.0398536099674386E-2</v>
      </c>
      <c r="BU272" s="86">
        <f t="shared" si="2401"/>
        <v>3.520558679819305E-2</v>
      </c>
      <c r="BV272" s="86">
        <f t="shared" si="2401"/>
        <v>2.9837023602609637E-2</v>
      </c>
      <c r="BW272" s="86">
        <f t="shared" si="2401"/>
        <v>3.155870142714215E-2</v>
      </c>
      <c r="BX272" s="86">
        <f t="shared" si="2401"/>
        <v>2.9001815241100619E-2</v>
      </c>
      <c r="BY272" s="86">
        <f t="shared" si="2401"/>
        <v>2.2896737844953607E-2</v>
      </c>
      <c r="BZ272" s="86">
        <f t="shared" si="2401"/>
        <v>2.4197729800369692E-2</v>
      </c>
      <c r="CA272" s="86">
        <f t="shared" si="2401"/>
        <v>2.9832978853662626E-2</v>
      </c>
      <c r="CB272" s="86">
        <f t="shared" si="2401"/>
        <v>2.5796619967729067E-2</v>
      </c>
      <c r="CC272" s="86">
        <f t="shared" si="2401"/>
        <v>2.5954325337821712E-2</v>
      </c>
      <c r="CD272" s="86">
        <f t="shared" si="2401"/>
        <v>2.7392740490603047E-2</v>
      </c>
      <c r="CE272" s="86">
        <f t="shared" si="2401"/>
        <v>2.9985341399612883E-2</v>
      </c>
      <c r="CF272" s="86">
        <f t="shared" si="2401"/>
        <v>2.7044537610015938E-2</v>
      </c>
      <c r="CG272" s="86">
        <f t="shared" si="2401"/>
        <v>2.8579287841708878E-2</v>
      </c>
      <c r="CH272" s="86">
        <f t="shared" si="2401"/>
        <v>3.0242203151038621E-2</v>
      </c>
      <c r="CI272" s="86">
        <f t="shared" si="2401"/>
        <v>3.7537824260407186E-2</v>
      </c>
      <c r="CJ272" s="86">
        <f t="shared" si="2401"/>
        <v>3.6732331821617531E-2</v>
      </c>
      <c r="CK272" s="86">
        <f t="shared" si="2401"/>
        <v>3.1336668413099462E-2</v>
      </c>
      <c r="CL272" s="86">
        <f t="shared" ref="CL272" si="2402">CL51/CL27</f>
        <v>3.5985911237342134E-2</v>
      </c>
      <c r="CM272" s="87">
        <f t="shared" si="2401"/>
        <v>4.0849659559811145E-2</v>
      </c>
      <c r="CN272" s="87">
        <f t="shared" si="2401"/>
        <v>4.4534741409157565E-2</v>
      </c>
      <c r="CO272" s="87">
        <f t="shared" si="2401"/>
        <v>3.6760286206678983E-2</v>
      </c>
      <c r="CP272" s="87">
        <f t="shared" si="2401"/>
        <v>3.4856811413825316E-2</v>
      </c>
      <c r="CQ272" s="87">
        <f t="shared" si="2401"/>
        <v>3.8680075167459173E-2</v>
      </c>
      <c r="CR272" s="87">
        <f t="shared" si="2401"/>
        <v>4.2953185682902462E-2</v>
      </c>
      <c r="CS272" s="87">
        <f t="shared" si="2401"/>
        <v>3.5322970739447547E-2</v>
      </c>
      <c r="CT272" s="87">
        <f t="shared" si="2401"/>
        <v>3.3428090384175962E-2</v>
      </c>
      <c r="CU272" s="87">
        <f t="shared" si="2401"/>
        <v>3.7082970294105823E-2</v>
      </c>
      <c r="CV272" s="87">
        <f t="shared" si="2401"/>
        <v>4.117303704941528E-2</v>
      </c>
      <c r="CW272" s="87">
        <f t="shared" si="2401"/>
        <v>3.3745579021729664E-2</v>
      </c>
      <c r="CX272" s="87">
        <f t="shared" ref="CX272:DB272" si="2403">CX51/CX27</f>
        <v>3.1880187486931832E-2</v>
      </c>
      <c r="CY272" s="87">
        <f t="shared" si="2403"/>
        <v>3.5358671211541896E-2</v>
      </c>
      <c r="CZ272" s="87">
        <f t="shared" si="2403"/>
        <v>3.9256072727742085E-2</v>
      </c>
      <c r="DA272" s="87">
        <f t="shared" si="2403"/>
        <v>3.2076916150814386E-2</v>
      </c>
      <c r="DB272" s="87">
        <f t="shared" si="2403"/>
        <v>3.0257513114557807E-2</v>
      </c>
      <c r="DE272" s="141"/>
      <c r="DF272" s="86">
        <v>3.5232482793732464E-2</v>
      </c>
    </row>
    <row r="273" spans="28:109" s="85" customFormat="1" x14ac:dyDescent="0.2">
      <c r="AB273" s="58"/>
      <c r="AC273" s="58"/>
      <c r="AD273" s="58"/>
      <c r="AE273" s="58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E273" s="143"/>
    </row>
  </sheetData>
  <sortState xmlns:xlrd2="http://schemas.microsoft.com/office/spreadsheetml/2017/richdata2" ref="A39:DE44">
    <sortCondition ref="A39:A4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EB9B-4DDE-4161-A06A-B10035DEF981}">
  <dimension ref="J5:J20"/>
  <sheetViews>
    <sheetView zoomScale="130" zoomScaleNormal="130" workbookViewId="0">
      <selection activeCell="B18" sqref="B18"/>
    </sheetView>
  </sheetViews>
  <sheetFormatPr defaultRowHeight="15" x14ac:dyDescent="0.25"/>
  <sheetData>
    <row r="5" spans="10:10" x14ac:dyDescent="0.25">
      <c r="J5" t="s">
        <v>550</v>
      </c>
    </row>
    <row r="6" spans="10:10" x14ac:dyDescent="0.25">
      <c r="J6" t="s">
        <v>542</v>
      </c>
    </row>
    <row r="7" spans="10:10" x14ac:dyDescent="0.25">
      <c r="J7" t="s">
        <v>535</v>
      </c>
    </row>
    <row r="8" spans="10:10" x14ac:dyDescent="0.25">
      <c r="J8" t="s">
        <v>536</v>
      </c>
    </row>
    <row r="9" spans="10:10" x14ac:dyDescent="0.25">
      <c r="J9" t="s">
        <v>537</v>
      </c>
    </row>
    <row r="10" spans="10:10" x14ac:dyDescent="0.25">
      <c r="J10" t="s">
        <v>538</v>
      </c>
    </row>
    <row r="11" spans="10:10" x14ac:dyDescent="0.25">
      <c r="J11" t="s">
        <v>539</v>
      </c>
    </row>
    <row r="12" spans="10:10" x14ac:dyDescent="0.25">
      <c r="J12" t="s">
        <v>540</v>
      </c>
    </row>
    <row r="14" spans="10:10" x14ac:dyDescent="0.25">
      <c r="J14" t="s">
        <v>544</v>
      </c>
    </row>
    <row r="15" spans="10:10" x14ac:dyDescent="0.25">
      <c r="J15" t="s">
        <v>543</v>
      </c>
    </row>
    <row r="16" spans="10:10" x14ac:dyDescent="0.25">
      <c r="J16" t="s">
        <v>541</v>
      </c>
    </row>
    <row r="18" spans="10:10" x14ac:dyDescent="0.25">
      <c r="J18" t="s">
        <v>548</v>
      </c>
    </row>
    <row r="20" spans="10:10" x14ac:dyDescent="0.25">
      <c r="J20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100378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Jindal Saw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1290.06</v>
      </c>
      <c r="D6">
        <f>_xll.EQNXTDZ($A$1,$B6,D$1,$B$1)</f>
        <v>1635.21</v>
      </c>
      <c r="E6">
        <f>_xll.EQNXTDZ($A$1,$B6,E$1,$B$1)</f>
        <v>1722.01</v>
      </c>
      <c r="F6">
        <f>_xll.EQNXTDZ($A$1,$B6,F$1,$B$1)</f>
        <v>979.04</v>
      </c>
      <c r="G6">
        <f>_xll.EQNXTDZ($A$1,$B6,G$1,$B$1)</f>
        <v>1206.7</v>
      </c>
      <c r="H6">
        <f>_xll.EQNXTDZ($A$1,$B6,H$1,$B$1)</f>
        <v>1223.71</v>
      </c>
      <c r="I6">
        <f>_xll.EQNXTDZ($A$1,$B6,I$1,$B$1)</f>
        <v>1709.45</v>
      </c>
      <c r="J6">
        <f>_xll.EQNXTDZ($A$1,$B6,J$1,$B$1)</f>
        <v>1363.13</v>
      </c>
      <c r="K6">
        <f>_xll.EQNXTDZ($A$1,$B6,K$1,$B$1)</f>
        <v>1145.1099999999999</v>
      </c>
      <c r="L6">
        <f>_xll.EQNXTDZ($A$1,$B6,L$1,$B$1)</f>
        <v>1589.53</v>
      </c>
      <c r="M6">
        <f>_xll.EQNXTDZ($A$1,$B6,M$1,$B$1)</f>
        <v>1775.32</v>
      </c>
      <c r="N6">
        <f>_xll.EQNXTDZ($A$1,$B6,N$1,$B$1)</f>
        <v>2137.54</v>
      </c>
      <c r="O6">
        <f>_xll.EQNXTDZ($A$1,$B6,O$1,$B$1)</f>
        <v>1986.76</v>
      </c>
      <c r="P6">
        <f>_xll.EQNXTDZ($A$1,$B6,P$1,$B$1)</f>
        <v>1375.37</v>
      </c>
      <c r="Q6">
        <f>_xll.EQNXTDZ($A$1,$B6,Q$1,$B$1)</f>
        <v>1107</v>
      </c>
      <c r="R6">
        <f>_xll.EQNXTDZ($A$1,$B6,R$1,$B$1)</f>
        <v>1858.85</v>
      </c>
      <c r="S6">
        <f>_xll.EQNXTDZ($A$1,$B6,S$1,$B$1)</f>
        <v>1327.13</v>
      </c>
      <c r="T6">
        <f>_xll.EQNXTDZ($A$1,$B6,T$1,$B$1)</f>
        <v>1401.83</v>
      </c>
      <c r="U6">
        <f>_xll.EQNXTDZ($A$1,$B6,U$1,$B$1)</f>
        <v>1426.75</v>
      </c>
      <c r="V6">
        <f>_xll.EQNXTDZ($A$1,$B6,V$1,$B$1)</f>
        <v>1772.17</v>
      </c>
      <c r="W6">
        <f>_xll.EQNXTDZ($A$1,$B6,W$1,$B$1)</f>
        <v>1450.42</v>
      </c>
      <c r="X6">
        <f>_xll.EQNXTDZ($A$1,$B6,X$1,$B$1)</f>
        <v>1321.19</v>
      </c>
      <c r="Y6">
        <f>_xll.EQNXTDZ($A$1,$B6,Y$1,$B$1)</f>
        <v>2114.69</v>
      </c>
      <c r="Z6">
        <f>_xll.EQNXTDZ($A$1,$B6,Z$1,$B$1)</f>
        <v>2456.9899999999998</v>
      </c>
      <c r="AA6">
        <f>_xll.EQNXTDZ($A$1,$B6,AA$1,$B$1)</f>
        <v>2761.18</v>
      </c>
      <c r="AB6">
        <f>_xll.EQNXTDZ($A$1,$B6,AB$1,$B$1)</f>
        <v>2960.12</v>
      </c>
      <c r="AC6">
        <f>_xll.EQNXTDZ($A$1,$B6,AC$1,$B$1)</f>
        <v>2958.12</v>
      </c>
      <c r="AD6">
        <f>_xll.EQNXTDZ($A$1,$B6,AD$1,$B$1)</f>
        <v>3437.58</v>
      </c>
      <c r="AE6">
        <f>_xll.EQNXTDZ($A$1,$B6,AE$1,$B$1)</f>
        <v>3056.46</v>
      </c>
      <c r="AF6">
        <f>_xll.EQNXTDZ($A$1,$B6,AF$1,$B$1)</f>
        <v>2681.59</v>
      </c>
      <c r="AG6">
        <f>_xll.EQNXTDZ($A$1,$B6,AG$1,$B$1)</f>
        <v>2987.97</v>
      </c>
      <c r="AH6">
        <f>_xll.EQNXTDZ($A$1,$B6,AH$1,$B$1)</f>
        <v>2901.02</v>
      </c>
      <c r="AI6">
        <f>_xll.EQNXTDZ($A$1,$B6,AI$1,$B$1)</f>
        <v>1640.79</v>
      </c>
      <c r="AJ6">
        <f>_xll.EQNXTDZ($A$1,$B6,AJ$1,$B$1)</f>
        <v>2374.3200000000002</v>
      </c>
      <c r="AK6">
        <f>_xll.EQNXTDZ($A$1,$B6,AK$1,$B$1)</f>
        <v>2864.68</v>
      </c>
      <c r="AL6">
        <f>_xll.EQNXTDZ($A$1,$B6,AL$1,$B$1)</f>
        <v>3783.85</v>
      </c>
      <c r="AM6">
        <f>_xll.EQNXTDZ($A$1,$B6,AM$1,$B$1)</f>
        <v>2884.6</v>
      </c>
      <c r="AN6">
        <f>_xll.EQNXTDZ($A$1,$B6,AN$1,$B$1)</f>
        <v>2972.88</v>
      </c>
      <c r="AO6">
        <f>_xll.EQNXTDZ($A$1,$B6,AO$1,$B$1)</f>
        <v>3471.04</v>
      </c>
      <c r="AP6">
        <f>_xll.EQNXTDZ($A$1,$B6,AP$1,$B$1)</f>
        <v>3969.9</v>
      </c>
      <c r="AQ6">
        <f>_xll.EQNXTDZ($A$1,$B6,AQ$1,$B$1)</f>
        <v>3478.28</v>
      </c>
      <c r="AR6">
        <f>_xll.EQNXTDZ($A$1,$B6,AR$1,$B$1)</f>
        <v>4043.54</v>
      </c>
      <c r="AS6">
        <f>_xll.EQNXTDZ($A$1,$B6,AS$1,$B$1)</f>
        <v>5157.9399999999996</v>
      </c>
      <c r="AT6">
        <f>_xll.EQNXTDZ($A$1,$B6,AT$1,$B$1)</f>
        <v>5188.09</v>
      </c>
      <c r="AU6">
        <f>_xll.EQNXTDZ($A$1,$B6,AU$1,$B$1)</f>
        <v>4410.22</v>
      </c>
      <c r="AV6">
        <f>_xll.EQNXTDZ($A$1,$B6,AV$1,$B$1)</f>
        <v>5466.22</v>
      </c>
      <c r="AW6">
        <f>_xll.EQNXTDZ($A$1,$B6,AW$1,$B$1)</f>
        <v>5656.09</v>
      </c>
      <c r="AX6">
        <f>_xll.EQNXTDZ($A$1,$B6,AX$1,$B$1)</f>
        <v>5425.16</v>
      </c>
      <c r="AY6">
        <f>_xll.EQNXTDZ($A$1,$B6,AY$1,$B$1)</f>
        <v>4939.08</v>
      </c>
      <c r="AZ6">
        <f>_xll.EQNXTDZ($A$1,$B6,AZ$1,$B$1)</f>
        <v>5571.92</v>
      </c>
      <c r="BA6">
        <f>_xll.EQNXTDZ($A$1,$B6,BA$1,$B$1)</f>
        <v>5271.3</v>
      </c>
      <c r="BB6">
        <f>_xll.EQNXTDZ($A$1,$B6,BB$1,$B$1)</f>
        <v>5046.59</v>
      </c>
      <c r="BC6">
        <f>_xll.EQNXTDZ($A$1,$B6,BC$1,$B$1)</f>
        <v>4084.68</v>
      </c>
      <c r="BD6">
        <f>_xll.EQNXTDZ($A$1,$B6,BD$1,$B$1)</f>
        <v>4233.6000000000004</v>
      </c>
      <c r="BE6">
        <f>_xll.EQNXTDZ($A$1,$B6,BE$1,$B$1)</f>
        <v>4943.41</v>
      </c>
      <c r="BF6">
        <f>_xll.EQNXTDZ($A$1,$B6,BF$1,$B$1)</f>
        <v>4633.4799999999996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58.4</v>
      </c>
      <c r="O7">
        <f>_xll.EQNXTDZ($A$1,$B7,O$1,$B$1)</f>
        <v>0</v>
      </c>
      <c r="P7">
        <f>_xll.EQNXTDZ($A$1,$B7,P$1,$B$1)</f>
        <v>56.58</v>
      </c>
      <c r="Q7">
        <f>_xll.EQNXTDZ($A$1,$B7,Q$1,$B$1)</f>
        <v>50.83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0.37</v>
      </c>
      <c r="D8">
        <f>_xll.EQNXTDZ($A$1,$B8,D$1,$B$1)</f>
        <v>1.72</v>
      </c>
      <c r="E8">
        <f>_xll.EQNXTDZ($A$1,$B8,E$1,$B$1)</f>
        <v>0.72</v>
      </c>
      <c r="F8">
        <f>_xll.EQNXTDZ($A$1,$B8,F$1,$B$1)</f>
        <v>1.03</v>
      </c>
      <c r="G8">
        <f>_xll.EQNXTDZ($A$1,$B8,G$1,$B$1)</f>
        <v>0.31</v>
      </c>
      <c r="H8">
        <f>_xll.EQNXTDZ($A$1,$B8,H$1,$B$1)</f>
        <v>5.68</v>
      </c>
      <c r="I8">
        <f>_xll.EQNXTDZ($A$1,$B8,I$1,$B$1)</f>
        <v>0.16</v>
      </c>
      <c r="J8">
        <f>_xll.EQNXTDZ($A$1,$B8,J$1,$B$1)</f>
        <v>0.45</v>
      </c>
      <c r="K8">
        <f>_xll.EQNXTDZ($A$1,$B8,K$1,$B$1)</f>
        <v>3.96</v>
      </c>
      <c r="L8">
        <f>_xll.EQNXTDZ($A$1,$B8,L$1,$B$1)</f>
        <v>1.83</v>
      </c>
      <c r="M8">
        <f>_xll.EQNXTDZ($A$1,$B8,M$1,$B$1)</f>
        <v>2.11</v>
      </c>
      <c r="N8">
        <f>_xll.EQNXTDZ($A$1,$B8,N$1,$B$1)</f>
        <v>4.88</v>
      </c>
      <c r="O8">
        <f>_xll.EQNXTDZ($A$1,$B8,O$1,$B$1)</f>
        <v>5.38</v>
      </c>
      <c r="P8">
        <f>_xll.EQNXTDZ($A$1,$B8,P$1,$B$1)</f>
        <v>27.24</v>
      </c>
      <c r="Q8">
        <f>_xll.EQNXTDZ($A$1,$B8,Q$1,$B$1)</f>
        <v>21.61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1290.43</v>
      </c>
      <c r="D9">
        <f>_xll.EQNXTDZ($A$1,$B9,D$1,$B$1)</f>
        <v>1636.93</v>
      </c>
      <c r="E9">
        <f>_xll.EQNXTDZ($A$1,$B9,E$1,$B$1)</f>
        <v>1722.73</v>
      </c>
      <c r="F9">
        <f>_xll.EQNXTDZ($A$1,$B9,F$1,$B$1)</f>
        <v>980.07</v>
      </c>
      <c r="G9">
        <f>_xll.EQNXTDZ($A$1,$B9,G$1,$B$1)</f>
        <v>1207.01</v>
      </c>
      <c r="H9">
        <f>_xll.EQNXTDZ($A$1,$B9,H$1,$B$1)</f>
        <v>1229.3900000000001</v>
      </c>
      <c r="I9">
        <f>_xll.EQNXTDZ($A$1,$B9,I$1,$B$1)</f>
        <v>1709.61</v>
      </c>
      <c r="J9">
        <f>_xll.EQNXTDZ($A$1,$B9,J$1,$B$1)</f>
        <v>1363.58</v>
      </c>
      <c r="K9">
        <f>_xll.EQNXTDZ($A$1,$B9,K$1,$B$1)</f>
        <v>1149.07</v>
      </c>
      <c r="L9">
        <f>_xll.EQNXTDZ($A$1,$B9,L$1,$B$1)</f>
        <v>1591.36</v>
      </c>
      <c r="M9">
        <f>_xll.EQNXTDZ($A$1,$B9,M$1,$B$1)</f>
        <v>1777.43</v>
      </c>
      <c r="N9">
        <f>_xll.EQNXTDZ($A$1,$B9,N$1,$B$1)</f>
        <v>2084.02</v>
      </c>
      <c r="O9">
        <f>_xll.EQNXTDZ($A$1,$B9,O$1,$B$1)</f>
        <v>1992.14</v>
      </c>
      <c r="P9">
        <f>_xll.EQNXTDZ($A$1,$B9,P$1,$B$1)</f>
        <v>1346.03</v>
      </c>
      <c r="Q9">
        <f>_xll.EQNXTDZ($A$1,$B9,Q$1,$B$1)</f>
        <v>1077.78</v>
      </c>
      <c r="R9">
        <f>_xll.EQNXTDZ($A$1,$B9,R$1,$B$1)</f>
        <v>1858.85</v>
      </c>
      <c r="S9">
        <f>_xll.EQNXTDZ($A$1,$B9,S$1,$B$1)</f>
        <v>1327.13</v>
      </c>
      <c r="T9">
        <f>_xll.EQNXTDZ($A$1,$B9,T$1,$B$1)</f>
        <v>1401.83</v>
      </c>
      <c r="U9">
        <f>_xll.EQNXTDZ($A$1,$B9,U$1,$B$1)</f>
        <v>1426.75</v>
      </c>
      <c r="V9">
        <f>_xll.EQNXTDZ($A$1,$B9,V$1,$B$1)</f>
        <v>1772.17</v>
      </c>
      <c r="W9">
        <f>_xll.EQNXTDZ($A$1,$B9,W$1,$B$1)</f>
        <v>1450.42</v>
      </c>
      <c r="X9">
        <f>_xll.EQNXTDZ($A$1,$B9,X$1,$B$1)</f>
        <v>1321.19</v>
      </c>
      <c r="Y9">
        <f>_xll.EQNXTDZ($A$1,$B9,Y$1,$B$1)</f>
        <v>2114.69</v>
      </c>
      <c r="Z9">
        <f>_xll.EQNXTDZ($A$1,$B9,Z$1,$B$1)</f>
        <v>2456.9899999999998</v>
      </c>
      <c r="AA9">
        <f>_xll.EQNXTDZ($A$1,$B9,AA$1,$B$1)</f>
        <v>2761.18</v>
      </c>
      <c r="AB9">
        <f>_xll.EQNXTDZ($A$1,$B9,AB$1,$B$1)</f>
        <v>2960.12</v>
      </c>
      <c r="AC9">
        <f>_xll.EQNXTDZ($A$1,$B9,AC$1,$B$1)</f>
        <v>2958.12</v>
      </c>
      <c r="AD9">
        <f>_xll.EQNXTDZ($A$1,$B9,AD$1,$B$1)</f>
        <v>3437.58</v>
      </c>
      <c r="AE9">
        <f>_xll.EQNXTDZ($A$1,$B9,AE$1,$B$1)</f>
        <v>3056.46</v>
      </c>
      <c r="AF9">
        <f>_xll.EQNXTDZ($A$1,$B9,AF$1,$B$1)</f>
        <v>2681.59</v>
      </c>
      <c r="AG9">
        <f>_xll.EQNXTDZ($A$1,$B9,AG$1,$B$1)</f>
        <v>2987.97</v>
      </c>
      <c r="AH9">
        <f>_xll.EQNXTDZ($A$1,$B9,AH$1,$B$1)</f>
        <v>2901.02</v>
      </c>
      <c r="AI9">
        <f>_xll.EQNXTDZ($A$1,$B9,AI$1,$B$1)</f>
        <v>1640.79</v>
      </c>
      <c r="AJ9">
        <f>_xll.EQNXTDZ($A$1,$B9,AJ$1,$B$1)</f>
        <v>2374.3200000000002</v>
      </c>
      <c r="AK9">
        <f>_xll.EQNXTDZ($A$1,$B9,AK$1,$B$1)</f>
        <v>2864.68</v>
      </c>
      <c r="AL9">
        <f>_xll.EQNXTDZ($A$1,$B9,AL$1,$B$1)</f>
        <v>3783.85</v>
      </c>
      <c r="AM9">
        <f>_xll.EQNXTDZ($A$1,$B9,AM$1,$B$1)</f>
        <v>2884.6</v>
      </c>
      <c r="AN9">
        <f>_xll.EQNXTDZ($A$1,$B9,AN$1,$B$1)</f>
        <v>2972.88</v>
      </c>
      <c r="AO9">
        <f>_xll.EQNXTDZ($A$1,$B9,AO$1,$B$1)</f>
        <v>3471.04</v>
      </c>
      <c r="AP9">
        <f>_xll.EQNXTDZ($A$1,$B9,AP$1,$B$1)</f>
        <v>3969.9</v>
      </c>
      <c r="AQ9">
        <f>_xll.EQNXTDZ($A$1,$B9,AQ$1,$B$1)</f>
        <v>3478.28</v>
      </c>
      <c r="AR9">
        <f>_xll.EQNXTDZ($A$1,$B9,AR$1,$B$1)</f>
        <v>4043.54</v>
      </c>
      <c r="AS9">
        <f>_xll.EQNXTDZ($A$1,$B9,AS$1,$B$1)</f>
        <v>5157.9399999999996</v>
      </c>
      <c r="AT9">
        <f>_xll.EQNXTDZ($A$1,$B9,AT$1,$B$1)</f>
        <v>5188.09</v>
      </c>
      <c r="AU9">
        <f>_xll.EQNXTDZ($A$1,$B9,AU$1,$B$1)</f>
        <v>4410.22</v>
      </c>
      <c r="AV9">
        <f>_xll.EQNXTDZ($A$1,$B9,AV$1,$B$1)</f>
        <v>5466.22</v>
      </c>
      <c r="AW9">
        <f>_xll.EQNXTDZ($A$1,$B9,AW$1,$B$1)</f>
        <v>5656.09</v>
      </c>
      <c r="AX9">
        <f>_xll.EQNXTDZ($A$1,$B9,AX$1,$B$1)</f>
        <v>5425.16</v>
      </c>
      <c r="AY9">
        <f>_xll.EQNXTDZ($A$1,$B9,AY$1,$B$1)</f>
        <v>4939.08</v>
      </c>
      <c r="AZ9">
        <f>_xll.EQNXTDZ($A$1,$B9,AZ$1,$B$1)</f>
        <v>5571.92</v>
      </c>
      <c r="BA9">
        <f>_xll.EQNXTDZ($A$1,$B9,BA$1,$B$1)</f>
        <v>5271.3</v>
      </c>
      <c r="BB9">
        <f>_xll.EQNXTDZ($A$1,$B9,BB$1,$B$1)</f>
        <v>5046.59</v>
      </c>
      <c r="BC9">
        <f>_xll.EQNXTDZ($A$1,$B9,BC$1,$B$1)</f>
        <v>4084.68</v>
      </c>
      <c r="BD9">
        <f>_xll.EQNXTDZ($A$1,$B9,BD$1,$B$1)</f>
        <v>4233.6000000000004</v>
      </c>
      <c r="BE9">
        <f>_xll.EQNXTDZ($A$1,$B9,BE$1,$B$1)</f>
        <v>4943.41</v>
      </c>
      <c r="BF9">
        <f>_xll.EQNXTDZ($A$1,$B9,BF$1,$B$1)</f>
        <v>4633.4799999999996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-191.53</v>
      </c>
      <c r="D10">
        <f>_xll.EQNXTDZ($A$1,$B10,D$1,$B$1)</f>
        <v>112.79</v>
      </c>
      <c r="E10">
        <f>_xll.EQNXTDZ($A$1,$B10,E$1,$B$1)</f>
        <v>366.5</v>
      </c>
      <c r="F10">
        <f>_xll.EQNXTDZ($A$1,$B10,F$1,$B$1)</f>
        <v>-56.95</v>
      </c>
      <c r="G10">
        <f>_xll.EQNXTDZ($A$1,$B10,G$1,$B$1)</f>
        <v>28.77</v>
      </c>
      <c r="H10">
        <f>_xll.EQNXTDZ($A$1,$B10,H$1,$B$1)</f>
        <v>-70.38</v>
      </c>
      <c r="I10">
        <f>_xll.EQNXTDZ($A$1,$B10,I$1,$B$1)</f>
        <v>190.88</v>
      </c>
      <c r="J10">
        <f>_xll.EQNXTDZ($A$1,$B10,J$1,$B$1)</f>
        <v>93.36</v>
      </c>
      <c r="K10">
        <f>_xll.EQNXTDZ($A$1,$B10,K$1,$B$1)</f>
        <v>-131.69</v>
      </c>
      <c r="L10">
        <f>_xll.EQNXTDZ($A$1,$B10,L$1,$B$1)</f>
        <v>-202.85</v>
      </c>
      <c r="M10">
        <f>_xll.EQNXTDZ($A$1,$B10,M$1,$B$1)</f>
        <v>-177.18</v>
      </c>
      <c r="N10">
        <f>_xll.EQNXTDZ($A$1,$B10,N$1,$B$1)</f>
        <v>252.99</v>
      </c>
      <c r="O10">
        <f>_xll.EQNXTDZ($A$1,$B10,O$1,$B$1)</f>
        <v>174.4</v>
      </c>
      <c r="P10">
        <f>_xll.EQNXTDZ($A$1,$B10,P$1,$B$1)</f>
        <v>-14.42</v>
      </c>
      <c r="Q10">
        <f>_xll.EQNXTDZ($A$1,$B10,Q$1,$B$1)</f>
        <v>-178</v>
      </c>
      <c r="R10">
        <f>_xll.EQNXTDZ($A$1,$B10,R$1,$B$1)</f>
        <v>99.29</v>
      </c>
      <c r="S10">
        <f>_xll.EQNXTDZ($A$1,$B10,S$1,$B$1)</f>
        <v>-201.05</v>
      </c>
      <c r="T10">
        <f>_xll.EQNXTDZ($A$1,$B10,T$1,$B$1)</f>
        <v>-77.400000000000006</v>
      </c>
      <c r="U10">
        <f>_xll.EQNXTDZ($A$1,$B10,U$1,$B$1)</f>
        <v>-4.6399999999999997</v>
      </c>
      <c r="V10">
        <f>_xll.EQNXTDZ($A$1,$B10,V$1,$B$1)</f>
        <v>179.9</v>
      </c>
      <c r="W10">
        <f>_xll.EQNXTDZ($A$1,$B10,W$1,$B$1)</f>
        <v>61.85</v>
      </c>
      <c r="X10">
        <f>_xll.EQNXTDZ($A$1,$B10,X$1,$B$1)</f>
        <v>-235.73</v>
      </c>
      <c r="Y10">
        <f>_xll.EQNXTDZ($A$1,$B10,Y$1,$B$1)</f>
        <v>-109.49</v>
      </c>
      <c r="Z10">
        <f>_xll.EQNXTDZ($A$1,$B10,Z$1,$B$1)</f>
        <v>57.89</v>
      </c>
      <c r="AA10">
        <f>_xll.EQNXTDZ($A$1,$B10,AA$1,$B$1)</f>
        <v>82.31</v>
      </c>
      <c r="AB10">
        <f>_xll.EQNXTDZ($A$1,$B10,AB$1,$B$1)</f>
        <v>-139.27000000000001</v>
      </c>
      <c r="AC10">
        <f>_xll.EQNXTDZ($A$1,$B10,AC$1,$B$1)</f>
        <v>-206.37</v>
      </c>
      <c r="AD10">
        <f>_xll.EQNXTDZ($A$1,$B10,AD$1,$B$1)</f>
        <v>155.21</v>
      </c>
      <c r="AE10">
        <f>_xll.EQNXTDZ($A$1,$B10,AE$1,$B$1)</f>
        <v>-50.49</v>
      </c>
      <c r="AF10">
        <f>_xll.EQNXTDZ($A$1,$B10,AF$1,$B$1)</f>
        <v>-99.33</v>
      </c>
      <c r="AG10">
        <f>_xll.EQNXTDZ($A$1,$B10,AG$1,$B$1)</f>
        <v>178.72</v>
      </c>
      <c r="AH10">
        <f>_xll.EQNXTDZ($A$1,$B10,AH$1,$B$1)</f>
        <v>177.3</v>
      </c>
      <c r="AI10">
        <f>_xll.EQNXTDZ($A$1,$B10,AI$1,$B$1)</f>
        <v>-54.29</v>
      </c>
      <c r="AJ10">
        <f>_xll.EQNXTDZ($A$1,$B10,AJ$1,$B$1)</f>
        <v>-144.72</v>
      </c>
      <c r="AK10">
        <f>_xll.EQNXTDZ($A$1,$B10,AK$1,$B$1)</f>
        <v>51.03</v>
      </c>
      <c r="AL10">
        <f>_xll.EQNXTDZ($A$1,$B10,AL$1,$B$1)</f>
        <v>151.9</v>
      </c>
      <c r="AM10">
        <f>_xll.EQNXTDZ($A$1,$B10,AM$1,$B$1)</f>
        <v>-159.69</v>
      </c>
      <c r="AN10">
        <f>_xll.EQNXTDZ($A$1,$B10,AN$1,$B$1)</f>
        <v>-64.66</v>
      </c>
      <c r="AO10">
        <f>_xll.EQNXTDZ($A$1,$B10,AO$1,$B$1)</f>
        <v>-88.51</v>
      </c>
      <c r="AP10">
        <f>_xll.EQNXTDZ($A$1,$B10,AP$1,$B$1)</f>
        <v>22.34</v>
      </c>
      <c r="AQ10">
        <f>_xll.EQNXTDZ($A$1,$B10,AQ$1,$B$1)</f>
        <v>-98.48</v>
      </c>
      <c r="AR10">
        <f>_xll.EQNXTDZ($A$1,$B10,AR$1,$B$1)</f>
        <v>-32.82</v>
      </c>
      <c r="AS10">
        <f>_xll.EQNXTDZ($A$1,$B10,AS$1,$B$1)</f>
        <v>-8.83</v>
      </c>
      <c r="AT10">
        <f>_xll.EQNXTDZ($A$1,$B10,AT$1,$B$1)</f>
        <v>99.88</v>
      </c>
      <c r="AU10">
        <f>_xll.EQNXTDZ($A$1,$B10,AU$1,$B$1)</f>
        <v>-462.92</v>
      </c>
      <c r="AV10">
        <f>_xll.EQNXTDZ($A$1,$B10,AV$1,$B$1)</f>
        <v>-58.19</v>
      </c>
      <c r="AW10">
        <f>_xll.EQNXTDZ($A$1,$B10,AW$1,$B$1)</f>
        <v>83.28</v>
      </c>
      <c r="AX10">
        <f>_xll.EQNXTDZ($A$1,$B10,AX$1,$B$1)</f>
        <v>-92.31</v>
      </c>
      <c r="AY10">
        <f>_xll.EQNXTDZ($A$1,$B10,AY$1,$B$1)</f>
        <v>-234.36</v>
      </c>
      <c r="AZ10">
        <f>_xll.EQNXTDZ($A$1,$B10,AZ$1,$B$1)</f>
        <v>396.53</v>
      </c>
      <c r="BA10">
        <f>_xll.EQNXTDZ($A$1,$B10,BA$1,$B$1)</f>
        <v>-24.1</v>
      </c>
      <c r="BB10">
        <f>_xll.EQNXTDZ($A$1,$B10,BB$1,$B$1)</f>
        <v>24.1</v>
      </c>
      <c r="BC10">
        <f>_xll.EQNXTDZ($A$1,$B10,BC$1,$B$1)</f>
        <v>-928</v>
      </c>
      <c r="BD10">
        <f>_xll.EQNXTDZ($A$1,$B10,BD$1,$B$1)</f>
        <v>-102.29</v>
      </c>
      <c r="BE10">
        <f>_xll.EQNXTDZ($A$1,$B10,BE$1,$B$1)</f>
        <v>466.23</v>
      </c>
      <c r="BF10">
        <f>_xll.EQNXTDZ($A$1,$B10,BF$1,$B$1)</f>
        <v>-23.16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1035.26</v>
      </c>
      <c r="D11">
        <f>_xll.EQNXTDZ($A$1,$B11,D$1,$B$1)</f>
        <v>984.68</v>
      </c>
      <c r="E11">
        <f>_xll.EQNXTDZ($A$1,$B11,E$1,$B$1)</f>
        <v>892.56</v>
      </c>
      <c r="F11">
        <f>_xll.EQNXTDZ($A$1,$B11,F$1,$B$1)</f>
        <v>660.83</v>
      </c>
      <c r="G11">
        <f>_xll.EQNXTDZ($A$1,$B11,G$1,$B$1)</f>
        <v>759.39</v>
      </c>
      <c r="H11">
        <f>_xll.EQNXTDZ($A$1,$B11,H$1,$B$1)</f>
        <v>840.83</v>
      </c>
      <c r="I11">
        <f>_xll.EQNXTDZ($A$1,$B11,I$1,$B$1)</f>
        <v>916.31</v>
      </c>
      <c r="J11">
        <f>_xll.EQNXTDZ($A$1,$B11,J$1,$B$1)</f>
        <v>619.51</v>
      </c>
      <c r="K11">
        <f>_xll.EQNXTDZ($A$1,$B11,K$1,$B$1)</f>
        <v>740.54</v>
      </c>
      <c r="L11">
        <f>_xll.EQNXTDZ($A$1,$B11,L$1,$B$1)</f>
        <v>1064.3699999999999</v>
      </c>
      <c r="M11">
        <f>_xll.EQNXTDZ($A$1,$B11,M$1,$B$1)</f>
        <v>1140.22</v>
      </c>
      <c r="N11">
        <f>_xll.EQNXTDZ($A$1,$B11,N$1,$B$1)</f>
        <v>936.28</v>
      </c>
      <c r="O11">
        <f>_xll.EQNXTDZ($A$1,$B11,O$1,$B$1)</f>
        <v>986.67</v>
      </c>
      <c r="P11">
        <f>_xll.EQNXTDZ($A$1,$B11,P$1,$B$1)</f>
        <v>782.5</v>
      </c>
      <c r="Q11">
        <f>_xll.EQNXTDZ($A$1,$B11,Q$1,$B$1)</f>
        <v>674.19</v>
      </c>
      <c r="R11">
        <f>_xll.EQNXTDZ($A$1,$B11,R$1,$B$1)</f>
        <v>986.17</v>
      </c>
      <c r="S11">
        <f>_xll.EQNXTDZ($A$1,$B11,S$1,$B$1)</f>
        <v>848.53</v>
      </c>
      <c r="T11">
        <f>_xll.EQNXTDZ($A$1,$B11,T$1,$B$1)</f>
        <v>786.32</v>
      </c>
      <c r="U11">
        <f>_xll.EQNXTDZ($A$1,$B11,U$1,$B$1)</f>
        <v>681.73</v>
      </c>
      <c r="V11">
        <f>_xll.EQNXTDZ($A$1,$B11,V$1,$B$1)</f>
        <v>794.78</v>
      </c>
      <c r="W11">
        <f>_xll.EQNXTDZ($A$1,$B11,W$1,$B$1)</f>
        <v>765.03</v>
      </c>
      <c r="X11">
        <f>_xll.EQNXTDZ($A$1,$B11,X$1,$B$1)</f>
        <v>888.31</v>
      </c>
      <c r="Y11">
        <f>_xll.EQNXTDZ($A$1,$B11,Y$1,$B$1)</f>
        <v>1425</v>
      </c>
      <c r="Z11">
        <f>_xll.EQNXTDZ($A$1,$B11,Z$1,$B$1)</f>
        <v>1426.98</v>
      </c>
      <c r="AA11">
        <f>_xll.EQNXTDZ($A$1,$B11,AA$1,$B$1)</f>
        <v>1597.02</v>
      </c>
      <c r="AB11">
        <f>_xll.EQNXTDZ($A$1,$B11,AB$1,$B$1)</f>
        <v>1915.12</v>
      </c>
      <c r="AC11">
        <f>_xll.EQNXTDZ($A$1,$B11,AC$1,$B$1)</f>
        <v>1795.32</v>
      </c>
      <c r="AD11">
        <f>_xll.EQNXTDZ($A$1,$B11,AD$1,$B$1)</f>
        <v>1782.72</v>
      </c>
      <c r="AE11">
        <f>_xll.EQNXTDZ($A$1,$B11,AE$1,$B$1)</f>
        <v>1766.46</v>
      </c>
      <c r="AF11">
        <f>_xll.EQNXTDZ($A$1,$B11,AF$1,$B$1)</f>
        <v>1609.13</v>
      </c>
      <c r="AG11">
        <f>_xll.EQNXTDZ($A$1,$B11,AG$1,$B$1)</f>
        <v>1576.5</v>
      </c>
      <c r="AH11">
        <f>_xll.EQNXTDZ($A$1,$B11,AH$1,$B$1)</f>
        <v>1445.56</v>
      </c>
      <c r="AI11">
        <f>_xll.EQNXTDZ($A$1,$B11,AI$1,$B$1)</f>
        <v>949.55</v>
      </c>
      <c r="AJ11">
        <f>_xll.EQNXTDZ($A$1,$B11,AJ$1,$B$1)</f>
        <v>1423.34</v>
      </c>
      <c r="AK11">
        <f>_xll.EQNXTDZ($A$1,$B11,AK$1,$B$1)</f>
        <v>1495.61</v>
      </c>
      <c r="AL11">
        <f>_xll.EQNXTDZ($A$1,$B11,AL$1,$B$1)</f>
        <v>2077.5300000000002</v>
      </c>
      <c r="AM11">
        <f>_xll.EQNXTDZ($A$1,$B11,AM$1,$B$1)</f>
        <v>1679.21</v>
      </c>
      <c r="AN11">
        <f>_xll.EQNXTDZ($A$1,$B11,AN$1,$B$1)</f>
        <v>1722.14</v>
      </c>
      <c r="AO11">
        <f>_xll.EQNXTDZ($A$1,$B11,AO$1,$B$1)</f>
        <v>2312.69</v>
      </c>
      <c r="AP11">
        <f>_xll.EQNXTDZ($A$1,$B11,AP$1,$B$1)</f>
        <v>2452.7600000000002</v>
      </c>
      <c r="AQ11">
        <f>_xll.EQNXTDZ($A$1,$B11,AQ$1,$B$1)</f>
        <v>2221.17</v>
      </c>
      <c r="AR11">
        <f>_xll.EQNXTDZ($A$1,$B11,AR$1,$B$1)</f>
        <v>2543.7600000000002</v>
      </c>
      <c r="AS11">
        <f>_xll.EQNXTDZ($A$1,$B11,AS$1,$B$1)</f>
        <v>3317.26</v>
      </c>
      <c r="AT11">
        <f>_xll.EQNXTDZ($A$1,$B11,AT$1,$B$1)</f>
        <v>3082.21</v>
      </c>
      <c r="AU11">
        <f>_xll.EQNXTDZ($A$1,$B11,AU$1,$B$1)</f>
        <v>2906.73</v>
      </c>
      <c r="AV11">
        <f>_xll.EQNXTDZ($A$1,$B11,AV$1,$B$1)</f>
        <v>3300.88</v>
      </c>
      <c r="AW11">
        <f>_xll.EQNXTDZ($A$1,$B11,AW$1,$B$1)</f>
        <v>3148.88</v>
      </c>
      <c r="AX11">
        <f>_xll.EQNXTDZ($A$1,$B11,AX$1,$B$1)</f>
        <v>3290.52</v>
      </c>
      <c r="AY11">
        <f>_xll.EQNXTDZ($A$1,$B11,AY$1,$B$1)</f>
        <v>2956.08</v>
      </c>
      <c r="AZ11">
        <f>_xll.EQNXTDZ($A$1,$B11,AZ$1,$B$1)</f>
        <v>2824.64</v>
      </c>
      <c r="BA11">
        <f>_xll.EQNXTDZ($A$1,$B11,BA$1,$B$1)</f>
        <v>2968.29</v>
      </c>
      <c r="BB11">
        <f>_xll.EQNXTDZ($A$1,$B11,BB$1,$B$1)</f>
        <v>2925.68</v>
      </c>
      <c r="BC11">
        <f>_xll.EQNXTDZ($A$1,$B11,BC$1,$B$1)</f>
        <v>3067.37</v>
      </c>
      <c r="BD11">
        <f>_xll.EQNXTDZ($A$1,$B11,BD$1,$B$1)</f>
        <v>2462.79</v>
      </c>
      <c r="BE11">
        <f>_xll.EQNXTDZ($A$1,$B11,BE$1,$B$1)</f>
        <v>2444.81</v>
      </c>
      <c r="BF11">
        <f>_xll.EQNXTDZ($A$1,$B11,BF$1,$B$1)</f>
        <v>2661.37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21.38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4.4800000000000004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6.05</v>
      </c>
      <c r="AB12">
        <f>_xll.EQNXTDZ($A$1,$B12,AB$1,$B$1)</f>
        <v>50.95</v>
      </c>
      <c r="AC12">
        <f>_xll.EQNXTDZ($A$1,$B12,AC$1,$B$1)</f>
        <v>176.15</v>
      </c>
      <c r="AD12">
        <f>_xll.EQNXTDZ($A$1,$B12,AD$1,$B$1)</f>
        <v>250.76</v>
      </c>
      <c r="AE12">
        <f>_xll.EQNXTDZ($A$1,$B12,AE$1,$B$1)</f>
        <v>175.08</v>
      </c>
      <c r="AF12">
        <f>_xll.EQNXTDZ($A$1,$B12,AF$1,$B$1)</f>
        <v>48.19</v>
      </c>
      <c r="AG12">
        <f>_xll.EQNXTDZ($A$1,$B12,AG$1,$B$1)</f>
        <v>83.58</v>
      </c>
      <c r="AH12">
        <f>_xll.EQNXTDZ($A$1,$B12,AH$1,$B$1)</f>
        <v>23.95</v>
      </c>
      <c r="AI12">
        <f>_xll.EQNXTDZ($A$1,$B12,AI$1,$B$1)</f>
        <v>4.67</v>
      </c>
      <c r="AJ12">
        <f>_xll.EQNXTDZ($A$1,$B12,AJ$1,$B$1)</f>
        <v>13.87</v>
      </c>
      <c r="AK12">
        <f>_xll.EQNXTDZ($A$1,$B12,AK$1,$B$1)</f>
        <v>30.63</v>
      </c>
      <c r="AL12">
        <f>_xll.EQNXTDZ($A$1,$B12,AL$1,$B$1)</f>
        <v>28.4</v>
      </c>
      <c r="AM12">
        <f>_xll.EQNXTDZ($A$1,$B12,AM$1,$B$1)</f>
        <v>12.03</v>
      </c>
      <c r="AN12">
        <f>_xll.EQNXTDZ($A$1,$B12,AN$1,$B$1)</f>
        <v>8.39</v>
      </c>
      <c r="AO12">
        <f>_xll.EQNXTDZ($A$1,$B12,AO$1,$B$1)</f>
        <v>4.3099999999999996</v>
      </c>
      <c r="AP12">
        <f>_xll.EQNXTDZ($A$1,$B12,AP$1,$B$1)</f>
        <v>2.2400000000000002</v>
      </c>
      <c r="AQ12">
        <f>_xll.EQNXTDZ($A$1,$B12,AQ$1,$B$1)</f>
        <v>0.42</v>
      </c>
      <c r="AR12">
        <f>_xll.EQNXTDZ($A$1,$B12,AR$1,$B$1)</f>
        <v>0.61</v>
      </c>
      <c r="AS12">
        <f>_xll.EQNXTDZ($A$1,$B12,AS$1,$B$1)</f>
        <v>-0.01</v>
      </c>
      <c r="AT12">
        <f>_xll.EQNXTDZ($A$1,$B12,AT$1,$B$1)</f>
        <v>67.209999999999994</v>
      </c>
      <c r="AU12">
        <f>_xll.EQNXTDZ($A$1,$B12,AU$1,$B$1)</f>
        <v>18.38</v>
      </c>
      <c r="AV12">
        <f>_xll.EQNXTDZ($A$1,$B12,AV$1,$B$1)</f>
        <v>11.16</v>
      </c>
      <c r="AW12">
        <f>_xll.EQNXTDZ($A$1,$B12,AW$1,$B$1)</f>
        <v>0.7</v>
      </c>
      <c r="AX12">
        <f>_xll.EQNXTDZ($A$1,$B12,AX$1,$B$1)</f>
        <v>4.09</v>
      </c>
      <c r="AY12">
        <f>_xll.EQNXTDZ($A$1,$B12,AY$1,$B$1)</f>
        <v>7.59</v>
      </c>
      <c r="AZ12">
        <f>_xll.EQNXTDZ($A$1,$B12,AZ$1,$B$1)</f>
        <v>0.42</v>
      </c>
      <c r="BA12">
        <f>_xll.EQNXTDZ($A$1,$B12,BA$1,$B$1)</f>
        <v>0.15</v>
      </c>
      <c r="BB12">
        <f>_xll.EQNXTDZ($A$1,$B12,BB$1,$B$1)</f>
        <v>7.0000000000000007E-2</v>
      </c>
      <c r="BC12">
        <f>_xll.EQNXTDZ($A$1,$B12,BC$1,$B$1)</f>
        <v>1.89</v>
      </c>
      <c r="BD12">
        <f>_xll.EQNXTDZ($A$1,$B12,BD$1,$B$1)</f>
        <v>0.03</v>
      </c>
      <c r="BE12">
        <f>_xll.EQNXTDZ($A$1,$B12,BE$1,$B$1)</f>
        <v>0.81</v>
      </c>
      <c r="BF12">
        <f>_xll.EQNXTDZ($A$1,$B12,BF$1,$B$1)</f>
        <v>0.98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29.54</v>
      </c>
      <c r="S13">
        <f>_xll.EQNXTDZ($A$1,$B13,S$1,$B$1)</f>
        <v>47.74</v>
      </c>
      <c r="T13">
        <f>_xll.EQNXTDZ($A$1,$B13,T$1,$B$1)</f>
        <v>68.58</v>
      </c>
      <c r="U13">
        <f>_xll.EQNXTDZ($A$1,$B13,U$1,$B$1)</f>
        <v>67.25</v>
      </c>
      <c r="V13">
        <f>_xll.EQNXTDZ($A$1,$B13,V$1,$B$1)</f>
        <v>53.67</v>
      </c>
      <c r="W13">
        <f>_xll.EQNXTDZ($A$1,$B13,W$1,$B$1)</f>
        <v>53.36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224.58</v>
      </c>
      <c r="D14">
        <f>_xll.EQNXTDZ($A$1,$B14,D$1,$B$1)</f>
        <v>278.76</v>
      </c>
      <c r="E14">
        <f>_xll.EQNXTDZ($A$1,$B14,E$1,$B$1)</f>
        <v>240.94</v>
      </c>
      <c r="F14">
        <f>_xll.EQNXTDZ($A$1,$B14,F$1,$B$1)</f>
        <v>188.49</v>
      </c>
      <c r="G14">
        <f>_xll.EQNXTDZ($A$1,$B14,G$1,$B$1)</f>
        <v>208.47</v>
      </c>
      <c r="H14">
        <f>_xll.EQNXTDZ($A$1,$B14,H$1,$B$1)</f>
        <v>234.04</v>
      </c>
      <c r="I14">
        <f>_xll.EQNXTDZ($A$1,$B14,I$1,$B$1)</f>
        <v>357.96</v>
      </c>
      <c r="J14">
        <f>_xll.EQNXTDZ($A$1,$B14,J$1,$B$1)</f>
        <v>406.77</v>
      </c>
      <c r="K14">
        <f>_xll.EQNXTDZ($A$1,$B14,K$1,$B$1)</f>
        <v>292.43</v>
      </c>
      <c r="L14">
        <f>_xll.EQNXTDZ($A$1,$B14,L$1,$B$1)</f>
        <v>429.19</v>
      </c>
      <c r="M14">
        <f>_xll.EQNXTDZ($A$1,$B14,M$1,$B$1)</f>
        <v>485.78</v>
      </c>
      <c r="N14">
        <f>_xll.EQNXTDZ($A$1,$B14,N$1,$B$1)</f>
        <v>566.07000000000005</v>
      </c>
      <c r="O14">
        <f>_xll.EQNXTDZ($A$1,$B14,O$1,$B$1)</f>
        <v>440.85</v>
      </c>
      <c r="P14">
        <f>_xll.EQNXTDZ($A$1,$B14,P$1,$B$1)</f>
        <v>300.73</v>
      </c>
      <c r="Q14">
        <f>_xll.EQNXTDZ($A$1,$B14,Q$1,$B$1)</f>
        <v>292.42</v>
      </c>
      <c r="R14">
        <f>_xll.EQNXTDZ($A$1,$B14,R$1,$B$1)</f>
        <v>323.12</v>
      </c>
      <c r="S14">
        <f>_xll.EQNXTDZ($A$1,$B14,S$1,$B$1)</f>
        <v>269.82</v>
      </c>
      <c r="T14">
        <f>_xll.EQNXTDZ($A$1,$B14,T$1,$B$1)</f>
        <v>301.04000000000002</v>
      </c>
      <c r="U14">
        <f>_xll.EQNXTDZ($A$1,$B14,U$1,$B$1)</f>
        <v>335.52</v>
      </c>
      <c r="V14">
        <f>_xll.EQNXTDZ($A$1,$B14,V$1,$B$1)</f>
        <v>354.76</v>
      </c>
      <c r="W14">
        <f>_xll.EQNXTDZ($A$1,$B14,W$1,$B$1)</f>
        <v>277.36</v>
      </c>
      <c r="X14">
        <f>_xll.EQNXTDZ($A$1,$B14,X$1,$B$1)</f>
        <v>322.17</v>
      </c>
      <c r="Y14">
        <f>_xll.EQNXTDZ($A$1,$B14,Y$1,$B$1)</f>
        <v>417.34</v>
      </c>
      <c r="Z14">
        <f>_xll.EQNXTDZ($A$1,$B14,Z$1,$B$1)</f>
        <v>432.75</v>
      </c>
      <c r="AA14">
        <f>_xll.EQNXTDZ($A$1,$B14,AA$1,$B$1)</f>
        <v>495.29</v>
      </c>
      <c r="AB14">
        <f>_xll.EQNXTDZ($A$1,$B14,AB$1,$B$1)</f>
        <v>553.64</v>
      </c>
      <c r="AC14">
        <f>_xll.EQNXTDZ($A$1,$B14,AC$1,$B$1)</f>
        <v>599.29</v>
      </c>
      <c r="AD14">
        <f>_xll.EQNXTDZ($A$1,$B14,AD$1,$B$1)</f>
        <v>613.59</v>
      </c>
      <c r="AE14">
        <f>_xll.EQNXTDZ($A$1,$B14,AE$1,$B$1)</f>
        <v>530.15</v>
      </c>
      <c r="AF14">
        <f>_xll.EQNXTDZ($A$1,$B14,AF$1,$B$1)</f>
        <v>539.96</v>
      </c>
      <c r="AG14">
        <f>_xll.EQNXTDZ($A$1,$B14,AG$1,$B$1)</f>
        <v>539.97</v>
      </c>
      <c r="AH14">
        <f>_xll.EQNXTDZ($A$1,$B14,AH$1,$B$1)</f>
        <v>623.41</v>
      </c>
      <c r="AI14">
        <f>_xll.EQNXTDZ($A$1,$B14,AI$1,$B$1)</f>
        <v>343.79</v>
      </c>
      <c r="AJ14">
        <f>_xll.EQNXTDZ($A$1,$B14,AJ$1,$B$1)</f>
        <v>582.39</v>
      </c>
      <c r="AK14">
        <f>_xll.EQNXTDZ($A$1,$B14,AK$1,$B$1)</f>
        <v>745.88</v>
      </c>
      <c r="AL14">
        <f>_xll.EQNXTDZ($A$1,$B14,AL$1,$B$1)</f>
        <v>824.38</v>
      </c>
      <c r="AM14">
        <f>_xll.EQNXTDZ($A$1,$B14,AM$1,$B$1)</f>
        <v>686.61</v>
      </c>
      <c r="AN14">
        <f>_xll.EQNXTDZ($A$1,$B14,AN$1,$B$1)</f>
        <v>672.05</v>
      </c>
      <c r="AO14">
        <f>_xll.EQNXTDZ($A$1,$B14,AO$1,$B$1)</f>
        <v>770.01</v>
      </c>
      <c r="AP14">
        <f>_xll.EQNXTDZ($A$1,$B14,AP$1,$B$1)</f>
        <v>849.6</v>
      </c>
      <c r="AQ14">
        <f>_xll.EQNXTDZ($A$1,$B14,AQ$1,$B$1)</f>
        <v>854.7</v>
      </c>
      <c r="AR14">
        <f>_xll.EQNXTDZ($A$1,$B14,AR$1,$B$1)</f>
        <v>921.41</v>
      </c>
      <c r="AS14">
        <f>_xll.EQNXTDZ($A$1,$B14,AS$1,$B$1)</f>
        <v>1057.82</v>
      </c>
      <c r="AT14">
        <f>_xll.EQNXTDZ($A$1,$B14,AT$1,$B$1)</f>
        <v>997.53</v>
      </c>
      <c r="AU14">
        <f>_xll.EQNXTDZ($A$1,$B14,AU$1,$B$1)</f>
        <v>980.79</v>
      </c>
      <c r="AV14">
        <f>_xll.EQNXTDZ($A$1,$B14,AV$1,$B$1)</f>
        <v>1030.6400000000001</v>
      </c>
      <c r="AW14">
        <f>_xll.EQNXTDZ($A$1,$B14,AW$1,$B$1)</f>
        <v>1047.52</v>
      </c>
      <c r="AX14">
        <f>_xll.EQNXTDZ($A$1,$B14,AX$1,$B$1)</f>
        <v>934.15</v>
      </c>
      <c r="AY14">
        <f>_xll.EQNXTDZ($A$1,$B14,AY$1,$B$1)</f>
        <v>993.79</v>
      </c>
      <c r="AZ14">
        <f>_xll.EQNXTDZ($A$1,$B14,AZ$1,$B$1)</f>
        <v>1046.98</v>
      </c>
      <c r="BA14">
        <f>_xll.EQNXTDZ($A$1,$B14,BA$1,$B$1)</f>
        <v>1004.05</v>
      </c>
      <c r="BB14">
        <f>_xll.EQNXTDZ($A$1,$B14,BB$1,$B$1)</f>
        <v>982.69</v>
      </c>
      <c r="BC14">
        <f>_xll.EQNXTDZ($A$1,$B14,BC$1,$B$1)</f>
        <v>865.78</v>
      </c>
      <c r="BD14">
        <f>_xll.EQNXTDZ($A$1,$B14,BD$1,$B$1)</f>
        <v>1005.57</v>
      </c>
      <c r="BE14">
        <f>_xll.EQNXTDZ($A$1,$B14,BE$1,$B$1)</f>
        <v>1011.9</v>
      </c>
      <c r="BF14">
        <f>_xll.EQNXTDZ($A$1,$B14,BF$1,$B$1)</f>
        <v>1114.6199999999999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61.88</v>
      </c>
      <c r="D16">
        <f>_xll.EQNXTDZ($A$1,$B16,D$1,$B$1)</f>
        <v>62.85</v>
      </c>
      <c r="E16">
        <f>_xll.EQNXTDZ($A$1,$B16,E$1,$B$1)</f>
        <v>64.17</v>
      </c>
      <c r="F16">
        <f>_xll.EQNXTDZ($A$1,$B16,F$1,$B$1)</f>
        <v>63.36</v>
      </c>
      <c r="G16">
        <f>_xll.EQNXTDZ($A$1,$B16,G$1,$B$1)</f>
        <v>68.02</v>
      </c>
      <c r="H16">
        <f>_xll.EQNXTDZ($A$1,$B16,H$1,$B$1)</f>
        <v>76.7</v>
      </c>
      <c r="I16">
        <f>_xll.EQNXTDZ($A$1,$B16,I$1,$B$1)</f>
        <v>78.73</v>
      </c>
      <c r="J16">
        <f>_xll.EQNXTDZ($A$1,$B16,J$1,$B$1)</f>
        <v>76.75</v>
      </c>
      <c r="K16">
        <f>_xll.EQNXTDZ($A$1,$B16,K$1,$B$1)</f>
        <v>85.95</v>
      </c>
      <c r="L16">
        <f>_xll.EQNXTDZ($A$1,$B16,L$1,$B$1)</f>
        <v>91.24</v>
      </c>
      <c r="M16">
        <f>_xll.EQNXTDZ($A$1,$B16,M$1,$B$1)</f>
        <v>90.11</v>
      </c>
      <c r="N16">
        <f>_xll.EQNXTDZ($A$1,$B16,N$1,$B$1)</f>
        <v>100.78</v>
      </c>
      <c r="O16">
        <f>_xll.EQNXTDZ($A$1,$B16,O$1,$B$1)</f>
        <v>105.97</v>
      </c>
      <c r="P16">
        <f>_xll.EQNXTDZ($A$1,$B16,P$1,$B$1)</f>
        <v>108.98</v>
      </c>
      <c r="Q16">
        <f>_xll.EQNXTDZ($A$1,$B16,Q$1,$B$1)</f>
        <v>106.25</v>
      </c>
      <c r="R16">
        <f>_xll.EQNXTDZ($A$1,$B16,R$1,$B$1)</f>
        <v>105.69</v>
      </c>
      <c r="S16">
        <f>_xll.EQNXTDZ($A$1,$B16,S$1,$B$1)</f>
        <v>116.57</v>
      </c>
      <c r="T16">
        <f>_xll.EQNXTDZ($A$1,$B16,T$1,$B$1)</f>
        <v>116.72</v>
      </c>
      <c r="U16">
        <f>_xll.EQNXTDZ($A$1,$B16,U$1,$B$1)</f>
        <v>111.72</v>
      </c>
      <c r="V16">
        <f>_xll.EQNXTDZ($A$1,$B16,V$1,$B$1)</f>
        <v>120.41</v>
      </c>
      <c r="W16">
        <f>_xll.EQNXTDZ($A$1,$B16,W$1,$B$1)</f>
        <v>122.92</v>
      </c>
      <c r="X16">
        <f>_xll.EQNXTDZ($A$1,$B16,X$1,$B$1)</f>
        <v>125.98</v>
      </c>
      <c r="Y16">
        <f>_xll.EQNXTDZ($A$1,$B16,Y$1,$B$1)</f>
        <v>129.35</v>
      </c>
      <c r="Z16">
        <f>_xll.EQNXTDZ($A$1,$B16,Z$1,$B$1)</f>
        <v>135.11000000000001</v>
      </c>
      <c r="AA16">
        <f>_xll.EQNXTDZ($A$1,$B16,AA$1,$B$1)</f>
        <v>225.29</v>
      </c>
      <c r="AB16">
        <f>_xll.EQNXTDZ($A$1,$B16,AB$1,$B$1)</f>
        <v>234.5</v>
      </c>
      <c r="AC16">
        <f>_xll.EQNXTDZ($A$1,$B16,AC$1,$B$1)</f>
        <v>227.23</v>
      </c>
      <c r="AD16">
        <f>_xll.EQNXTDZ($A$1,$B16,AD$1,$B$1)</f>
        <v>227.15</v>
      </c>
      <c r="AE16">
        <f>_xll.EQNXTDZ($A$1,$B16,AE$1,$B$1)</f>
        <v>238.87</v>
      </c>
      <c r="AF16">
        <f>_xll.EQNXTDZ($A$1,$B16,AF$1,$B$1)</f>
        <v>241.99</v>
      </c>
      <c r="AG16">
        <f>_xll.EQNXTDZ($A$1,$B16,AG$1,$B$1)</f>
        <v>229.56</v>
      </c>
      <c r="AH16">
        <f>_xll.EQNXTDZ($A$1,$B16,AH$1,$B$1)</f>
        <v>236.1</v>
      </c>
      <c r="AI16">
        <f>_xll.EQNXTDZ($A$1,$B16,AI$1,$B$1)</f>
        <v>213.63</v>
      </c>
      <c r="AJ16">
        <f>_xll.EQNXTDZ($A$1,$B16,AJ$1,$B$1)</f>
        <v>223.12</v>
      </c>
      <c r="AK16">
        <f>_xll.EQNXTDZ($A$1,$B16,AK$1,$B$1)</f>
        <v>233.2</v>
      </c>
      <c r="AL16">
        <f>_xll.EQNXTDZ($A$1,$B16,AL$1,$B$1)</f>
        <v>226.66</v>
      </c>
      <c r="AM16">
        <f>_xll.EQNXTDZ($A$1,$B16,AM$1,$B$1)</f>
        <v>247.77</v>
      </c>
      <c r="AN16">
        <f>_xll.EQNXTDZ($A$1,$B16,AN$1,$B$1)</f>
        <v>256.82</v>
      </c>
      <c r="AO16">
        <f>_xll.EQNXTDZ($A$1,$B16,AO$1,$B$1)</f>
        <v>267.93</v>
      </c>
      <c r="AP16">
        <f>_xll.EQNXTDZ($A$1,$B16,AP$1,$B$1)</f>
        <v>242.35</v>
      </c>
      <c r="AQ16">
        <f>_xll.EQNXTDZ($A$1,$B16,AQ$1,$B$1)</f>
        <v>262.01</v>
      </c>
      <c r="AR16">
        <f>_xll.EQNXTDZ($A$1,$B16,AR$1,$B$1)</f>
        <v>279.23</v>
      </c>
      <c r="AS16">
        <f>_xll.EQNXTDZ($A$1,$B16,AS$1,$B$1)</f>
        <v>296.52</v>
      </c>
      <c r="AT16">
        <f>_xll.EQNXTDZ($A$1,$B16,AT$1,$B$1)</f>
        <v>341.34</v>
      </c>
      <c r="AU16">
        <f>_xll.EQNXTDZ($A$1,$B16,AU$1,$B$1)</f>
        <v>359.58</v>
      </c>
      <c r="AV16">
        <f>_xll.EQNXTDZ($A$1,$B16,AV$1,$B$1)</f>
        <v>377.7</v>
      </c>
      <c r="AW16">
        <f>_xll.EQNXTDZ($A$1,$B16,AW$1,$B$1)</f>
        <v>386.76</v>
      </c>
      <c r="AX16">
        <f>_xll.EQNXTDZ($A$1,$B16,AX$1,$B$1)</f>
        <v>368.4</v>
      </c>
      <c r="AY16">
        <f>_xll.EQNXTDZ($A$1,$B16,AY$1,$B$1)</f>
        <v>376.42</v>
      </c>
      <c r="AZ16">
        <f>_xll.EQNXTDZ($A$1,$B16,AZ$1,$B$1)</f>
        <v>389.24</v>
      </c>
      <c r="BA16">
        <f>_xll.EQNXTDZ($A$1,$B16,BA$1,$B$1)</f>
        <v>383.49</v>
      </c>
      <c r="BB16">
        <f>_xll.EQNXTDZ($A$1,$B16,BB$1,$B$1)</f>
        <v>377.89</v>
      </c>
      <c r="BC16">
        <f>_xll.EQNXTDZ($A$1,$B16,BC$1,$B$1)</f>
        <v>407.53</v>
      </c>
      <c r="BD16">
        <f>_xll.EQNXTDZ($A$1,$B16,BD$1,$B$1)</f>
        <v>416.38</v>
      </c>
      <c r="BE16">
        <f>_xll.EQNXTDZ($A$1,$B16,BE$1,$B$1)</f>
        <v>407.03</v>
      </c>
      <c r="BF16">
        <f>_xll.EQNXTDZ($A$1,$B16,BF$1,$B$1)</f>
        <v>398.79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160.24</v>
      </c>
      <c r="D22">
        <f>_xll.EQNXTDZ($A$1,$B22,D$1,$B$1)</f>
        <v>197.85</v>
      </c>
      <c r="E22">
        <f>_xll.EQNXTDZ($A$1,$B22,E$1,$B$1)</f>
        <v>158.56</v>
      </c>
      <c r="F22">
        <f>_xll.EQNXTDZ($A$1,$B22,F$1,$B$1)</f>
        <v>102.96</v>
      </c>
      <c r="G22">
        <f>_xll.EQNXTDZ($A$1,$B22,G$1,$B$1)</f>
        <v>142.36000000000001</v>
      </c>
      <c r="H22">
        <f>_xll.EQNXTDZ($A$1,$B22,H$1,$B$1)</f>
        <v>148.19999999999999</v>
      </c>
      <c r="I22">
        <f>_xll.EQNXTDZ($A$1,$B22,I$1,$B$1)</f>
        <v>165.73</v>
      </c>
      <c r="J22">
        <f>_xll.EQNXTDZ($A$1,$B22,J$1,$B$1)</f>
        <v>162.71</v>
      </c>
      <c r="K22">
        <f>_xll.EQNXTDZ($A$1,$B22,K$1,$B$1)</f>
        <v>161.84</v>
      </c>
      <c r="L22">
        <f>_xll.EQNXTDZ($A$1,$B22,L$1,$B$1)</f>
        <v>209.41</v>
      </c>
      <c r="M22">
        <f>_xll.EQNXTDZ($A$1,$B22,M$1,$B$1)</f>
        <v>238.5</v>
      </c>
      <c r="N22">
        <f>_xll.EQNXTDZ($A$1,$B22,N$1,$B$1)</f>
        <v>227.9</v>
      </c>
      <c r="O22">
        <f>_xll.EQNXTDZ($A$1,$B22,O$1,$B$1)</f>
        <v>284.25</v>
      </c>
      <c r="P22">
        <f>_xll.EQNXTDZ($A$1,$B22,P$1,$B$1)</f>
        <v>168.24</v>
      </c>
      <c r="Q22">
        <f>_xll.EQNXTDZ($A$1,$B22,Q$1,$B$1)</f>
        <v>182.92</v>
      </c>
      <c r="R22">
        <f>_xll.EQNXTDZ($A$1,$B22,R$1,$B$1)</f>
        <v>315.04000000000002</v>
      </c>
      <c r="S22">
        <f>_xll.EQNXTDZ($A$1,$B22,S$1,$B$1)</f>
        <v>245.52</v>
      </c>
      <c r="T22">
        <f>_xll.EQNXTDZ($A$1,$B22,T$1,$B$1)</f>
        <v>206.57</v>
      </c>
      <c r="U22">
        <f>_xll.EQNXTDZ($A$1,$B22,U$1,$B$1)</f>
        <v>235.17</v>
      </c>
      <c r="V22">
        <f>_xll.EQNXTDZ($A$1,$B22,V$1,$B$1)</f>
        <v>268.64999999999998</v>
      </c>
      <c r="W22">
        <f>_xll.EQNXTDZ($A$1,$B22,W$1,$B$1)</f>
        <v>169.9</v>
      </c>
      <c r="X22">
        <f>_xll.EQNXTDZ($A$1,$B22,X$1,$B$1)</f>
        <v>220.46</v>
      </c>
      <c r="Y22">
        <f>_xll.EQNXTDZ($A$1,$B22,Y$1,$B$1)</f>
        <v>252.49</v>
      </c>
      <c r="Z22">
        <f>_xll.EQNXTDZ($A$1,$B22,Z$1,$B$1)</f>
        <v>404.26</v>
      </c>
      <c r="AA22">
        <f>_xll.EQNXTDZ($A$1,$B22,AA$1,$B$1)</f>
        <v>355.22</v>
      </c>
      <c r="AB22">
        <f>_xll.EQNXTDZ($A$1,$B22,AB$1,$B$1)</f>
        <v>345.18</v>
      </c>
      <c r="AC22">
        <f>_xll.EQNXTDZ($A$1,$B22,AC$1,$B$1)</f>
        <v>366.5</v>
      </c>
      <c r="AD22">
        <f>_xll.EQNXTDZ($A$1,$B22,AD$1,$B$1)</f>
        <v>408.150000000001</v>
      </c>
      <c r="AE22">
        <f>_xll.EQNXTDZ($A$1,$B22,AE$1,$B$1)</f>
        <v>396.39</v>
      </c>
      <c r="AF22">
        <f>_xll.EQNXTDZ($A$1,$B22,AF$1,$B$1)</f>
        <v>341.65</v>
      </c>
      <c r="AG22">
        <f>_xll.EQNXTDZ($A$1,$B22,AG$1,$B$1)</f>
        <v>379.64</v>
      </c>
      <c r="AH22">
        <f>_xll.EQNXTDZ($A$1,$B22,AH$1,$B$1)</f>
        <v>394.7</v>
      </c>
      <c r="AI22">
        <f>_xll.EQNXTDZ($A$1,$B22,AI$1,$B$1)</f>
        <v>183.44</v>
      </c>
      <c r="AJ22">
        <f>_xll.EQNXTDZ($A$1,$B22,AJ$1,$B$1)</f>
        <v>276.32</v>
      </c>
      <c r="AK22">
        <f>_xll.EQNXTDZ($A$1,$B22,AK$1,$B$1)</f>
        <v>308.33</v>
      </c>
      <c r="AL22">
        <f>_xll.EQNXTDZ($A$1,$B22,AL$1,$B$1)</f>
        <v>474.98</v>
      </c>
      <c r="AM22">
        <f>_xll.EQNXTDZ($A$1,$B22,AM$1,$B$1)</f>
        <v>418.67</v>
      </c>
      <c r="AN22">
        <f>_xll.EQNXTDZ($A$1,$B22,AN$1,$B$1)</f>
        <v>378.13999999999902</v>
      </c>
      <c r="AO22">
        <f>_xll.EQNXTDZ($A$1,$B22,AO$1,$B$1)</f>
        <v>204.61</v>
      </c>
      <c r="AP22">
        <f>_xll.EQNXTDZ($A$1,$B22,AP$1,$B$1)</f>
        <v>400.61</v>
      </c>
      <c r="AQ22">
        <f>_xll.EQNXTDZ($A$1,$B22,AQ$1,$B$1)</f>
        <v>238.46</v>
      </c>
      <c r="AR22">
        <f>_xll.EQNXTDZ($A$1,$B22,AR$1,$B$1)</f>
        <v>331.35</v>
      </c>
      <c r="AS22">
        <f>_xll.EQNXTDZ($A$1,$B22,AS$1,$B$1)</f>
        <v>495.18</v>
      </c>
      <c r="AT22">
        <f>_xll.EQNXTDZ($A$1,$B22,AT$1,$B$1)</f>
        <v>599.91999999999996</v>
      </c>
      <c r="AU22">
        <f>_xll.EQNXTDZ($A$1,$B22,AU$1,$B$1)</f>
        <v>607.65999999999894</v>
      </c>
      <c r="AV22">
        <f>_xll.EQNXTDZ($A$1,$B22,AV$1,$B$1)</f>
        <v>804.03</v>
      </c>
      <c r="AW22">
        <f>_xll.EQNXTDZ($A$1,$B22,AW$1,$B$1)</f>
        <v>988.95</v>
      </c>
      <c r="AX22">
        <f>_xll.EQNXTDZ($A$1,$B22,AX$1,$B$1)</f>
        <v>920.31</v>
      </c>
      <c r="AY22">
        <f>_xll.EQNXTDZ($A$1,$B22,AY$1,$B$1)</f>
        <v>839.56000000000097</v>
      </c>
      <c r="AZ22">
        <f>_xll.EQNXTDZ($A$1,$B22,AZ$1,$B$1)</f>
        <v>914.11</v>
      </c>
      <c r="BA22">
        <f>_xll.EQNXTDZ($A$1,$B22,BA$1,$B$1)</f>
        <v>939.42</v>
      </c>
      <c r="BB22">
        <f>_xll.EQNXTDZ($A$1,$B22,BB$1,$B$1)</f>
        <v>736.16000000000099</v>
      </c>
      <c r="BC22">
        <f>_xll.EQNXTDZ($A$1,$B22,BC$1,$B$1)</f>
        <v>670.11</v>
      </c>
      <c r="BD22">
        <f>_xll.EQNXTDZ($A$1,$B22,BD$1,$B$1)</f>
        <v>451.12</v>
      </c>
      <c r="BE22">
        <f>_xll.EQNXTDZ($A$1,$B22,BE$1,$B$1)</f>
        <v>612.63</v>
      </c>
      <c r="BF22">
        <f>_xll.EQNXTDZ($A$1,$B22,BF$1,$B$1)</f>
        <v>480.88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18.37</v>
      </c>
      <c r="D23">
        <f>_xll.EQNXTDZ($A$1,$B23,D$1,$B$1)</f>
        <v>22.54</v>
      </c>
      <c r="E23">
        <f>_xll.EQNXTDZ($A$1,$B23,E$1,$B$1)</f>
        <v>22.54</v>
      </c>
      <c r="F23">
        <f>_xll.EQNXTDZ($A$1,$B23,F$1,$B$1)</f>
        <v>18.96</v>
      </c>
      <c r="G23">
        <f>_xll.EQNXTDZ($A$1,$B23,G$1,$B$1)</f>
        <v>18.760000000000002</v>
      </c>
      <c r="H23">
        <f>_xll.EQNXTDZ($A$1,$B23,H$1,$B$1)</f>
        <v>20.75</v>
      </c>
      <c r="I23">
        <f>_xll.EQNXTDZ($A$1,$B23,I$1,$B$1)</f>
        <v>14.52</v>
      </c>
      <c r="J23">
        <f>_xll.EQNXTDZ($A$1,$B23,J$1,$B$1)</f>
        <v>30.62</v>
      </c>
      <c r="K23">
        <f>_xll.EQNXTDZ($A$1,$B23,K$1,$B$1)</f>
        <v>27.36</v>
      </c>
      <c r="L23">
        <f>_xll.EQNXTDZ($A$1,$B23,L$1,$B$1)</f>
        <v>27.6</v>
      </c>
      <c r="M23">
        <f>_xll.EQNXTDZ($A$1,$B23,M$1,$B$1)</f>
        <v>34.69</v>
      </c>
      <c r="N23">
        <f>_xll.EQNXTDZ($A$1,$B23,N$1,$B$1)</f>
        <v>30.98</v>
      </c>
      <c r="O23">
        <f>_xll.EQNXTDZ($A$1,$B23,O$1,$B$1)</f>
        <v>35.57</v>
      </c>
      <c r="P23">
        <f>_xll.EQNXTDZ($A$1,$B23,P$1,$B$1)</f>
        <v>39.25</v>
      </c>
      <c r="Q23">
        <f>_xll.EQNXTDZ($A$1,$B23,Q$1,$B$1)</f>
        <v>43.87</v>
      </c>
      <c r="R23">
        <f>_xll.EQNXTDZ($A$1,$B23,R$1,$B$1)</f>
        <v>43.3</v>
      </c>
      <c r="S23">
        <f>_xll.EQNXTDZ($A$1,$B23,S$1,$B$1)</f>
        <v>38.71</v>
      </c>
      <c r="T23">
        <f>_xll.EQNXTDZ($A$1,$B23,T$1,$B$1)</f>
        <v>40.450000000000003</v>
      </c>
      <c r="U23">
        <f>_xll.EQNXTDZ($A$1,$B23,U$1,$B$1)</f>
        <v>39.869999999999997</v>
      </c>
      <c r="V23">
        <f>_xll.EQNXTDZ($A$1,$B23,V$1,$B$1)</f>
        <v>116.35</v>
      </c>
      <c r="W23">
        <f>_xll.EQNXTDZ($A$1,$B23,W$1,$B$1)</f>
        <v>62.18</v>
      </c>
      <c r="X23">
        <f>_xll.EQNXTDZ($A$1,$B23,X$1,$B$1)</f>
        <v>52.25</v>
      </c>
      <c r="Y23">
        <f>_xll.EQNXTDZ($A$1,$B23,Y$1,$B$1)</f>
        <v>66.39</v>
      </c>
      <c r="Z23">
        <f>_xll.EQNXTDZ($A$1,$B23,Z$1,$B$1)</f>
        <v>31.73</v>
      </c>
      <c r="AA23">
        <f>_xll.EQNXTDZ($A$1,$B23,AA$1,$B$1)</f>
        <v>35.340000000000003</v>
      </c>
      <c r="AB23">
        <f>_xll.EQNXTDZ($A$1,$B23,AB$1,$B$1)</f>
        <v>36.43</v>
      </c>
      <c r="AC23">
        <f>_xll.EQNXTDZ($A$1,$B23,AC$1,$B$1)</f>
        <v>33.590000000000003</v>
      </c>
      <c r="AD23">
        <f>_xll.EQNXTDZ($A$1,$B23,AD$1,$B$1)</f>
        <v>40.81</v>
      </c>
      <c r="AE23">
        <f>_xll.EQNXTDZ($A$1,$B23,AE$1,$B$1)</f>
        <v>25.18</v>
      </c>
      <c r="AF23">
        <f>_xll.EQNXTDZ($A$1,$B23,AF$1,$B$1)</f>
        <v>29.38</v>
      </c>
      <c r="AG23">
        <f>_xll.EQNXTDZ($A$1,$B23,AG$1,$B$1)</f>
        <v>21.92</v>
      </c>
      <c r="AH23">
        <f>_xll.EQNXTDZ($A$1,$B23,AH$1,$B$1)</f>
        <v>32.659999999999997</v>
      </c>
      <c r="AI23">
        <f>_xll.EQNXTDZ($A$1,$B23,AI$1,$B$1)</f>
        <v>41.24</v>
      </c>
      <c r="AJ23">
        <f>_xll.EQNXTDZ($A$1,$B23,AJ$1,$B$1)</f>
        <v>72.459999999999994</v>
      </c>
      <c r="AK23">
        <f>_xll.EQNXTDZ($A$1,$B23,AK$1,$B$1)</f>
        <v>46.92</v>
      </c>
      <c r="AL23">
        <f>_xll.EQNXTDZ($A$1,$B23,AL$1,$B$1)</f>
        <v>47.25</v>
      </c>
      <c r="AM23">
        <f>_xll.EQNXTDZ($A$1,$B23,AM$1,$B$1)</f>
        <v>40.94</v>
      </c>
      <c r="AN23">
        <f>_xll.EQNXTDZ($A$1,$B23,AN$1,$B$1)</f>
        <v>32.090000000000003</v>
      </c>
      <c r="AO23">
        <f>_xll.EQNXTDZ($A$1,$B23,AO$1,$B$1)</f>
        <v>37.76</v>
      </c>
      <c r="AP23">
        <f>_xll.EQNXTDZ($A$1,$B23,AP$1,$B$1)</f>
        <v>41.76</v>
      </c>
      <c r="AQ23">
        <f>_xll.EQNXTDZ($A$1,$B23,AQ$1,$B$1)</f>
        <v>32.18</v>
      </c>
      <c r="AR23">
        <f>_xll.EQNXTDZ($A$1,$B23,AR$1,$B$1)</f>
        <v>23.34</v>
      </c>
      <c r="AS23">
        <f>_xll.EQNXTDZ($A$1,$B23,AS$1,$B$1)</f>
        <v>44.24</v>
      </c>
      <c r="AT23">
        <f>_xll.EQNXTDZ($A$1,$B23,AT$1,$B$1)</f>
        <v>78.97</v>
      </c>
      <c r="AU23">
        <f>_xll.EQNXTDZ($A$1,$B23,AU$1,$B$1)</f>
        <v>37.14</v>
      </c>
      <c r="AV23">
        <f>_xll.EQNXTDZ($A$1,$B23,AV$1,$B$1)</f>
        <v>22.25</v>
      </c>
      <c r="AW23">
        <f>_xll.EQNXTDZ($A$1,$B23,AW$1,$B$1)</f>
        <v>40.299999999999997</v>
      </c>
      <c r="AX23">
        <f>_xll.EQNXTDZ($A$1,$B23,AX$1,$B$1)</f>
        <v>68.52</v>
      </c>
      <c r="AY23">
        <f>_xll.EQNXTDZ($A$1,$B23,AY$1,$B$1)</f>
        <v>45.73</v>
      </c>
      <c r="AZ23">
        <f>_xll.EQNXTDZ($A$1,$B23,AZ$1,$B$1)</f>
        <v>30.38</v>
      </c>
      <c r="BA23">
        <f>_xll.EQNXTDZ($A$1,$B23,BA$1,$B$1)</f>
        <v>21.95</v>
      </c>
      <c r="BB23">
        <f>_xll.EQNXTDZ($A$1,$B23,BB$1,$B$1)</f>
        <v>20.89</v>
      </c>
      <c r="BC23">
        <f>_xll.EQNXTDZ($A$1,$B23,BC$1,$B$1)</f>
        <v>18.27</v>
      </c>
      <c r="BD23">
        <f>_xll.EQNXTDZ($A$1,$B23,BD$1,$B$1)</f>
        <v>30.44</v>
      </c>
      <c r="BE23">
        <f>_xll.EQNXTDZ($A$1,$B23,BE$1,$B$1)</f>
        <v>19.61</v>
      </c>
      <c r="BF23">
        <f>_xll.EQNXTDZ($A$1,$B23,BF$1,$B$1)</f>
        <v>23.37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178.61</v>
      </c>
      <c r="D24">
        <f>_xll.EQNXTDZ($A$1,$B24,D$1,$B$1)</f>
        <v>220.39</v>
      </c>
      <c r="E24">
        <f>_xll.EQNXTDZ($A$1,$B24,E$1,$B$1)</f>
        <v>181.1</v>
      </c>
      <c r="F24">
        <f>_xll.EQNXTDZ($A$1,$B24,F$1,$B$1)</f>
        <v>121.92</v>
      </c>
      <c r="G24">
        <f>_xll.EQNXTDZ($A$1,$B24,G$1,$B$1)</f>
        <v>161.12</v>
      </c>
      <c r="H24">
        <f>_xll.EQNXTDZ($A$1,$B24,H$1,$B$1)</f>
        <v>168.95</v>
      </c>
      <c r="I24">
        <f>_xll.EQNXTDZ($A$1,$B24,I$1,$B$1)</f>
        <v>180.25</v>
      </c>
      <c r="J24">
        <f>_xll.EQNXTDZ($A$1,$B24,J$1,$B$1)</f>
        <v>193.33</v>
      </c>
      <c r="K24">
        <f>_xll.EQNXTDZ($A$1,$B24,K$1,$B$1)</f>
        <v>189.2</v>
      </c>
      <c r="L24">
        <f>_xll.EQNXTDZ($A$1,$B24,L$1,$B$1)</f>
        <v>237.01</v>
      </c>
      <c r="M24">
        <f>_xll.EQNXTDZ($A$1,$B24,M$1,$B$1)</f>
        <v>273.19</v>
      </c>
      <c r="N24">
        <f>_xll.EQNXTDZ($A$1,$B24,N$1,$B$1)</f>
        <v>258.88</v>
      </c>
      <c r="O24">
        <f>_xll.EQNXTDZ($A$1,$B24,O$1,$B$1)</f>
        <v>319.82</v>
      </c>
      <c r="P24">
        <f>_xll.EQNXTDZ($A$1,$B24,P$1,$B$1)</f>
        <v>207.49</v>
      </c>
      <c r="Q24">
        <f>_xll.EQNXTDZ($A$1,$B24,Q$1,$B$1)</f>
        <v>226.79</v>
      </c>
      <c r="R24">
        <f>_xll.EQNXTDZ($A$1,$B24,R$1,$B$1)</f>
        <v>358.34</v>
      </c>
      <c r="S24">
        <f>_xll.EQNXTDZ($A$1,$B24,S$1,$B$1)</f>
        <v>284.23</v>
      </c>
      <c r="T24">
        <f>_xll.EQNXTDZ($A$1,$B24,T$1,$B$1)</f>
        <v>247.02</v>
      </c>
      <c r="U24">
        <f>_xll.EQNXTDZ($A$1,$B24,U$1,$B$1)</f>
        <v>275.04000000000002</v>
      </c>
      <c r="V24">
        <f>_xll.EQNXTDZ($A$1,$B24,V$1,$B$1)</f>
        <v>385</v>
      </c>
      <c r="W24">
        <f>_xll.EQNXTDZ($A$1,$B24,W$1,$B$1)</f>
        <v>232.08</v>
      </c>
      <c r="X24">
        <f>_xll.EQNXTDZ($A$1,$B24,X$1,$B$1)</f>
        <v>272.70999999999998</v>
      </c>
      <c r="Y24">
        <f>_xll.EQNXTDZ($A$1,$B24,Y$1,$B$1)</f>
        <v>318.88</v>
      </c>
      <c r="Z24">
        <f>_xll.EQNXTDZ($A$1,$B24,Z$1,$B$1)</f>
        <v>435.99</v>
      </c>
      <c r="AA24">
        <f>_xll.EQNXTDZ($A$1,$B24,AA$1,$B$1)</f>
        <v>390.56</v>
      </c>
      <c r="AB24">
        <f>_xll.EQNXTDZ($A$1,$B24,AB$1,$B$1)</f>
        <v>381.61</v>
      </c>
      <c r="AC24">
        <f>_xll.EQNXTDZ($A$1,$B24,AC$1,$B$1)</f>
        <v>400.09</v>
      </c>
      <c r="AD24">
        <f>_xll.EQNXTDZ($A$1,$B24,AD$1,$B$1)</f>
        <v>448.960000000001</v>
      </c>
      <c r="AE24">
        <f>_xll.EQNXTDZ($A$1,$B24,AE$1,$B$1)</f>
        <v>421.57</v>
      </c>
      <c r="AF24">
        <f>_xll.EQNXTDZ($A$1,$B24,AF$1,$B$1)</f>
        <v>371.03</v>
      </c>
      <c r="AG24">
        <f>_xll.EQNXTDZ($A$1,$B24,AG$1,$B$1)</f>
        <v>401.56</v>
      </c>
      <c r="AH24">
        <f>_xll.EQNXTDZ($A$1,$B24,AH$1,$B$1)</f>
        <v>427.36</v>
      </c>
      <c r="AI24">
        <f>_xll.EQNXTDZ($A$1,$B24,AI$1,$B$1)</f>
        <v>224.68</v>
      </c>
      <c r="AJ24">
        <f>_xll.EQNXTDZ($A$1,$B24,AJ$1,$B$1)</f>
        <v>348.78</v>
      </c>
      <c r="AK24">
        <f>_xll.EQNXTDZ($A$1,$B24,AK$1,$B$1)</f>
        <v>355.25</v>
      </c>
      <c r="AL24">
        <f>_xll.EQNXTDZ($A$1,$B24,AL$1,$B$1)</f>
        <v>522.23</v>
      </c>
      <c r="AM24">
        <f>_xll.EQNXTDZ($A$1,$B24,AM$1,$B$1)</f>
        <v>459.61</v>
      </c>
      <c r="AN24">
        <f>_xll.EQNXTDZ($A$1,$B24,AN$1,$B$1)</f>
        <v>410.23</v>
      </c>
      <c r="AO24">
        <f>_xll.EQNXTDZ($A$1,$B24,AO$1,$B$1)</f>
        <v>242.37</v>
      </c>
      <c r="AP24">
        <f>_xll.EQNXTDZ($A$1,$B24,AP$1,$B$1)</f>
        <v>442.37</v>
      </c>
      <c r="AQ24">
        <f>_xll.EQNXTDZ($A$1,$B24,AQ$1,$B$1)</f>
        <v>270.64</v>
      </c>
      <c r="AR24">
        <f>_xll.EQNXTDZ($A$1,$B24,AR$1,$B$1)</f>
        <v>354.69</v>
      </c>
      <c r="AS24">
        <f>_xll.EQNXTDZ($A$1,$B24,AS$1,$B$1)</f>
        <v>539.41999999999996</v>
      </c>
      <c r="AT24">
        <f>_xll.EQNXTDZ($A$1,$B24,AT$1,$B$1)</f>
        <v>678.89</v>
      </c>
      <c r="AU24">
        <f>_xll.EQNXTDZ($A$1,$B24,AU$1,$B$1)</f>
        <v>644.79999999999905</v>
      </c>
      <c r="AV24">
        <f>_xll.EQNXTDZ($A$1,$B24,AV$1,$B$1)</f>
        <v>826.28</v>
      </c>
      <c r="AW24">
        <f>_xll.EQNXTDZ($A$1,$B24,AW$1,$B$1)</f>
        <v>1029.25</v>
      </c>
      <c r="AX24">
        <f>_xll.EQNXTDZ($A$1,$B24,AX$1,$B$1)</f>
        <v>988.83</v>
      </c>
      <c r="AY24">
        <f>_xll.EQNXTDZ($A$1,$B24,AY$1,$B$1)</f>
        <v>885.29</v>
      </c>
      <c r="AZ24">
        <f>_xll.EQNXTDZ($A$1,$B24,AZ$1,$B$1)</f>
        <v>944.49</v>
      </c>
      <c r="BA24">
        <f>_xll.EQNXTDZ($A$1,$B24,BA$1,$B$1)</f>
        <v>961.37</v>
      </c>
      <c r="BB24">
        <f>_xll.EQNXTDZ($A$1,$B24,BB$1,$B$1)</f>
        <v>757.05000000000098</v>
      </c>
      <c r="BC24">
        <f>_xll.EQNXTDZ($A$1,$B24,BC$1,$B$1)</f>
        <v>688.38</v>
      </c>
      <c r="BD24">
        <f>_xll.EQNXTDZ($A$1,$B24,BD$1,$B$1)</f>
        <v>481.56</v>
      </c>
      <c r="BE24">
        <f>_xll.EQNXTDZ($A$1,$B24,BE$1,$B$1)</f>
        <v>632.24</v>
      </c>
      <c r="BF24">
        <f>_xll.EQNXTDZ($A$1,$B24,BF$1,$B$1)</f>
        <v>504.24999999999898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32.33</v>
      </c>
      <c r="D25">
        <f>_xll.EQNXTDZ($A$1,$B25,D$1,$B$1)</f>
        <v>37.67</v>
      </c>
      <c r="E25">
        <f>_xll.EQNXTDZ($A$1,$B25,E$1,$B$1)</f>
        <v>41.79</v>
      </c>
      <c r="F25">
        <f>_xll.EQNXTDZ($A$1,$B25,F$1,$B$1)</f>
        <v>38.29</v>
      </c>
      <c r="G25">
        <f>_xll.EQNXTDZ($A$1,$B25,G$1,$B$1)</f>
        <v>42.98</v>
      </c>
      <c r="H25">
        <f>_xll.EQNXTDZ($A$1,$B25,H$1,$B$1)</f>
        <v>54.7</v>
      </c>
      <c r="I25">
        <f>_xll.EQNXTDZ($A$1,$B25,I$1,$B$1)</f>
        <v>69.16</v>
      </c>
      <c r="J25">
        <f>_xll.EQNXTDZ($A$1,$B25,J$1,$B$1)</f>
        <v>59.35</v>
      </c>
      <c r="K25">
        <f>_xll.EQNXTDZ($A$1,$B25,K$1,$B$1)</f>
        <v>62.65</v>
      </c>
      <c r="L25">
        <f>_xll.EQNXTDZ($A$1,$B25,L$1,$B$1)</f>
        <v>64.92</v>
      </c>
      <c r="M25">
        <f>_xll.EQNXTDZ($A$1,$B25,M$1,$B$1)</f>
        <v>69.91</v>
      </c>
      <c r="N25">
        <f>_xll.EQNXTDZ($A$1,$B25,N$1,$B$1)</f>
        <v>58.11</v>
      </c>
      <c r="O25">
        <f>_xll.EQNXTDZ($A$1,$B25,O$1,$B$1)</f>
        <v>117.17</v>
      </c>
      <c r="P25">
        <f>_xll.EQNXTDZ($A$1,$B25,P$1,$B$1)</f>
        <v>120.74</v>
      </c>
      <c r="Q25">
        <f>_xll.EQNXTDZ($A$1,$B25,Q$1,$B$1)</f>
        <v>135.69</v>
      </c>
      <c r="R25">
        <f>_xll.EQNXTDZ($A$1,$B25,R$1,$B$1)</f>
        <v>120.88</v>
      </c>
      <c r="S25">
        <f>_xll.EQNXTDZ($A$1,$B25,S$1,$B$1)</f>
        <v>125.98</v>
      </c>
      <c r="T25">
        <f>_xll.EQNXTDZ($A$1,$B25,T$1,$B$1)</f>
        <v>83.16</v>
      </c>
      <c r="U25">
        <f>_xll.EQNXTDZ($A$1,$B25,U$1,$B$1)</f>
        <v>95.65</v>
      </c>
      <c r="V25">
        <f>_xll.EQNXTDZ($A$1,$B25,V$1,$B$1)</f>
        <v>75.11</v>
      </c>
      <c r="W25">
        <f>_xll.EQNXTDZ($A$1,$B25,W$1,$B$1)</f>
        <v>87.34</v>
      </c>
      <c r="X25">
        <f>_xll.EQNXTDZ($A$1,$B25,X$1,$B$1)</f>
        <v>116.1</v>
      </c>
      <c r="Y25">
        <f>_xll.EQNXTDZ($A$1,$B25,Y$1,$B$1)</f>
        <v>86.33</v>
      </c>
      <c r="Z25">
        <f>_xll.EQNXTDZ($A$1,$B25,Z$1,$B$1)</f>
        <v>125.34</v>
      </c>
      <c r="AA25">
        <f>_xll.EQNXTDZ($A$1,$B25,AA$1,$B$1)</f>
        <v>183.09</v>
      </c>
      <c r="AB25">
        <f>_xll.EQNXTDZ($A$1,$B25,AB$1,$B$1)</f>
        <v>170.44</v>
      </c>
      <c r="AC25">
        <f>_xll.EQNXTDZ($A$1,$B25,AC$1,$B$1)</f>
        <v>115.69</v>
      </c>
      <c r="AD25">
        <f>_xll.EQNXTDZ($A$1,$B25,AD$1,$B$1)</f>
        <v>146.01</v>
      </c>
      <c r="AE25">
        <f>_xll.EQNXTDZ($A$1,$B25,AE$1,$B$1)</f>
        <v>146.07</v>
      </c>
      <c r="AF25">
        <f>_xll.EQNXTDZ($A$1,$B25,AF$1,$B$1)</f>
        <v>155.30000000000001</v>
      </c>
      <c r="AG25">
        <f>_xll.EQNXTDZ($A$1,$B25,AG$1,$B$1)</f>
        <v>152.46</v>
      </c>
      <c r="AH25">
        <f>_xll.EQNXTDZ($A$1,$B25,AH$1,$B$1)</f>
        <v>165.53</v>
      </c>
      <c r="AI25">
        <f>_xll.EQNXTDZ($A$1,$B25,AI$1,$B$1)</f>
        <v>135.06</v>
      </c>
      <c r="AJ25">
        <f>_xll.EQNXTDZ($A$1,$B25,AJ$1,$B$1)</f>
        <v>121.08</v>
      </c>
      <c r="AK25">
        <f>_xll.EQNXTDZ($A$1,$B25,AK$1,$B$1)</f>
        <v>125.45</v>
      </c>
      <c r="AL25">
        <f>_xll.EQNXTDZ($A$1,$B25,AL$1,$B$1)</f>
        <v>111.2</v>
      </c>
      <c r="AM25">
        <f>_xll.EQNXTDZ($A$1,$B25,AM$1,$B$1)</f>
        <v>121.29</v>
      </c>
      <c r="AN25">
        <f>_xll.EQNXTDZ($A$1,$B25,AN$1,$B$1)</f>
        <v>111.53</v>
      </c>
      <c r="AO25">
        <f>_xll.EQNXTDZ($A$1,$B25,AO$1,$B$1)</f>
        <v>107.92</v>
      </c>
      <c r="AP25">
        <f>_xll.EQNXTDZ($A$1,$B25,AP$1,$B$1)</f>
        <v>119.38</v>
      </c>
      <c r="AQ25">
        <f>_xll.EQNXTDZ($A$1,$B25,AQ$1,$B$1)</f>
        <v>159.97</v>
      </c>
      <c r="AR25">
        <f>_xll.EQNXTDZ($A$1,$B25,AR$1,$B$1)</f>
        <v>147.94</v>
      </c>
      <c r="AS25">
        <f>_xll.EQNXTDZ($A$1,$B25,AS$1,$B$1)</f>
        <v>168.84</v>
      </c>
      <c r="AT25">
        <f>_xll.EQNXTDZ($A$1,$B25,AT$1,$B$1)</f>
        <v>161.53</v>
      </c>
      <c r="AU25">
        <f>_xll.EQNXTDZ($A$1,$B25,AU$1,$B$1)</f>
        <v>159.69999999999999</v>
      </c>
      <c r="AV25">
        <f>_xll.EQNXTDZ($A$1,$B25,AV$1,$B$1)</f>
        <v>188.96</v>
      </c>
      <c r="AW25">
        <f>_xll.EQNXTDZ($A$1,$B25,AW$1,$B$1)</f>
        <v>181.61</v>
      </c>
      <c r="AX25">
        <f>_xll.EQNXTDZ($A$1,$B25,AX$1,$B$1)</f>
        <v>174.42</v>
      </c>
      <c r="AY25">
        <f>_xll.EQNXTDZ($A$1,$B25,AY$1,$B$1)</f>
        <v>154.19</v>
      </c>
      <c r="AZ25">
        <f>_xll.EQNXTDZ($A$1,$B25,AZ$1,$B$1)</f>
        <v>157.63</v>
      </c>
      <c r="BA25">
        <f>_xll.EQNXTDZ($A$1,$B25,BA$1,$B$1)</f>
        <v>172.86</v>
      </c>
      <c r="BB25">
        <f>_xll.EQNXTDZ($A$1,$B25,BB$1,$B$1)</f>
        <v>138.77000000000001</v>
      </c>
      <c r="BC25">
        <f>_xll.EQNXTDZ($A$1,$B25,BC$1,$B$1)</f>
        <v>171.14</v>
      </c>
      <c r="BD25">
        <f>_xll.EQNXTDZ($A$1,$B25,BD$1,$B$1)</f>
        <v>152.91</v>
      </c>
      <c r="BE25">
        <f>_xll.EQNXTDZ($A$1,$B25,BE$1,$B$1)</f>
        <v>132.81</v>
      </c>
      <c r="BF25">
        <f>_xll.EQNXTDZ($A$1,$B25,BF$1,$B$1)</f>
        <v>162.69999999999999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-56.64</v>
      </c>
      <c r="D26">
        <f>_xll.EQNXTDZ($A$1,$B26,D$1,$B$1)</f>
        <v>-57.74</v>
      </c>
      <c r="E26">
        <f>_xll.EQNXTDZ($A$1,$B26,E$1,$B$1)</f>
        <v>-15.88</v>
      </c>
      <c r="F26">
        <f>_xll.EQNXTDZ($A$1,$B26,F$1,$B$1)</f>
        <v>-0.81</v>
      </c>
      <c r="G26">
        <f>_xll.EQNXTDZ($A$1,$B26,G$1,$B$1)</f>
        <v>-52.1</v>
      </c>
      <c r="H26">
        <f>_xll.EQNXTDZ($A$1,$B26,H$1,$B$1)</f>
        <v>-33.08</v>
      </c>
      <c r="I26">
        <f>_xll.EQNXTDZ($A$1,$B26,I$1,$B$1)</f>
        <v>2.8</v>
      </c>
      <c r="J26">
        <f>_xll.EQNXTDZ($A$1,$B26,J$1,$B$1)</f>
        <v>8.4600000000000009</v>
      </c>
      <c r="K26">
        <f>_xll.EQNXTDZ($A$1,$B26,K$1,$B$1)</f>
        <v>10.54</v>
      </c>
      <c r="L26">
        <f>_xll.EQNXTDZ($A$1,$B26,L$1,$B$1)</f>
        <v>-4.97</v>
      </c>
      <c r="M26">
        <f>_xll.EQNXTDZ($A$1,$B26,M$1,$B$1)</f>
        <v>-39.979999999999997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-0.06</v>
      </c>
      <c r="Q26">
        <f>_xll.EQNXTDZ($A$1,$B26,Q$1,$B$1)</f>
        <v>-58.27</v>
      </c>
      <c r="R26">
        <f>_xll.EQNXTDZ($A$1,$B26,R$1,$B$1)</f>
        <v>-74.88</v>
      </c>
      <c r="S26">
        <f>_xll.EQNXTDZ($A$1,$B26,S$1,$B$1)</f>
        <v>0</v>
      </c>
      <c r="T26">
        <f>_xll.EQNXTDZ($A$1,$B26,T$1,$B$1)</f>
        <v>-34.65</v>
      </c>
      <c r="U26">
        <f>_xll.EQNXTDZ($A$1,$B26,U$1,$B$1)</f>
        <v>0</v>
      </c>
      <c r="V26">
        <f>_xll.EQNXTDZ($A$1,$B26,V$1,$B$1)</f>
        <v>3.43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377.9</v>
      </c>
      <c r="AE26">
        <f>_xll.EQNXTDZ($A$1,$B26,AE$1,$B$1)</f>
        <v>0</v>
      </c>
      <c r="AF26">
        <f>_xll.EQNXTDZ($A$1,$B26,AF$1,$B$1)</f>
        <v>-24.48</v>
      </c>
      <c r="AG26">
        <f>_xll.EQNXTDZ($A$1,$B26,AG$1,$B$1)</f>
        <v>-38.840000000000003</v>
      </c>
      <c r="AH26">
        <f>_xll.EQNXTDZ($A$1,$B26,AH$1,$B$1)</f>
        <v>-48.73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-25.04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89.64</v>
      </c>
      <c r="D27">
        <f>_xll.EQNXTDZ($A$1,$B27,D$1,$B$1)</f>
        <v>124.98</v>
      </c>
      <c r="E27">
        <f>_xll.EQNXTDZ($A$1,$B27,E$1,$B$1)</f>
        <v>123.43</v>
      </c>
      <c r="F27">
        <f>_xll.EQNXTDZ($A$1,$B27,F$1,$B$1)</f>
        <v>82.82</v>
      </c>
      <c r="G27">
        <f>_xll.EQNXTDZ($A$1,$B27,G$1,$B$1)</f>
        <v>66.040000000000006</v>
      </c>
      <c r="H27">
        <f>_xll.EQNXTDZ($A$1,$B27,H$1,$B$1)</f>
        <v>81.17</v>
      </c>
      <c r="I27">
        <f>_xll.EQNXTDZ($A$1,$B27,I$1,$B$1)</f>
        <v>113.89</v>
      </c>
      <c r="J27">
        <f>_xll.EQNXTDZ($A$1,$B27,J$1,$B$1)</f>
        <v>142.44</v>
      </c>
      <c r="K27">
        <f>_xll.EQNXTDZ($A$1,$B27,K$1,$B$1)</f>
        <v>137.09</v>
      </c>
      <c r="L27">
        <f>_xll.EQNXTDZ($A$1,$B27,L$1,$B$1)</f>
        <v>167.12</v>
      </c>
      <c r="M27">
        <f>_xll.EQNXTDZ($A$1,$B27,M$1,$B$1)</f>
        <v>163.30000000000001</v>
      </c>
      <c r="N27">
        <f>_xll.EQNXTDZ($A$1,$B27,N$1,$B$1)</f>
        <v>200.77</v>
      </c>
      <c r="O27">
        <f>_xll.EQNXTDZ($A$1,$B27,O$1,$B$1)</f>
        <v>202.65</v>
      </c>
      <c r="P27">
        <f>_xll.EQNXTDZ($A$1,$B27,P$1,$B$1)</f>
        <v>86.69</v>
      </c>
      <c r="Q27">
        <f>_xll.EQNXTDZ($A$1,$B27,Q$1,$B$1)</f>
        <v>32.83</v>
      </c>
      <c r="R27">
        <f>_xll.EQNXTDZ($A$1,$B27,R$1,$B$1)</f>
        <v>162.58000000000001</v>
      </c>
      <c r="S27">
        <f>_xll.EQNXTDZ($A$1,$B27,S$1,$B$1)</f>
        <v>158.25</v>
      </c>
      <c r="T27">
        <f>_xll.EQNXTDZ($A$1,$B27,T$1,$B$1)</f>
        <v>129.21</v>
      </c>
      <c r="U27">
        <f>_xll.EQNXTDZ($A$1,$B27,U$1,$B$1)</f>
        <v>179.39</v>
      </c>
      <c r="V27">
        <f>_xll.EQNXTDZ($A$1,$B27,V$1,$B$1)</f>
        <v>313.32</v>
      </c>
      <c r="W27">
        <f>_xll.EQNXTDZ($A$1,$B27,W$1,$B$1)</f>
        <v>144.74</v>
      </c>
      <c r="X27">
        <f>_xll.EQNXTDZ($A$1,$B27,X$1,$B$1)</f>
        <v>156.61000000000001</v>
      </c>
      <c r="Y27">
        <f>_xll.EQNXTDZ($A$1,$B27,Y$1,$B$1)</f>
        <v>232.55</v>
      </c>
      <c r="Z27">
        <f>_xll.EQNXTDZ($A$1,$B27,Z$1,$B$1)</f>
        <v>310.64999999999998</v>
      </c>
      <c r="AA27">
        <f>_xll.EQNXTDZ($A$1,$B27,AA$1,$B$1)</f>
        <v>207.47</v>
      </c>
      <c r="AB27">
        <f>_xll.EQNXTDZ($A$1,$B27,AB$1,$B$1)</f>
        <v>211.17</v>
      </c>
      <c r="AC27">
        <f>_xll.EQNXTDZ($A$1,$B27,AC$1,$B$1)</f>
        <v>284.39999999999998</v>
      </c>
      <c r="AD27">
        <f>_xll.EQNXTDZ($A$1,$B27,AD$1,$B$1)</f>
        <v>680.85000000000105</v>
      </c>
      <c r="AE27">
        <f>_xll.EQNXTDZ($A$1,$B27,AE$1,$B$1)</f>
        <v>275.5</v>
      </c>
      <c r="AF27">
        <f>_xll.EQNXTDZ($A$1,$B27,AF$1,$B$1)</f>
        <v>191.25</v>
      </c>
      <c r="AG27">
        <f>_xll.EQNXTDZ($A$1,$B27,AG$1,$B$1)</f>
        <v>210.26</v>
      </c>
      <c r="AH27">
        <f>_xll.EQNXTDZ($A$1,$B27,AH$1,$B$1)</f>
        <v>213.1</v>
      </c>
      <c r="AI27">
        <f>_xll.EQNXTDZ($A$1,$B27,AI$1,$B$1)</f>
        <v>89.619999999999905</v>
      </c>
      <c r="AJ27">
        <f>_xll.EQNXTDZ($A$1,$B27,AJ$1,$B$1)</f>
        <v>227.7</v>
      </c>
      <c r="AK27">
        <f>_xll.EQNXTDZ($A$1,$B27,AK$1,$B$1)</f>
        <v>229.8</v>
      </c>
      <c r="AL27">
        <f>_xll.EQNXTDZ($A$1,$B27,AL$1,$B$1)</f>
        <v>411.03</v>
      </c>
      <c r="AM27">
        <f>_xll.EQNXTDZ($A$1,$B27,AM$1,$B$1)</f>
        <v>338.32</v>
      </c>
      <c r="AN27">
        <f>_xll.EQNXTDZ($A$1,$B27,AN$1,$B$1)</f>
        <v>298.7</v>
      </c>
      <c r="AO27">
        <f>_xll.EQNXTDZ($A$1,$B27,AO$1,$B$1)</f>
        <v>134.44999999999999</v>
      </c>
      <c r="AP27">
        <f>_xll.EQNXTDZ($A$1,$B27,AP$1,$B$1)</f>
        <v>322.99</v>
      </c>
      <c r="AQ27">
        <f>_xll.EQNXTDZ($A$1,$B27,AQ$1,$B$1)</f>
        <v>110.67</v>
      </c>
      <c r="AR27">
        <f>_xll.EQNXTDZ($A$1,$B27,AR$1,$B$1)</f>
        <v>181.71</v>
      </c>
      <c r="AS27">
        <f>_xll.EQNXTDZ($A$1,$B27,AS$1,$B$1)</f>
        <v>370.58</v>
      </c>
      <c r="AT27">
        <f>_xll.EQNXTDZ($A$1,$B27,AT$1,$B$1)</f>
        <v>517.36</v>
      </c>
      <c r="AU27">
        <f>_xll.EQNXTDZ($A$1,$B27,AU$1,$B$1)</f>
        <v>485.099999999999</v>
      </c>
      <c r="AV27">
        <f>_xll.EQNXTDZ($A$1,$B27,AV$1,$B$1)</f>
        <v>637.32000000000005</v>
      </c>
      <c r="AW27">
        <f>_xll.EQNXTDZ($A$1,$B27,AW$1,$B$1)</f>
        <v>847.64</v>
      </c>
      <c r="AX27">
        <f>_xll.EQNXTDZ($A$1,$B27,AX$1,$B$1)</f>
        <v>814.41</v>
      </c>
      <c r="AY27">
        <f>_xll.EQNXTDZ($A$1,$B27,AY$1,$B$1)</f>
        <v>731.1</v>
      </c>
      <c r="AZ27">
        <f>_xll.EQNXTDZ($A$1,$B27,AZ$1,$B$1)</f>
        <v>786.86</v>
      </c>
      <c r="BA27">
        <f>_xll.EQNXTDZ($A$1,$B27,BA$1,$B$1)</f>
        <v>788.51</v>
      </c>
      <c r="BB27">
        <f>_xll.EQNXTDZ($A$1,$B27,BB$1,$B$1)</f>
        <v>618.280000000001</v>
      </c>
      <c r="BC27">
        <f>_xll.EQNXTDZ($A$1,$B27,BC$1,$B$1)</f>
        <v>517.24</v>
      </c>
      <c r="BD27">
        <f>_xll.EQNXTDZ($A$1,$B27,BD$1,$B$1)</f>
        <v>328.65</v>
      </c>
      <c r="BE27">
        <f>_xll.EQNXTDZ($A$1,$B27,BE$1,$B$1)</f>
        <v>499.43</v>
      </c>
      <c r="BF27">
        <f>_xll.EQNXTDZ($A$1,$B27,BF$1,$B$1)</f>
        <v>341.54999999999899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38.71</v>
      </c>
      <c r="D28">
        <f>_xll.EQNXTDZ($A$1,$B28,D$1,$B$1)</f>
        <v>41.56</v>
      </c>
      <c r="E28">
        <f>_xll.EQNXTDZ($A$1,$B28,E$1,$B$1)</f>
        <v>38.630000000000003</v>
      </c>
      <c r="F28">
        <f>_xll.EQNXTDZ($A$1,$B28,F$1,$B$1)</f>
        <v>36.049999999999997</v>
      </c>
      <c r="G28">
        <f>_xll.EQNXTDZ($A$1,$B28,G$1,$B$1)</f>
        <v>45.39</v>
      </c>
      <c r="H28">
        <f>_xll.EQNXTDZ($A$1,$B28,H$1,$B$1)</f>
        <v>51.26</v>
      </c>
      <c r="I28">
        <f>_xll.EQNXTDZ($A$1,$B28,I$1,$B$1)</f>
        <v>53.86</v>
      </c>
      <c r="J28">
        <f>_xll.EQNXTDZ($A$1,$B28,J$1,$B$1)</f>
        <v>62.24</v>
      </c>
      <c r="K28">
        <f>_xll.EQNXTDZ($A$1,$B28,K$1,$B$1)</f>
        <v>62.07</v>
      </c>
      <c r="L28">
        <f>_xll.EQNXTDZ($A$1,$B28,L$1,$B$1)</f>
        <v>63.05</v>
      </c>
      <c r="M28">
        <f>_xll.EQNXTDZ($A$1,$B28,M$1,$B$1)</f>
        <v>62.05</v>
      </c>
      <c r="N28">
        <f>_xll.EQNXTDZ($A$1,$B28,N$1,$B$1)</f>
        <v>53.37</v>
      </c>
      <c r="O28">
        <f>_xll.EQNXTDZ($A$1,$B28,O$1,$B$1)</f>
        <v>54.17</v>
      </c>
      <c r="P28">
        <f>_xll.EQNXTDZ($A$1,$B28,P$1,$B$1)</f>
        <v>56.26</v>
      </c>
      <c r="Q28">
        <f>_xll.EQNXTDZ($A$1,$B28,Q$1,$B$1)</f>
        <v>56.92</v>
      </c>
      <c r="R28">
        <f>_xll.EQNXTDZ($A$1,$B28,R$1,$B$1)</f>
        <v>59.86</v>
      </c>
      <c r="S28">
        <f>_xll.EQNXTDZ($A$1,$B28,S$1,$B$1)</f>
        <v>57.85</v>
      </c>
      <c r="T28">
        <f>_xll.EQNXTDZ($A$1,$B28,T$1,$B$1)</f>
        <v>58.41</v>
      </c>
      <c r="U28">
        <f>_xll.EQNXTDZ($A$1,$B28,U$1,$B$1)</f>
        <v>57.12</v>
      </c>
      <c r="V28">
        <f>_xll.EQNXTDZ($A$1,$B28,V$1,$B$1)</f>
        <v>64.930000000000007</v>
      </c>
      <c r="W28">
        <f>_xll.EQNXTDZ($A$1,$B28,W$1,$B$1)</f>
        <v>60.81</v>
      </c>
      <c r="X28">
        <f>_xll.EQNXTDZ($A$1,$B28,X$1,$B$1)</f>
        <v>67.86</v>
      </c>
      <c r="Y28">
        <f>_xll.EQNXTDZ($A$1,$B28,Y$1,$B$1)</f>
        <v>61.64</v>
      </c>
      <c r="Z28">
        <f>_xll.EQNXTDZ($A$1,$B28,Z$1,$B$1)</f>
        <v>65.86</v>
      </c>
      <c r="AA28">
        <f>_xll.EQNXTDZ($A$1,$B28,AA$1,$B$1)</f>
        <v>93.17</v>
      </c>
      <c r="AB28">
        <f>_xll.EQNXTDZ($A$1,$B28,AB$1,$B$1)</f>
        <v>100.49</v>
      </c>
      <c r="AC28">
        <f>_xll.EQNXTDZ($A$1,$B28,AC$1,$B$1)</f>
        <v>102.93</v>
      </c>
      <c r="AD28">
        <f>_xll.EQNXTDZ($A$1,$B28,AD$1,$B$1)</f>
        <v>99.69</v>
      </c>
      <c r="AE28">
        <f>_xll.EQNXTDZ($A$1,$B28,AE$1,$B$1)</f>
        <v>100.21</v>
      </c>
      <c r="AF28">
        <f>_xll.EQNXTDZ($A$1,$B28,AF$1,$B$1)</f>
        <v>100.73</v>
      </c>
      <c r="AG28">
        <f>_xll.EQNXTDZ($A$1,$B28,AG$1,$B$1)</f>
        <v>102.18</v>
      </c>
      <c r="AH28">
        <f>_xll.EQNXTDZ($A$1,$B28,AH$1,$B$1)</f>
        <v>118.55</v>
      </c>
      <c r="AI28">
        <f>_xll.EQNXTDZ($A$1,$B28,AI$1,$B$1)</f>
        <v>107.51</v>
      </c>
      <c r="AJ28">
        <f>_xll.EQNXTDZ($A$1,$B28,AJ$1,$B$1)</f>
        <v>113.47</v>
      </c>
      <c r="AK28">
        <f>_xll.EQNXTDZ($A$1,$B28,AK$1,$B$1)</f>
        <v>113.37</v>
      </c>
      <c r="AL28">
        <f>_xll.EQNXTDZ($A$1,$B28,AL$1,$B$1)</f>
        <v>124.52</v>
      </c>
      <c r="AM28">
        <f>_xll.EQNXTDZ($A$1,$B28,AM$1,$B$1)</f>
        <v>112.24</v>
      </c>
      <c r="AN28">
        <f>_xll.EQNXTDZ($A$1,$B28,AN$1,$B$1)</f>
        <v>120.1</v>
      </c>
      <c r="AO28">
        <f>_xll.EQNXTDZ($A$1,$B28,AO$1,$B$1)</f>
        <v>122.2</v>
      </c>
      <c r="AP28">
        <f>_xll.EQNXTDZ($A$1,$B28,AP$1,$B$1)</f>
        <v>118.45</v>
      </c>
      <c r="AQ28">
        <f>_xll.EQNXTDZ($A$1,$B28,AQ$1,$B$1)</f>
        <v>109.77</v>
      </c>
      <c r="AR28">
        <f>_xll.EQNXTDZ($A$1,$B28,AR$1,$B$1)</f>
        <v>117.27</v>
      </c>
      <c r="AS28">
        <f>_xll.EQNXTDZ($A$1,$B28,AS$1,$B$1)</f>
        <v>118.1</v>
      </c>
      <c r="AT28">
        <f>_xll.EQNXTDZ($A$1,$B28,AT$1,$B$1)</f>
        <v>125.54</v>
      </c>
      <c r="AU28">
        <f>_xll.EQNXTDZ($A$1,$B28,AU$1,$B$1)</f>
        <v>131.57</v>
      </c>
      <c r="AV28">
        <f>_xll.EQNXTDZ($A$1,$B28,AV$1,$B$1)</f>
        <v>141.01</v>
      </c>
      <c r="AW28">
        <f>_xll.EQNXTDZ($A$1,$B28,AW$1,$B$1)</f>
        <v>146.80000000000001</v>
      </c>
      <c r="AX28">
        <f>_xll.EQNXTDZ($A$1,$B28,AX$1,$B$1)</f>
        <v>148.61000000000001</v>
      </c>
      <c r="AY28">
        <f>_xll.EQNXTDZ($A$1,$B28,AY$1,$B$1)</f>
        <v>148.1</v>
      </c>
      <c r="AZ28">
        <f>_xll.EQNXTDZ($A$1,$B28,AZ$1,$B$1)</f>
        <v>150.69</v>
      </c>
      <c r="BA28">
        <f>_xll.EQNXTDZ($A$1,$B28,BA$1,$B$1)</f>
        <v>150.65</v>
      </c>
      <c r="BB28">
        <f>_xll.EQNXTDZ($A$1,$B28,BB$1,$B$1)</f>
        <v>152.62</v>
      </c>
      <c r="BC28">
        <f>_xll.EQNXTDZ($A$1,$B28,BC$1,$B$1)</f>
        <v>153.33000000000001</v>
      </c>
      <c r="BD28">
        <f>_xll.EQNXTDZ($A$1,$B28,BD$1,$B$1)</f>
        <v>155.51</v>
      </c>
      <c r="BE28">
        <f>_xll.EQNXTDZ($A$1,$B28,BE$1,$B$1)</f>
        <v>154.91</v>
      </c>
      <c r="BF28">
        <f>_xll.EQNXTDZ($A$1,$B28,BF$1,$B$1)</f>
        <v>166.74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15.74</v>
      </c>
      <c r="D29">
        <f>_xll.EQNXTDZ($A$1,$B29,D$1,$B$1)</f>
        <v>22.31</v>
      </c>
      <c r="E29">
        <f>_xll.EQNXTDZ($A$1,$B29,E$1,$B$1)</f>
        <v>24.77</v>
      </c>
      <c r="F29">
        <f>_xll.EQNXTDZ($A$1,$B29,F$1,$B$1)</f>
        <v>9.69</v>
      </c>
      <c r="G29">
        <f>_xll.EQNXTDZ($A$1,$B29,G$1,$B$1)</f>
        <v>5.44</v>
      </c>
      <c r="H29">
        <f>_xll.EQNXTDZ($A$1,$B29,H$1,$B$1)</f>
        <v>7.95</v>
      </c>
      <c r="I29">
        <f>_xll.EQNXTDZ($A$1,$B29,I$1,$B$1)</f>
        <v>9.99</v>
      </c>
      <c r="J29">
        <f>_xll.EQNXTDZ($A$1,$B29,J$1,$B$1)</f>
        <v>23.14</v>
      </c>
      <c r="K29">
        <f>_xll.EQNXTDZ($A$1,$B29,K$1,$B$1)</f>
        <v>20.12</v>
      </c>
      <c r="L29">
        <f>_xll.EQNXTDZ($A$1,$B29,L$1,$B$1)</f>
        <v>29.46</v>
      </c>
      <c r="M29">
        <f>_xll.EQNXTDZ($A$1,$B29,M$1,$B$1)</f>
        <v>39.33</v>
      </c>
      <c r="N29">
        <f>_xll.EQNXTDZ($A$1,$B29,N$1,$B$1)</f>
        <v>51.02</v>
      </c>
      <c r="O29">
        <f>_xll.EQNXTDZ($A$1,$B29,O$1,$B$1)</f>
        <v>51.28</v>
      </c>
      <c r="P29">
        <f>_xll.EQNXTDZ($A$1,$B29,P$1,$B$1)</f>
        <v>-42.22</v>
      </c>
      <c r="Q29">
        <f>_xll.EQNXTDZ($A$1,$B29,Q$1,$B$1)</f>
        <v>-8.32</v>
      </c>
      <c r="R29">
        <f>_xll.EQNXTDZ($A$1,$B29,R$1,$B$1)</f>
        <v>35.47</v>
      </c>
      <c r="S29">
        <f>_xll.EQNXTDZ($A$1,$B29,S$1,$B$1)</f>
        <v>34.619999999999997</v>
      </c>
      <c r="T29">
        <f>_xll.EQNXTDZ($A$1,$B29,T$1,$B$1)</f>
        <v>23.48</v>
      </c>
      <c r="U29">
        <f>_xll.EQNXTDZ($A$1,$B29,U$1,$B$1)</f>
        <v>41.6</v>
      </c>
      <c r="V29">
        <f>_xll.EQNXTDZ($A$1,$B29,V$1,$B$1)</f>
        <v>87.93</v>
      </c>
      <c r="W29">
        <f>_xll.EQNXTDZ($A$1,$B29,W$1,$B$1)</f>
        <v>20.34</v>
      </c>
      <c r="X29">
        <f>_xll.EQNXTDZ($A$1,$B29,X$1,$B$1)</f>
        <v>26.45</v>
      </c>
      <c r="Y29">
        <f>_xll.EQNXTDZ($A$1,$B29,Y$1,$B$1)</f>
        <v>60.86</v>
      </c>
      <c r="Z29">
        <f>_xll.EQNXTDZ($A$1,$B29,Z$1,$B$1)</f>
        <v>86.44</v>
      </c>
      <c r="AA29">
        <f>_xll.EQNXTDZ($A$1,$B29,AA$1,$B$1)</f>
        <v>36.04</v>
      </c>
      <c r="AB29">
        <f>_xll.EQNXTDZ($A$1,$B29,AB$1,$B$1)</f>
        <v>36.979999999999997</v>
      </c>
      <c r="AC29">
        <f>_xll.EQNXTDZ($A$1,$B29,AC$1,$B$1)</f>
        <v>59.72</v>
      </c>
      <c r="AD29">
        <f>_xll.EQNXTDZ($A$1,$B29,AD$1,$B$1)</f>
        <v>78.88</v>
      </c>
      <c r="AE29">
        <f>_xll.EQNXTDZ($A$1,$B29,AE$1,$B$1)</f>
        <v>64.33</v>
      </c>
      <c r="AF29">
        <f>_xll.EQNXTDZ($A$1,$B29,AF$1,$B$1)</f>
        <v>-167.49</v>
      </c>
      <c r="AG29">
        <f>_xll.EQNXTDZ($A$1,$B29,AG$1,$B$1)</f>
        <v>43.51</v>
      </c>
      <c r="AH29">
        <f>_xll.EQNXTDZ($A$1,$B29,AH$1,$B$1)</f>
        <v>64.989999999999995</v>
      </c>
      <c r="AI29">
        <f>_xll.EQNXTDZ($A$1,$B29,AI$1,$B$1)</f>
        <v>8.68</v>
      </c>
      <c r="AJ29">
        <f>_xll.EQNXTDZ($A$1,$B29,AJ$1,$B$1)</f>
        <v>34.68</v>
      </c>
      <c r="AK29">
        <f>_xll.EQNXTDZ($A$1,$B29,AK$1,$B$1)</f>
        <v>28.34</v>
      </c>
      <c r="AL29">
        <f>_xll.EQNXTDZ($A$1,$B29,AL$1,$B$1)</f>
        <v>99.85</v>
      </c>
      <c r="AM29">
        <f>_xll.EQNXTDZ($A$1,$B29,AM$1,$B$1)</f>
        <v>80.34</v>
      </c>
      <c r="AN29">
        <f>_xll.EQNXTDZ($A$1,$B29,AN$1,$B$1)</f>
        <v>70.98</v>
      </c>
      <c r="AO29">
        <f>_xll.EQNXTDZ($A$1,$B29,AO$1,$B$1)</f>
        <v>11.57</v>
      </c>
      <c r="AP29">
        <f>_xll.EQNXTDZ($A$1,$B29,AP$1,$B$1)</f>
        <v>82.7</v>
      </c>
      <c r="AQ29">
        <f>_xll.EQNXTDZ($A$1,$B29,AQ$1,$B$1)</f>
        <v>16.38</v>
      </c>
      <c r="AR29">
        <f>_xll.EQNXTDZ($A$1,$B29,AR$1,$B$1)</f>
        <v>43.41</v>
      </c>
      <c r="AS29">
        <f>_xll.EQNXTDZ($A$1,$B29,AS$1,$B$1)</f>
        <v>109.18</v>
      </c>
      <c r="AT29">
        <f>_xll.EQNXTDZ($A$1,$B29,AT$1,$B$1)</f>
        <v>94.14</v>
      </c>
      <c r="AU29">
        <f>_xll.EQNXTDZ($A$1,$B29,AU$1,$B$1)</f>
        <v>109.32</v>
      </c>
      <c r="AV29">
        <f>_xll.EQNXTDZ($A$1,$B29,AV$1,$B$1)</f>
        <v>140.01</v>
      </c>
      <c r="AW29">
        <f>_xll.EQNXTDZ($A$1,$B29,AW$1,$B$1)</f>
        <v>187.34</v>
      </c>
      <c r="AX29">
        <f>_xll.EQNXTDZ($A$1,$B29,AX$1,$B$1)</f>
        <v>186.14</v>
      </c>
      <c r="AY29">
        <f>_xll.EQNXTDZ($A$1,$B29,AY$1,$B$1)</f>
        <v>171.8</v>
      </c>
      <c r="AZ29">
        <f>_xll.EQNXTDZ($A$1,$B29,AZ$1,$B$1)</f>
        <v>167.65</v>
      </c>
      <c r="BA29">
        <f>_xll.EQNXTDZ($A$1,$B29,BA$1,$B$1)</f>
        <v>165.88</v>
      </c>
      <c r="BB29">
        <f>_xll.EQNXTDZ($A$1,$B29,BB$1,$B$1)</f>
        <v>385.59</v>
      </c>
      <c r="BC29">
        <f>_xll.EQNXTDZ($A$1,$B29,BC$1,$B$1)</f>
        <v>-41.17</v>
      </c>
      <c r="BD29">
        <f>_xll.EQNXTDZ($A$1,$B29,BD$1,$B$1)</f>
        <v>44.01</v>
      </c>
      <c r="BE29">
        <f>_xll.EQNXTDZ($A$1,$B29,BE$1,$B$1)</f>
        <v>99.57</v>
      </c>
      <c r="BF29">
        <f>_xll.EQNXTDZ($A$1,$B29,BF$1,$B$1)</f>
        <v>47.97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35.19</v>
      </c>
      <c r="D30">
        <f>_xll.EQNXTDZ($A$1,$B30,D$1,$B$1)</f>
        <v>61.11</v>
      </c>
      <c r="E30">
        <f>_xll.EQNXTDZ($A$1,$B30,E$1,$B$1)</f>
        <v>60.03</v>
      </c>
      <c r="F30">
        <f>_xll.EQNXTDZ($A$1,$B30,F$1,$B$1)</f>
        <v>37.08</v>
      </c>
      <c r="G30">
        <f>_xll.EQNXTDZ($A$1,$B30,G$1,$B$1)</f>
        <v>15.21</v>
      </c>
      <c r="H30">
        <f>_xll.EQNXTDZ($A$1,$B30,H$1,$B$1)</f>
        <v>21.96</v>
      </c>
      <c r="I30">
        <f>_xll.EQNXTDZ($A$1,$B30,I$1,$B$1)</f>
        <v>50.04</v>
      </c>
      <c r="J30">
        <f>_xll.EQNXTDZ($A$1,$B30,J$1,$B$1)</f>
        <v>57.06</v>
      </c>
      <c r="K30">
        <f>_xll.EQNXTDZ($A$1,$B30,K$1,$B$1)</f>
        <v>54.9</v>
      </c>
      <c r="L30">
        <f>_xll.EQNXTDZ($A$1,$B30,L$1,$B$1)</f>
        <v>74.61</v>
      </c>
      <c r="M30">
        <f>_xll.EQNXTDZ($A$1,$B30,M$1,$B$1)</f>
        <v>61.92</v>
      </c>
      <c r="N30">
        <f>_xll.EQNXTDZ($A$1,$B30,N$1,$B$1)</f>
        <v>96.38</v>
      </c>
      <c r="O30">
        <f>_xll.EQNXTDZ($A$1,$B30,O$1,$B$1)</f>
        <v>97.2</v>
      </c>
      <c r="P30">
        <f>_xll.EQNXTDZ($A$1,$B30,P$1,$B$1)</f>
        <v>72.650000000000006</v>
      </c>
      <c r="Q30">
        <f>_xll.EQNXTDZ($A$1,$B30,Q$1,$B$1)</f>
        <v>-15.77</v>
      </c>
      <c r="R30">
        <f>_xll.EQNXTDZ($A$1,$B30,R$1,$B$1)</f>
        <v>67.25</v>
      </c>
      <c r="S30">
        <f>_xll.EQNXTDZ($A$1,$B30,S$1,$B$1)</f>
        <v>65.78</v>
      </c>
      <c r="T30">
        <f>_xll.EQNXTDZ($A$1,$B30,T$1,$B$1)</f>
        <v>47.32</v>
      </c>
      <c r="U30">
        <f>_xll.EQNXTDZ($A$1,$B30,U$1,$B$1)</f>
        <v>80.67</v>
      </c>
      <c r="V30">
        <f>_xll.EQNXTDZ($A$1,$B30,V$1,$B$1)</f>
        <v>160.46</v>
      </c>
      <c r="W30">
        <f>_xll.EQNXTDZ($A$1,$B30,W$1,$B$1)</f>
        <v>63.59</v>
      </c>
      <c r="X30">
        <f>_xll.EQNXTDZ($A$1,$B30,X$1,$B$1)</f>
        <v>62.3</v>
      </c>
      <c r="Y30">
        <f>_xll.EQNXTDZ($A$1,$B30,Y$1,$B$1)</f>
        <v>110.05</v>
      </c>
      <c r="Z30">
        <f>_xll.EQNXTDZ($A$1,$B30,Z$1,$B$1)</f>
        <v>158.35</v>
      </c>
      <c r="AA30">
        <f>_xll.EQNXTDZ($A$1,$B30,AA$1,$B$1)</f>
        <v>78.260000000000005</v>
      </c>
      <c r="AB30">
        <f>_xll.EQNXTDZ($A$1,$B30,AB$1,$B$1)</f>
        <v>73.699999999999804</v>
      </c>
      <c r="AC30">
        <f>_xll.EQNXTDZ($A$1,$B30,AC$1,$B$1)</f>
        <v>121.75</v>
      </c>
      <c r="AD30">
        <f>_xll.EQNXTDZ($A$1,$B30,AD$1,$B$1)</f>
        <v>502.280000000001</v>
      </c>
      <c r="AE30">
        <f>_xll.EQNXTDZ($A$1,$B30,AE$1,$B$1)</f>
        <v>110.96</v>
      </c>
      <c r="AF30">
        <f>_xll.EQNXTDZ($A$1,$B30,AF$1,$B$1)</f>
        <v>258.01</v>
      </c>
      <c r="AG30">
        <f>_xll.EQNXTDZ($A$1,$B30,AG$1,$B$1)</f>
        <v>64.570000000000206</v>
      </c>
      <c r="AH30">
        <f>_xll.EQNXTDZ($A$1,$B30,AH$1,$B$1)</f>
        <v>29.5599999999998</v>
      </c>
      <c r="AI30">
        <f>_xll.EQNXTDZ($A$1,$B30,AI$1,$B$1)</f>
        <v>-26.5700000000001</v>
      </c>
      <c r="AJ30">
        <f>_xll.EQNXTDZ($A$1,$B30,AJ$1,$B$1)</f>
        <v>79.549999999999898</v>
      </c>
      <c r="AK30">
        <f>_xll.EQNXTDZ($A$1,$B30,AK$1,$B$1)</f>
        <v>88.09</v>
      </c>
      <c r="AL30">
        <f>_xll.EQNXTDZ($A$1,$B30,AL$1,$B$1)</f>
        <v>186.66</v>
      </c>
      <c r="AM30">
        <f>_xll.EQNXTDZ($A$1,$B30,AM$1,$B$1)</f>
        <v>145.74</v>
      </c>
      <c r="AN30">
        <f>_xll.EQNXTDZ($A$1,$B30,AN$1,$B$1)</f>
        <v>107.62</v>
      </c>
      <c r="AO30">
        <f>_xll.EQNXTDZ($A$1,$B30,AO$1,$B$1)</f>
        <v>0.68000000000006799</v>
      </c>
      <c r="AP30">
        <f>_xll.EQNXTDZ($A$1,$B30,AP$1,$B$1)</f>
        <v>121.84</v>
      </c>
      <c r="AQ30">
        <f>_xll.EQNXTDZ($A$1,$B30,AQ$1,$B$1)</f>
        <v>-15.480000000000199</v>
      </c>
      <c r="AR30">
        <f>_xll.EQNXTDZ($A$1,$B30,AR$1,$B$1)</f>
        <v>21.030000000000101</v>
      </c>
      <c r="AS30">
        <f>_xll.EQNXTDZ($A$1,$B30,AS$1,$B$1)</f>
        <v>143.30000000000001</v>
      </c>
      <c r="AT30">
        <f>_xll.EQNXTDZ($A$1,$B30,AT$1,$B$1)</f>
        <v>297.68</v>
      </c>
      <c r="AU30">
        <f>_xll.EQNXTDZ($A$1,$B30,AU$1,$B$1)</f>
        <v>244.20999999999901</v>
      </c>
      <c r="AV30">
        <f>_xll.EQNXTDZ($A$1,$B30,AV$1,$B$1)</f>
        <v>356.3</v>
      </c>
      <c r="AW30">
        <f>_xll.EQNXTDZ($A$1,$B30,AW$1,$B$1)</f>
        <v>513.5</v>
      </c>
      <c r="AX30">
        <f>_xll.EQNXTDZ($A$1,$B30,AX$1,$B$1)</f>
        <v>479.66</v>
      </c>
      <c r="AY30">
        <f>_xll.EQNXTDZ($A$1,$B30,AY$1,$B$1)</f>
        <v>411.2</v>
      </c>
      <c r="AZ30">
        <f>_xll.EQNXTDZ($A$1,$B30,AZ$1,$B$1)</f>
        <v>468.52</v>
      </c>
      <c r="BA30">
        <f>_xll.EQNXTDZ($A$1,$B30,BA$1,$B$1)</f>
        <v>471.98</v>
      </c>
      <c r="BB30">
        <f>_xll.EQNXTDZ($A$1,$B30,BB$1,$B$1)</f>
        <v>80.070000000000803</v>
      </c>
      <c r="BC30">
        <f>_xll.EQNXTDZ($A$1,$B30,BC$1,$B$1)</f>
        <v>405.08</v>
      </c>
      <c r="BD30">
        <f>_xll.EQNXTDZ($A$1,$B30,BD$1,$B$1)</f>
        <v>129.13</v>
      </c>
      <c r="BE30">
        <f>_xll.EQNXTDZ($A$1,$B30,BE$1,$B$1)</f>
        <v>244.95</v>
      </c>
      <c r="BF30">
        <f>_xll.EQNXTDZ($A$1,$B30,BF$1,$B$1)</f>
        <v>126.83999999999899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16.3</v>
      </c>
      <c r="AB34">
        <f>_xll.EQNXTDZ($A$1,$B34,AB$1,$B$1)</f>
        <v>24.26</v>
      </c>
      <c r="AC34">
        <f>_xll.EQNXTDZ($A$1,$B34,AC$1,$B$1)</f>
        <v>17.41</v>
      </c>
      <c r="AD34">
        <f>_xll.EQNXTDZ($A$1,$B34,AD$1,$B$1)</f>
        <v>28.48</v>
      </c>
      <c r="AE34">
        <f>_xll.EQNXTDZ($A$1,$B34,AE$1,$B$1)</f>
        <v>21.93</v>
      </c>
      <c r="AF34">
        <f>_xll.EQNXTDZ($A$1,$B34,AF$1,$B$1)</f>
        <v>44.26</v>
      </c>
      <c r="AG34">
        <f>_xll.EQNXTDZ($A$1,$B34,AG$1,$B$1)</f>
        <v>24.06</v>
      </c>
      <c r="AH34">
        <f>_xll.EQNXTDZ($A$1,$B34,AH$1,$B$1)</f>
        <v>3.23</v>
      </c>
      <c r="AI34">
        <f>_xll.EQNXTDZ($A$1,$B34,AI$1,$B$1)</f>
        <v>17.329999999999998</v>
      </c>
      <c r="AJ34">
        <f>_xll.EQNXTDZ($A$1,$B34,AJ$1,$B$1)</f>
        <v>-1.35</v>
      </c>
      <c r="AK34">
        <f>_xll.EQNXTDZ($A$1,$B34,AK$1,$B$1)</f>
        <v>-22.32</v>
      </c>
      <c r="AL34">
        <f>_xll.EQNXTDZ($A$1,$B34,AL$1,$B$1)</f>
        <v>-2.56</v>
      </c>
      <c r="AM34">
        <f>_xll.EQNXTDZ($A$1,$B34,AM$1,$B$1)</f>
        <v>6.36</v>
      </c>
      <c r="AN34">
        <f>_xll.EQNXTDZ($A$1,$B34,AN$1,$B$1)</f>
        <v>12.46</v>
      </c>
      <c r="AO34">
        <f>_xll.EQNXTDZ($A$1,$B34,AO$1,$B$1)</f>
        <v>11.96</v>
      </c>
      <c r="AP34">
        <f>_xll.EQNXTDZ($A$1,$B34,AP$1,$B$1)</f>
        <v>5.09</v>
      </c>
      <c r="AQ34">
        <f>_xll.EQNXTDZ($A$1,$B34,AQ$1,$B$1)</f>
        <v>20.51</v>
      </c>
      <c r="AR34">
        <f>_xll.EQNXTDZ($A$1,$B34,AR$1,$B$1)</f>
        <v>38.42</v>
      </c>
      <c r="AS34">
        <f>_xll.EQNXTDZ($A$1,$B34,AS$1,$B$1)</f>
        <v>71.209999999999994</v>
      </c>
      <c r="AT34">
        <f>_xll.EQNXTDZ($A$1,$B34,AT$1,$B$1)</f>
        <v>59.66</v>
      </c>
      <c r="AU34">
        <f>_xll.EQNXTDZ($A$1,$B34,AU$1,$B$1)</f>
        <v>20.309999999999999</v>
      </c>
      <c r="AV34">
        <f>_xll.EQNXTDZ($A$1,$B34,AV$1,$B$1)</f>
        <v>21.26</v>
      </c>
      <c r="AW34">
        <f>_xll.EQNXTDZ($A$1,$B34,AW$1,$B$1)</f>
        <v>20.78</v>
      </c>
      <c r="AX34">
        <f>_xll.EQNXTDZ($A$1,$B34,AX$1,$B$1)</f>
        <v>21.81</v>
      </c>
      <c r="AY34">
        <f>_xll.EQNXTDZ($A$1,$B34,AY$1,$B$1)</f>
        <v>24.63</v>
      </c>
      <c r="AZ34">
        <f>_xll.EQNXTDZ($A$1,$B34,AZ$1,$B$1)</f>
        <v>24.3</v>
      </c>
      <c r="BA34">
        <f>_xll.EQNXTDZ($A$1,$B34,BA$1,$B$1)</f>
        <v>27.04</v>
      </c>
      <c r="BB34">
        <f>_xll.EQNXTDZ($A$1,$B34,BB$1,$B$1)</f>
        <v>204.36</v>
      </c>
      <c r="BC34">
        <f>_xll.EQNXTDZ($A$1,$B34,BC$1,$B$1)</f>
        <v>8.57</v>
      </c>
      <c r="BD34">
        <f>_xll.EQNXTDZ($A$1,$B34,BD$1,$B$1)</f>
        <v>13.33</v>
      </c>
      <c r="BE34">
        <f>_xll.EQNXTDZ($A$1,$B34,BE$1,$B$1)</f>
        <v>10.37</v>
      </c>
      <c r="BF34">
        <f>_xll.EQNXTDZ($A$1,$B34,BF$1,$B$1)</f>
        <v>15.75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-0.18</v>
      </c>
      <c r="AR35">
        <f>_xll.EQNXTDZ($A$1,$B35,AR$1,$B$1)</f>
        <v>-0.03</v>
      </c>
      <c r="AS35">
        <f>_xll.EQNXTDZ($A$1,$B35,AS$1,$B$1)</f>
        <v>-7.0000000000000007E-2</v>
      </c>
      <c r="AT35">
        <f>_xll.EQNXTDZ($A$1,$B35,AT$1,$B$1)</f>
        <v>-0.18</v>
      </c>
      <c r="AU35">
        <f>_xll.EQNXTDZ($A$1,$B35,AU$1,$B$1)</f>
        <v>0.08</v>
      </c>
      <c r="AV35">
        <f>_xll.EQNXTDZ($A$1,$B35,AV$1,$B$1)</f>
        <v>-0.53</v>
      </c>
      <c r="AW35">
        <f>_xll.EQNXTDZ($A$1,$B35,AW$1,$B$1)</f>
        <v>-1.07</v>
      </c>
      <c r="AX35">
        <f>_xll.EQNXTDZ($A$1,$B35,AX$1,$B$1)</f>
        <v>0.71</v>
      </c>
      <c r="AY35">
        <f>_xll.EQNXTDZ($A$1,$B35,AY$1,$B$1)</f>
        <v>5.23</v>
      </c>
      <c r="AZ35">
        <f>_xll.EQNXTDZ($A$1,$B35,AZ$1,$B$1)</f>
        <v>6.79</v>
      </c>
      <c r="BA35">
        <f>_xll.EQNXTDZ($A$1,$B35,BA$1,$B$1)</f>
        <v>7.4</v>
      </c>
      <c r="BB35">
        <f>_xll.EQNXTDZ($A$1,$B35,BB$1,$B$1)</f>
        <v>6.85</v>
      </c>
      <c r="BC35">
        <f>_xll.EQNXTDZ($A$1,$B35,BC$1,$B$1)</f>
        <v>10.39</v>
      </c>
      <c r="BD35">
        <f>_xll.EQNXTDZ($A$1,$B35,BD$1,$B$1)</f>
        <v>9.43</v>
      </c>
      <c r="BE35">
        <f>_xll.EQNXTDZ($A$1,$B35,BE$1,$B$1)</f>
        <v>2.67</v>
      </c>
      <c r="BF35">
        <f>_xll.EQNXTDZ($A$1,$B35,BF$1,$B$1)</f>
        <v>-3.16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35.19</v>
      </c>
      <c r="D38">
        <f>_xll.EQNXTDZ($A$1,$B38,D$1,$B$1)</f>
        <v>61.11</v>
      </c>
      <c r="E38">
        <f>_xll.EQNXTDZ($A$1,$B38,E$1,$B$1)</f>
        <v>60.03</v>
      </c>
      <c r="F38">
        <f>_xll.EQNXTDZ($A$1,$B38,F$1,$B$1)</f>
        <v>37.08</v>
      </c>
      <c r="G38">
        <f>_xll.EQNXTDZ($A$1,$B38,G$1,$B$1)</f>
        <v>15.21</v>
      </c>
      <c r="H38">
        <f>_xll.EQNXTDZ($A$1,$B38,H$1,$B$1)</f>
        <v>21.96</v>
      </c>
      <c r="I38">
        <f>_xll.EQNXTDZ($A$1,$B38,I$1,$B$1)</f>
        <v>50.04</v>
      </c>
      <c r="J38">
        <f>_xll.EQNXTDZ($A$1,$B38,J$1,$B$1)</f>
        <v>57.06</v>
      </c>
      <c r="K38">
        <f>_xll.EQNXTDZ($A$1,$B38,K$1,$B$1)</f>
        <v>54.9</v>
      </c>
      <c r="L38">
        <f>_xll.EQNXTDZ($A$1,$B38,L$1,$B$1)</f>
        <v>74.61</v>
      </c>
      <c r="M38">
        <f>_xll.EQNXTDZ($A$1,$B38,M$1,$B$1)</f>
        <v>61.92</v>
      </c>
      <c r="N38">
        <f>_xll.EQNXTDZ($A$1,$B38,N$1,$B$1)</f>
        <v>96.38</v>
      </c>
      <c r="O38">
        <f>_xll.EQNXTDZ($A$1,$B38,O$1,$B$1)</f>
        <v>97.2</v>
      </c>
      <c r="P38">
        <f>_xll.EQNXTDZ($A$1,$B38,P$1,$B$1)</f>
        <v>72.650000000000006</v>
      </c>
      <c r="Q38">
        <f>_xll.EQNXTDZ($A$1,$B38,Q$1,$B$1)</f>
        <v>-15.77</v>
      </c>
      <c r="R38">
        <f>_xll.EQNXTDZ($A$1,$B38,R$1,$B$1)</f>
        <v>67.25</v>
      </c>
      <c r="S38">
        <f>_xll.EQNXTDZ($A$1,$B38,S$1,$B$1)</f>
        <v>65.78</v>
      </c>
      <c r="T38">
        <f>_xll.EQNXTDZ($A$1,$B38,T$1,$B$1)</f>
        <v>47.32</v>
      </c>
      <c r="U38">
        <f>_xll.EQNXTDZ($A$1,$B38,U$1,$B$1)</f>
        <v>80.67</v>
      </c>
      <c r="V38">
        <f>_xll.EQNXTDZ($A$1,$B38,V$1,$B$1)</f>
        <v>160.46</v>
      </c>
      <c r="W38">
        <f>_xll.EQNXTDZ($A$1,$B38,W$1,$B$1)</f>
        <v>63.59</v>
      </c>
      <c r="X38">
        <f>_xll.EQNXTDZ($A$1,$B38,X$1,$B$1)</f>
        <v>62.3</v>
      </c>
      <c r="Y38">
        <f>_xll.EQNXTDZ($A$1,$B38,Y$1,$B$1)</f>
        <v>110.05</v>
      </c>
      <c r="Z38">
        <f>_xll.EQNXTDZ($A$1,$B38,Z$1,$B$1)</f>
        <v>158.35</v>
      </c>
      <c r="AA38">
        <f>_xll.EQNXTDZ($A$1,$B38,AA$1,$B$1)</f>
        <v>92.75</v>
      </c>
      <c r="AB38">
        <f>_xll.EQNXTDZ($A$1,$B38,AB$1,$B$1)</f>
        <v>97.18</v>
      </c>
      <c r="AC38">
        <f>_xll.EQNXTDZ($A$1,$B38,AC$1,$B$1)</f>
        <v>138.91</v>
      </c>
      <c r="AD38">
        <f>_xll.EQNXTDZ($A$1,$B38,AD$1,$B$1)</f>
        <v>521.32000000000005</v>
      </c>
      <c r="AE38">
        <f>_xll.EQNXTDZ($A$1,$B38,AE$1,$B$1)</f>
        <v>131.37</v>
      </c>
      <c r="AF38">
        <f>_xll.EQNXTDZ($A$1,$B38,AF$1,$B$1)</f>
        <v>301.04000000000002</v>
      </c>
      <c r="AG38">
        <f>_xll.EQNXTDZ($A$1,$B38,AG$1,$B$1)</f>
        <v>89.55</v>
      </c>
      <c r="AH38">
        <f>_xll.EQNXTDZ($A$1,$B38,AH$1,$B$1)</f>
        <v>32.79</v>
      </c>
      <c r="AI38">
        <f>_xll.EQNXTDZ($A$1,$B38,AI$1,$B$1)</f>
        <v>-9.24</v>
      </c>
      <c r="AJ38">
        <f>_xll.EQNXTDZ($A$1,$B38,AJ$1,$B$1)</f>
        <v>78.2</v>
      </c>
      <c r="AK38">
        <f>_xll.EQNXTDZ($A$1,$B38,AK$1,$B$1)</f>
        <v>65.77</v>
      </c>
      <c r="AL38">
        <f>_xll.EQNXTDZ($A$1,$B38,AL$1,$B$1)</f>
        <v>184.1</v>
      </c>
      <c r="AM38">
        <f>_xll.EQNXTDZ($A$1,$B38,AM$1,$B$1)</f>
        <v>152.1</v>
      </c>
      <c r="AN38">
        <f>_xll.EQNXTDZ($A$1,$B38,AN$1,$B$1)</f>
        <v>120.08</v>
      </c>
      <c r="AO38">
        <f>_xll.EQNXTDZ($A$1,$B38,AO$1,$B$1)</f>
        <v>12.64</v>
      </c>
      <c r="AP38">
        <f>_xll.EQNXTDZ($A$1,$B38,AP$1,$B$1)</f>
        <v>126.93</v>
      </c>
      <c r="AQ38">
        <f>_xll.EQNXTDZ($A$1,$B38,AQ$1,$B$1)</f>
        <v>4.8499999999999996</v>
      </c>
      <c r="AR38">
        <f>_xll.EQNXTDZ($A$1,$B38,AR$1,$B$1)</f>
        <v>59.42</v>
      </c>
      <c r="AS38">
        <f>_xll.EQNXTDZ($A$1,$B38,AS$1,$B$1)</f>
        <v>214.44</v>
      </c>
      <c r="AT38">
        <f>_xll.EQNXTDZ($A$1,$B38,AT$1,$B$1)</f>
        <v>357.16</v>
      </c>
      <c r="AU38">
        <f>_xll.EQNXTDZ($A$1,$B38,AU$1,$B$1)</f>
        <v>264.60000000000002</v>
      </c>
      <c r="AV38">
        <f>_xll.EQNXTDZ($A$1,$B38,AV$1,$B$1)</f>
        <v>377.03</v>
      </c>
      <c r="AW38">
        <f>_xll.EQNXTDZ($A$1,$B38,AW$1,$B$1)</f>
        <v>533.21</v>
      </c>
      <c r="AX38">
        <f>_xll.EQNXTDZ($A$1,$B38,AX$1,$B$1)</f>
        <v>502.18</v>
      </c>
      <c r="AY38">
        <f>_xll.EQNXTDZ($A$1,$B38,AY$1,$B$1)</f>
        <v>441.06</v>
      </c>
      <c r="AZ38">
        <f>_xll.EQNXTDZ($A$1,$B38,AZ$1,$B$1)</f>
        <v>499.61</v>
      </c>
      <c r="BA38">
        <f>_xll.EQNXTDZ($A$1,$B38,BA$1,$B$1)</f>
        <v>506.42</v>
      </c>
      <c r="BB38">
        <f>_xll.EQNXTDZ($A$1,$B38,BB$1,$B$1)</f>
        <v>291.27999999999997</v>
      </c>
      <c r="BC38">
        <f>_xll.EQNXTDZ($A$1,$B38,BC$1,$B$1)</f>
        <v>424.04</v>
      </c>
      <c r="BD38">
        <f>_xll.EQNXTDZ($A$1,$B38,BD$1,$B$1)</f>
        <v>151.88999999999999</v>
      </c>
      <c r="BE38">
        <f>_xll.EQNXTDZ($A$1,$B38,BE$1,$B$1)</f>
        <v>257.99</v>
      </c>
      <c r="BF38">
        <f>_xll.EQNXTDZ($A$1,$B38,BF$1,$B$1)</f>
        <v>139.43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-46.53</v>
      </c>
      <c r="W39">
        <f>_xll.EQNXTDZ($A$1,$B39,W$1,$B$1)</f>
        <v>0.45</v>
      </c>
      <c r="X39">
        <f>_xll.EQNXTDZ($A$1,$B39,X$1,$B$1)</f>
        <v>-2.2000000000000002</v>
      </c>
      <c r="Y39">
        <f>_xll.EQNXTDZ($A$1,$B39,Y$1,$B$1)</f>
        <v>-13.82</v>
      </c>
      <c r="Z39">
        <f>_xll.EQNXTDZ($A$1,$B39,Z$1,$B$1)</f>
        <v>7.07</v>
      </c>
      <c r="AA39">
        <f>_xll.EQNXTDZ($A$1,$B39,AA$1,$B$1)</f>
        <v>-1.81</v>
      </c>
      <c r="AB39">
        <f>_xll.EQNXTDZ($A$1,$B39,AB$1,$B$1)</f>
        <v>-0.78</v>
      </c>
      <c r="AC39">
        <f>_xll.EQNXTDZ($A$1,$B39,AC$1,$B$1)</f>
        <v>-0.25</v>
      </c>
      <c r="AD39">
        <f>_xll.EQNXTDZ($A$1,$B39,AD$1,$B$1)</f>
        <v>-9.44</v>
      </c>
      <c r="AE39">
        <f>_xll.EQNXTDZ($A$1,$B39,AE$1,$B$1)</f>
        <v>-1.52</v>
      </c>
      <c r="AF39">
        <f>_xll.EQNXTDZ($A$1,$B39,AF$1,$B$1)</f>
        <v>-1.24</v>
      </c>
      <c r="AG39">
        <f>_xll.EQNXTDZ($A$1,$B39,AG$1,$B$1)</f>
        <v>0.92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-0.94</v>
      </c>
      <c r="P40">
        <f>_xll.EQNXTDZ($A$1,$B40,P$1,$B$1)</f>
        <v>-0.94</v>
      </c>
      <c r="Q40">
        <f>_xll.EQNXTDZ($A$1,$B40,Q$1,$B$1)</f>
        <v>1.86</v>
      </c>
      <c r="R40">
        <f>_xll.EQNXTDZ($A$1,$B40,R$1,$B$1)</f>
        <v>-2.08</v>
      </c>
      <c r="S40">
        <f>_xll.EQNXTDZ($A$1,$B40,S$1,$B$1)</f>
        <v>-0.44</v>
      </c>
      <c r="T40">
        <f>_xll.EQNXTDZ($A$1,$B40,T$1,$B$1)</f>
        <v>-0.48</v>
      </c>
      <c r="U40">
        <f>_xll.EQNXTDZ($A$1,$B40,U$1,$B$1)</f>
        <v>-0.47</v>
      </c>
      <c r="V40">
        <f>_xll.EQNXTDZ($A$1,$B40,V$1,$B$1)</f>
        <v>-5.63</v>
      </c>
      <c r="W40">
        <f>_xll.EQNXTDZ($A$1,$B40,W$1,$B$1)</f>
        <v>-1.81</v>
      </c>
      <c r="X40">
        <f>_xll.EQNXTDZ($A$1,$B40,X$1,$B$1)</f>
        <v>-1.81</v>
      </c>
      <c r="Y40">
        <f>_xll.EQNXTDZ($A$1,$B40,Y$1,$B$1)</f>
        <v>-2.4</v>
      </c>
      <c r="Z40">
        <f>_xll.EQNXTDZ($A$1,$B40,Z$1,$B$1)</f>
        <v>7.87</v>
      </c>
      <c r="AA40">
        <f>_xll.EQNXTDZ($A$1,$B40,AA$1,$B$1)</f>
        <v>-10.39</v>
      </c>
      <c r="AB40">
        <f>_xll.EQNXTDZ($A$1,$B40,AB$1,$B$1)</f>
        <v>-6.58</v>
      </c>
      <c r="AC40">
        <f>_xll.EQNXTDZ($A$1,$B40,AC$1,$B$1)</f>
        <v>12.79</v>
      </c>
      <c r="AD40">
        <f>_xll.EQNXTDZ($A$1,$B40,AD$1,$B$1)</f>
        <v>-24.94</v>
      </c>
      <c r="AE40">
        <f>_xll.EQNXTDZ($A$1,$B40,AE$1,$B$1)</f>
        <v>-2.61</v>
      </c>
      <c r="AF40">
        <f>_xll.EQNXTDZ($A$1,$B40,AF$1,$B$1)</f>
        <v>4.42</v>
      </c>
      <c r="AG40">
        <f>_xll.EQNXTDZ($A$1,$B40,AG$1,$B$1)</f>
        <v>-1.19</v>
      </c>
      <c r="AH40">
        <f>_xll.EQNXTDZ($A$1,$B40,AH$1,$B$1)</f>
        <v>2.5299999999999998</v>
      </c>
      <c r="AI40">
        <f>_xll.EQNXTDZ($A$1,$B40,AI$1,$B$1)</f>
        <v>-3.77</v>
      </c>
      <c r="AJ40">
        <f>_xll.EQNXTDZ($A$1,$B40,AJ$1,$B$1)</f>
        <v>-8.4600000000000009</v>
      </c>
      <c r="AK40">
        <f>_xll.EQNXTDZ($A$1,$B40,AK$1,$B$1)</f>
        <v>-1.23</v>
      </c>
      <c r="AL40">
        <f>_xll.EQNXTDZ($A$1,$B40,AL$1,$B$1)</f>
        <v>14.21</v>
      </c>
      <c r="AM40">
        <f>_xll.EQNXTDZ($A$1,$B40,AM$1,$B$1)</f>
        <v>10.6</v>
      </c>
      <c r="AN40">
        <f>_xll.EQNXTDZ($A$1,$B40,AN$1,$B$1)</f>
        <v>2.0499999999999998</v>
      </c>
      <c r="AO40">
        <f>_xll.EQNXTDZ($A$1,$B40,AO$1,$B$1)</f>
        <v>3.95</v>
      </c>
      <c r="AP40">
        <f>_xll.EQNXTDZ($A$1,$B40,AP$1,$B$1)</f>
        <v>15.81</v>
      </c>
      <c r="AQ40">
        <f>_xll.EQNXTDZ($A$1,$B40,AQ$1,$B$1)</f>
        <v>29.42</v>
      </c>
      <c r="AR40">
        <f>_xll.EQNXTDZ($A$1,$B40,AR$1,$B$1)</f>
        <v>23</v>
      </c>
      <c r="AS40">
        <f>_xll.EQNXTDZ($A$1,$B40,AS$1,$B$1)</f>
        <v>18.88</v>
      </c>
      <c r="AT40">
        <f>_xll.EQNXTDZ($A$1,$B40,AT$1,$B$1)</f>
        <v>-20.93</v>
      </c>
      <c r="AU40">
        <f>_xll.EQNXTDZ($A$1,$B40,AU$1,$B$1)</f>
        <v>7.74</v>
      </c>
      <c r="AV40">
        <f>_xll.EQNXTDZ($A$1,$B40,AV$1,$B$1)</f>
        <v>22.1</v>
      </c>
      <c r="AW40">
        <f>_xll.EQNXTDZ($A$1,$B40,AW$1,$B$1)</f>
        <v>-6.95</v>
      </c>
      <c r="AX40">
        <f>_xll.EQNXTDZ($A$1,$B40,AX$1,$B$1)</f>
        <v>-8.6300000000000008</v>
      </c>
      <c r="AY40">
        <f>_xll.EQNXTDZ($A$1,$B40,AY$1,$B$1)</f>
        <v>-4.4400000000000004</v>
      </c>
      <c r="AZ40">
        <f>_xll.EQNXTDZ($A$1,$B40,AZ$1,$B$1)</f>
        <v>4.16</v>
      </c>
      <c r="BA40">
        <f>_xll.EQNXTDZ($A$1,$B40,BA$1,$B$1)</f>
        <v>20.77</v>
      </c>
      <c r="BB40">
        <f>_xll.EQNXTDZ($A$1,$B40,BB$1,$B$1)</f>
        <v>-8.82</v>
      </c>
      <c r="BC40">
        <f>_xll.EQNXTDZ($A$1,$B40,BC$1,$B$1)</f>
        <v>2.0299999999999998</v>
      </c>
      <c r="BD40">
        <f>_xll.EQNXTDZ($A$1,$B40,BD$1,$B$1)</f>
        <v>33.85</v>
      </c>
      <c r="BE40">
        <f>_xll.EQNXTDZ($A$1,$B40,BE$1,$B$1)</f>
        <v>20.04</v>
      </c>
      <c r="BF40">
        <f>_xll.EQNXTDZ($A$1,$B40,BF$1,$B$1)</f>
        <v>72.98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96.26</v>
      </c>
      <c r="P41">
        <f>_xll.EQNXTDZ($A$1,$B41,P$1,$B$1)</f>
        <v>71.709999999999994</v>
      </c>
      <c r="Q41">
        <f>_xll.EQNXTDZ($A$1,$B41,Q$1,$B$1)</f>
        <v>-13.91</v>
      </c>
      <c r="R41">
        <f>_xll.EQNXTDZ($A$1,$B41,R$1,$B$1)</f>
        <v>65.17</v>
      </c>
      <c r="S41">
        <f>_xll.EQNXTDZ($A$1,$B41,S$1,$B$1)</f>
        <v>65.34</v>
      </c>
      <c r="T41">
        <f>_xll.EQNXTDZ($A$1,$B41,T$1,$B$1)</f>
        <v>46.84</v>
      </c>
      <c r="U41">
        <f>_xll.EQNXTDZ($A$1,$B41,U$1,$B$1)</f>
        <v>80.2</v>
      </c>
      <c r="V41">
        <f>_xll.EQNXTDZ($A$1,$B41,V$1,$B$1)</f>
        <v>108.3</v>
      </c>
      <c r="W41">
        <f>_xll.EQNXTDZ($A$1,$B41,W$1,$B$1)</f>
        <v>62.23</v>
      </c>
      <c r="X41">
        <f>_xll.EQNXTDZ($A$1,$B41,X$1,$B$1)</f>
        <v>58.29</v>
      </c>
      <c r="Y41">
        <f>_xll.EQNXTDZ($A$1,$B41,Y$1,$B$1)</f>
        <v>93.83</v>
      </c>
      <c r="Z41">
        <f>_xll.EQNXTDZ($A$1,$B41,Z$1,$B$1)</f>
        <v>173.29</v>
      </c>
      <c r="AA41">
        <f>_xll.EQNXTDZ($A$1,$B41,AA$1,$B$1)</f>
        <v>92.53</v>
      </c>
      <c r="AB41">
        <f>_xll.EQNXTDZ($A$1,$B41,AB$1,$B$1)</f>
        <v>103.82</v>
      </c>
      <c r="AC41">
        <f>_xll.EQNXTDZ($A$1,$B41,AC$1,$B$1)</f>
        <v>142.46</v>
      </c>
      <c r="AD41">
        <f>_xll.EQNXTDZ($A$1,$B41,AD$1,$B$1)</f>
        <v>494.16</v>
      </c>
      <c r="AE41">
        <f>_xll.EQNXTDZ($A$1,$B41,AE$1,$B$1)</f>
        <v>127.93</v>
      </c>
      <c r="AF41">
        <f>_xll.EQNXTDZ($A$1,$B41,AF$1,$B$1)</f>
        <v>303.68</v>
      </c>
      <c r="AG41">
        <f>_xll.EQNXTDZ($A$1,$B41,AG$1,$B$1)</f>
        <v>98.73</v>
      </c>
      <c r="AH41">
        <f>_xll.EQNXTDZ($A$1,$B41,AH$1,$B$1)</f>
        <v>52.07</v>
      </c>
      <c r="AI41">
        <f>_xll.EQNXTDZ($A$1,$B41,AI$1,$B$1)</f>
        <v>-13.36</v>
      </c>
      <c r="AJ41">
        <f>_xll.EQNXTDZ($A$1,$B41,AJ$1,$B$1)</f>
        <v>64.23</v>
      </c>
      <c r="AK41">
        <f>_xll.EQNXTDZ($A$1,$B41,AK$1,$B$1)</f>
        <v>63.14</v>
      </c>
      <c r="AL41">
        <f>_xll.EQNXTDZ($A$1,$B41,AL$1,$B$1)</f>
        <v>198.59</v>
      </c>
      <c r="AM41">
        <f>_xll.EQNXTDZ($A$1,$B41,AM$1,$B$1)</f>
        <v>164.67</v>
      </c>
      <c r="AN41">
        <f>_xll.EQNXTDZ($A$1,$B41,AN$1,$B$1)</f>
        <v>121.93</v>
      </c>
      <c r="AO41">
        <f>_xll.EQNXTDZ($A$1,$B41,AO$1,$B$1)</f>
        <v>16.88</v>
      </c>
      <c r="AP41">
        <f>_xll.EQNXTDZ($A$1,$B41,AP$1,$B$1)</f>
        <v>144.75</v>
      </c>
      <c r="AQ41">
        <f>_xll.EQNXTDZ($A$1,$B41,AQ$1,$B$1)</f>
        <v>36.479999999999997</v>
      </c>
      <c r="AR41">
        <f>_xll.EQNXTDZ($A$1,$B41,AR$1,$B$1)</f>
        <v>82.4</v>
      </c>
      <c r="AS41">
        <f>_xll.EQNXTDZ($A$1,$B41,AS$1,$B$1)</f>
        <v>233.31</v>
      </c>
      <c r="AT41">
        <f>_xll.EQNXTDZ($A$1,$B41,AT$1,$B$1)</f>
        <v>336.2</v>
      </c>
      <c r="AU41">
        <f>_xll.EQNXTDZ($A$1,$B41,AU$1,$B$1)</f>
        <v>272.33999999999997</v>
      </c>
      <c r="AV41">
        <f>_xll.EQNXTDZ($A$1,$B41,AV$1,$B$1)</f>
        <v>399.12</v>
      </c>
      <c r="AW41">
        <f>_xll.EQNXTDZ($A$1,$B41,AW$1,$B$1)</f>
        <v>526.26</v>
      </c>
      <c r="AX41">
        <f>_xll.EQNXTDZ($A$1,$B41,AX$1,$B$1)</f>
        <v>493.57</v>
      </c>
      <c r="AY41">
        <f>_xll.EQNXTDZ($A$1,$B41,AY$1,$B$1)</f>
        <v>436.62</v>
      </c>
      <c r="AZ41">
        <f>_xll.EQNXTDZ($A$1,$B41,AZ$1,$B$1)</f>
        <v>503.77</v>
      </c>
      <c r="BA41">
        <f>_xll.EQNXTDZ($A$1,$B41,BA$1,$B$1)</f>
        <v>527.19000000000005</v>
      </c>
      <c r="BB41">
        <f>_xll.EQNXTDZ($A$1,$B41,BB$1,$B$1)</f>
        <v>282.63</v>
      </c>
      <c r="BC41">
        <f>_xll.EQNXTDZ($A$1,$B41,BC$1,$B$1)</f>
        <v>426.08</v>
      </c>
      <c r="BD41">
        <f>_xll.EQNXTDZ($A$1,$B41,BD$1,$B$1)</f>
        <v>185.75</v>
      </c>
      <c r="BE41">
        <f>_xll.EQNXTDZ($A$1,$B41,BE$1,$B$1)</f>
        <v>278.14</v>
      </c>
      <c r="BF41">
        <f>_xll.EQNXTDZ($A$1,$B41,BF$1,$B$1)</f>
        <v>212.3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35.19</v>
      </c>
      <c r="D42">
        <f>_xll.EQNXTDZ($A$1,$B42,D$1,$B$1)</f>
        <v>61.11</v>
      </c>
      <c r="E42">
        <f>_xll.EQNXTDZ($A$1,$B42,E$1,$B$1)</f>
        <v>60.03</v>
      </c>
      <c r="F42">
        <f>_xll.EQNXTDZ($A$1,$B42,F$1,$B$1)</f>
        <v>37.08</v>
      </c>
      <c r="G42">
        <f>_xll.EQNXTDZ($A$1,$B42,G$1,$B$1)</f>
        <v>15.21</v>
      </c>
      <c r="H42">
        <f>_xll.EQNXTDZ($A$1,$B42,H$1,$B$1)</f>
        <v>21.96</v>
      </c>
      <c r="I42">
        <f>_xll.EQNXTDZ($A$1,$B42,I$1,$B$1)</f>
        <v>50.04</v>
      </c>
      <c r="J42">
        <f>_xll.EQNXTDZ($A$1,$B42,J$1,$B$1)</f>
        <v>57.06</v>
      </c>
      <c r="K42">
        <f>_xll.EQNXTDZ($A$1,$B42,K$1,$B$1)</f>
        <v>54.9</v>
      </c>
      <c r="L42">
        <f>_xll.EQNXTDZ($A$1,$B42,L$1,$B$1)</f>
        <v>74.61</v>
      </c>
      <c r="M42">
        <f>_xll.EQNXTDZ($A$1,$B42,M$1,$B$1)</f>
        <v>61.92</v>
      </c>
      <c r="N42">
        <f>_xll.EQNXTDZ($A$1,$B42,N$1,$B$1)</f>
        <v>96.38</v>
      </c>
      <c r="O42">
        <f>_xll.EQNXTDZ($A$1,$B42,O$1,$B$1)</f>
        <v>97.2</v>
      </c>
      <c r="P42">
        <f>_xll.EQNXTDZ($A$1,$B42,P$1,$B$1)</f>
        <v>72.650000000000006</v>
      </c>
      <c r="Q42">
        <f>_xll.EQNXTDZ($A$1,$B42,Q$1,$B$1)</f>
        <v>-15.77</v>
      </c>
      <c r="R42">
        <f>_xll.EQNXTDZ($A$1,$B42,R$1,$B$1)</f>
        <v>67.25</v>
      </c>
      <c r="S42">
        <f>_xll.EQNXTDZ($A$1,$B42,S$1,$B$1)</f>
        <v>65.78</v>
      </c>
      <c r="T42">
        <f>_xll.EQNXTDZ($A$1,$B42,T$1,$B$1)</f>
        <v>47.32</v>
      </c>
      <c r="U42">
        <f>_xll.EQNXTDZ($A$1,$B42,U$1,$B$1)</f>
        <v>80.67</v>
      </c>
      <c r="V42">
        <f>_xll.EQNXTDZ($A$1,$B42,V$1,$B$1)</f>
        <v>113.93</v>
      </c>
      <c r="W42">
        <f>_xll.EQNXTDZ($A$1,$B42,W$1,$B$1)</f>
        <v>64.040000000000006</v>
      </c>
      <c r="X42">
        <f>_xll.EQNXTDZ($A$1,$B42,X$1,$B$1)</f>
        <v>60.1</v>
      </c>
      <c r="Y42">
        <f>_xll.EQNXTDZ($A$1,$B42,Y$1,$B$1)</f>
        <v>96.23</v>
      </c>
      <c r="Z42">
        <f>_xll.EQNXTDZ($A$1,$B42,Z$1,$B$1)</f>
        <v>165.42</v>
      </c>
      <c r="AA42">
        <f>_xll.EQNXTDZ($A$1,$B42,AA$1,$B$1)</f>
        <v>92.75</v>
      </c>
      <c r="AB42">
        <f>_xll.EQNXTDZ($A$1,$B42,AB$1,$B$1)</f>
        <v>97.18</v>
      </c>
      <c r="AC42">
        <f>_xll.EQNXTDZ($A$1,$B42,AC$1,$B$1)</f>
        <v>138.91</v>
      </c>
      <c r="AD42">
        <f>_xll.EQNXTDZ($A$1,$B42,AD$1,$B$1)</f>
        <v>521.32000000000005</v>
      </c>
      <c r="AE42">
        <f>_xll.EQNXTDZ($A$1,$B42,AE$1,$B$1)</f>
        <v>131.37</v>
      </c>
      <c r="AF42">
        <f>_xll.EQNXTDZ($A$1,$B42,AF$1,$B$1)</f>
        <v>301.04000000000002</v>
      </c>
      <c r="AG42">
        <f>_xll.EQNXTDZ($A$1,$B42,AG$1,$B$1)</f>
        <v>89.55</v>
      </c>
      <c r="AH42">
        <f>_xll.EQNXTDZ($A$1,$B42,AH$1,$B$1)</f>
        <v>32.79</v>
      </c>
      <c r="AI42">
        <f>_xll.EQNXTDZ($A$1,$B42,AI$1,$B$1)</f>
        <v>-9.24</v>
      </c>
      <c r="AJ42">
        <f>_xll.EQNXTDZ($A$1,$B42,AJ$1,$B$1)</f>
        <v>78.2</v>
      </c>
      <c r="AK42">
        <f>_xll.EQNXTDZ($A$1,$B42,AK$1,$B$1)</f>
        <v>65.77</v>
      </c>
      <c r="AL42">
        <f>_xll.EQNXTDZ($A$1,$B42,AL$1,$B$1)</f>
        <v>184.1</v>
      </c>
      <c r="AM42">
        <f>_xll.EQNXTDZ($A$1,$B42,AM$1,$B$1)</f>
        <v>152.1</v>
      </c>
      <c r="AN42">
        <f>_xll.EQNXTDZ($A$1,$B42,AN$1,$B$1)</f>
        <v>120.08</v>
      </c>
      <c r="AO42">
        <f>_xll.EQNXTDZ($A$1,$B42,AO$1,$B$1)</f>
        <v>12.64</v>
      </c>
      <c r="AP42">
        <f>_xll.EQNXTDZ($A$1,$B42,AP$1,$B$1)</f>
        <v>126.93</v>
      </c>
      <c r="AQ42">
        <f>_xll.EQNXTDZ($A$1,$B42,AQ$1,$B$1)</f>
        <v>4.8499999999999996</v>
      </c>
      <c r="AR42">
        <f>_xll.EQNXTDZ($A$1,$B42,AR$1,$B$1)</f>
        <v>59.42</v>
      </c>
      <c r="AS42">
        <f>_xll.EQNXTDZ($A$1,$B42,AS$1,$B$1)</f>
        <v>214.44</v>
      </c>
      <c r="AT42">
        <f>_xll.EQNXTDZ($A$1,$B42,AT$1,$B$1)</f>
        <v>357.16</v>
      </c>
      <c r="AU42">
        <f>_xll.EQNXTDZ($A$1,$B42,AU$1,$B$1)</f>
        <v>264.60000000000002</v>
      </c>
      <c r="AV42">
        <f>_xll.EQNXTDZ($A$1,$B42,AV$1,$B$1)</f>
        <v>377.03</v>
      </c>
      <c r="AW42">
        <f>_xll.EQNXTDZ($A$1,$B42,AW$1,$B$1)</f>
        <v>533.21</v>
      </c>
      <c r="AX42">
        <f>_xll.EQNXTDZ($A$1,$B42,AX$1,$B$1)</f>
        <v>502.18</v>
      </c>
      <c r="AY42">
        <f>_xll.EQNXTDZ($A$1,$B42,AY$1,$B$1)</f>
        <v>441.06</v>
      </c>
      <c r="AZ42">
        <f>_xll.EQNXTDZ($A$1,$B42,AZ$1,$B$1)</f>
        <v>499.61</v>
      </c>
      <c r="BA42">
        <f>_xll.EQNXTDZ($A$1,$B42,BA$1,$B$1)</f>
        <v>506.42</v>
      </c>
      <c r="BB42">
        <f>_xll.EQNXTDZ($A$1,$B42,BB$1,$B$1)</f>
        <v>291.27999999999997</v>
      </c>
      <c r="BC42">
        <f>_xll.EQNXTDZ($A$1,$B42,BC$1,$B$1)</f>
        <v>424.04</v>
      </c>
      <c r="BD42">
        <f>_xll.EQNXTDZ($A$1,$B42,BD$1,$B$1)</f>
        <v>151.88999999999999</v>
      </c>
      <c r="BE42">
        <f>_xll.EQNXTDZ($A$1,$B42,BE$1,$B$1)</f>
        <v>257.99</v>
      </c>
      <c r="BF42">
        <f>_xll.EQNXTDZ($A$1,$B42,BF$1,$B$1)</f>
        <v>139.43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55.25</v>
      </c>
      <c r="D45">
        <f>_xll.EQNXTDZ($A$1,$B45,D$1,$B$1)</f>
        <v>55.25</v>
      </c>
      <c r="E45">
        <f>_xll.EQNXTDZ($A$1,$B45,E$1,$B$1)</f>
        <v>55.25</v>
      </c>
      <c r="F45">
        <f>_xll.EQNXTDZ($A$1,$B45,F$1,$B$1)</f>
        <v>55.25</v>
      </c>
      <c r="G45">
        <f>_xll.EQNXTDZ($A$1,$B45,G$1,$B$1)</f>
        <v>55.25</v>
      </c>
      <c r="H45">
        <f>_xll.EQNXTDZ($A$1,$B45,H$1,$B$1)</f>
        <v>55.25</v>
      </c>
      <c r="I45">
        <f>_xll.EQNXTDZ($A$1,$B45,I$1,$B$1)</f>
        <v>55.25</v>
      </c>
      <c r="J45">
        <f>_xll.EQNXTDZ($A$1,$B45,J$1,$B$1)</f>
        <v>55.25</v>
      </c>
      <c r="K45">
        <f>_xll.EQNXTDZ($A$1,$B45,K$1,$B$1)</f>
        <v>55.25</v>
      </c>
      <c r="L45">
        <f>_xll.EQNXTDZ($A$1,$B45,L$1,$B$1)</f>
        <v>55.25</v>
      </c>
      <c r="M45">
        <f>_xll.EQNXTDZ($A$1,$B45,M$1,$B$1)</f>
        <v>55.25</v>
      </c>
      <c r="N45">
        <f>_xll.EQNXTDZ($A$1,$B45,N$1,$B$1)</f>
        <v>58.01</v>
      </c>
      <c r="O45">
        <f>_xll.EQNXTDZ($A$1,$B45,O$1,$B$1)</f>
        <v>60.91</v>
      </c>
      <c r="P45">
        <f>_xll.EQNXTDZ($A$1,$B45,P$1,$B$1)</f>
        <v>60.91</v>
      </c>
      <c r="Q45">
        <f>_xll.EQNXTDZ($A$1,$B45,Q$1,$B$1)</f>
        <v>60.91</v>
      </c>
      <c r="R45">
        <f>_xll.EQNXTDZ($A$1,$B45,R$1,$B$1)</f>
        <v>60.91</v>
      </c>
      <c r="S45">
        <f>_xll.EQNXTDZ($A$1,$B45,S$1,$B$1)</f>
        <v>63.95</v>
      </c>
      <c r="T45">
        <f>_xll.EQNXTDZ($A$1,$B45,T$1,$B$1)</f>
        <v>63.95</v>
      </c>
      <c r="U45">
        <f>_xll.EQNXTDZ($A$1,$B45,U$1,$B$1)</f>
        <v>63.95</v>
      </c>
      <c r="V45">
        <f>_xll.EQNXTDZ($A$1,$B45,V$1,$B$1)</f>
        <v>63.95</v>
      </c>
      <c r="W45">
        <f>_xll.EQNXTDZ($A$1,$B45,W$1,$B$1)</f>
        <v>63.95</v>
      </c>
      <c r="X45">
        <f>_xll.EQNXTDZ($A$1,$B45,X$1,$B$1)</f>
        <v>63.95</v>
      </c>
      <c r="Y45">
        <f>_xll.EQNXTDZ($A$1,$B45,Y$1,$B$1)</f>
        <v>63.95</v>
      </c>
      <c r="Z45">
        <f>_xll.EQNXTDZ($A$1,$B45,Z$1,$B$1)</f>
        <v>63.95</v>
      </c>
      <c r="AA45">
        <f>_xll.EQNXTDZ($A$1,$B45,AA$1,$B$1)</f>
        <v>63.95</v>
      </c>
      <c r="AB45">
        <f>_xll.EQNXTDZ($A$1,$B45,AB$1,$B$1)</f>
        <v>63.95</v>
      </c>
      <c r="AC45">
        <f>_xll.EQNXTDZ($A$1,$B45,AC$1,$B$1)</f>
        <v>63.95</v>
      </c>
      <c r="AD45">
        <f>_xll.EQNXTDZ($A$1,$B45,AD$1,$B$1)</f>
        <v>63.95</v>
      </c>
      <c r="AE45">
        <f>_xll.EQNXTDZ($A$1,$B45,AE$1,$B$1)</f>
        <v>63.95</v>
      </c>
      <c r="AF45">
        <f>_xll.EQNXTDZ($A$1,$B45,AF$1,$B$1)</f>
        <v>63.95</v>
      </c>
      <c r="AG45">
        <f>_xll.EQNXTDZ($A$1,$B45,AG$1,$B$1)</f>
        <v>63.95</v>
      </c>
      <c r="AH45">
        <f>_xll.EQNXTDZ($A$1,$B45,AH$1,$B$1)</f>
        <v>63.95</v>
      </c>
      <c r="AI45">
        <f>_xll.EQNXTDZ($A$1,$B45,AI$1,$B$1)</f>
        <v>63.95</v>
      </c>
      <c r="AJ45">
        <f>_xll.EQNXTDZ($A$1,$B45,AJ$1,$B$1)</f>
        <v>63.95</v>
      </c>
      <c r="AK45">
        <f>_xll.EQNXTDZ($A$1,$B45,AK$1,$B$1)</f>
        <v>63.95</v>
      </c>
      <c r="AL45">
        <f>_xll.EQNXTDZ($A$1,$B45,AL$1,$B$1)</f>
        <v>63.95</v>
      </c>
      <c r="AM45">
        <f>_xll.EQNXTDZ($A$1,$B45,AM$1,$B$1)</f>
        <v>63.95</v>
      </c>
      <c r="AN45">
        <f>_xll.EQNXTDZ($A$1,$B45,AN$1,$B$1)</f>
        <v>63.95</v>
      </c>
      <c r="AO45">
        <f>_xll.EQNXTDZ($A$1,$B45,AO$1,$B$1)</f>
        <v>63.95</v>
      </c>
      <c r="AP45">
        <f>_xll.EQNXTDZ($A$1,$B45,AP$1,$B$1)</f>
        <v>63.95</v>
      </c>
      <c r="AQ45">
        <f>_xll.EQNXTDZ($A$1,$B45,AQ$1,$B$1)</f>
        <v>63.95</v>
      </c>
      <c r="AR45">
        <f>_xll.EQNXTDZ($A$1,$B45,AR$1,$B$1)</f>
        <v>63.95</v>
      </c>
      <c r="AS45">
        <f>_xll.EQNXTDZ($A$1,$B45,AS$1,$B$1)</f>
        <v>63.95</v>
      </c>
      <c r="AT45">
        <f>_xll.EQNXTDZ($A$1,$B45,AT$1,$B$1)</f>
        <v>63.95</v>
      </c>
      <c r="AU45">
        <f>_xll.EQNXTDZ($A$1,$B45,AU$1,$B$1)</f>
        <v>63.95</v>
      </c>
      <c r="AV45">
        <f>_xll.EQNXTDZ($A$1,$B45,AV$1,$B$1)</f>
        <v>63.95</v>
      </c>
      <c r="AW45">
        <f>_xll.EQNXTDZ($A$1,$B45,AW$1,$B$1)</f>
        <v>63.95</v>
      </c>
      <c r="AX45">
        <f>_xll.EQNXTDZ($A$1,$B45,AX$1,$B$1)</f>
        <v>63.95</v>
      </c>
      <c r="AY45">
        <f>_xll.EQNXTDZ($A$1,$B45,AY$1,$B$1)</f>
        <v>63.95</v>
      </c>
      <c r="AZ45">
        <f>_xll.EQNXTDZ($A$1,$B45,AZ$1,$B$1)</f>
        <v>63.95</v>
      </c>
      <c r="BA45">
        <f>_xll.EQNXTDZ($A$1,$B45,BA$1,$B$1)</f>
        <v>63.95</v>
      </c>
      <c r="BB45">
        <f>_xll.EQNXTDZ($A$1,$B45,BB$1,$B$1)</f>
        <v>63.95</v>
      </c>
      <c r="BC45">
        <f>_xll.EQNXTDZ($A$1,$B45,BC$1,$B$1)</f>
        <v>63.95</v>
      </c>
      <c r="BD45">
        <f>_xll.EQNXTDZ($A$1,$B45,BD$1,$B$1)</f>
        <v>63.95</v>
      </c>
      <c r="BE45">
        <f>_xll.EQNXTDZ($A$1,$B45,BE$1,$B$1)</f>
        <v>63.95</v>
      </c>
      <c r="BF45">
        <f>_xll.EQNXTDZ($A$1,$B45,BF$1,$B$1)</f>
        <v>63.95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66.174999999999997</v>
      </c>
      <c r="D48" s="55">
        <f>_xll.EQNXTDZ($A$1,$B48,D$5)</f>
        <v>59.25</v>
      </c>
      <c r="E48" s="55">
        <f>_xll.EQNXTDZ($A$1,$B48,E$5)</f>
        <v>64.3</v>
      </c>
      <c r="F48" s="55">
        <f>_xll.EQNXTDZ($A$1,$B48,F$5)</f>
        <v>41.05</v>
      </c>
      <c r="G48" s="55">
        <f>_xll.EQNXTDZ($A$1,$B48,G$5)</f>
        <v>28.65</v>
      </c>
      <c r="H48" s="55">
        <f>_xll.EQNXTDZ($A$1,$B48,H$5)</f>
        <v>22.175000000000001</v>
      </c>
      <c r="I48" s="55">
        <f>_xll.EQNXTDZ($A$1,$B48,I$5)</f>
        <v>24.524999999999999</v>
      </c>
      <c r="J48" s="55">
        <f>_xll.EQNXTDZ($A$1,$B48,J$5)</f>
        <v>28.3</v>
      </c>
      <c r="K48" s="55">
        <f>_xll.EQNXTDZ($A$1,$B48,K$5)</f>
        <v>41.674999999999997</v>
      </c>
      <c r="L48" s="55">
        <f>_xll.EQNXTDZ($A$1,$B48,L$5)</f>
        <v>40.35</v>
      </c>
      <c r="M48" s="55">
        <f>_xll.EQNXTDZ($A$1,$B48,M$5)</f>
        <v>46.7</v>
      </c>
      <c r="N48" s="55">
        <f>_xll.EQNXTDZ($A$1,$B48,N$5)</f>
        <v>32.85</v>
      </c>
      <c r="O48" s="55">
        <f>_xll.EQNXTDZ($A$1,$B48,O$5)</f>
        <v>29.3</v>
      </c>
      <c r="P48" s="55">
        <f>_xll.EQNXTDZ($A$1,$B48,P$5)</f>
        <v>31.85</v>
      </c>
      <c r="Q48" s="55">
        <f>_xll.EQNXTDZ($A$1,$B48,Q$5)</f>
        <v>31.25</v>
      </c>
      <c r="R48" s="55">
        <f>_xll.EQNXTDZ($A$1,$B48,R$5)</f>
        <v>19.274999999999999</v>
      </c>
      <c r="S48" s="55">
        <f>_xll.EQNXTDZ($A$1,$B48,S$5)</f>
        <v>26.65</v>
      </c>
      <c r="T48" s="55">
        <f>_xll.EQNXTDZ($A$1,$B48,T$5)</f>
        <v>27.35</v>
      </c>
      <c r="U48" s="55">
        <f>_xll.EQNXTDZ($A$1,$B48,U$5)</f>
        <v>27.6</v>
      </c>
      <c r="V48" s="55">
        <f>_xll.EQNXTDZ($A$1,$B48,V$5)</f>
        <v>41.7</v>
      </c>
      <c r="W48" s="55">
        <f>_xll.EQNXTDZ($A$1,$B48,W$5)</f>
        <v>41.975000000000001</v>
      </c>
      <c r="X48" s="55">
        <f>_xll.EQNXTDZ($A$1,$B48,X$5)</f>
        <v>56.3</v>
      </c>
      <c r="Y48" s="55">
        <f>_xll.EQNXTDZ($A$1,$B48,Y$5)</f>
        <v>70</v>
      </c>
      <c r="Z48" s="55">
        <f>_xll.EQNXTDZ($A$1,$B48,Z$5)</f>
        <v>59.5</v>
      </c>
      <c r="AA48" s="55">
        <f>_xll.EQNXTDZ($A$1,$B48,AA$5)</f>
        <v>39.700000000000003</v>
      </c>
      <c r="AB48" s="55">
        <f>_xll.EQNXTDZ($A$1,$B48,AB$5)</f>
        <v>36.4</v>
      </c>
      <c r="AC48" s="55">
        <f>_xll.EQNXTDZ($A$1,$B48,AC$5)</f>
        <v>42.35</v>
      </c>
      <c r="AD48" s="55">
        <f>_xll.EQNXTDZ($A$1,$B48,AD$5)</f>
        <v>43.274999999999999</v>
      </c>
      <c r="AE48" s="55">
        <f>_xll.EQNXTDZ($A$1,$B48,AE$5)</f>
        <v>41.625</v>
      </c>
      <c r="AF48" s="55">
        <f>_xll.EQNXTDZ($A$1,$B48,AF$5)</f>
        <v>42.8</v>
      </c>
      <c r="AG48" s="55">
        <f>_xll.EQNXTDZ($A$1,$B48,AG$5)</f>
        <v>36.549999999999997</v>
      </c>
      <c r="AH48" s="55">
        <f>_xll.EQNXTDZ($A$1,$B48,AH$5)</f>
        <v>22.9</v>
      </c>
      <c r="AI48" s="55">
        <f>_xll.EQNXTDZ($A$1,$B48,AI$5)</f>
        <v>28.95</v>
      </c>
      <c r="AJ48" s="55">
        <f>_xll.EQNXTDZ($A$1,$B48,AJ$5)</f>
        <v>31.475000000000001</v>
      </c>
      <c r="AK48" s="55">
        <f>_xll.EQNXTDZ($A$1,$B48,AK$5)</f>
        <v>37.924999999999997</v>
      </c>
      <c r="AL48" s="55">
        <f>_xll.EQNXTDZ($A$1,$B48,AL$5)</f>
        <v>37.075000000000003</v>
      </c>
      <c r="AM48" s="55">
        <f>_xll.EQNXTDZ($A$1,$B48,AM$5)</f>
        <v>58.475000000000001</v>
      </c>
      <c r="AN48" s="55">
        <f>_xll.EQNXTDZ($A$1,$B48,AN$5)</f>
        <v>57.024999999999999</v>
      </c>
      <c r="AO48" s="55">
        <f>_xll.EQNXTDZ($A$1,$B48,AO$5)</f>
        <v>49.45</v>
      </c>
      <c r="AP48" s="55">
        <f>_xll.EQNXTDZ($A$1,$B48,AP$5)</f>
        <v>45.024999999999999</v>
      </c>
      <c r="AQ48" s="55">
        <f>_xll.EQNXTDZ($A$1,$B48,AQ$5)</f>
        <v>39.375</v>
      </c>
      <c r="AR48" s="55">
        <f>_xll.EQNXTDZ($A$1,$B48,AR$5)</f>
        <v>41.274999999999999</v>
      </c>
      <c r="AS48" s="55">
        <f>_xll.EQNXTDZ($A$1,$B48,AS$5)</f>
        <v>51.8</v>
      </c>
      <c r="AT48" s="55">
        <f>_xll.EQNXTDZ($A$1,$B48,AT$5)</f>
        <v>72.775000000000006</v>
      </c>
      <c r="AU48" s="55">
        <f>_xll.EQNXTDZ($A$1,$B48,AU$5)</f>
        <v>127.77500000000001</v>
      </c>
      <c r="AV48" s="55">
        <f>_xll.EQNXTDZ($A$1,$B48,AV$5)</f>
        <v>173.25</v>
      </c>
      <c r="AW48" s="55">
        <f>_xll.EQNXTDZ($A$1,$B48,AW$5)</f>
        <v>206</v>
      </c>
      <c r="AX48" s="55">
        <f>_xll.EQNXTDZ($A$1,$B48,AX$5)</f>
        <v>216.05</v>
      </c>
      <c r="AY48" s="55">
        <f>_xll.EQNXTDZ($A$1,$B48,AY$5)</f>
        <v>271.72500000000002</v>
      </c>
      <c r="AZ48" s="55">
        <f>_xll.EQNXTDZ($A$1,$B48,AZ$5)</f>
        <v>371.75</v>
      </c>
      <c r="BA48" s="55">
        <f>_xll.EQNXTDZ($A$1,$B48,BA$5)</f>
        <v>291.25</v>
      </c>
      <c r="BB48" s="55">
        <f>_xll.EQNXTDZ($A$1,$B48,BB$5)</f>
        <v>270.10000000000002</v>
      </c>
      <c r="BC48" s="55">
        <f>_xll.EQNXTDZ($A$1,$B48,BC$5)</f>
        <v>240.75</v>
      </c>
      <c r="BD48" s="55">
        <f>_xll.EQNXTDZ($A$1,$B48,BD$5)</f>
        <v>202.6</v>
      </c>
      <c r="BE48" s="55">
        <f>_xll.EQNXTDZ($A$1,$B48,BE$5)</f>
        <v>168</v>
      </c>
      <c r="BF48" s="55">
        <f>_xll.EQNXTDZ($A$1,$B48,BF$5)</f>
        <v>183.25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46</v>
      </c>
      <c r="D49" s="55">
        <f>_xll.EQNXTDZ($A$1,$B49,D$5)</f>
        <v>45.99</v>
      </c>
      <c r="E49" s="55">
        <f>_xll.EQNXTDZ($A$1,$B49,E$5)</f>
        <v>46</v>
      </c>
      <c r="F49" s="55">
        <f>_xll.EQNXTDZ($A$1,$B49,F$5)</f>
        <v>46</v>
      </c>
      <c r="G49" s="55">
        <f>_xll.EQNXTDZ($A$1,$B49,G$5)</f>
        <v>46</v>
      </c>
      <c r="H49" s="55">
        <f>_xll.EQNXTDZ($A$1,$B49,H$5)</f>
        <v>46.27</v>
      </c>
      <c r="I49" s="55">
        <f>_xll.EQNXTDZ($A$1,$B49,I$5)</f>
        <v>46.27</v>
      </c>
      <c r="J49" s="55">
        <f>_xll.EQNXTDZ($A$1,$B49,J$5)</f>
        <v>46.27</v>
      </c>
      <c r="K49" s="55">
        <f>_xll.EQNXTDZ($A$1,$B49,K$5)</f>
        <v>46.27</v>
      </c>
      <c r="L49" s="55">
        <f>_xll.EQNXTDZ($A$1,$B49,L$5)</f>
        <v>46.27</v>
      </c>
      <c r="M49" s="55">
        <f>_xll.EQNXTDZ($A$1,$B49,M$5)</f>
        <v>46.27</v>
      </c>
      <c r="N49" s="55">
        <f>_xll.EQNXTDZ($A$1,$B49,N$5)</f>
        <v>48.83</v>
      </c>
      <c r="O49" s="55">
        <f>_xll.EQNXTDZ($A$1,$B49,O$5)</f>
        <v>51.27</v>
      </c>
      <c r="P49" s="55">
        <f>_xll.EQNXTDZ($A$1,$B49,P$5)</f>
        <v>51.27</v>
      </c>
      <c r="Q49" s="55">
        <f>_xll.EQNXTDZ($A$1,$B49,Q$5)</f>
        <v>51.27</v>
      </c>
      <c r="R49" s="55">
        <f>_xll.EQNXTDZ($A$1,$B49,R$5)</f>
        <v>51.27</v>
      </c>
      <c r="S49" s="55">
        <f>_xll.EQNXTDZ($A$1,$B49,S$5)</f>
        <v>53.59</v>
      </c>
      <c r="T49" s="55">
        <f>_xll.EQNXTDZ($A$1,$B49,T$5)</f>
        <v>53.59</v>
      </c>
      <c r="U49" s="55">
        <f>_xll.EQNXTDZ($A$1,$B49,U$5)</f>
        <v>53.59</v>
      </c>
      <c r="V49" s="55">
        <f>_xll.EQNXTDZ($A$1,$B49,V$5)</f>
        <v>53.59</v>
      </c>
      <c r="W49" s="55">
        <f>_xll.EQNXTDZ($A$1,$B49,W$5)</f>
        <v>53.59</v>
      </c>
      <c r="X49" s="55">
        <f>_xll.EQNXTDZ($A$1,$B49,X$5)</f>
        <v>53.59</v>
      </c>
      <c r="Y49" s="55">
        <f>_xll.EQNXTDZ($A$1,$B49,Y$5)</f>
        <v>53.59</v>
      </c>
      <c r="Z49" s="55">
        <f>_xll.EQNXTDZ($A$1,$B49,Z$5)</f>
        <v>53.59</v>
      </c>
      <c r="AA49" s="55">
        <f>_xll.EQNXTDZ($A$1,$B49,AA$5)</f>
        <v>53.59</v>
      </c>
      <c r="AB49" s="55">
        <f>_xll.EQNXTDZ($A$1,$B49,AB$5)</f>
        <v>63.01</v>
      </c>
      <c r="AC49" s="55">
        <f>_xll.EQNXTDZ($A$1,$B49,AC$5)</f>
        <v>63.01</v>
      </c>
      <c r="AD49" s="55">
        <f>_xll.EQNXTDZ($A$1,$B49,AD$5)</f>
        <v>63.01</v>
      </c>
      <c r="AE49" s="55">
        <f>_xll.EQNXTDZ($A$1,$B49,AE$5)</f>
        <v>63.01</v>
      </c>
      <c r="AF49" s="55">
        <f>_xll.EQNXTDZ($A$1,$B49,AF$5)</f>
        <v>63.02</v>
      </c>
      <c r="AG49" s="55">
        <f>_xll.EQNXTDZ($A$1,$B49,AG$5)</f>
        <v>63.02</v>
      </c>
      <c r="AH49" s="55">
        <f>_xll.EQNXTDZ($A$1,$B49,AH$5)</f>
        <v>63.02</v>
      </c>
      <c r="AI49" s="55">
        <f>_xll.EQNXTDZ($A$1,$B49,AI$5)</f>
        <v>63.02</v>
      </c>
      <c r="AJ49" s="55">
        <f>_xll.EQNXTDZ($A$1,$B49,AJ$5)</f>
        <v>63.02</v>
      </c>
      <c r="AK49" s="55">
        <f>_xll.EQNXTDZ($A$1,$B49,AK$5)</f>
        <v>63.02</v>
      </c>
      <c r="AL49" s="55">
        <f>_xll.EQNXTDZ($A$1,$B49,AL$5)</f>
        <v>63.02</v>
      </c>
      <c r="AM49" s="55">
        <f>_xll.EQNXTDZ($A$1,$B49,AM$5)</f>
        <v>63.02</v>
      </c>
      <c r="AN49" s="55">
        <f>_xll.EQNXTDZ($A$1,$B49,AN$5)</f>
        <v>63.02</v>
      </c>
      <c r="AO49" s="55">
        <f>_xll.EQNXTDZ($A$1,$B49,AO$5)</f>
        <v>63.02</v>
      </c>
      <c r="AP49" s="55">
        <f>_xll.EQNXTDZ($A$1,$B49,AP$5)</f>
        <v>63.02</v>
      </c>
      <c r="AQ49" s="55">
        <f>_xll.EQNXTDZ($A$1,$B49,AQ$5)</f>
        <v>63.02</v>
      </c>
      <c r="AR49" s="55">
        <f>_xll.EQNXTDZ($A$1,$B49,AR$5)</f>
        <v>63.02</v>
      </c>
      <c r="AS49" s="55">
        <f>_xll.EQNXTDZ($A$1,$B49,AS$5)</f>
        <v>63.02</v>
      </c>
      <c r="AT49" s="55">
        <f>_xll.EQNXTDZ($A$1,$B49,AT$5)</f>
        <v>63.25</v>
      </c>
      <c r="AU49" s="55">
        <f>_xll.EQNXTDZ($A$1,$B49,AU$5)</f>
        <v>63.26</v>
      </c>
      <c r="AV49" s="55">
        <f>_xll.EQNXTDZ($A$1,$B49,AV$5)</f>
        <v>63.26</v>
      </c>
      <c r="AW49" s="55">
        <f>_xll.EQNXTDZ($A$1,$B49,AW$5)</f>
        <v>63.26</v>
      </c>
      <c r="AX49" s="55">
        <f>_xll.EQNXTDZ($A$1,$B49,AX$5)</f>
        <v>63.27</v>
      </c>
      <c r="AY49" s="55">
        <f>_xll.EQNXTDZ($A$1,$B49,AY$5)</f>
        <v>63.28</v>
      </c>
      <c r="AZ49" s="55">
        <f>_xll.EQNXTDZ($A$1,$B49,AZ$5)</f>
        <v>63.28</v>
      </c>
      <c r="BA49" s="55">
        <f>_xll.EQNXTDZ($A$1,$B49,BA$5)</f>
        <v>63.28</v>
      </c>
      <c r="BB49" s="55">
        <f>_xll.EQNXTDZ($A$1,$B49,BB$5)</f>
        <v>63.28</v>
      </c>
      <c r="BC49" s="55">
        <f>_xll.EQNXTDZ($A$1,$B49,BC$5)</f>
        <v>63.26</v>
      </c>
      <c r="BD49" s="55">
        <f>_xll.EQNXTDZ($A$1,$B49,BD$5)</f>
        <v>63.25</v>
      </c>
      <c r="BE49" s="55">
        <f>_xll.EQNXTDZ($A$1,$B49,BE$5)</f>
        <v>63.25</v>
      </c>
      <c r="BF49" s="55">
        <f>_xll.EQNXTDZ($A$1,$B49,BF$5)</f>
        <v>63.25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4.08</v>
      </c>
      <c r="R50" s="55">
        <f>_xll.EQNXTDZ($A$1,$B50,R$5)</f>
        <v>4.08</v>
      </c>
      <c r="S50" s="55">
        <f>_xll.EQNXTDZ($A$1,$B50,S$5)</f>
        <v>8.2100000000000009</v>
      </c>
      <c r="T50" s="55">
        <f>_xll.EQNXTDZ($A$1,$B50,T$5)</f>
        <v>4.49</v>
      </c>
      <c r="U50" s="55">
        <f>_xll.EQNXTDZ($A$1,$B50,U$5)</f>
        <v>4.49</v>
      </c>
      <c r="V50" s="55">
        <f>_xll.EQNXTDZ($A$1,$B50,V$5)</f>
        <v>4.49</v>
      </c>
      <c r="W50" s="55">
        <f>_xll.EQNXTDZ($A$1,$B50,W$5)</f>
        <v>4.49</v>
      </c>
      <c r="X50" s="55">
        <f>_xll.EQNXTDZ($A$1,$B50,X$5)</f>
        <v>4.49</v>
      </c>
      <c r="Y50" s="55">
        <f>_xll.EQNXTDZ($A$1,$B50,Y$5)</f>
        <v>4.49</v>
      </c>
      <c r="Z50" s="55">
        <f>_xll.EQNXTDZ($A$1,$B50,Z$5)</f>
        <v>4.49</v>
      </c>
      <c r="AA50" s="55">
        <f>_xll.EQNXTDZ($A$1,$B50,AA$5)</f>
        <v>4.49</v>
      </c>
      <c r="AB50" s="55">
        <f>_xll.EQNXTDZ($A$1,$B50,AB$5)</f>
        <v>3.82</v>
      </c>
      <c r="AC50" s="55">
        <f>_xll.EQNXTDZ($A$1,$B50,AC$5)</f>
        <v>3.82</v>
      </c>
      <c r="AD50" s="55">
        <f>_xll.EQNXTDZ($A$1,$B50,AD$5)</f>
        <v>3.82</v>
      </c>
      <c r="AE50" s="55">
        <f>_xll.EQNXTDZ($A$1,$B50,AE$5)</f>
        <v>3.82</v>
      </c>
      <c r="AF50" s="55">
        <f>_xll.EQNXTDZ($A$1,$B50,AF$5)</f>
        <v>3.82</v>
      </c>
      <c r="AG50" s="55">
        <f>_xll.EQNXTDZ($A$1,$B50,AG$5)</f>
        <v>3.82</v>
      </c>
      <c r="AH50" s="55">
        <f>_xll.EQNXTDZ($A$1,$B50,AH$5)</f>
        <v>3.82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3.82</v>
      </c>
      <c r="AO50" s="55">
        <f>_xll.EQNXTDZ($A$1,$B50,AO$5)</f>
        <v>3.82</v>
      </c>
      <c r="AP50" s="55">
        <f>_xll.EQNXTDZ($A$1,$B50,AP$5)</f>
        <v>3.2</v>
      </c>
      <c r="AQ50" s="55">
        <f>_xll.EQNXTDZ($A$1,$B50,AQ$5)</f>
        <v>3.2</v>
      </c>
      <c r="AR50" s="55">
        <f>_xll.EQNXTDZ($A$1,$B50,AR$5)</f>
        <v>0.87</v>
      </c>
      <c r="AS50" s="55">
        <f>_xll.EQNXTDZ($A$1,$B50,AS$5)</f>
        <v>0.87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55.25</v>
      </c>
      <c r="E56" s="55">
        <f>_xll.EQNXTDZ($A$1,$B56,E$5,$B$1)</f>
        <v>0</v>
      </c>
      <c r="F56" s="55">
        <f>_xll.EQNXTDZ($A$1,$B56,F$5,$B$1)</f>
        <v>55.25</v>
      </c>
      <c r="G56" s="55">
        <f>_xll.EQNXTDZ($A$1,$B56,G$5,$B$1)</f>
        <v>0</v>
      </c>
      <c r="H56" s="55">
        <f>_xll.EQNXTDZ($A$1,$B56,H$5,$B$1)</f>
        <v>55.25</v>
      </c>
      <c r="I56" s="55">
        <f>_xll.EQNXTDZ($A$1,$B56,I$5,$B$1)</f>
        <v>0</v>
      </c>
      <c r="J56" s="55">
        <f>_xll.EQNXTDZ($A$1,$B56,J$5,$B$1)</f>
        <v>55.25</v>
      </c>
      <c r="K56" s="55">
        <f>_xll.EQNXTDZ($A$1,$B56,K$5,$B$1)</f>
        <v>0</v>
      </c>
      <c r="L56" s="55">
        <f>_xll.EQNXTDZ($A$1,$B56,L$5,$B$1)</f>
        <v>55.25</v>
      </c>
      <c r="M56" s="55">
        <f>_xll.EQNXTDZ($A$1,$B56,M$5,$B$1)</f>
        <v>0</v>
      </c>
      <c r="N56" s="55">
        <f>_xll.EQNXTDZ($A$1,$B56,N$5,$B$1)</f>
        <v>5431.25</v>
      </c>
      <c r="O56" s="55">
        <f>_xll.EQNXTDZ($A$1,$B56,O$5,$B$1)</f>
        <v>0</v>
      </c>
      <c r="P56" s="55">
        <f>_xll.EQNXTDZ($A$1,$B56,P$5,$B$1)</f>
        <v>60.91</v>
      </c>
      <c r="Q56" s="55">
        <f>_xll.EQNXTDZ($A$1,$B56,Q$5,$B$1)</f>
        <v>0</v>
      </c>
      <c r="R56" s="55">
        <f>_xll.EQNXTDZ($A$1,$B56,R$5,$B$1)</f>
        <v>60.91</v>
      </c>
      <c r="S56" s="55">
        <f>_xll.EQNXTDZ($A$1,$B56,S$5,$B$1)</f>
        <v>0</v>
      </c>
      <c r="T56" s="55">
        <f>_xll.EQNXTDZ($A$1,$B56,T$5,$B$1)</f>
        <v>63.95</v>
      </c>
      <c r="U56" s="55">
        <f>_xll.EQNXTDZ($A$1,$B56,U$5,$B$1)</f>
        <v>0</v>
      </c>
      <c r="V56" s="55">
        <f>_xll.EQNXTDZ($A$1,$B56,V$5,$B$1)</f>
        <v>63.95</v>
      </c>
      <c r="W56" s="55">
        <f>_xll.EQNXTDZ($A$1,$B56,W$5,$B$1)</f>
        <v>0</v>
      </c>
      <c r="X56" s="55">
        <f>_xll.EQNXTDZ($A$1,$B56,X$5,$B$1)</f>
        <v>63.95</v>
      </c>
      <c r="Y56" s="55">
        <f>_xll.EQNXTDZ($A$1,$B56,Y$5,$B$1)</f>
        <v>0</v>
      </c>
      <c r="Z56" s="55">
        <f>_xll.EQNXTDZ($A$1,$B56,Z$5,$B$1)</f>
        <v>63.95</v>
      </c>
      <c r="AA56" s="55">
        <f>_xll.EQNXTDZ($A$1,$B56,AA$5,$B$1)</f>
        <v>0</v>
      </c>
      <c r="AB56" s="55">
        <f>_xll.EQNXTDZ($A$1,$B56,AB$5,$B$1)</f>
        <v>63.95</v>
      </c>
      <c r="AC56" s="55">
        <f>_xll.EQNXTDZ($A$1,$B56,AC$5,$B$1)</f>
        <v>0</v>
      </c>
      <c r="AD56" s="55">
        <f>_xll.EQNXTDZ($A$1,$B56,AD$5,$B$1)</f>
        <v>63.95</v>
      </c>
      <c r="AE56" s="55">
        <f>_xll.EQNXTDZ($A$1,$B56,AE$5,$B$1)</f>
        <v>0</v>
      </c>
      <c r="AF56" s="55">
        <f>_xll.EQNXTDZ($A$1,$B56,AF$5,$B$1)</f>
        <v>63.95</v>
      </c>
      <c r="AG56" s="55">
        <f>_xll.EQNXTDZ($A$1,$B56,AG$5,$B$1)</f>
        <v>0</v>
      </c>
      <c r="AH56" s="55">
        <f>_xll.EQNXTDZ($A$1,$B56,AH$5,$B$1)</f>
        <v>63.95</v>
      </c>
      <c r="AI56" s="55">
        <f>_xll.EQNXTDZ($A$1,$B56,AI$5,$B$1)</f>
        <v>0</v>
      </c>
      <c r="AJ56" s="55">
        <f>_xll.EQNXTDZ($A$1,$B56,AJ$5,$B$1)</f>
        <v>63.95</v>
      </c>
      <c r="AK56" s="55">
        <f>_xll.EQNXTDZ($A$1,$B56,AK$5,$B$1)</f>
        <v>0</v>
      </c>
      <c r="AL56" s="55">
        <f>_xll.EQNXTDZ($A$1,$B56,AL$5,$B$1)</f>
        <v>63.95</v>
      </c>
      <c r="AM56" s="55">
        <f>_xll.EQNXTDZ($A$1,$B56,AM$5,$B$1)</f>
        <v>0</v>
      </c>
      <c r="AN56" s="55">
        <f>_xll.EQNXTDZ($A$1,$B56,AN$5,$B$1)</f>
        <v>63.95</v>
      </c>
      <c r="AO56" s="55">
        <f>_xll.EQNXTDZ($A$1,$B56,AO$5,$B$1)</f>
        <v>0</v>
      </c>
      <c r="AP56" s="55">
        <f>_xll.EQNXTDZ($A$1,$B56,AP$5,$B$1)</f>
        <v>63.95</v>
      </c>
      <c r="AQ56" s="55">
        <f>_xll.EQNXTDZ($A$1,$B56,AQ$5,$B$1)</f>
        <v>0</v>
      </c>
      <c r="AR56" s="55">
        <f>_xll.EQNXTDZ($A$1,$B56,AR$5,$B$1)</f>
        <v>63.95</v>
      </c>
      <c r="AS56" s="55">
        <f>_xll.EQNXTDZ($A$1,$B56,AS$5,$B$1)</f>
        <v>0</v>
      </c>
      <c r="AT56" s="55">
        <f>_xll.EQNXTDZ($A$1,$B56,AT$5,$B$1)</f>
        <v>63.95</v>
      </c>
      <c r="AU56" s="55">
        <f>_xll.EQNXTDZ($A$1,$B56,AU$5,$B$1)</f>
        <v>0</v>
      </c>
      <c r="AV56" s="55">
        <f>_xll.EQNXTDZ($A$1,$B56,AV$5,$B$1)</f>
        <v>63.95</v>
      </c>
      <c r="AW56" s="55">
        <f>_xll.EQNXTDZ($A$1,$B56,AW$5,$B$1)</f>
        <v>0</v>
      </c>
      <c r="AX56" s="55">
        <f>_xll.EQNXTDZ($A$1,$B56,AX$5,$B$1)</f>
        <v>63.95</v>
      </c>
      <c r="AY56" s="55">
        <f>_xll.EQNXTDZ($A$1,$B56,AY$5,$B$1)</f>
        <v>0</v>
      </c>
      <c r="AZ56" s="55">
        <f>_xll.EQNXTDZ($A$1,$B56,AZ$5,$B$1)</f>
        <v>63.95</v>
      </c>
      <c r="BA56" s="55">
        <f>_xll.EQNXTDZ($A$1,$B56,BA$5,$B$1)</f>
        <v>0</v>
      </c>
      <c r="BB56" s="55">
        <f>_xll.EQNXTDZ($A$1,$B56,BB$5,$B$1)</f>
        <v>63.95</v>
      </c>
      <c r="BC56" s="55">
        <f>_xll.EQNXTDZ($A$1,$B56,BC$5,$B$1)</f>
        <v>0</v>
      </c>
      <c r="BD56" s="55">
        <f>_xll.EQNXTDZ($A$1,$B56,BD$5,$B$1)</f>
        <v>63.95</v>
      </c>
      <c r="BE56" s="55">
        <f>_xll.EQNXTDZ($A$1,$B56,BE$5,$B$1)</f>
        <v>0</v>
      </c>
      <c r="BF56" s="55">
        <f>_xll.EQNXTDZ($A$1,$B56,BF$5,$B$1)</f>
        <v>63.95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3602.35</v>
      </c>
      <c r="E58" s="55">
        <f>_xll.EQNXTDZ($A$1,$B58,E$5,$B$1)</f>
        <v>0</v>
      </c>
      <c r="F58" s="55">
        <f>_xll.EQNXTDZ($A$1,$B58,F$5,$B$1)</f>
        <v>3612.24</v>
      </c>
      <c r="G58" s="55">
        <f>_xll.EQNXTDZ($A$1,$B58,G$5,$B$1)</f>
        <v>0</v>
      </c>
      <c r="H58" s="55">
        <f>_xll.EQNXTDZ($A$1,$B58,H$5,$B$1)</f>
        <v>3710.27</v>
      </c>
      <c r="I58" s="55">
        <f>_xll.EQNXTDZ($A$1,$B58,I$5,$B$1)</f>
        <v>0</v>
      </c>
      <c r="J58" s="55">
        <f>_xll.EQNXTDZ($A$1,$B58,J$5,$B$1)</f>
        <v>3513.13</v>
      </c>
      <c r="K58" s="55">
        <f>_xll.EQNXTDZ($A$1,$B58,K$5,$B$1)</f>
        <v>0</v>
      </c>
      <c r="L58" s="55">
        <f>_xll.EQNXTDZ($A$1,$B58,L$5,$B$1)</f>
        <v>3949.42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4497.41</v>
      </c>
      <c r="Q58" s="55">
        <f>_xll.EQNXTDZ($A$1,$B58,Q$5,$B$1)</f>
        <v>0</v>
      </c>
      <c r="R58" s="55">
        <f>_xll.EQNXTDZ($A$1,$B58,R$5,$B$1)</f>
        <v>5061.46</v>
      </c>
      <c r="S58" s="55">
        <f>_xll.EQNXTDZ($A$1,$B58,S$5,$B$1)</f>
        <v>0</v>
      </c>
      <c r="T58" s="55">
        <f>_xll.EQNXTDZ($A$1,$B58,T$5,$B$1)</f>
        <v>5349.89</v>
      </c>
      <c r="U58" s="55">
        <f>_xll.EQNXTDZ($A$1,$B58,U$5,$B$1)</f>
        <v>0</v>
      </c>
      <c r="V58" s="55">
        <f>_xll.EQNXTDZ($A$1,$B58,V$5,$B$1)</f>
        <v>5322.19</v>
      </c>
      <c r="W58" s="55">
        <f>_xll.EQNXTDZ($A$1,$B58,W$5,$B$1)</f>
        <v>0</v>
      </c>
      <c r="X58" s="55">
        <f>_xll.EQNXTDZ($A$1,$B58,X$5,$B$1)</f>
        <v>5581.96</v>
      </c>
      <c r="Y58" s="55">
        <f>_xll.EQNXTDZ($A$1,$B58,Y$5,$B$1)</f>
        <v>0</v>
      </c>
      <c r="Z58" s="55">
        <f>_xll.EQNXTDZ($A$1,$B58,Z$5,$B$1)</f>
        <v>5432.45</v>
      </c>
      <c r="AA58" s="55">
        <f>_xll.EQNXTDZ($A$1,$B58,AA$5,$B$1)</f>
        <v>0</v>
      </c>
      <c r="AB58" s="55">
        <f>_xll.EQNXTDZ($A$1,$B58,AB$5,$B$1)</f>
        <v>6003.09</v>
      </c>
      <c r="AC58" s="55">
        <f>_xll.EQNXTDZ($A$1,$B58,AC$5,$B$1)</f>
        <v>0</v>
      </c>
      <c r="AD58" s="55">
        <f>_xll.EQNXTDZ($A$1,$B58,AD$5,$B$1)</f>
        <v>6218.41</v>
      </c>
      <c r="AE58" s="55">
        <f>_xll.EQNXTDZ($A$1,$B58,AE$5,$B$1)</f>
        <v>0</v>
      </c>
      <c r="AF58" s="55">
        <f>_xll.EQNXTDZ($A$1,$B58,AF$5,$B$1)</f>
        <v>6572.67</v>
      </c>
      <c r="AG58" s="55">
        <f>_xll.EQNXTDZ($A$1,$B58,AG$5,$B$1)</f>
        <v>0</v>
      </c>
      <c r="AH58" s="55">
        <f>_xll.EQNXTDZ($A$1,$B58,AH$5,$B$1)</f>
        <v>6699.55</v>
      </c>
      <c r="AI58" s="55">
        <f>_xll.EQNXTDZ($A$1,$B58,AI$5,$B$1)</f>
        <v>0</v>
      </c>
      <c r="AJ58" s="55">
        <f>_xll.EQNXTDZ($A$1,$B58,AJ$5,$B$1)</f>
        <v>6683.89</v>
      </c>
      <c r="AK58" s="55">
        <f>_xll.EQNXTDZ($A$1,$B58,AK$5,$B$1)</f>
        <v>0</v>
      </c>
      <c r="AL58" s="55">
        <f>_xll.EQNXTDZ($A$1,$B58,AL$5,$B$1)</f>
        <v>6919.08</v>
      </c>
      <c r="AM58" s="55">
        <f>_xll.EQNXTDZ($A$1,$B58,AM$5,$B$1)</f>
        <v>0</v>
      </c>
      <c r="AN58" s="55">
        <f>_xll.EQNXTDZ($A$1,$B58,AN$5,$B$1)</f>
        <v>7138.57</v>
      </c>
      <c r="AO58" s="55">
        <f>_xll.EQNXTDZ($A$1,$B58,AO$5,$B$1)</f>
        <v>0</v>
      </c>
      <c r="AP58" s="55">
        <f>_xll.EQNXTDZ($A$1,$B58,AP$5,$B$1)</f>
        <v>7300.23</v>
      </c>
      <c r="AQ58" s="55">
        <f>_xll.EQNXTDZ($A$1,$B58,AQ$5,$B$1)</f>
        <v>0</v>
      </c>
      <c r="AR58" s="55">
        <f>_xll.EQNXTDZ($A$1,$B58,AR$5,$B$1)</f>
        <v>7292.69</v>
      </c>
      <c r="AS58" s="55">
        <f>_xll.EQNXTDZ($A$1,$B58,AS$5,$B$1)</f>
        <v>0</v>
      </c>
      <c r="AT58" s="55">
        <f>_xll.EQNXTDZ($A$1,$B58,AT$5,$B$1)</f>
        <v>7856.97</v>
      </c>
      <c r="AU58" s="55">
        <f>_xll.EQNXTDZ($A$1,$B58,AU$5,$B$1)</f>
        <v>0</v>
      </c>
      <c r="AV58" s="55">
        <f>_xll.EQNXTDZ($A$1,$B58,AV$5,$B$1)</f>
        <v>8967.2099999999991</v>
      </c>
      <c r="AW58" s="55">
        <f>_xll.EQNXTDZ($A$1,$B58,AW$5,$B$1)</f>
        <v>0</v>
      </c>
      <c r="AX58" s="55">
        <f>_xll.EQNXTDZ($A$1,$B58,AX$5,$B$1)</f>
        <v>10029.379999999999</v>
      </c>
      <c r="AY58" s="55">
        <f>_xll.EQNXTDZ($A$1,$B58,AY$5,$B$1)</f>
        <v>0</v>
      </c>
      <c r="AZ58" s="55">
        <f>_xll.EQNXTDZ($A$1,$B58,AZ$5,$B$1)</f>
        <v>10846</v>
      </c>
      <c r="BA58" s="55">
        <f>_xll.EQNXTDZ($A$1,$B58,BA$5,$B$1)</f>
        <v>0</v>
      </c>
      <c r="BB58" s="55">
        <f>_xll.EQNXTDZ($A$1,$B58,BB$5,$B$1)</f>
        <v>11347.01</v>
      </c>
      <c r="BC58" s="55">
        <f>_xll.EQNXTDZ($A$1,$B58,BC$5,$B$1)</f>
        <v>0</v>
      </c>
      <c r="BD58" s="55">
        <f>_xll.EQNXTDZ($A$1,$B58,BD$5,$B$1)</f>
        <v>12018.96</v>
      </c>
      <c r="BE58" s="55">
        <f>_xll.EQNXTDZ($A$1,$B58,BE$5,$B$1)</f>
        <v>0</v>
      </c>
      <c r="BF58" s="55">
        <f>_xll.EQNXTDZ($A$1,$B58,BF$5,$B$1)</f>
        <v>12510.29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3657.6</v>
      </c>
      <c r="E59" s="55">
        <f>_xll.EQNXTDZ($A$1,$B59,E$5,$B$1)</f>
        <v>0</v>
      </c>
      <c r="F59" s="55">
        <f>_xll.EQNXTDZ($A$1,$B59,F$5,$B$1)</f>
        <v>3667.49</v>
      </c>
      <c r="G59" s="55">
        <f>_xll.EQNXTDZ($A$1,$B59,G$5,$B$1)</f>
        <v>0</v>
      </c>
      <c r="H59" s="55">
        <f>_xll.EQNXTDZ($A$1,$B59,H$5,$B$1)</f>
        <v>3765.52</v>
      </c>
      <c r="I59" s="55">
        <f>_xll.EQNXTDZ($A$1,$B59,I$5,$B$1)</f>
        <v>0</v>
      </c>
      <c r="J59" s="55">
        <f>_xll.EQNXTDZ($A$1,$B59,J$5,$B$1)</f>
        <v>3568.38</v>
      </c>
      <c r="K59" s="55">
        <f>_xll.EQNXTDZ($A$1,$B59,K$5,$B$1)</f>
        <v>0</v>
      </c>
      <c r="L59" s="55">
        <f>_xll.EQNXTDZ($A$1,$B59,L$5,$B$1)</f>
        <v>4004.67</v>
      </c>
      <c r="M59" s="55">
        <f>_xll.EQNXTDZ($A$1,$B59,M$5,$B$1)</f>
        <v>0</v>
      </c>
      <c r="N59" s="55">
        <f>_xll.EQNXTDZ($A$1,$B59,N$5,$B$1)</f>
        <v>5431.25</v>
      </c>
      <c r="O59" s="55">
        <f>_xll.EQNXTDZ($A$1,$B59,O$5,$B$1)</f>
        <v>0</v>
      </c>
      <c r="P59" s="55">
        <f>_xll.EQNXTDZ($A$1,$B59,P$5,$B$1)</f>
        <v>4558.32</v>
      </c>
      <c r="Q59" s="55">
        <f>_xll.EQNXTDZ($A$1,$B59,Q$5,$B$1)</f>
        <v>0</v>
      </c>
      <c r="R59" s="55">
        <f>_xll.EQNXTDZ($A$1,$B59,R$5,$B$1)</f>
        <v>5122.37</v>
      </c>
      <c r="S59" s="55">
        <f>_xll.EQNXTDZ($A$1,$B59,S$5,$B$1)</f>
        <v>0</v>
      </c>
      <c r="T59" s="55">
        <f>_xll.EQNXTDZ($A$1,$B59,T$5,$B$1)</f>
        <v>5413.84</v>
      </c>
      <c r="U59" s="55">
        <f>_xll.EQNXTDZ($A$1,$B59,U$5,$B$1)</f>
        <v>0</v>
      </c>
      <c r="V59" s="55">
        <f>_xll.EQNXTDZ($A$1,$B59,V$5,$B$1)</f>
        <v>5386.14</v>
      </c>
      <c r="W59" s="55">
        <f>_xll.EQNXTDZ($A$1,$B59,W$5,$B$1)</f>
        <v>0</v>
      </c>
      <c r="X59" s="55">
        <f>_xll.EQNXTDZ($A$1,$B59,X$5,$B$1)</f>
        <v>5645.91</v>
      </c>
      <c r="Y59" s="55">
        <f>_xll.EQNXTDZ($A$1,$B59,Y$5,$B$1)</f>
        <v>0</v>
      </c>
      <c r="Z59" s="55">
        <f>_xll.EQNXTDZ($A$1,$B59,Z$5,$B$1)</f>
        <v>5496.4</v>
      </c>
      <c r="AA59" s="55">
        <f>_xll.EQNXTDZ($A$1,$B59,AA$5,$B$1)</f>
        <v>0</v>
      </c>
      <c r="AB59" s="55">
        <f>_xll.EQNXTDZ($A$1,$B59,AB$5,$B$1)</f>
        <v>6067.04</v>
      </c>
      <c r="AC59" s="55">
        <f>_xll.EQNXTDZ($A$1,$B59,AC$5,$B$1)</f>
        <v>0</v>
      </c>
      <c r="AD59" s="55">
        <f>_xll.EQNXTDZ($A$1,$B59,AD$5,$B$1)</f>
        <v>6282.36</v>
      </c>
      <c r="AE59" s="55">
        <f>_xll.EQNXTDZ($A$1,$B59,AE$5,$B$1)</f>
        <v>0</v>
      </c>
      <c r="AF59" s="55">
        <f>_xll.EQNXTDZ($A$1,$B59,AF$5,$B$1)</f>
        <v>6636.62</v>
      </c>
      <c r="AG59" s="55">
        <f>_xll.EQNXTDZ($A$1,$B59,AG$5,$B$1)</f>
        <v>0</v>
      </c>
      <c r="AH59" s="55">
        <f>_xll.EQNXTDZ($A$1,$B59,AH$5,$B$1)</f>
        <v>6763.5</v>
      </c>
      <c r="AI59" s="55">
        <f>_xll.EQNXTDZ($A$1,$B59,AI$5,$B$1)</f>
        <v>0</v>
      </c>
      <c r="AJ59" s="55">
        <f>_xll.EQNXTDZ($A$1,$B59,AJ$5,$B$1)</f>
        <v>6747.84</v>
      </c>
      <c r="AK59" s="55">
        <f>_xll.EQNXTDZ($A$1,$B59,AK$5,$B$1)</f>
        <v>0</v>
      </c>
      <c r="AL59" s="55">
        <f>_xll.EQNXTDZ($A$1,$B59,AL$5,$B$1)</f>
        <v>6983.03</v>
      </c>
      <c r="AM59" s="55">
        <f>_xll.EQNXTDZ($A$1,$B59,AM$5,$B$1)</f>
        <v>0</v>
      </c>
      <c r="AN59" s="55">
        <f>_xll.EQNXTDZ($A$1,$B59,AN$5,$B$1)</f>
        <v>7202.52</v>
      </c>
      <c r="AO59" s="55">
        <f>_xll.EQNXTDZ($A$1,$B59,AO$5,$B$1)</f>
        <v>0</v>
      </c>
      <c r="AP59" s="55">
        <f>_xll.EQNXTDZ($A$1,$B59,AP$5,$B$1)</f>
        <v>7364.18</v>
      </c>
      <c r="AQ59" s="55">
        <f>_xll.EQNXTDZ($A$1,$B59,AQ$5,$B$1)</f>
        <v>0</v>
      </c>
      <c r="AR59" s="55">
        <f>_xll.EQNXTDZ($A$1,$B59,AR$5,$B$1)</f>
        <v>7356.64</v>
      </c>
      <c r="AS59" s="55">
        <f>_xll.EQNXTDZ($A$1,$B59,AS$5,$B$1)</f>
        <v>0</v>
      </c>
      <c r="AT59" s="55">
        <f>_xll.EQNXTDZ($A$1,$B59,AT$5,$B$1)</f>
        <v>7920.92</v>
      </c>
      <c r="AU59" s="55">
        <f>_xll.EQNXTDZ($A$1,$B59,AU$5,$B$1)</f>
        <v>0</v>
      </c>
      <c r="AV59" s="55">
        <f>_xll.EQNXTDZ($A$1,$B59,AV$5,$B$1)</f>
        <v>9031.16</v>
      </c>
      <c r="AW59" s="55">
        <f>_xll.EQNXTDZ($A$1,$B59,AW$5,$B$1)</f>
        <v>0</v>
      </c>
      <c r="AX59" s="55">
        <f>_xll.EQNXTDZ($A$1,$B59,AX$5,$B$1)</f>
        <v>10093.33</v>
      </c>
      <c r="AY59" s="55">
        <f>_xll.EQNXTDZ($A$1,$B59,AY$5,$B$1)</f>
        <v>0</v>
      </c>
      <c r="AZ59" s="55">
        <f>_xll.EQNXTDZ($A$1,$B59,AZ$5,$B$1)</f>
        <v>10909.95</v>
      </c>
      <c r="BA59" s="55">
        <f>_xll.EQNXTDZ($A$1,$B59,BA$5,$B$1)</f>
        <v>0</v>
      </c>
      <c r="BB59" s="55">
        <f>_xll.EQNXTDZ($A$1,$B59,BB$5,$B$1)</f>
        <v>11410.96</v>
      </c>
      <c r="BC59" s="55">
        <f>_xll.EQNXTDZ($A$1,$B59,BC$5,$B$1)</f>
        <v>0</v>
      </c>
      <c r="BD59" s="55">
        <f>_xll.EQNXTDZ($A$1,$B59,BD$5,$B$1)</f>
        <v>12082.91</v>
      </c>
      <c r="BE59" s="55">
        <f>_xll.EQNXTDZ($A$1,$B59,BE$5,$B$1)</f>
        <v>0</v>
      </c>
      <c r="BF59" s="55">
        <f>_xll.EQNXTDZ($A$1,$B59,BF$5,$B$1)</f>
        <v>12574.24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197.98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157.83000000000001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45.45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-5.98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-126.6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-296.39999999999998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-382.25</v>
      </c>
      <c r="AE60" s="55">
        <f>_xll.EQNXTDZ($A$1,$B60,AE$5,$B$1)</f>
        <v>0</v>
      </c>
      <c r="AF60" s="55">
        <f>_xll.EQNXTDZ($A$1,$B60,AF$5,$B$1)</f>
        <v>-445.84</v>
      </c>
      <c r="AG60" s="55">
        <f>_xll.EQNXTDZ($A$1,$B60,AG$5,$B$1)</f>
        <v>0</v>
      </c>
      <c r="AH60" s="55">
        <f>_xll.EQNXTDZ($A$1,$B60,AH$5,$B$1)</f>
        <v>-474.58</v>
      </c>
      <c r="AI60" s="55">
        <f>_xll.EQNXTDZ($A$1,$B60,AI$5,$B$1)</f>
        <v>0</v>
      </c>
      <c r="AJ60" s="55">
        <f>_xll.EQNXTDZ($A$1,$B60,AJ$5,$B$1)</f>
        <v>-484.7</v>
      </c>
      <c r="AK60" s="55">
        <f>_xll.EQNXTDZ($A$1,$B60,AK$5,$B$1)</f>
        <v>0</v>
      </c>
      <c r="AL60" s="55">
        <f>_xll.EQNXTDZ($A$1,$B60,AL$5,$B$1)</f>
        <v>-443.6</v>
      </c>
      <c r="AM60" s="55">
        <f>_xll.EQNXTDZ($A$1,$B60,AM$5,$B$1)</f>
        <v>0</v>
      </c>
      <c r="AN60" s="55">
        <f>_xll.EQNXTDZ($A$1,$B60,AN$5,$B$1)</f>
        <v>-495.69</v>
      </c>
      <c r="AO60" s="55">
        <f>_xll.EQNXTDZ($A$1,$B60,AO$5,$B$1)</f>
        <v>0</v>
      </c>
      <c r="AP60" s="55">
        <f>_xll.EQNXTDZ($A$1,$B60,AP$5,$B$1)</f>
        <v>-515.04</v>
      </c>
      <c r="AQ60" s="55">
        <f>_xll.EQNXTDZ($A$1,$B60,AQ$5,$B$1)</f>
        <v>0</v>
      </c>
      <c r="AR60" s="55">
        <f>_xll.EQNXTDZ($A$1,$B60,AR$5,$B$1)</f>
        <v>-513.84</v>
      </c>
      <c r="AS60" s="55">
        <f>_xll.EQNXTDZ($A$1,$B60,AS$5,$B$1)</f>
        <v>0</v>
      </c>
      <c r="AT60" s="55">
        <f>_xll.EQNXTDZ($A$1,$B60,AT$5,$B$1)</f>
        <v>-642.01</v>
      </c>
      <c r="AU60" s="55">
        <f>_xll.EQNXTDZ($A$1,$B60,AU$5,$B$1)</f>
        <v>0</v>
      </c>
      <c r="AV60" s="55">
        <f>_xll.EQNXTDZ($A$1,$B60,AV$5,$B$1)</f>
        <v>-684.38</v>
      </c>
      <c r="AW60" s="55">
        <f>_xll.EQNXTDZ($A$1,$B60,AW$5,$B$1)</f>
        <v>0</v>
      </c>
      <c r="AX60" s="55">
        <f>_xll.EQNXTDZ($A$1,$B60,AX$5,$B$1)</f>
        <v>-726.18</v>
      </c>
      <c r="AY60" s="55">
        <f>_xll.EQNXTDZ($A$1,$B60,AY$5,$B$1)</f>
        <v>0</v>
      </c>
      <c r="AZ60" s="55">
        <f>_xll.EQNXTDZ($A$1,$B60,AZ$5,$B$1)</f>
        <v>-775.11</v>
      </c>
      <c r="BA60" s="55">
        <f>_xll.EQNXTDZ($A$1,$B60,BA$5,$B$1)</f>
        <v>0</v>
      </c>
      <c r="BB60" s="55">
        <f>_xll.EQNXTDZ($A$1,$B60,BB$5,$B$1)</f>
        <v>-456.88</v>
      </c>
      <c r="BC60" s="55">
        <f>_xll.EQNXTDZ($A$1,$B60,BC$5,$B$1)</f>
        <v>0</v>
      </c>
      <c r="BD60" s="55">
        <f>_xll.EQNXTDZ($A$1,$B60,BD$5,$B$1)</f>
        <v>-265.41000000000003</v>
      </c>
      <c r="BE60" s="55">
        <f>_xll.EQNXTDZ($A$1,$B60,BE$5,$B$1)</f>
        <v>0</v>
      </c>
      <c r="BF60" s="55">
        <f>_xll.EQNXTDZ($A$1,$B60,BF$5,$B$1)</f>
        <v>-291.52999999999997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1166.93</v>
      </c>
      <c r="E61" s="55">
        <f>_xll.EQNXTDZ($A$1,$B61,E$5,$B$1)</f>
        <v>0</v>
      </c>
      <c r="F61" s="55">
        <f>_xll.EQNXTDZ($A$1,$B61,F$5,$B$1)</f>
        <v>2843.79</v>
      </c>
      <c r="G61" s="55">
        <f>_xll.EQNXTDZ($A$1,$B61,G$5,$B$1)</f>
        <v>0</v>
      </c>
      <c r="H61" s="55">
        <f>_xll.EQNXTDZ($A$1,$B61,H$5,$B$1)</f>
        <v>1612.35</v>
      </c>
      <c r="I61" s="55">
        <f>_xll.EQNXTDZ($A$1,$B61,I$5,$B$1)</f>
        <v>0</v>
      </c>
      <c r="J61" s="55">
        <f>_xll.EQNXTDZ($A$1,$B61,J$5,$B$1)</f>
        <v>3492.7</v>
      </c>
      <c r="K61" s="55">
        <f>_xll.EQNXTDZ($A$1,$B61,K$5,$B$1)</f>
        <v>0</v>
      </c>
      <c r="L61" s="55">
        <f>_xll.EQNXTDZ($A$1,$B61,L$5,$B$1)</f>
        <v>1612.18</v>
      </c>
      <c r="M61" s="55">
        <f>_xll.EQNXTDZ($A$1,$B61,M$5,$B$1)</f>
        <v>0</v>
      </c>
      <c r="N61" s="55">
        <f>_xll.EQNXTDZ($A$1,$B61,N$5,$B$1)</f>
        <v>4375.59</v>
      </c>
      <c r="O61" s="55">
        <f>_xll.EQNXTDZ($A$1,$B61,O$5,$B$1)</f>
        <v>0</v>
      </c>
      <c r="P61" s="55">
        <f>_xll.EQNXTDZ($A$1,$B61,P$5,$B$1)</f>
        <v>2095.65</v>
      </c>
      <c r="Q61" s="55">
        <f>_xll.EQNXTDZ($A$1,$B61,Q$5,$B$1)</f>
        <v>0</v>
      </c>
      <c r="R61" s="55">
        <f>_xll.EQNXTDZ($A$1,$B61,R$5,$B$1)</f>
        <v>4047.11</v>
      </c>
      <c r="S61" s="55">
        <f>_xll.EQNXTDZ($A$1,$B61,S$5,$B$1)</f>
        <v>0</v>
      </c>
      <c r="T61" s="55">
        <f>_xll.EQNXTDZ($A$1,$B61,T$5,$B$1)</f>
        <v>1849.85</v>
      </c>
      <c r="U61" s="55">
        <f>_xll.EQNXTDZ($A$1,$B61,U$5,$B$1)</f>
        <v>0</v>
      </c>
      <c r="V61" s="55">
        <f>_xll.EQNXTDZ($A$1,$B61,V$5,$B$1)</f>
        <v>3302.23</v>
      </c>
      <c r="W61" s="55">
        <f>_xll.EQNXTDZ($A$1,$B61,W$5,$B$1)</f>
        <v>0</v>
      </c>
      <c r="X61" s="55">
        <f>_xll.EQNXTDZ($A$1,$B61,X$5,$B$1)</f>
        <v>1902.35</v>
      </c>
      <c r="Y61" s="55">
        <f>_xll.EQNXTDZ($A$1,$B61,Y$5,$B$1)</f>
        <v>0</v>
      </c>
      <c r="Z61" s="55">
        <f>_xll.EQNXTDZ($A$1,$B61,Z$5,$B$1)</f>
        <v>3311.46</v>
      </c>
      <c r="AA61" s="55">
        <f>_xll.EQNXTDZ($A$1,$B61,AA$5,$B$1)</f>
        <v>0</v>
      </c>
      <c r="AB61" s="55">
        <f>_xll.EQNXTDZ($A$1,$B61,AB$5,$B$1)</f>
        <v>1664.28</v>
      </c>
      <c r="AC61" s="55">
        <f>_xll.EQNXTDZ($A$1,$B61,AC$5,$B$1)</f>
        <v>0</v>
      </c>
      <c r="AD61" s="55">
        <f>_xll.EQNXTDZ($A$1,$B61,AD$5,$B$1)</f>
        <v>2633.12</v>
      </c>
      <c r="AE61" s="55">
        <f>_xll.EQNXTDZ($A$1,$B61,AE$5,$B$1)</f>
        <v>0</v>
      </c>
      <c r="AF61" s="55">
        <f>_xll.EQNXTDZ($A$1,$B61,AF$5,$B$1)</f>
        <v>2411.7199999999998</v>
      </c>
      <c r="AG61" s="55">
        <f>_xll.EQNXTDZ($A$1,$B61,AG$5,$B$1)</f>
        <v>0</v>
      </c>
      <c r="AH61" s="55">
        <f>_xll.EQNXTDZ($A$1,$B61,AH$5,$B$1)</f>
        <v>2360.66</v>
      </c>
      <c r="AI61" s="55">
        <f>_xll.EQNXTDZ($A$1,$B61,AI$5,$B$1)</f>
        <v>0</v>
      </c>
      <c r="AJ61" s="55">
        <f>_xll.EQNXTDZ($A$1,$B61,AJ$5,$B$1)</f>
        <v>2185.33</v>
      </c>
      <c r="AK61" s="55">
        <f>_xll.EQNXTDZ($A$1,$B61,AK$5,$B$1)</f>
        <v>0</v>
      </c>
      <c r="AL61" s="55">
        <f>_xll.EQNXTDZ($A$1,$B61,AL$5,$B$1)</f>
        <v>2298.2800000000002</v>
      </c>
      <c r="AM61" s="55">
        <f>_xll.EQNXTDZ($A$1,$B61,AM$5,$B$1)</f>
        <v>0</v>
      </c>
      <c r="AN61" s="55">
        <f>_xll.EQNXTDZ($A$1,$B61,AN$5,$B$1)</f>
        <v>2188.29</v>
      </c>
      <c r="AO61" s="55">
        <f>_xll.EQNXTDZ($A$1,$B61,AO$5,$B$1)</f>
        <v>0</v>
      </c>
      <c r="AP61" s="55">
        <f>_xll.EQNXTDZ($A$1,$B61,AP$5,$B$1)</f>
        <v>1832.63</v>
      </c>
      <c r="AQ61" s="55">
        <f>_xll.EQNXTDZ($A$1,$B61,AQ$5,$B$1)</f>
        <v>0</v>
      </c>
      <c r="AR61" s="55">
        <f>_xll.EQNXTDZ($A$1,$B61,AR$5,$B$1)</f>
        <v>1921.33</v>
      </c>
      <c r="AS61" s="55">
        <f>_xll.EQNXTDZ($A$1,$B61,AS$5,$B$1)</f>
        <v>0</v>
      </c>
      <c r="AT61" s="55">
        <f>_xll.EQNXTDZ($A$1,$B61,AT$5,$B$1)</f>
        <v>1822.21</v>
      </c>
      <c r="AU61" s="55">
        <f>_xll.EQNXTDZ($A$1,$B61,AU$5,$B$1)</f>
        <v>0</v>
      </c>
      <c r="AV61" s="55">
        <f>_xll.EQNXTDZ($A$1,$B61,AV$5,$B$1)</f>
        <v>2564.48</v>
      </c>
      <c r="AW61" s="55">
        <f>_xll.EQNXTDZ($A$1,$B61,AW$5,$B$1)</f>
        <v>0</v>
      </c>
      <c r="AX61" s="55">
        <f>_xll.EQNXTDZ($A$1,$B61,AX$5,$B$1)</f>
        <v>2107.65</v>
      </c>
      <c r="AY61" s="55">
        <f>_xll.EQNXTDZ($A$1,$B61,AY$5,$B$1)</f>
        <v>0</v>
      </c>
      <c r="AZ61" s="55">
        <f>_xll.EQNXTDZ($A$1,$B61,AZ$5,$B$1)</f>
        <v>1399.7</v>
      </c>
      <c r="BA61" s="55">
        <f>_xll.EQNXTDZ($A$1,$B61,BA$5,$B$1)</f>
        <v>0</v>
      </c>
      <c r="BB61" s="55">
        <f>_xll.EQNXTDZ($A$1,$B61,BB$5,$B$1)</f>
        <v>1583.27</v>
      </c>
      <c r="BC61" s="55">
        <f>_xll.EQNXTDZ($A$1,$B61,BC$5,$B$1)</f>
        <v>0</v>
      </c>
      <c r="BD61" s="55">
        <f>_xll.EQNXTDZ($A$1,$B61,BD$5,$B$1)</f>
        <v>1546.41</v>
      </c>
      <c r="BE61" s="55">
        <f>_xll.EQNXTDZ($A$1,$B61,BE$5,$B$1)</f>
        <v>0</v>
      </c>
      <c r="BF61" s="55">
        <f>_xll.EQNXTDZ($A$1,$B61,BF$5,$B$1)</f>
        <v>1490.41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1166.93</v>
      </c>
      <c r="E63" s="55">
        <f>_xll.EQNXTDZ($A$1,$B63,E$5,$B$1)</f>
        <v>0</v>
      </c>
      <c r="F63" s="55">
        <f>_xll.EQNXTDZ($A$1,$B63,F$5,$B$1)</f>
        <v>2843.79</v>
      </c>
      <c r="G63" s="55">
        <f>_xll.EQNXTDZ($A$1,$B63,G$5,$B$1)</f>
        <v>0</v>
      </c>
      <c r="H63" s="55">
        <f>_xll.EQNXTDZ($A$1,$B63,H$5,$B$1)</f>
        <v>1612.35</v>
      </c>
      <c r="I63" s="55">
        <f>_xll.EQNXTDZ($A$1,$B63,I$5,$B$1)</f>
        <v>0</v>
      </c>
      <c r="J63" s="55">
        <f>_xll.EQNXTDZ($A$1,$B63,J$5,$B$1)</f>
        <v>3492.7</v>
      </c>
      <c r="K63" s="55">
        <f>_xll.EQNXTDZ($A$1,$B63,K$5,$B$1)</f>
        <v>0</v>
      </c>
      <c r="L63" s="55">
        <f>_xll.EQNXTDZ($A$1,$B63,L$5,$B$1)</f>
        <v>1612.18</v>
      </c>
      <c r="M63" s="55">
        <f>_xll.EQNXTDZ($A$1,$B63,M$5,$B$1)</f>
        <v>0</v>
      </c>
      <c r="N63" s="55">
        <f>_xll.EQNXTDZ($A$1,$B63,N$5,$B$1)</f>
        <v>4375.59</v>
      </c>
      <c r="O63" s="55">
        <f>_xll.EQNXTDZ($A$1,$B63,O$5,$B$1)</f>
        <v>0</v>
      </c>
      <c r="P63" s="55">
        <f>_xll.EQNXTDZ($A$1,$B63,P$5,$B$1)</f>
        <v>2095.65</v>
      </c>
      <c r="Q63" s="55">
        <f>_xll.EQNXTDZ($A$1,$B63,Q$5,$B$1)</f>
        <v>0</v>
      </c>
      <c r="R63" s="55">
        <f>_xll.EQNXTDZ($A$1,$B63,R$5,$B$1)</f>
        <v>4047.11</v>
      </c>
      <c r="S63" s="55">
        <f>_xll.EQNXTDZ($A$1,$B63,S$5,$B$1)</f>
        <v>0</v>
      </c>
      <c r="T63" s="55">
        <f>_xll.EQNXTDZ($A$1,$B63,T$5,$B$1)</f>
        <v>1849.85</v>
      </c>
      <c r="U63" s="55">
        <f>_xll.EQNXTDZ($A$1,$B63,U$5,$B$1)</f>
        <v>0</v>
      </c>
      <c r="V63" s="55">
        <f>_xll.EQNXTDZ($A$1,$B63,V$5,$B$1)</f>
        <v>3302.23</v>
      </c>
      <c r="W63" s="55">
        <f>_xll.EQNXTDZ($A$1,$B63,W$5,$B$1)</f>
        <v>0</v>
      </c>
      <c r="X63" s="55">
        <f>_xll.EQNXTDZ($A$1,$B63,X$5,$B$1)</f>
        <v>1902.35</v>
      </c>
      <c r="Y63" s="55">
        <f>_xll.EQNXTDZ($A$1,$B63,Y$5,$B$1)</f>
        <v>0</v>
      </c>
      <c r="Z63" s="55">
        <f>_xll.EQNXTDZ($A$1,$B63,Z$5,$B$1)</f>
        <v>3311.46</v>
      </c>
      <c r="AA63" s="55">
        <f>_xll.EQNXTDZ($A$1,$B63,AA$5,$B$1)</f>
        <v>0</v>
      </c>
      <c r="AB63" s="55">
        <f>_xll.EQNXTDZ($A$1,$B63,AB$5,$B$1)</f>
        <v>1664.28</v>
      </c>
      <c r="AC63" s="55">
        <f>_xll.EQNXTDZ($A$1,$B63,AC$5,$B$1)</f>
        <v>0</v>
      </c>
      <c r="AD63" s="55">
        <f>_xll.EQNXTDZ($A$1,$B63,AD$5,$B$1)</f>
        <v>2633.12</v>
      </c>
      <c r="AE63" s="55">
        <f>_xll.EQNXTDZ($A$1,$B63,AE$5,$B$1)</f>
        <v>0</v>
      </c>
      <c r="AF63" s="55">
        <f>_xll.EQNXTDZ($A$1,$B63,AF$5,$B$1)</f>
        <v>2411.7199999999998</v>
      </c>
      <c r="AG63" s="55">
        <f>_xll.EQNXTDZ($A$1,$B63,AG$5,$B$1)</f>
        <v>0</v>
      </c>
      <c r="AH63" s="55">
        <f>_xll.EQNXTDZ($A$1,$B63,AH$5,$B$1)</f>
        <v>2360.66</v>
      </c>
      <c r="AI63" s="55">
        <f>_xll.EQNXTDZ($A$1,$B63,AI$5,$B$1)</f>
        <v>0</v>
      </c>
      <c r="AJ63" s="55">
        <f>_xll.EQNXTDZ($A$1,$B63,AJ$5,$B$1)</f>
        <v>2185.33</v>
      </c>
      <c r="AK63" s="55">
        <f>_xll.EQNXTDZ($A$1,$B63,AK$5,$B$1)</f>
        <v>0</v>
      </c>
      <c r="AL63" s="55">
        <f>_xll.EQNXTDZ($A$1,$B63,AL$5,$B$1)</f>
        <v>2298.2800000000002</v>
      </c>
      <c r="AM63" s="55">
        <f>_xll.EQNXTDZ($A$1,$B63,AM$5,$B$1)</f>
        <v>0</v>
      </c>
      <c r="AN63" s="55">
        <f>_xll.EQNXTDZ($A$1,$B63,AN$5,$B$1)</f>
        <v>2188.29</v>
      </c>
      <c r="AO63" s="55">
        <f>_xll.EQNXTDZ($A$1,$B63,AO$5,$B$1)</f>
        <v>0</v>
      </c>
      <c r="AP63" s="55">
        <f>_xll.EQNXTDZ($A$1,$B63,AP$5,$B$1)</f>
        <v>1832.63</v>
      </c>
      <c r="AQ63" s="55">
        <f>_xll.EQNXTDZ($A$1,$B63,AQ$5,$B$1)</f>
        <v>0</v>
      </c>
      <c r="AR63" s="55">
        <f>_xll.EQNXTDZ($A$1,$B63,AR$5,$B$1)</f>
        <v>1921.33</v>
      </c>
      <c r="AS63" s="55">
        <f>_xll.EQNXTDZ($A$1,$B63,AS$5,$B$1)</f>
        <v>0</v>
      </c>
      <c r="AT63" s="55">
        <f>_xll.EQNXTDZ($A$1,$B63,AT$5,$B$1)</f>
        <v>1822.21</v>
      </c>
      <c r="AU63" s="55">
        <f>_xll.EQNXTDZ($A$1,$B63,AU$5,$B$1)</f>
        <v>0</v>
      </c>
      <c r="AV63" s="55">
        <f>_xll.EQNXTDZ($A$1,$B63,AV$5,$B$1)</f>
        <v>2564.48</v>
      </c>
      <c r="AW63" s="55">
        <f>_xll.EQNXTDZ($A$1,$B63,AW$5,$B$1)</f>
        <v>0</v>
      </c>
      <c r="AX63" s="55">
        <f>_xll.EQNXTDZ($A$1,$B63,AX$5,$B$1)</f>
        <v>2107.65</v>
      </c>
      <c r="AY63" s="55">
        <f>_xll.EQNXTDZ($A$1,$B63,AY$5,$B$1)</f>
        <v>0</v>
      </c>
      <c r="AZ63" s="55">
        <f>_xll.EQNXTDZ($A$1,$B63,AZ$5,$B$1)</f>
        <v>1399.7</v>
      </c>
      <c r="BA63" s="55">
        <f>_xll.EQNXTDZ($A$1,$B63,BA$5,$B$1)</f>
        <v>0</v>
      </c>
      <c r="BB63" s="55">
        <f>_xll.EQNXTDZ($A$1,$B63,BB$5,$B$1)</f>
        <v>1583.27</v>
      </c>
      <c r="BC63" s="55">
        <f>_xll.EQNXTDZ($A$1,$B63,BC$5,$B$1)</f>
        <v>0</v>
      </c>
      <c r="BD63" s="55">
        <f>_xll.EQNXTDZ($A$1,$B63,BD$5,$B$1)</f>
        <v>1546.41</v>
      </c>
      <c r="BE63" s="55">
        <f>_xll.EQNXTDZ($A$1,$B63,BE$5,$B$1)</f>
        <v>0</v>
      </c>
      <c r="BF63" s="55">
        <f>_xll.EQNXTDZ($A$1,$B63,BF$5,$B$1)</f>
        <v>1490.41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0.08</v>
      </c>
      <c r="E64" s="55">
        <f>_xll.EQNXTDZ($A$1,$B64,E$5,$B$1)</f>
        <v>0</v>
      </c>
      <c r="F64" s="55">
        <f>_xll.EQNXTDZ($A$1,$B64,F$5,$B$1)</f>
        <v>101.96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187.99</v>
      </c>
      <c r="K64" s="55">
        <f>_xll.EQNXTDZ($A$1,$B64,K$5,$B$1)</f>
        <v>0</v>
      </c>
      <c r="L64" s="55">
        <f>_xll.EQNXTDZ($A$1,$B64,L$5,$B$1)</f>
        <v>29.41</v>
      </c>
      <c r="M64" s="55">
        <f>_xll.EQNXTDZ($A$1,$B64,M$5,$B$1)</f>
        <v>0</v>
      </c>
      <c r="N64" s="55">
        <f>_xll.EQNXTDZ($A$1,$B64,N$5,$B$1)</f>
        <v>210.35</v>
      </c>
      <c r="O64" s="55">
        <f>_xll.EQNXTDZ($A$1,$B64,O$5,$B$1)</f>
        <v>0</v>
      </c>
      <c r="P64" s="55">
        <f>_xll.EQNXTDZ($A$1,$B64,P$5,$B$1)</f>
        <v>29.41</v>
      </c>
      <c r="Q64" s="55">
        <f>_xll.EQNXTDZ($A$1,$B64,Q$5,$B$1)</f>
        <v>0</v>
      </c>
      <c r="R64" s="55">
        <f>_xll.EQNXTDZ($A$1,$B64,R$5,$B$1)</f>
        <v>184.46</v>
      </c>
      <c r="S64" s="55">
        <f>_xll.EQNXTDZ($A$1,$B64,S$5,$B$1)</f>
        <v>0</v>
      </c>
      <c r="T64" s="55">
        <f>_xll.EQNXTDZ($A$1,$B64,T$5,$B$1)</f>
        <v>128.91999999999999</v>
      </c>
      <c r="U64" s="55">
        <f>_xll.EQNXTDZ($A$1,$B64,U$5,$B$1)</f>
        <v>0</v>
      </c>
      <c r="V64" s="55">
        <f>_xll.EQNXTDZ($A$1,$B64,V$5,$B$1)</f>
        <v>145.27000000000001</v>
      </c>
      <c r="W64" s="55">
        <f>_xll.EQNXTDZ($A$1,$B64,W$5,$B$1)</f>
        <v>0</v>
      </c>
      <c r="X64" s="55">
        <f>_xll.EQNXTDZ($A$1,$B64,X$5,$B$1)</f>
        <v>131.91999999999999</v>
      </c>
      <c r="Y64" s="55">
        <f>_xll.EQNXTDZ($A$1,$B64,Y$5,$B$1)</f>
        <v>0</v>
      </c>
      <c r="Z64" s="55">
        <f>_xll.EQNXTDZ($A$1,$B64,Z$5,$B$1)</f>
        <v>147.27000000000001</v>
      </c>
      <c r="AA64" s="55">
        <f>_xll.EQNXTDZ($A$1,$B64,AA$5,$B$1)</f>
        <v>0</v>
      </c>
      <c r="AB64" s="55">
        <f>_xll.EQNXTDZ($A$1,$B64,AB$5,$B$1)</f>
        <v>136.85</v>
      </c>
      <c r="AC64" s="55">
        <f>_xll.EQNXTDZ($A$1,$B64,AC$5,$B$1)</f>
        <v>0</v>
      </c>
      <c r="AD64" s="55">
        <f>_xll.EQNXTDZ($A$1,$B64,AD$5,$B$1)</f>
        <v>189.47</v>
      </c>
      <c r="AE64" s="55">
        <f>_xll.EQNXTDZ($A$1,$B64,AE$5,$B$1)</f>
        <v>0</v>
      </c>
      <c r="AF64" s="55">
        <f>_xll.EQNXTDZ($A$1,$B64,AF$5,$B$1)</f>
        <v>346.02</v>
      </c>
      <c r="AG64" s="55">
        <f>_xll.EQNXTDZ($A$1,$B64,AG$5,$B$1)</f>
        <v>0</v>
      </c>
      <c r="AH64" s="55">
        <f>_xll.EQNXTDZ($A$1,$B64,AH$5,$B$1)</f>
        <v>390.8</v>
      </c>
      <c r="AI64" s="55">
        <f>_xll.EQNXTDZ($A$1,$B64,AI$5,$B$1)</f>
        <v>0</v>
      </c>
      <c r="AJ64" s="55">
        <f>_xll.EQNXTDZ($A$1,$B64,AJ$5,$B$1)</f>
        <v>392.39</v>
      </c>
      <c r="AK64" s="55">
        <f>_xll.EQNXTDZ($A$1,$B64,AK$5,$B$1)</f>
        <v>0</v>
      </c>
      <c r="AL64" s="55">
        <f>_xll.EQNXTDZ($A$1,$B64,AL$5,$B$1)</f>
        <v>362.94</v>
      </c>
      <c r="AM64" s="55">
        <f>_xll.EQNXTDZ($A$1,$B64,AM$5,$B$1)</f>
        <v>0</v>
      </c>
      <c r="AN64" s="55">
        <f>_xll.EQNXTDZ($A$1,$B64,AN$5,$B$1)</f>
        <v>356.31</v>
      </c>
      <c r="AO64" s="55">
        <f>_xll.EQNXTDZ($A$1,$B64,AO$5,$B$1)</f>
        <v>0</v>
      </c>
      <c r="AP64" s="55">
        <f>_xll.EQNXTDZ($A$1,$B64,AP$5,$B$1)</f>
        <v>348.31</v>
      </c>
      <c r="AQ64" s="55">
        <f>_xll.EQNXTDZ($A$1,$B64,AQ$5,$B$1)</f>
        <v>0</v>
      </c>
      <c r="AR64" s="55">
        <f>_xll.EQNXTDZ($A$1,$B64,AR$5,$B$1)</f>
        <v>349.75</v>
      </c>
      <c r="AS64" s="55">
        <f>_xll.EQNXTDZ($A$1,$B64,AS$5,$B$1)</f>
        <v>0</v>
      </c>
      <c r="AT64" s="55">
        <f>_xll.EQNXTDZ($A$1,$B64,AT$5,$B$1)</f>
        <v>442.85</v>
      </c>
      <c r="AU64" s="55">
        <f>_xll.EQNXTDZ($A$1,$B64,AU$5,$B$1)</f>
        <v>0</v>
      </c>
      <c r="AV64" s="55">
        <f>_xll.EQNXTDZ($A$1,$B64,AV$5,$B$1)</f>
        <v>330.53</v>
      </c>
      <c r="AW64" s="55">
        <f>_xll.EQNXTDZ($A$1,$B64,AW$5,$B$1)</f>
        <v>0</v>
      </c>
      <c r="AX64" s="55">
        <f>_xll.EQNXTDZ($A$1,$B64,AX$5,$B$1)</f>
        <v>289.51</v>
      </c>
      <c r="AY64" s="55">
        <f>_xll.EQNXTDZ($A$1,$B64,AY$5,$B$1)</f>
        <v>0</v>
      </c>
      <c r="AZ64" s="55">
        <f>_xll.EQNXTDZ($A$1,$B64,AZ$5,$B$1)</f>
        <v>326.83</v>
      </c>
      <c r="BA64" s="55">
        <f>_xll.EQNXTDZ($A$1,$B64,BA$5,$B$1)</f>
        <v>0</v>
      </c>
      <c r="BB64" s="55">
        <f>_xll.EQNXTDZ($A$1,$B64,BB$5,$B$1)</f>
        <v>328.21</v>
      </c>
      <c r="BC64" s="55">
        <f>_xll.EQNXTDZ($A$1,$B64,BC$5,$B$1)</f>
        <v>0</v>
      </c>
      <c r="BD64" s="55">
        <f>_xll.EQNXTDZ($A$1,$B64,BD$5,$B$1)</f>
        <v>327.85</v>
      </c>
      <c r="BE64" s="55">
        <f>_xll.EQNXTDZ($A$1,$B64,BE$5,$B$1)</f>
        <v>0</v>
      </c>
      <c r="BF64" s="55">
        <f>_xll.EQNXTDZ($A$1,$B64,BF$5,$B$1)</f>
        <v>755.28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64.989999999999995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47.26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46.35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49.74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28.88</v>
      </c>
      <c r="E66" s="55">
        <f>_xll.EQNXTDZ($A$1,$B66,E$5,$B$1)</f>
        <v>0</v>
      </c>
      <c r="F66" s="55">
        <f>_xll.EQNXTDZ($A$1,$B66,F$5,$B$1)</f>
        <v>34.479999999999997</v>
      </c>
      <c r="G66" s="55">
        <f>_xll.EQNXTDZ($A$1,$B66,G$5,$B$1)</f>
        <v>0</v>
      </c>
      <c r="H66" s="55">
        <f>_xll.EQNXTDZ($A$1,$B66,H$5,$B$1)</f>
        <v>29.87</v>
      </c>
      <c r="I66" s="55">
        <f>_xll.EQNXTDZ($A$1,$B66,I$5,$B$1)</f>
        <v>0</v>
      </c>
      <c r="J66" s="55">
        <f>_xll.EQNXTDZ($A$1,$B66,J$5,$B$1)</f>
        <v>36.630000000000003</v>
      </c>
      <c r="K66" s="55">
        <f>_xll.EQNXTDZ($A$1,$B66,K$5,$B$1)</f>
        <v>0</v>
      </c>
      <c r="L66" s="55">
        <f>_xll.EQNXTDZ($A$1,$B66,L$5,$B$1)</f>
        <v>31.48</v>
      </c>
      <c r="M66" s="55">
        <f>_xll.EQNXTDZ($A$1,$B66,M$5,$B$1)</f>
        <v>0</v>
      </c>
      <c r="N66" s="55">
        <f>_xll.EQNXTDZ($A$1,$B66,N$5,$B$1)</f>
        <v>54.99</v>
      </c>
      <c r="O66" s="55">
        <f>_xll.EQNXTDZ($A$1,$B66,O$5,$B$1)</f>
        <v>0</v>
      </c>
      <c r="P66" s="55">
        <f>_xll.EQNXTDZ($A$1,$B66,P$5,$B$1)</f>
        <v>50.22</v>
      </c>
      <c r="Q66" s="55">
        <f>_xll.EQNXTDZ($A$1,$B66,Q$5,$B$1)</f>
        <v>0</v>
      </c>
      <c r="R66" s="55">
        <f>_xll.EQNXTDZ($A$1,$B66,R$5,$B$1)</f>
        <v>59.87</v>
      </c>
      <c r="S66" s="55">
        <f>_xll.EQNXTDZ($A$1,$B66,S$5,$B$1)</f>
        <v>0</v>
      </c>
      <c r="T66" s="55">
        <f>_xll.EQNXTDZ($A$1,$B66,T$5,$B$1)</f>
        <v>58.42</v>
      </c>
      <c r="U66" s="55">
        <f>_xll.EQNXTDZ($A$1,$B66,U$5,$B$1)</f>
        <v>0</v>
      </c>
      <c r="V66" s="55">
        <f>_xll.EQNXTDZ($A$1,$B66,V$5,$B$1)</f>
        <v>87.49</v>
      </c>
      <c r="W66" s="55">
        <f>_xll.EQNXTDZ($A$1,$B66,W$5,$B$1)</f>
        <v>0</v>
      </c>
      <c r="X66" s="55">
        <f>_xll.EQNXTDZ($A$1,$B66,X$5,$B$1)</f>
        <v>88.59</v>
      </c>
      <c r="Y66" s="55">
        <f>_xll.EQNXTDZ($A$1,$B66,Y$5,$B$1)</f>
        <v>0</v>
      </c>
      <c r="Z66" s="55">
        <f>_xll.EQNXTDZ($A$1,$B66,Z$5,$B$1)</f>
        <v>100.09</v>
      </c>
      <c r="AA66" s="55">
        <f>_xll.EQNXTDZ($A$1,$B66,AA$5,$B$1)</f>
        <v>0</v>
      </c>
      <c r="AB66" s="55">
        <f>_xll.EQNXTDZ($A$1,$B66,AB$5,$B$1)</f>
        <v>78.59</v>
      </c>
      <c r="AC66" s="55">
        <f>_xll.EQNXTDZ($A$1,$B66,AC$5,$B$1)</f>
        <v>0</v>
      </c>
      <c r="AD66" s="55">
        <f>_xll.EQNXTDZ($A$1,$B66,AD$5,$B$1)</f>
        <v>105.96</v>
      </c>
      <c r="AE66" s="55">
        <f>_xll.EQNXTDZ($A$1,$B66,AE$5,$B$1)</f>
        <v>0</v>
      </c>
      <c r="AF66" s="55">
        <f>_xll.EQNXTDZ($A$1,$B66,AF$5,$B$1)</f>
        <v>106.1</v>
      </c>
      <c r="AG66" s="55">
        <f>_xll.EQNXTDZ($A$1,$B66,AG$5,$B$1)</f>
        <v>0</v>
      </c>
      <c r="AH66" s="55">
        <f>_xll.EQNXTDZ($A$1,$B66,AH$5,$B$1)</f>
        <v>146.79</v>
      </c>
      <c r="AI66" s="55">
        <f>_xll.EQNXTDZ($A$1,$B66,AI$5,$B$1)</f>
        <v>0</v>
      </c>
      <c r="AJ66" s="55">
        <f>_xll.EQNXTDZ($A$1,$B66,AJ$5,$B$1)</f>
        <v>159.4</v>
      </c>
      <c r="AK66" s="55">
        <f>_xll.EQNXTDZ($A$1,$B66,AK$5,$B$1)</f>
        <v>0</v>
      </c>
      <c r="AL66" s="55">
        <f>_xll.EQNXTDZ($A$1,$B66,AL$5,$B$1)</f>
        <v>67.48</v>
      </c>
      <c r="AM66" s="55">
        <f>_xll.EQNXTDZ($A$1,$B66,AM$5,$B$1)</f>
        <v>0</v>
      </c>
      <c r="AN66" s="55">
        <f>_xll.EQNXTDZ($A$1,$B66,AN$5,$B$1)</f>
        <v>125.72</v>
      </c>
      <c r="AO66" s="55">
        <f>_xll.EQNXTDZ($A$1,$B66,AO$5,$B$1)</f>
        <v>0</v>
      </c>
      <c r="AP66" s="55">
        <f>_xll.EQNXTDZ($A$1,$B66,AP$5,$B$1)</f>
        <v>52.08</v>
      </c>
      <c r="AQ66" s="55">
        <f>_xll.EQNXTDZ($A$1,$B66,AQ$5,$B$1)</f>
        <v>0</v>
      </c>
      <c r="AR66" s="55">
        <f>_xll.EQNXTDZ($A$1,$B66,AR$5,$B$1)</f>
        <v>28.44</v>
      </c>
      <c r="AS66" s="55">
        <f>_xll.EQNXTDZ($A$1,$B66,AS$5,$B$1)</f>
        <v>0</v>
      </c>
      <c r="AT66" s="55">
        <f>_xll.EQNXTDZ($A$1,$B66,AT$5,$B$1)</f>
        <v>44.61</v>
      </c>
      <c r="AU66" s="55">
        <f>_xll.EQNXTDZ($A$1,$B66,AU$5,$B$1)</f>
        <v>0</v>
      </c>
      <c r="AV66" s="55">
        <f>_xll.EQNXTDZ($A$1,$B66,AV$5,$B$1)</f>
        <v>28.16</v>
      </c>
      <c r="AW66" s="55">
        <f>_xll.EQNXTDZ($A$1,$B66,AW$5,$B$1)</f>
        <v>0</v>
      </c>
      <c r="AX66" s="55">
        <f>_xll.EQNXTDZ($A$1,$B66,AX$5,$B$1)</f>
        <v>36.5</v>
      </c>
      <c r="AY66" s="55">
        <f>_xll.EQNXTDZ($A$1,$B66,AY$5,$B$1)</f>
        <v>0</v>
      </c>
      <c r="AZ66" s="55">
        <f>_xll.EQNXTDZ($A$1,$B66,AZ$5,$B$1)</f>
        <v>21.52</v>
      </c>
      <c r="BA66" s="55">
        <f>_xll.EQNXTDZ($A$1,$B66,BA$5,$B$1)</f>
        <v>0</v>
      </c>
      <c r="BB66" s="55">
        <f>_xll.EQNXTDZ($A$1,$B66,BB$5,$B$1)</f>
        <v>24.65</v>
      </c>
      <c r="BC66" s="55">
        <f>_xll.EQNXTDZ($A$1,$B66,BC$5,$B$1)</f>
        <v>0</v>
      </c>
      <c r="BD66" s="55">
        <f>_xll.EQNXTDZ($A$1,$B66,BD$5,$B$1)</f>
        <v>23.59</v>
      </c>
      <c r="BE66" s="55">
        <f>_xll.EQNXTDZ($A$1,$B66,BE$5,$B$1)</f>
        <v>0</v>
      </c>
      <c r="BF66" s="55">
        <f>_xll.EQNXTDZ($A$1,$B66,BF$5,$B$1)</f>
        <v>31.14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4853.49</v>
      </c>
      <c r="E67" s="55">
        <f>_xll.EQNXTDZ($A$1,$B67,E$5,$B$1)</f>
        <v>0</v>
      </c>
      <c r="F67" s="55">
        <f>_xll.EQNXTDZ($A$1,$B67,F$5,$B$1)</f>
        <v>6845.7</v>
      </c>
      <c r="G67" s="55">
        <f>_xll.EQNXTDZ($A$1,$B67,G$5,$B$1)</f>
        <v>0</v>
      </c>
      <c r="H67" s="55">
        <f>_xll.EQNXTDZ($A$1,$B67,H$5,$B$1)</f>
        <v>5407.74</v>
      </c>
      <c r="I67" s="55">
        <f>_xll.EQNXTDZ($A$1,$B67,I$5,$B$1)</f>
        <v>0</v>
      </c>
      <c r="J67" s="55">
        <f>_xll.EQNXTDZ($A$1,$B67,J$5,$B$1)</f>
        <v>7443.53</v>
      </c>
      <c r="K67" s="55">
        <f>_xll.EQNXTDZ($A$1,$B67,K$5,$B$1)</f>
        <v>0</v>
      </c>
      <c r="L67" s="55">
        <f>_xll.EQNXTDZ($A$1,$B67,L$5,$B$1)</f>
        <v>5677.74</v>
      </c>
      <c r="M67" s="55">
        <f>_xll.EQNXTDZ($A$1,$B67,M$5,$B$1)</f>
        <v>0</v>
      </c>
      <c r="N67" s="55">
        <f>_xll.EQNXTDZ($A$1,$B67,N$5,$B$1)</f>
        <v>10182.620000000001</v>
      </c>
      <c r="O67" s="55">
        <f>_xll.EQNXTDZ($A$1,$B67,O$5,$B$1)</f>
        <v>0</v>
      </c>
      <c r="P67" s="55">
        <f>_xll.EQNXTDZ($A$1,$B67,P$5,$B$1)</f>
        <v>6733.6</v>
      </c>
      <c r="Q67" s="55">
        <f>_xll.EQNXTDZ($A$1,$B67,Q$5,$B$1)</f>
        <v>0</v>
      </c>
      <c r="R67" s="55">
        <f>_xll.EQNXTDZ($A$1,$B67,R$5,$B$1)</f>
        <v>9455.09</v>
      </c>
      <c r="S67" s="55">
        <f>_xll.EQNXTDZ($A$1,$B67,S$5,$B$1)</f>
        <v>0</v>
      </c>
      <c r="T67" s="55">
        <f>_xll.EQNXTDZ($A$1,$B67,T$5,$B$1)</f>
        <v>7451.03</v>
      </c>
      <c r="U67" s="55">
        <f>_xll.EQNXTDZ($A$1,$B67,U$5,$B$1)</f>
        <v>0</v>
      </c>
      <c r="V67" s="55">
        <f>_xll.EQNXTDZ($A$1,$B67,V$5,$B$1)</f>
        <v>8840.8799999999992</v>
      </c>
      <c r="W67" s="55">
        <f>_xll.EQNXTDZ($A$1,$B67,W$5,$B$1)</f>
        <v>0</v>
      </c>
      <c r="X67" s="55">
        <f>_xll.EQNXTDZ($A$1,$B67,X$5,$B$1)</f>
        <v>7768.77</v>
      </c>
      <c r="Y67" s="55">
        <f>_xll.EQNXTDZ($A$1,$B67,Y$5,$B$1)</f>
        <v>0</v>
      </c>
      <c r="Z67" s="55">
        <f>_xll.EQNXTDZ($A$1,$B67,Z$5,$B$1)</f>
        <v>8808.56</v>
      </c>
      <c r="AA67" s="55">
        <f>_xll.EQNXTDZ($A$1,$B67,AA$5,$B$1)</f>
        <v>0</v>
      </c>
      <c r="AB67" s="55">
        <f>_xll.EQNXTDZ($A$1,$B67,AB$5,$B$1)</f>
        <v>7946.76</v>
      </c>
      <c r="AC67" s="55">
        <f>_xll.EQNXTDZ($A$1,$B67,AC$5,$B$1)</f>
        <v>0</v>
      </c>
      <c r="AD67" s="55">
        <f>_xll.EQNXTDZ($A$1,$B67,AD$5,$B$1)</f>
        <v>8828.66</v>
      </c>
      <c r="AE67" s="55">
        <f>_xll.EQNXTDZ($A$1,$B67,AE$5,$B$1)</f>
        <v>0</v>
      </c>
      <c r="AF67" s="55">
        <f>_xll.EQNXTDZ($A$1,$B67,AF$5,$B$1)</f>
        <v>9054.6200000000008</v>
      </c>
      <c r="AG67" s="55">
        <f>_xll.EQNXTDZ($A$1,$B67,AG$5,$B$1)</f>
        <v>0</v>
      </c>
      <c r="AH67" s="55">
        <f>_xll.EQNXTDZ($A$1,$B67,AH$5,$B$1)</f>
        <v>9187.17</v>
      </c>
      <c r="AI67" s="55">
        <f>_xll.EQNXTDZ($A$1,$B67,AI$5,$B$1)</f>
        <v>0</v>
      </c>
      <c r="AJ67" s="55">
        <f>_xll.EQNXTDZ($A$1,$B67,AJ$5,$B$1)</f>
        <v>9000.26</v>
      </c>
      <c r="AK67" s="55">
        <f>_xll.EQNXTDZ($A$1,$B67,AK$5,$B$1)</f>
        <v>0</v>
      </c>
      <c r="AL67" s="55">
        <f>_xll.EQNXTDZ($A$1,$B67,AL$5,$B$1)</f>
        <v>9268.1299999999992</v>
      </c>
      <c r="AM67" s="55">
        <f>_xll.EQNXTDZ($A$1,$B67,AM$5,$B$1)</f>
        <v>0</v>
      </c>
      <c r="AN67" s="55">
        <f>_xll.EQNXTDZ($A$1,$B67,AN$5,$B$1)</f>
        <v>9377.15</v>
      </c>
      <c r="AO67" s="55">
        <f>_xll.EQNXTDZ($A$1,$B67,AO$5,$B$1)</f>
        <v>0</v>
      </c>
      <c r="AP67" s="55">
        <f>_xll.EQNXTDZ($A$1,$B67,AP$5,$B$1)</f>
        <v>9082.16</v>
      </c>
      <c r="AQ67" s="55">
        <f>_xll.EQNXTDZ($A$1,$B67,AQ$5,$B$1)</f>
        <v>0</v>
      </c>
      <c r="AR67" s="55">
        <f>_xll.EQNXTDZ($A$1,$B67,AR$5,$B$1)</f>
        <v>9142.32</v>
      </c>
      <c r="AS67" s="55">
        <f>_xll.EQNXTDZ($A$1,$B67,AS$5,$B$1)</f>
        <v>0</v>
      </c>
      <c r="AT67" s="55">
        <f>_xll.EQNXTDZ($A$1,$B67,AT$5,$B$1)</f>
        <v>9588.58</v>
      </c>
      <c r="AU67" s="55">
        <f>_xll.EQNXTDZ($A$1,$B67,AU$5,$B$1)</f>
        <v>0</v>
      </c>
      <c r="AV67" s="55">
        <f>_xll.EQNXTDZ($A$1,$B67,AV$5,$B$1)</f>
        <v>11269.95</v>
      </c>
      <c r="AW67" s="55">
        <f>_xll.EQNXTDZ($A$1,$B67,AW$5,$B$1)</f>
        <v>0</v>
      </c>
      <c r="AX67" s="55">
        <f>_xll.EQNXTDZ($A$1,$B67,AX$5,$B$1)</f>
        <v>11800.81</v>
      </c>
      <c r="AY67" s="55">
        <f>_xll.EQNXTDZ($A$1,$B67,AY$5,$B$1)</f>
        <v>0</v>
      </c>
      <c r="AZ67" s="55">
        <f>_xll.EQNXTDZ($A$1,$B67,AZ$5,$B$1)</f>
        <v>11882.89</v>
      </c>
      <c r="BA67" s="55">
        <f>_xll.EQNXTDZ($A$1,$B67,BA$5,$B$1)</f>
        <v>0</v>
      </c>
      <c r="BB67" s="55">
        <f>_xll.EQNXTDZ($A$1,$B67,BB$5,$B$1)</f>
        <v>12890.21</v>
      </c>
      <c r="BC67" s="55">
        <f>_xll.EQNXTDZ($A$1,$B67,BC$5,$B$1)</f>
        <v>0</v>
      </c>
      <c r="BD67" s="55">
        <f>_xll.EQNXTDZ($A$1,$B67,BD$5,$B$1)</f>
        <v>13715.35</v>
      </c>
      <c r="BE67" s="55">
        <f>_xll.EQNXTDZ($A$1,$B67,BE$5,$B$1)</f>
        <v>0</v>
      </c>
      <c r="BF67" s="55">
        <f>_xll.EQNXTDZ($A$1,$B67,BF$5,$B$1)</f>
        <v>14559.54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3190.18</v>
      </c>
      <c r="E68" s="55">
        <f>_xll.EQNXTDZ($A$1,$B68,E$5,$B$1)</f>
        <v>0</v>
      </c>
      <c r="F68" s="55">
        <f>_xll.EQNXTDZ($A$1,$B68,F$5,$B$1)</f>
        <v>5503.1</v>
      </c>
      <c r="G68" s="55">
        <f>_xll.EQNXTDZ($A$1,$B68,G$5,$B$1)</f>
        <v>0</v>
      </c>
      <c r="H68" s="55">
        <f>_xll.EQNXTDZ($A$1,$B68,H$5,$B$1)</f>
        <v>3740.19</v>
      </c>
      <c r="I68" s="55">
        <f>_xll.EQNXTDZ($A$1,$B68,I$5,$B$1)</f>
        <v>0</v>
      </c>
      <c r="J68" s="55">
        <f>_xll.EQNXTDZ($A$1,$B68,J$5,$B$1)</f>
        <v>6032.15</v>
      </c>
      <c r="K68" s="55">
        <f>_xll.EQNXTDZ($A$1,$B68,K$5,$B$1)</f>
        <v>0</v>
      </c>
      <c r="L68" s="55">
        <f>_xll.EQNXTDZ($A$1,$B68,L$5,$B$1)</f>
        <v>3754.65</v>
      </c>
      <c r="M68" s="55">
        <f>_xll.EQNXTDZ($A$1,$B68,M$5,$B$1)</f>
        <v>0</v>
      </c>
      <c r="N68" s="55">
        <f>_xll.EQNXTDZ($A$1,$B68,N$5,$B$1)</f>
        <v>8252.81</v>
      </c>
      <c r="O68" s="55">
        <f>_xll.EQNXTDZ($A$1,$B68,O$5,$B$1)</f>
        <v>0</v>
      </c>
      <c r="P68" s="55">
        <f>_xll.EQNXTDZ($A$1,$B68,P$5,$B$1)</f>
        <v>3917.3</v>
      </c>
      <c r="Q68" s="55">
        <f>_xll.EQNXTDZ($A$1,$B68,Q$5,$B$1)</f>
        <v>0</v>
      </c>
      <c r="R68" s="55">
        <f>_xll.EQNXTDZ($A$1,$B68,R$5,$B$1)</f>
        <v>7970.1</v>
      </c>
      <c r="S68" s="55">
        <f>_xll.EQNXTDZ($A$1,$B68,S$5,$B$1)</f>
        <v>0</v>
      </c>
      <c r="T68" s="55">
        <f>_xll.EQNXTDZ($A$1,$B68,T$5,$B$1)</f>
        <v>5667.06</v>
      </c>
      <c r="U68" s="55">
        <f>_xll.EQNXTDZ($A$1,$B68,U$5,$B$1)</f>
        <v>0</v>
      </c>
      <c r="V68" s="55">
        <f>_xll.EQNXTDZ($A$1,$B68,V$5,$B$1)</f>
        <v>7454.66</v>
      </c>
      <c r="W68" s="55">
        <f>_xll.EQNXTDZ($A$1,$B68,W$5,$B$1)</f>
        <v>0</v>
      </c>
      <c r="X68" s="55">
        <f>_xll.EQNXTDZ($A$1,$B68,X$5,$B$1)</f>
        <v>5671.33</v>
      </c>
      <c r="Y68" s="55">
        <f>_xll.EQNXTDZ($A$1,$B68,Y$5,$B$1)</f>
        <v>0</v>
      </c>
      <c r="Z68" s="55">
        <f>_xll.EQNXTDZ($A$1,$B68,Z$5,$B$1)</f>
        <v>7120.19</v>
      </c>
      <c r="AA68" s="55">
        <f>_xll.EQNXTDZ($A$1,$B68,AA$5,$B$1)</f>
        <v>0</v>
      </c>
      <c r="AB68" s="55">
        <f>_xll.EQNXTDZ($A$1,$B68,AB$5,$B$1)</f>
        <v>5560.2</v>
      </c>
      <c r="AC68" s="55">
        <f>_xll.EQNXTDZ($A$1,$B68,AC$5,$B$1)</f>
        <v>0</v>
      </c>
      <c r="AD68" s="55">
        <f>_xll.EQNXTDZ($A$1,$B68,AD$5,$B$1)</f>
        <v>7162.78</v>
      </c>
      <c r="AE68" s="55">
        <f>_xll.EQNXTDZ($A$1,$B68,AE$5,$B$1)</f>
        <v>0</v>
      </c>
      <c r="AF68" s="55">
        <f>_xll.EQNXTDZ($A$1,$B68,AF$5,$B$1)</f>
        <v>7029.67</v>
      </c>
      <c r="AG68" s="55">
        <f>_xll.EQNXTDZ($A$1,$B68,AG$5,$B$1)</f>
        <v>0</v>
      </c>
      <c r="AH68" s="55">
        <f>_xll.EQNXTDZ($A$1,$B68,AH$5,$B$1)</f>
        <v>7216.11</v>
      </c>
      <c r="AI68" s="55">
        <f>_xll.EQNXTDZ($A$1,$B68,AI$5,$B$1)</f>
        <v>0</v>
      </c>
      <c r="AJ68" s="55">
        <f>_xll.EQNXTDZ($A$1,$B68,AJ$5,$B$1)</f>
        <v>7098.55</v>
      </c>
      <c r="AK68" s="55">
        <f>_xll.EQNXTDZ($A$1,$B68,AK$5,$B$1)</f>
        <v>0</v>
      </c>
      <c r="AL68" s="55">
        <f>_xll.EQNXTDZ($A$1,$B68,AL$5,$B$1)</f>
        <v>7070.04</v>
      </c>
      <c r="AM68" s="55">
        <f>_xll.EQNXTDZ($A$1,$B68,AM$5,$B$1)</f>
        <v>0</v>
      </c>
      <c r="AN68" s="55">
        <f>_xll.EQNXTDZ($A$1,$B68,AN$5,$B$1)</f>
        <v>7028.87</v>
      </c>
      <c r="AO68" s="55">
        <f>_xll.EQNXTDZ($A$1,$B68,AO$5,$B$1)</f>
        <v>0</v>
      </c>
      <c r="AP68" s="55">
        <f>_xll.EQNXTDZ($A$1,$B68,AP$5,$B$1)</f>
        <v>7122.56</v>
      </c>
      <c r="AQ68" s="55">
        <f>_xll.EQNXTDZ($A$1,$B68,AQ$5,$B$1)</f>
        <v>0</v>
      </c>
      <c r="AR68" s="55">
        <f>_xll.EQNXTDZ($A$1,$B68,AR$5,$B$1)</f>
        <v>7105.27</v>
      </c>
      <c r="AS68" s="55">
        <f>_xll.EQNXTDZ($A$1,$B68,AS$5,$B$1)</f>
        <v>0</v>
      </c>
      <c r="AT68" s="55">
        <f>_xll.EQNXTDZ($A$1,$B68,AT$5,$B$1)</f>
        <v>7239.92</v>
      </c>
      <c r="AU68" s="55">
        <f>_xll.EQNXTDZ($A$1,$B68,AU$5,$B$1)</f>
        <v>0</v>
      </c>
      <c r="AV68" s="55">
        <f>_xll.EQNXTDZ($A$1,$B68,AV$5,$B$1)</f>
        <v>8532.06</v>
      </c>
      <c r="AW68" s="55">
        <f>_xll.EQNXTDZ($A$1,$B68,AW$5,$B$1)</f>
        <v>0</v>
      </c>
      <c r="AX68" s="55">
        <f>_xll.EQNXTDZ($A$1,$B68,AX$5,$B$1)</f>
        <v>8617.7199999999993</v>
      </c>
      <c r="AY68" s="55">
        <f>_xll.EQNXTDZ($A$1,$B68,AY$5,$B$1)</f>
        <v>0</v>
      </c>
      <c r="AZ68" s="55">
        <f>_xll.EQNXTDZ($A$1,$B68,AZ$5,$B$1)</f>
        <v>8560.61</v>
      </c>
      <c r="BA68" s="55">
        <f>_xll.EQNXTDZ($A$1,$B68,BA$5,$B$1)</f>
        <v>0</v>
      </c>
      <c r="BB68" s="55">
        <f>_xll.EQNXTDZ($A$1,$B68,BB$5,$B$1)</f>
        <v>9071.3700000000008</v>
      </c>
      <c r="BC68" s="55">
        <f>_xll.EQNXTDZ($A$1,$B68,BC$5,$B$1)</f>
        <v>0</v>
      </c>
      <c r="BD68" s="55">
        <f>_xll.EQNXTDZ($A$1,$B68,BD$5,$B$1)</f>
        <v>9274.7199999999993</v>
      </c>
      <c r="BE68" s="55">
        <f>_xll.EQNXTDZ($A$1,$B68,BE$5,$B$1)</f>
        <v>0</v>
      </c>
      <c r="BF68" s="55">
        <f>_xll.EQNXTDZ($A$1,$B68,BF$5,$B$1)</f>
        <v>9714.2000000000007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3190.18</v>
      </c>
      <c r="E71" s="55">
        <f>_xll.EQNXTDZ($A$1,$B71,E$5,$B$1)</f>
        <v>0</v>
      </c>
      <c r="F71" s="55">
        <f>_xll.EQNXTDZ($A$1,$B71,F$5,$B$1)</f>
        <v>5503.1</v>
      </c>
      <c r="G71" s="55">
        <f>_xll.EQNXTDZ($A$1,$B71,G$5,$B$1)</f>
        <v>0</v>
      </c>
      <c r="H71" s="55">
        <f>_xll.EQNXTDZ($A$1,$B71,H$5,$B$1)</f>
        <v>3740.19</v>
      </c>
      <c r="I71" s="55">
        <f>_xll.EQNXTDZ($A$1,$B71,I$5,$B$1)</f>
        <v>0</v>
      </c>
      <c r="J71" s="55">
        <f>_xll.EQNXTDZ($A$1,$B71,J$5,$B$1)</f>
        <v>6032.15</v>
      </c>
      <c r="K71" s="55">
        <f>_xll.EQNXTDZ($A$1,$B71,K$5,$B$1)</f>
        <v>0</v>
      </c>
      <c r="L71" s="55">
        <f>_xll.EQNXTDZ($A$1,$B71,L$5,$B$1)</f>
        <v>3754.65</v>
      </c>
      <c r="M71" s="55">
        <f>_xll.EQNXTDZ($A$1,$B71,M$5,$B$1)</f>
        <v>0</v>
      </c>
      <c r="N71" s="55">
        <f>_xll.EQNXTDZ($A$1,$B71,N$5,$B$1)</f>
        <v>8252.81</v>
      </c>
      <c r="O71" s="55">
        <f>_xll.EQNXTDZ($A$1,$B71,O$5,$B$1)</f>
        <v>0</v>
      </c>
      <c r="P71" s="55">
        <f>_xll.EQNXTDZ($A$1,$B71,P$5,$B$1)</f>
        <v>3917.3</v>
      </c>
      <c r="Q71" s="55">
        <f>_xll.EQNXTDZ($A$1,$B71,Q$5,$B$1)</f>
        <v>0</v>
      </c>
      <c r="R71" s="55">
        <f>_xll.EQNXTDZ($A$1,$B71,R$5,$B$1)</f>
        <v>7970.1</v>
      </c>
      <c r="S71" s="55">
        <f>_xll.EQNXTDZ($A$1,$B71,S$5,$B$1)</f>
        <v>0</v>
      </c>
      <c r="T71" s="55">
        <f>_xll.EQNXTDZ($A$1,$B71,T$5,$B$1)</f>
        <v>5667.06</v>
      </c>
      <c r="U71" s="55">
        <f>_xll.EQNXTDZ($A$1,$B71,U$5,$B$1)</f>
        <v>0</v>
      </c>
      <c r="V71" s="55">
        <f>_xll.EQNXTDZ($A$1,$B71,V$5,$B$1)</f>
        <v>7454.66</v>
      </c>
      <c r="W71" s="55">
        <f>_xll.EQNXTDZ($A$1,$B71,W$5,$B$1)</f>
        <v>0</v>
      </c>
      <c r="X71" s="55">
        <f>_xll.EQNXTDZ($A$1,$B71,X$5,$B$1)</f>
        <v>5671.33</v>
      </c>
      <c r="Y71" s="55">
        <f>_xll.EQNXTDZ($A$1,$B71,Y$5,$B$1)</f>
        <v>0</v>
      </c>
      <c r="Z71" s="55">
        <f>_xll.EQNXTDZ($A$1,$B71,Z$5,$B$1)</f>
        <v>7120.19</v>
      </c>
      <c r="AA71" s="55">
        <f>_xll.EQNXTDZ($A$1,$B71,AA$5,$B$1)</f>
        <v>0</v>
      </c>
      <c r="AB71" s="55">
        <f>_xll.EQNXTDZ($A$1,$B71,AB$5,$B$1)</f>
        <v>5560.2</v>
      </c>
      <c r="AC71" s="55">
        <f>_xll.EQNXTDZ($A$1,$B71,AC$5,$B$1)</f>
        <v>0</v>
      </c>
      <c r="AD71" s="55">
        <f>_xll.EQNXTDZ($A$1,$B71,AD$5,$B$1)</f>
        <v>7162.78</v>
      </c>
      <c r="AE71" s="55">
        <f>_xll.EQNXTDZ($A$1,$B71,AE$5,$B$1)</f>
        <v>0</v>
      </c>
      <c r="AF71" s="55">
        <f>_xll.EQNXTDZ($A$1,$B71,AF$5,$B$1)</f>
        <v>7029.67</v>
      </c>
      <c r="AG71" s="55">
        <f>_xll.EQNXTDZ($A$1,$B71,AG$5,$B$1)</f>
        <v>0</v>
      </c>
      <c r="AH71" s="55">
        <f>_xll.EQNXTDZ($A$1,$B71,AH$5,$B$1)</f>
        <v>7216.11</v>
      </c>
      <c r="AI71" s="55">
        <f>_xll.EQNXTDZ($A$1,$B71,AI$5,$B$1)</f>
        <v>0</v>
      </c>
      <c r="AJ71" s="55">
        <f>_xll.EQNXTDZ($A$1,$B71,AJ$5,$B$1)</f>
        <v>7098.55</v>
      </c>
      <c r="AK71" s="55">
        <f>_xll.EQNXTDZ($A$1,$B71,AK$5,$B$1)</f>
        <v>0</v>
      </c>
      <c r="AL71" s="55">
        <f>_xll.EQNXTDZ($A$1,$B71,AL$5,$B$1)</f>
        <v>7070.04</v>
      </c>
      <c r="AM71" s="55">
        <f>_xll.EQNXTDZ($A$1,$B71,AM$5,$B$1)</f>
        <v>0</v>
      </c>
      <c r="AN71" s="55">
        <f>_xll.EQNXTDZ($A$1,$B71,AN$5,$B$1)</f>
        <v>7028.87</v>
      </c>
      <c r="AO71" s="55">
        <f>_xll.EQNXTDZ($A$1,$B71,AO$5,$B$1)</f>
        <v>0</v>
      </c>
      <c r="AP71" s="55">
        <f>_xll.EQNXTDZ($A$1,$B71,AP$5,$B$1)</f>
        <v>7122.56</v>
      </c>
      <c r="AQ71" s="55">
        <f>_xll.EQNXTDZ($A$1,$B71,AQ$5,$B$1)</f>
        <v>0</v>
      </c>
      <c r="AR71" s="55">
        <f>_xll.EQNXTDZ($A$1,$B71,AR$5,$B$1)</f>
        <v>7105.27</v>
      </c>
      <c r="AS71" s="55">
        <f>_xll.EQNXTDZ($A$1,$B71,AS$5,$B$1)</f>
        <v>0</v>
      </c>
      <c r="AT71" s="55">
        <f>_xll.EQNXTDZ($A$1,$B71,AT$5,$B$1)</f>
        <v>7239.92</v>
      </c>
      <c r="AU71" s="55">
        <f>_xll.EQNXTDZ($A$1,$B71,AU$5,$B$1)</f>
        <v>0</v>
      </c>
      <c r="AV71" s="55">
        <f>_xll.EQNXTDZ($A$1,$B71,AV$5,$B$1)</f>
        <v>8532.06</v>
      </c>
      <c r="AW71" s="55">
        <f>_xll.EQNXTDZ($A$1,$B71,AW$5,$B$1)</f>
        <v>0</v>
      </c>
      <c r="AX71" s="55">
        <f>_xll.EQNXTDZ($A$1,$B71,AX$5,$B$1)</f>
        <v>8617.7199999999993</v>
      </c>
      <c r="AY71" s="55">
        <f>_xll.EQNXTDZ($A$1,$B71,AY$5,$B$1)</f>
        <v>0</v>
      </c>
      <c r="AZ71" s="55">
        <f>_xll.EQNXTDZ($A$1,$B71,AZ$5,$B$1)</f>
        <v>8560.61</v>
      </c>
      <c r="BA71" s="55">
        <f>_xll.EQNXTDZ($A$1,$B71,BA$5,$B$1)</f>
        <v>0</v>
      </c>
      <c r="BB71" s="55">
        <f>_xll.EQNXTDZ($A$1,$B71,BB$5,$B$1)</f>
        <v>9071.3700000000008</v>
      </c>
      <c r="BC71" s="55">
        <f>_xll.EQNXTDZ($A$1,$B71,BC$5,$B$1)</f>
        <v>0</v>
      </c>
      <c r="BD71" s="55">
        <f>_xll.EQNXTDZ($A$1,$B71,BD$5,$B$1)</f>
        <v>9274.7199999999993</v>
      </c>
      <c r="BE71" s="55">
        <f>_xll.EQNXTDZ($A$1,$B71,BE$5,$B$1)</f>
        <v>0</v>
      </c>
      <c r="BF71" s="55">
        <f>_xll.EQNXTDZ($A$1,$B71,BF$5,$B$1)</f>
        <v>9714.2000000000007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153.58000000000001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153.58000000000001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13.53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7.21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61.05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61.05</v>
      </c>
      <c r="AY72" s="55">
        <f>_xll.EQNXTDZ($A$1,$B72,AY$5,$B$1)</f>
        <v>0</v>
      </c>
      <c r="AZ72" s="55">
        <f>_xll.EQNXTDZ($A$1,$B72,AZ$5,$B$1)</f>
        <v>61.05</v>
      </c>
      <c r="BA72" s="55">
        <f>_xll.EQNXTDZ($A$1,$B72,BA$5,$B$1)</f>
        <v>0</v>
      </c>
      <c r="BB72" s="55">
        <f>_xll.EQNXTDZ($A$1,$B72,BB$5,$B$1)</f>
        <v>61.05</v>
      </c>
      <c r="BC72" s="55">
        <f>_xll.EQNXTDZ($A$1,$B72,BC$5,$B$1)</f>
        <v>0</v>
      </c>
      <c r="BD72" s="55">
        <f>_xll.EQNXTDZ($A$1,$B72,BD$5,$B$1)</f>
        <v>61.05</v>
      </c>
      <c r="BE72" s="55">
        <f>_xll.EQNXTDZ($A$1,$B72,BE$5,$B$1)</f>
        <v>0</v>
      </c>
      <c r="BF72" s="55">
        <f>_xll.EQNXTDZ($A$1,$B72,BF$5,$B$1)</f>
        <v>61.05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503.22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254.44</v>
      </c>
      <c r="S74" s="55">
        <f>_xll.EQNXTDZ($A$1,$B74,S$5,$B$1)</f>
        <v>0</v>
      </c>
      <c r="T74" s="55">
        <f>_xll.EQNXTDZ($A$1,$B74,T$5,$B$1)</f>
        <v>257.55</v>
      </c>
      <c r="U74" s="55">
        <f>_xll.EQNXTDZ($A$1,$B74,U$5,$B$1)</f>
        <v>0</v>
      </c>
      <c r="V74" s="55">
        <f>_xll.EQNXTDZ($A$1,$B74,V$5,$B$1)</f>
        <v>101.93</v>
      </c>
      <c r="W74" s="55">
        <f>_xll.EQNXTDZ($A$1,$B74,W$5,$B$1)</f>
        <v>0</v>
      </c>
      <c r="X74" s="55">
        <f>_xll.EQNXTDZ($A$1,$B74,X$5,$B$1)</f>
        <v>109.69</v>
      </c>
      <c r="Y74" s="55">
        <f>_xll.EQNXTDZ($A$1,$B74,Y$5,$B$1)</f>
        <v>0</v>
      </c>
      <c r="Z74" s="55">
        <f>_xll.EQNXTDZ($A$1,$B74,Z$5,$B$1)</f>
        <v>126.38</v>
      </c>
      <c r="AA74" s="55">
        <f>_xll.EQNXTDZ($A$1,$B74,AA$5,$B$1)</f>
        <v>0</v>
      </c>
      <c r="AB74" s="55">
        <f>_xll.EQNXTDZ($A$1,$B74,AB$5,$B$1)</f>
        <v>255.42</v>
      </c>
      <c r="AC74" s="55">
        <f>_xll.EQNXTDZ($A$1,$B74,AC$5,$B$1)</f>
        <v>0</v>
      </c>
      <c r="AD74" s="55">
        <f>_xll.EQNXTDZ($A$1,$B74,AD$5,$B$1)</f>
        <v>259.77999999999997</v>
      </c>
      <c r="AE74" s="55">
        <f>_xll.EQNXTDZ($A$1,$B74,AE$5,$B$1)</f>
        <v>0</v>
      </c>
      <c r="AF74" s="55">
        <f>_xll.EQNXTDZ($A$1,$B74,AF$5,$B$1)</f>
        <v>379.26</v>
      </c>
      <c r="AG74" s="55">
        <f>_xll.EQNXTDZ($A$1,$B74,AG$5,$B$1)</f>
        <v>0</v>
      </c>
      <c r="AH74" s="55">
        <f>_xll.EQNXTDZ($A$1,$B74,AH$5,$B$1)</f>
        <v>422.64</v>
      </c>
      <c r="AI74" s="55">
        <f>_xll.EQNXTDZ($A$1,$B74,AI$5,$B$1)</f>
        <v>0</v>
      </c>
      <c r="AJ74" s="55">
        <f>_xll.EQNXTDZ($A$1,$B74,AJ$5,$B$1)</f>
        <v>347.31</v>
      </c>
      <c r="AK74" s="55">
        <f>_xll.EQNXTDZ($A$1,$B74,AK$5,$B$1)</f>
        <v>0</v>
      </c>
      <c r="AL74" s="55">
        <f>_xll.EQNXTDZ($A$1,$B74,AL$5,$B$1)</f>
        <v>403.7</v>
      </c>
      <c r="AM74" s="55">
        <f>_xll.EQNXTDZ($A$1,$B74,AM$5,$B$1)</f>
        <v>0</v>
      </c>
      <c r="AN74" s="55">
        <f>_xll.EQNXTDZ($A$1,$B74,AN$5,$B$1)</f>
        <v>330.8</v>
      </c>
      <c r="AO74" s="55">
        <f>_xll.EQNXTDZ($A$1,$B74,AO$5,$B$1)</f>
        <v>0</v>
      </c>
      <c r="AP74" s="55">
        <f>_xll.EQNXTDZ($A$1,$B74,AP$5,$B$1)</f>
        <v>293.08999999999997</v>
      </c>
      <c r="AQ74" s="55">
        <f>_xll.EQNXTDZ($A$1,$B74,AQ$5,$B$1)</f>
        <v>0</v>
      </c>
      <c r="AR74" s="55">
        <f>_xll.EQNXTDZ($A$1,$B74,AR$5,$B$1)</f>
        <v>316.38</v>
      </c>
      <c r="AS74" s="55">
        <f>_xll.EQNXTDZ($A$1,$B74,AS$5,$B$1)</f>
        <v>0</v>
      </c>
      <c r="AT74" s="55">
        <f>_xll.EQNXTDZ($A$1,$B74,AT$5,$B$1)</f>
        <v>299.87</v>
      </c>
      <c r="AU74" s="55">
        <f>_xll.EQNXTDZ($A$1,$B74,AU$5,$B$1)</f>
        <v>0</v>
      </c>
      <c r="AV74" s="55">
        <f>_xll.EQNXTDZ($A$1,$B74,AV$5,$B$1)</f>
        <v>464.47</v>
      </c>
      <c r="AW74" s="55">
        <f>_xll.EQNXTDZ($A$1,$B74,AW$5,$B$1)</f>
        <v>0</v>
      </c>
      <c r="AX74" s="55">
        <f>_xll.EQNXTDZ($A$1,$B74,AX$5,$B$1)</f>
        <v>632.20000000000005</v>
      </c>
      <c r="AY74" s="55">
        <f>_xll.EQNXTDZ($A$1,$B74,AY$5,$B$1)</f>
        <v>0</v>
      </c>
      <c r="AZ74" s="55">
        <f>_xll.EQNXTDZ($A$1,$B74,AZ$5,$B$1)</f>
        <v>864.33</v>
      </c>
      <c r="BA74" s="55">
        <f>_xll.EQNXTDZ($A$1,$B74,BA$5,$B$1)</f>
        <v>0</v>
      </c>
      <c r="BB74" s="55">
        <f>_xll.EQNXTDZ($A$1,$B74,BB$5,$B$1)</f>
        <v>640.89</v>
      </c>
      <c r="BC74" s="55">
        <f>_xll.EQNXTDZ($A$1,$B74,BC$5,$B$1)</f>
        <v>0</v>
      </c>
      <c r="BD74" s="55">
        <f>_xll.EQNXTDZ($A$1,$B74,BD$5,$B$1)</f>
        <v>659.54</v>
      </c>
      <c r="BE74" s="55">
        <f>_xll.EQNXTDZ($A$1,$B74,BE$5,$B$1)</f>
        <v>0</v>
      </c>
      <c r="BF74" s="55">
        <f>_xll.EQNXTDZ($A$1,$B74,BF$5,$B$1)</f>
        <v>452.88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789.96</v>
      </c>
      <c r="E77" s="55">
        <f>_xll.EQNXTDZ($A$1,$B77,E$5,$B$1)</f>
        <v>0</v>
      </c>
      <c r="F77" s="55">
        <f>_xll.EQNXTDZ($A$1,$B77,F$5,$B$1)</f>
        <v>10.34</v>
      </c>
      <c r="G77" s="55">
        <f>_xll.EQNXTDZ($A$1,$B77,G$5,$B$1)</f>
        <v>0</v>
      </c>
      <c r="H77" s="55">
        <f>_xll.EQNXTDZ($A$1,$B77,H$5,$B$1)</f>
        <v>760.93</v>
      </c>
      <c r="I77" s="55">
        <f>_xll.EQNXTDZ($A$1,$B77,I$5,$B$1)</f>
        <v>0</v>
      </c>
      <c r="J77" s="55">
        <f>_xll.EQNXTDZ($A$1,$B77,J$5,$B$1)</f>
        <v>10.34</v>
      </c>
      <c r="K77" s="55">
        <f>_xll.EQNXTDZ($A$1,$B77,K$5,$B$1)</f>
        <v>0</v>
      </c>
      <c r="L77" s="55">
        <f>_xll.EQNXTDZ($A$1,$B77,L$5,$B$1)</f>
        <v>840.71</v>
      </c>
      <c r="M77" s="55">
        <f>_xll.EQNXTDZ($A$1,$B77,M$5,$B$1)</f>
        <v>0</v>
      </c>
      <c r="N77" s="55">
        <f>_xll.EQNXTDZ($A$1,$B77,N$5,$B$1)</f>
        <v>18.690000000000001</v>
      </c>
      <c r="O77" s="55">
        <f>_xll.EQNXTDZ($A$1,$B77,O$5,$B$1)</f>
        <v>0</v>
      </c>
      <c r="P77" s="55">
        <f>_xll.EQNXTDZ($A$1,$B77,P$5,$B$1)</f>
        <v>1052.93</v>
      </c>
      <c r="Q77" s="55">
        <f>_xll.EQNXTDZ($A$1,$B77,Q$5,$B$1)</f>
        <v>0</v>
      </c>
      <c r="R77" s="55">
        <f>_xll.EQNXTDZ($A$1,$B77,R$5,$B$1)</f>
        <v>26.32</v>
      </c>
      <c r="S77" s="55">
        <f>_xll.EQNXTDZ($A$1,$B77,S$5,$B$1)</f>
        <v>0</v>
      </c>
      <c r="T77" s="55">
        <f>_xll.EQNXTDZ($A$1,$B77,T$5,$B$1)</f>
        <v>601.23</v>
      </c>
      <c r="U77" s="55">
        <f>_xll.EQNXTDZ($A$1,$B77,U$5,$B$1)</f>
        <v>0</v>
      </c>
      <c r="V77" s="55">
        <f>_xll.EQNXTDZ($A$1,$B77,V$5,$B$1)</f>
        <v>117.24</v>
      </c>
      <c r="W77" s="55">
        <f>_xll.EQNXTDZ($A$1,$B77,W$5,$B$1)</f>
        <v>0</v>
      </c>
      <c r="X77" s="55">
        <f>_xll.EQNXTDZ($A$1,$B77,X$5,$B$1)</f>
        <v>618.88</v>
      </c>
      <c r="Y77" s="55">
        <f>_xll.EQNXTDZ($A$1,$B77,Y$5,$B$1)</f>
        <v>0</v>
      </c>
      <c r="Z77" s="55">
        <f>_xll.EQNXTDZ($A$1,$B77,Z$5,$B$1)</f>
        <v>108.9</v>
      </c>
      <c r="AA77" s="55">
        <f>_xll.EQNXTDZ($A$1,$B77,AA$5,$B$1)</f>
        <v>0</v>
      </c>
      <c r="AB77" s="55">
        <f>_xll.EQNXTDZ($A$1,$B77,AB$5,$B$1)</f>
        <v>655.49</v>
      </c>
      <c r="AC77" s="55">
        <f>_xll.EQNXTDZ($A$1,$B77,AC$5,$B$1)</f>
        <v>0</v>
      </c>
      <c r="AD77" s="55">
        <f>_xll.EQNXTDZ($A$1,$B77,AD$5,$B$1)</f>
        <v>188.62</v>
      </c>
      <c r="AE77" s="55">
        <f>_xll.EQNXTDZ($A$1,$B77,AE$5,$B$1)</f>
        <v>0</v>
      </c>
      <c r="AF77" s="55">
        <f>_xll.EQNXTDZ($A$1,$B77,AF$5,$B$1)</f>
        <v>186.85</v>
      </c>
      <c r="AG77" s="55">
        <f>_xll.EQNXTDZ($A$1,$B77,AG$5,$B$1)</f>
        <v>0</v>
      </c>
      <c r="AH77" s="55">
        <f>_xll.EQNXTDZ($A$1,$B77,AH$5,$B$1)</f>
        <v>126.01</v>
      </c>
      <c r="AI77" s="55">
        <f>_xll.EQNXTDZ($A$1,$B77,AI$5,$B$1)</f>
        <v>0</v>
      </c>
      <c r="AJ77" s="55">
        <f>_xll.EQNXTDZ($A$1,$B77,AJ$5,$B$1)</f>
        <v>127.72</v>
      </c>
      <c r="AK77" s="55">
        <f>_xll.EQNXTDZ($A$1,$B77,AK$5,$B$1)</f>
        <v>0</v>
      </c>
      <c r="AL77" s="55">
        <f>_xll.EQNXTDZ($A$1,$B77,AL$5,$B$1)</f>
        <v>132.88999999999999</v>
      </c>
      <c r="AM77" s="55">
        <f>_xll.EQNXTDZ($A$1,$B77,AM$5,$B$1)</f>
        <v>0</v>
      </c>
      <c r="AN77" s="55">
        <f>_xll.EQNXTDZ($A$1,$B77,AN$5,$B$1)</f>
        <v>136.27000000000001</v>
      </c>
      <c r="AO77" s="55">
        <f>_xll.EQNXTDZ($A$1,$B77,AO$5,$B$1)</f>
        <v>0</v>
      </c>
      <c r="AP77" s="55">
        <f>_xll.EQNXTDZ($A$1,$B77,AP$5,$B$1)</f>
        <v>213.17</v>
      </c>
      <c r="AQ77" s="55">
        <f>_xll.EQNXTDZ($A$1,$B77,AQ$5,$B$1)</f>
        <v>0</v>
      </c>
      <c r="AR77" s="55">
        <f>_xll.EQNXTDZ($A$1,$B77,AR$5,$B$1)</f>
        <v>239.45</v>
      </c>
      <c r="AS77" s="55">
        <f>_xll.EQNXTDZ($A$1,$B77,AS$5,$B$1)</f>
        <v>0</v>
      </c>
      <c r="AT77" s="55">
        <f>_xll.EQNXTDZ($A$1,$B77,AT$5,$B$1)</f>
        <v>169.66</v>
      </c>
      <c r="AU77" s="55">
        <f>_xll.EQNXTDZ($A$1,$B77,AU$5,$B$1)</f>
        <v>0</v>
      </c>
      <c r="AV77" s="55">
        <f>_xll.EQNXTDZ($A$1,$B77,AV$5,$B$1)</f>
        <v>246.97</v>
      </c>
      <c r="AW77" s="55">
        <f>_xll.EQNXTDZ($A$1,$B77,AW$5,$B$1)</f>
        <v>0</v>
      </c>
      <c r="AX77" s="55">
        <f>_xll.EQNXTDZ($A$1,$B77,AX$5,$B$1)</f>
        <v>174.02</v>
      </c>
      <c r="AY77" s="55">
        <f>_xll.EQNXTDZ($A$1,$B77,AY$5,$B$1)</f>
        <v>0</v>
      </c>
      <c r="AZ77" s="55">
        <f>_xll.EQNXTDZ($A$1,$B77,AZ$5,$B$1)</f>
        <v>146.38</v>
      </c>
      <c r="BA77" s="55">
        <f>_xll.EQNXTDZ($A$1,$B77,BA$5,$B$1)</f>
        <v>0</v>
      </c>
      <c r="BB77" s="55">
        <f>_xll.EQNXTDZ($A$1,$B77,BB$5,$B$1)</f>
        <v>166.07</v>
      </c>
      <c r="BC77" s="55">
        <f>_xll.EQNXTDZ($A$1,$B77,BC$5,$B$1)</f>
        <v>0</v>
      </c>
      <c r="BD77" s="55">
        <f>_xll.EQNXTDZ($A$1,$B77,BD$5,$B$1)</f>
        <v>191.95</v>
      </c>
      <c r="BE77" s="55">
        <f>_xll.EQNXTDZ($A$1,$B77,BE$5,$B$1)</f>
        <v>0</v>
      </c>
      <c r="BF77" s="55">
        <f>_xll.EQNXTDZ($A$1,$B77,BF$5,$B$1)</f>
        <v>92.7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249.98</v>
      </c>
      <c r="E78" s="55">
        <f>_xll.EQNXTDZ($A$1,$B78,E$5,$B$1)</f>
        <v>0</v>
      </c>
      <c r="F78" s="55">
        <f>_xll.EQNXTDZ($A$1,$B78,F$5,$B$1)</f>
        <v>213.72</v>
      </c>
      <c r="G78" s="55">
        <f>_xll.EQNXTDZ($A$1,$B78,G$5,$B$1)</f>
        <v>0</v>
      </c>
      <c r="H78" s="55">
        <f>_xll.EQNXTDZ($A$1,$B78,H$5,$B$1)</f>
        <v>232.96</v>
      </c>
      <c r="I78" s="55">
        <f>_xll.EQNXTDZ($A$1,$B78,I$5,$B$1)</f>
        <v>0</v>
      </c>
      <c r="J78" s="55">
        <f>_xll.EQNXTDZ($A$1,$B78,J$5,$B$1)</f>
        <v>208.03</v>
      </c>
      <c r="K78" s="55">
        <f>_xll.EQNXTDZ($A$1,$B78,K$5,$B$1)</f>
        <v>0</v>
      </c>
      <c r="L78" s="55">
        <f>_xll.EQNXTDZ($A$1,$B78,L$5,$B$1)</f>
        <v>287.64</v>
      </c>
      <c r="M78" s="55">
        <f>_xll.EQNXTDZ($A$1,$B78,M$5,$B$1)</f>
        <v>0</v>
      </c>
      <c r="N78" s="55">
        <f>_xll.EQNXTDZ($A$1,$B78,N$5,$B$1)</f>
        <v>158.13999999999999</v>
      </c>
      <c r="O78" s="55">
        <f>_xll.EQNXTDZ($A$1,$B78,O$5,$B$1)</f>
        <v>0</v>
      </c>
      <c r="P78" s="55">
        <f>_xll.EQNXTDZ($A$1,$B78,P$5,$B$1)</f>
        <v>325.52</v>
      </c>
      <c r="Q78" s="55">
        <f>_xll.EQNXTDZ($A$1,$B78,Q$5,$B$1)</f>
        <v>0</v>
      </c>
      <c r="R78" s="55">
        <f>_xll.EQNXTDZ($A$1,$B78,R$5,$B$1)</f>
        <v>157.01</v>
      </c>
      <c r="S78" s="55">
        <f>_xll.EQNXTDZ($A$1,$B78,S$5,$B$1)</f>
        <v>0</v>
      </c>
      <c r="T78" s="55">
        <f>_xll.EQNXTDZ($A$1,$B78,T$5,$B$1)</f>
        <v>159.57</v>
      </c>
      <c r="U78" s="55">
        <f>_xll.EQNXTDZ($A$1,$B78,U$5,$B$1)</f>
        <v>0</v>
      </c>
      <c r="V78" s="55">
        <f>_xll.EQNXTDZ($A$1,$B78,V$5,$B$1)</f>
        <v>302.08</v>
      </c>
      <c r="W78" s="55">
        <f>_xll.EQNXTDZ($A$1,$B78,W$5,$B$1)</f>
        <v>0</v>
      </c>
      <c r="X78" s="55">
        <f>_xll.EQNXTDZ($A$1,$B78,X$5,$B$1)</f>
        <v>186.77</v>
      </c>
      <c r="Y78" s="55">
        <f>_xll.EQNXTDZ($A$1,$B78,Y$5,$B$1)</f>
        <v>0</v>
      </c>
      <c r="Z78" s="55">
        <f>_xll.EQNXTDZ($A$1,$B78,Z$5,$B$1)</f>
        <v>274.93</v>
      </c>
      <c r="AA78" s="55">
        <f>_xll.EQNXTDZ($A$1,$B78,AA$5,$B$1)</f>
        <v>0</v>
      </c>
      <c r="AB78" s="55">
        <f>_xll.EQNXTDZ($A$1,$B78,AB$5,$B$1)</f>
        <v>218.32</v>
      </c>
      <c r="AC78" s="55">
        <f>_xll.EQNXTDZ($A$1,$B78,AC$5,$B$1)</f>
        <v>0</v>
      </c>
      <c r="AD78" s="55">
        <f>_xll.EQNXTDZ($A$1,$B78,AD$5,$B$1)</f>
        <v>507.58</v>
      </c>
      <c r="AE78" s="55">
        <f>_xll.EQNXTDZ($A$1,$B78,AE$5,$B$1)</f>
        <v>0</v>
      </c>
      <c r="AF78" s="55">
        <f>_xll.EQNXTDZ($A$1,$B78,AF$5,$B$1)</f>
        <v>512.52</v>
      </c>
      <c r="AG78" s="55">
        <f>_xll.EQNXTDZ($A$1,$B78,AG$5,$B$1)</f>
        <v>0</v>
      </c>
      <c r="AH78" s="55">
        <f>_xll.EQNXTDZ($A$1,$B78,AH$5,$B$1)</f>
        <v>508.4</v>
      </c>
      <c r="AI78" s="55">
        <f>_xll.EQNXTDZ($A$1,$B78,AI$5,$B$1)</f>
        <v>0</v>
      </c>
      <c r="AJ78" s="55">
        <f>_xll.EQNXTDZ($A$1,$B78,AJ$5,$B$1)</f>
        <v>549.13</v>
      </c>
      <c r="AK78" s="55">
        <f>_xll.EQNXTDZ($A$1,$B78,AK$5,$B$1)</f>
        <v>0</v>
      </c>
      <c r="AL78" s="55">
        <f>_xll.EQNXTDZ($A$1,$B78,AL$5,$B$1)</f>
        <v>341.15</v>
      </c>
      <c r="AM78" s="55">
        <f>_xll.EQNXTDZ($A$1,$B78,AM$5,$B$1)</f>
        <v>0</v>
      </c>
      <c r="AN78" s="55">
        <f>_xll.EQNXTDZ($A$1,$B78,AN$5,$B$1)</f>
        <v>688.93</v>
      </c>
      <c r="AO78" s="55">
        <f>_xll.EQNXTDZ($A$1,$B78,AO$5,$B$1)</f>
        <v>0</v>
      </c>
      <c r="AP78" s="55">
        <f>_xll.EQNXTDZ($A$1,$B78,AP$5,$B$1)</f>
        <v>198.2</v>
      </c>
      <c r="AQ78" s="55">
        <f>_xll.EQNXTDZ($A$1,$B78,AQ$5,$B$1)</f>
        <v>0</v>
      </c>
      <c r="AR78" s="55">
        <f>_xll.EQNXTDZ($A$1,$B78,AR$5,$B$1)</f>
        <v>70.02</v>
      </c>
      <c r="AS78" s="55">
        <f>_xll.EQNXTDZ($A$1,$B78,AS$5,$B$1)</f>
        <v>0</v>
      </c>
      <c r="AT78" s="55">
        <f>_xll.EQNXTDZ($A$1,$B78,AT$5,$B$1)</f>
        <v>35.659999999999997</v>
      </c>
      <c r="AU78" s="55">
        <f>_xll.EQNXTDZ($A$1,$B78,AU$5,$B$1)</f>
        <v>0</v>
      </c>
      <c r="AV78" s="55">
        <f>_xll.EQNXTDZ($A$1,$B78,AV$5,$B$1)</f>
        <v>60.06</v>
      </c>
      <c r="AW78" s="55">
        <f>_xll.EQNXTDZ($A$1,$B78,AW$5,$B$1)</f>
        <v>0</v>
      </c>
      <c r="AX78" s="55">
        <f>_xll.EQNXTDZ($A$1,$B78,AX$5,$B$1)</f>
        <v>81.22</v>
      </c>
      <c r="AY78" s="55">
        <f>_xll.EQNXTDZ($A$1,$B78,AY$5,$B$1)</f>
        <v>0</v>
      </c>
      <c r="AZ78" s="55">
        <f>_xll.EQNXTDZ($A$1,$B78,AZ$5,$B$1)</f>
        <v>86.17</v>
      </c>
      <c r="BA78" s="55">
        <f>_xll.EQNXTDZ($A$1,$B78,BA$5,$B$1)</f>
        <v>0</v>
      </c>
      <c r="BB78" s="55">
        <f>_xll.EQNXTDZ($A$1,$B78,BB$5,$B$1)</f>
        <v>58.63</v>
      </c>
      <c r="BC78" s="55">
        <f>_xll.EQNXTDZ($A$1,$B78,BC$5,$B$1)</f>
        <v>0</v>
      </c>
      <c r="BD78" s="55">
        <f>_xll.EQNXTDZ($A$1,$B78,BD$5,$B$1)</f>
        <v>73.31</v>
      </c>
      <c r="BE78" s="55">
        <f>_xll.EQNXTDZ($A$1,$B78,BE$5,$B$1)</f>
        <v>0</v>
      </c>
      <c r="BF78" s="55">
        <f>_xll.EQNXTDZ($A$1,$B78,BF$5,$B$1)</f>
        <v>77.790000000000006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22.68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219.73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222.32</v>
      </c>
      <c r="S79" s="55">
        <f>_xll.EQNXTDZ($A$1,$B79,S$5,$B$1)</f>
        <v>0</v>
      </c>
      <c r="T79" s="55">
        <f>_xll.EQNXTDZ($A$1,$B79,T$5,$B$1)</f>
        <v>69.37</v>
      </c>
      <c r="U79" s="55">
        <f>_xll.EQNXTDZ($A$1,$B79,U$5,$B$1)</f>
        <v>0</v>
      </c>
      <c r="V79" s="55">
        <f>_xll.EQNXTDZ($A$1,$B79,V$5,$B$1)</f>
        <v>200.36</v>
      </c>
      <c r="W79" s="55">
        <f>_xll.EQNXTDZ($A$1,$B79,W$5,$B$1)</f>
        <v>0</v>
      </c>
      <c r="X79" s="55">
        <f>_xll.EQNXTDZ($A$1,$B79,X$5,$B$1)</f>
        <v>57.87</v>
      </c>
      <c r="Y79" s="55">
        <f>_xll.EQNXTDZ($A$1,$B79,Y$5,$B$1)</f>
        <v>0</v>
      </c>
      <c r="Z79" s="55">
        <f>_xll.EQNXTDZ($A$1,$B79,Z$5,$B$1)</f>
        <v>227.14</v>
      </c>
      <c r="AA79" s="55">
        <f>_xll.EQNXTDZ($A$1,$B79,AA$5,$B$1)</f>
        <v>0</v>
      </c>
      <c r="AB79" s="55">
        <f>_xll.EQNXTDZ($A$1,$B79,AB$5,$B$1)</f>
        <v>85.62</v>
      </c>
      <c r="AC79" s="55">
        <f>_xll.EQNXTDZ($A$1,$B79,AC$5,$B$1)</f>
        <v>0</v>
      </c>
      <c r="AD79" s="55">
        <f>_xll.EQNXTDZ($A$1,$B79,AD$5,$B$1)</f>
        <v>232.96</v>
      </c>
      <c r="AE79" s="55">
        <f>_xll.EQNXTDZ($A$1,$B79,AE$5,$B$1)</f>
        <v>0</v>
      </c>
      <c r="AF79" s="55">
        <f>_xll.EQNXTDZ($A$1,$B79,AF$5,$B$1)</f>
        <v>416.44</v>
      </c>
      <c r="AG79" s="55">
        <f>_xll.EQNXTDZ($A$1,$B79,AG$5,$B$1)</f>
        <v>0</v>
      </c>
      <c r="AH79" s="55">
        <f>_xll.EQNXTDZ($A$1,$B79,AH$5,$B$1)</f>
        <v>990.36</v>
      </c>
      <c r="AI79" s="55">
        <f>_xll.EQNXTDZ($A$1,$B79,AI$5,$B$1)</f>
        <v>0</v>
      </c>
      <c r="AJ79" s="55">
        <f>_xll.EQNXTDZ($A$1,$B79,AJ$5,$B$1)</f>
        <v>1046.79</v>
      </c>
      <c r="AK79" s="55">
        <f>_xll.EQNXTDZ($A$1,$B79,AK$5,$B$1)</f>
        <v>0</v>
      </c>
      <c r="AL79" s="55">
        <f>_xll.EQNXTDZ($A$1,$B79,AL$5,$B$1)</f>
        <v>1150.31</v>
      </c>
      <c r="AM79" s="55">
        <f>_xll.EQNXTDZ($A$1,$B79,AM$5,$B$1)</f>
        <v>0</v>
      </c>
      <c r="AN79" s="55">
        <f>_xll.EQNXTDZ($A$1,$B79,AN$5,$B$1)</f>
        <v>1097.53</v>
      </c>
      <c r="AO79" s="55">
        <f>_xll.EQNXTDZ($A$1,$B79,AO$5,$B$1)</f>
        <v>0</v>
      </c>
      <c r="AP79" s="55">
        <f>_xll.EQNXTDZ($A$1,$B79,AP$5,$B$1)</f>
        <v>1349.08</v>
      </c>
      <c r="AQ79" s="55">
        <f>_xll.EQNXTDZ($A$1,$B79,AQ$5,$B$1)</f>
        <v>0</v>
      </c>
      <c r="AR79" s="55">
        <f>_xll.EQNXTDZ($A$1,$B79,AR$5,$B$1)</f>
        <v>1363.85</v>
      </c>
      <c r="AS79" s="55">
        <f>_xll.EQNXTDZ($A$1,$B79,AS$5,$B$1)</f>
        <v>0</v>
      </c>
      <c r="AT79" s="55">
        <f>_xll.EQNXTDZ($A$1,$B79,AT$5,$B$1)</f>
        <v>1173.27</v>
      </c>
      <c r="AU79" s="55">
        <f>_xll.EQNXTDZ($A$1,$B79,AU$5,$B$1)</f>
        <v>0</v>
      </c>
      <c r="AV79" s="55">
        <f>_xll.EQNXTDZ($A$1,$B79,AV$5,$B$1)</f>
        <v>1137.24</v>
      </c>
      <c r="AW79" s="55">
        <f>_xll.EQNXTDZ($A$1,$B79,AW$5,$B$1)</f>
        <v>0</v>
      </c>
      <c r="AX79" s="55">
        <f>_xll.EQNXTDZ($A$1,$B79,AX$5,$B$1)</f>
        <v>808.75</v>
      </c>
      <c r="AY79" s="55">
        <f>_xll.EQNXTDZ($A$1,$B79,AY$5,$B$1)</f>
        <v>0</v>
      </c>
      <c r="AZ79" s="55">
        <f>_xll.EQNXTDZ($A$1,$B79,AZ$5,$B$1)</f>
        <v>566.16</v>
      </c>
      <c r="BA79" s="55">
        <f>_xll.EQNXTDZ($A$1,$B79,BA$5,$B$1)</f>
        <v>0</v>
      </c>
      <c r="BB79" s="55">
        <f>_xll.EQNXTDZ($A$1,$B79,BB$5,$B$1)</f>
        <v>561.86</v>
      </c>
      <c r="BC79" s="55">
        <f>_xll.EQNXTDZ($A$1,$B79,BC$5,$B$1)</f>
        <v>0</v>
      </c>
      <c r="BD79" s="55">
        <f>_xll.EQNXTDZ($A$1,$B79,BD$5,$B$1)</f>
        <v>770.57</v>
      </c>
      <c r="BE79" s="55">
        <f>_xll.EQNXTDZ($A$1,$B79,BE$5,$B$1)</f>
        <v>0</v>
      </c>
      <c r="BF79" s="55">
        <f>_xll.EQNXTDZ($A$1,$B79,BF$5,$B$1)</f>
        <v>1200.74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143.19999999999999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64.25</v>
      </c>
      <c r="K80" s="55">
        <f>_xll.EQNXTDZ($A$1,$B80,K$5,$B$1)</f>
        <v>0</v>
      </c>
      <c r="L80" s="55">
        <f>_xll.EQNXTDZ($A$1,$B80,L$5,$B$1)</f>
        <v>50</v>
      </c>
      <c r="M80" s="55">
        <f>_xll.EQNXTDZ($A$1,$B80,M$5,$B$1)</f>
        <v>0</v>
      </c>
      <c r="N80" s="55">
        <f>_xll.EQNXTDZ($A$1,$B80,N$5,$B$1)</f>
        <v>289.88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127.3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1.81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1.34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1.77</v>
      </c>
      <c r="AE80" s="55">
        <f>_xll.EQNXTDZ($A$1,$B80,AE$5,$B$1)</f>
        <v>0</v>
      </c>
      <c r="AF80" s="55">
        <f>_xll.EQNXTDZ($A$1,$B80,AF$5,$B$1)</f>
        <v>6.21</v>
      </c>
      <c r="AG80" s="55">
        <f>_xll.EQNXTDZ($A$1,$B80,AG$5,$B$1)</f>
        <v>0</v>
      </c>
      <c r="AH80" s="55">
        <f>_xll.EQNXTDZ($A$1,$B80,AH$5,$B$1)</f>
        <v>2.79</v>
      </c>
      <c r="AI80" s="55">
        <f>_xll.EQNXTDZ($A$1,$B80,AI$5,$B$1)</f>
        <v>0</v>
      </c>
      <c r="AJ80" s="55">
        <f>_xll.EQNXTDZ($A$1,$B80,AJ$5,$B$1)</f>
        <v>20.09</v>
      </c>
      <c r="AK80" s="55">
        <f>_xll.EQNXTDZ($A$1,$B80,AK$5,$B$1)</f>
        <v>0</v>
      </c>
      <c r="AL80" s="55">
        <f>_xll.EQNXTDZ($A$1,$B80,AL$5,$B$1)</f>
        <v>65.23</v>
      </c>
      <c r="AM80" s="55">
        <f>_xll.EQNXTDZ($A$1,$B80,AM$5,$B$1)</f>
        <v>0</v>
      </c>
      <c r="AN80" s="55">
        <f>_xll.EQNXTDZ($A$1,$B80,AN$5,$B$1)</f>
        <v>3.49</v>
      </c>
      <c r="AO80" s="55">
        <f>_xll.EQNXTDZ($A$1,$B80,AO$5,$B$1)</f>
        <v>0</v>
      </c>
      <c r="AP80" s="55">
        <f>_xll.EQNXTDZ($A$1,$B80,AP$5,$B$1)</f>
        <v>10.38</v>
      </c>
      <c r="AQ80" s="55">
        <f>_xll.EQNXTDZ($A$1,$B80,AQ$5,$B$1)</f>
        <v>0</v>
      </c>
      <c r="AR80" s="55">
        <f>_xll.EQNXTDZ($A$1,$B80,AR$5,$B$1)</f>
        <v>9.7200000000000006</v>
      </c>
      <c r="AS80" s="55">
        <f>_xll.EQNXTDZ($A$1,$B80,AS$5,$B$1)</f>
        <v>0</v>
      </c>
      <c r="AT80" s="55">
        <f>_xll.EQNXTDZ($A$1,$B80,AT$5,$B$1)</f>
        <v>4.93</v>
      </c>
      <c r="AU80" s="55">
        <f>_xll.EQNXTDZ($A$1,$B80,AU$5,$B$1)</f>
        <v>0</v>
      </c>
      <c r="AV80" s="55">
        <f>_xll.EQNXTDZ($A$1,$B80,AV$5,$B$1)</f>
        <v>4.24</v>
      </c>
      <c r="AW80" s="55">
        <f>_xll.EQNXTDZ($A$1,$B80,AW$5,$B$1)</f>
        <v>0</v>
      </c>
      <c r="AX80" s="55">
        <f>_xll.EQNXTDZ($A$1,$B80,AX$5,$B$1)</f>
        <v>3.73</v>
      </c>
      <c r="AY80" s="55">
        <f>_xll.EQNXTDZ($A$1,$B80,AY$5,$B$1)</f>
        <v>0</v>
      </c>
      <c r="AZ80" s="55">
        <f>_xll.EQNXTDZ($A$1,$B80,AZ$5,$B$1)</f>
        <v>1.1499999999999999</v>
      </c>
      <c r="BA80" s="55">
        <f>_xll.EQNXTDZ($A$1,$B80,BA$5,$B$1)</f>
        <v>0</v>
      </c>
      <c r="BB80" s="55">
        <f>_xll.EQNXTDZ($A$1,$B80,BB$5,$B$1)</f>
        <v>1.8</v>
      </c>
      <c r="BC80" s="55">
        <f>_xll.EQNXTDZ($A$1,$B80,BC$5,$B$1)</f>
        <v>0</v>
      </c>
      <c r="BD80" s="55">
        <f>_xll.EQNXTDZ($A$1,$B80,BD$5,$B$1)</f>
        <v>5.17</v>
      </c>
      <c r="BE80" s="55">
        <f>_xll.EQNXTDZ($A$1,$B80,BE$5,$B$1)</f>
        <v>0</v>
      </c>
      <c r="BF80" s="55">
        <f>_xll.EQNXTDZ($A$1,$B80,BF$5,$B$1)</f>
        <v>12.3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1931.7</v>
      </c>
      <c r="E81" s="55">
        <f>_xll.EQNXTDZ($A$1,$B81,E$5,$B$1)</f>
        <v>0</v>
      </c>
      <c r="F81" s="55">
        <f>_xll.EQNXTDZ($A$1,$B81,F$5,$B$1)</f>
        <v>1785.88</v>
      </c>
      <c r="G81" s="55">
        <f>_xll.EQNXTDZ($A$1,$B81,G$5,$B$1)</f>
        <v>0</v>
      </c>
      <c r="H81" s="55">
        <f>_xll.EQNXTDZ($A$1,$B81,H$5,$B$1)</f>
        <v>1574.01</v>
      </c>
      <c r="I81" s="55">
        <f>_xll.EQNXTDZ($A$1,$B81,I$5,$B$1)</f>
        <v>0</v>
      </c>
      <c r="J81" s="55">
        <f>_xll.EQNXTDZ($A$1,$B81,J$5,$B$1)</f>
        <v>1919.06</v>
      </c>
      <c r="K81" s="55">
        <f>_xll.EQNXTDZ($A$1,$B81,K$5,$B$1)</f>
        <v>0</v>
      </c>
      <c r="L81" s="55">
        <f>_xll.EQNXTDZ($A$1,$B81,L$5,$B$1)</f>
        <v>1575.84</v>
      </c>
      <c r="M81" s="55">
        <f>_xll.EQNXTDZ($A$1,$B81,M$5,$B$1)</f>
        <v>0</v>
      </c>
      <c r="N81" s="55">
        <f>_xll.EQNXTDZ($A$1,$B81,N$5,$B$1)</f>
        <v>2988.1</v>
      </c>
      <c r="O81" s="55">
        <f>_xll.EQNXTDZ($A$1,$B81,O$5,$B$1)</f>
        <v>0</v>
      </c>
      <c r="P81" s="55">
        <f>_xll.EQNXTDZ($A$1,$B81,P$5,$B$1)</f>
        <v>2013.49</v>
      </c>
      <c r="Q81" s="55">
        <f>_xll.EQNXTDZ($A$1,$B81,Q$5,$B$1)</f>
        <v>0</v>
      </c>
      <c r="R81" s="55">
        <f>_xll.EQNXTDZ($A$1,$B81,R$5,$B$1)</f>
        <v>2465.62</v>
      </c>
      <c r="S81" s="55">
        <f>_xll.EQNXTDZ($A$1,$B81,S$5,$B$1)</f>
        <v>0</v>
      </c>
      <c r="T81" s="55">
        <f>_xll.EQNXTDZ($A$1,$B81,T$5,$B$1)</f>
        <v>1685.27</v>
      </c>
      <c r="U81" s="55">
        <f>_xll.EQNXTDZ($A$1,$B81,U$5,$B$1)</f>
        <v>0</v>
      </c>
      <c r="V81" s="55">
        <f>_xll.EQNXTDZ($A$1,$B81,V$5,$B$1)</f>
        <v>2309.84</v>
      </c>
      <c r="W81" s="55">
        <f>_xll.EQNXTDZ($A$1,$B81,W$5,$B$1)</f>
        <v>0</v>
      </c>
      <c r="X81" s="55">
        <f>_xll.EQNXTDZ($A$1,$B81,X$5,$B$1)</f>
        <v>1936.02</v>
      </c>
      <c r="Y81" s="55">
        <f>_xll.EQNXTDZ($A$1,$B81,Y$5,$B$1)</f>
        <v>0</v>
      </c>
      <c r="Z81" s="55">
        <f>_xll.EQNXTDZ($A$1,$B81,Z$5,$B$1)</f>
        <v>2463.11</v>
      </c>
      <c r="AA81" s="55">
        <f>_xll.EQNXTDZ($A$1,$B81,AA$5,$B$1)</f>
        <v>0</v>
      </c>
      <c r="AB81" s="55">
        <f>_xll.EQNXTDZ($A$1,$B81,AB$5,$B$1)</f>
        <v>2228.66</v>
      </c>
      <c r="AC81" s="55">
        <f>_xll.EQNXTDZ($A$1,$B81,AC$5,$B$1)</f>
        <v>0</v>
      </c>
      <c r="AD81" s="55">
        <f>_xll.EQNXTDZ($A$1,$B81,AD$5,$B$1)</f>
        <v>3187.49</v>
      </c>
      <c r="AE81" s="55">
        <f>_xll.EQNXTDZ($A$1,$B81,AE$5,$B$1)</f>
        <v>0</v>
      </c>
      <c r="AF81" s="55">
        <f>_xll.EQNXTDZ($A$1,$B81,AF$5,$B$1)</f>
        <v>3027.06</v>
      </c>
      <c r="AG81" s="55">
        <f>_xll.EQNXTDZ($A$1,$B81,AG$5,$B$1)</f>
        <v>0</v>
      </c>
      <c r="AH81" s="55">
        <f>_xll.EQNXTDZ($A$1,$B81,AH$5,$B$1)</f>
        <v>2687.25</v>
      </c>
      <c r="AI81" s="55">
        <f>_xll.EQNXTDZ($A$1,$B81,AI$5,$B$1)</f>
        <v>0</v>
      </c>
      <c r="AJ81" s="55">
        <f>_xll.EQNXTDZ($A$1,$B81,AJ$5,$B$1)</f>
        <v>2718.27</v>
      </c>
      <c r="AK81" s="55">
        <f>_xll.EQNXTDZ($A$1,$B81,AK$5,$B$1)</f>
        <v>0</v>
      </c>
      <c r="AL81" s="55">
        <f>_xll.EQNXTDZ($A$1,$B81,AL$5,$B$1)</f>
        <v>2918.58</v>
      </c>
      <c r="AM81" s="55">
        <f>_xll.EQNXTDZ($A$1,$B81,AM$5,$B$1)</f>
        <v>0</v>
      </c>
      <c r="AN81" s="55">
        <f>_xll.EQNXTDZ($A$1,$B81,AN$5,$B$1)</f>
        <v>3136.19</v>
      </c>
      <c r="AO81" s="55">
        <f>_xll.EQNXTDZ($A$1,$B81,AO$5,$B$1)</f>
        <v>0</v>
      </c>
      <c r="AP81" s="55">
        <f>_xll.EQNXTDZ($A$1,$B81,AP$5,$B$1)</f>
        <v>3755.51</v>
      </c>
      <c r="AQ81" s="55">
        <f>_xll.EQNXTDZ($A$1,$B81,AQ$5,$B$1)</f>
        <v>0</v>
      </c>
      <c r="AR81" s="55">
        <f>_xll.EQNXTDZ($A$1,$B81,AR$5,$B$1)</f>
        <v>4588.53</v>
      </c>
      <c r="AS81" s="55">
        <f>_xll.EQNXTDZ($A$1,$B81,AS$5,$B$1)</f>
        <v>0</v>
      </c>
      <c r="AT81" s="55">
        <f>_xll.EQNXTDZ($A$1,$B81,AT$5,$B$1)</f>
        <v>4104.82</v>
      </c>
      <c r="AU81" s="55">
        <f>_xll.EQNXTDZ($A$1,$B81,AU$5,$B$1)</f>
        <v>0</v>
      </c>
      <c r="AV81" s="55">
        <f>_xll.EQNXTDZ($A$1,$B81,AV$5,$B$1)</f>
        <v>4706.42</v>
      </c>
      <c r="AW81" s="55">
        <f>_xll.EQNXTDZ($A$1,$B81,AW$5,$B$1)</f>
        <v>0</v>
      </c>
      <c r="AX81" s="55">
        <f>_xll.EQNXTDZ($A$1,$B81,AX$5,$B$1)</f>
        <v>4895.28</v>
      </c>
      <c r="AY81" s="55">
        <f>_xll.EQNXTDZ($A$1,$B81,AY$5,$B$1)</f>
        <v>0</v>
      </c>
      <c r="AZ81" s="55">
        <f>_xll.EQNXTDZ($A$1,$B81,AZ$5,$B$1)</f>
        <v>5035.72</v>
      </c>
      <c r="BA81" s="55">
        <f>_xll.EQNXTDZ($A$1,$B81,BA$5,$B$1)</f>
        <v>0</v>
      </c>
      <c r="BB81" s="55">
        <f>_xll.EQNXTDZ($A$1,$B81,BB$5,$B$1)</f>
        <v>4920.51</v>
      </c>
      <c r="BC81" s="55">
        <f>_xll.EQNXTDZ($A$1,$B81,BC$5,$B$1)</f>
        <v>0</v>
      </c>
      <c r="BD81" s="55">
        <f>_xll.EQNXTDZ($A$1,$B81,BD$5,$B$1)</f>
        <v>5528.69</v>
      </c>
      <c r="BE81" s="55">
        <f>_xll.EQNXTDZ($A$1,$B81,BE$5,$B$1)</f>
        <v>0</v>
      </c>
      <c r="BF81" s="55">
        <f>_xll.EQNXTDZ($A$1,$B81,BF$5,$B$1)</f>
        <v>5267.29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1361.16</v>
      </c>
      <c r="E82" s="55">
        <f>_xll.EQNXTDZ($A$1,$B82,E$5,$B$1)</f>
        <v>0</v>
      </c>
      <c r="F82" s="55">
        <f>_xll.EQNXTDZ($A$1,$B82,F$5,$B$1)</f>
        <v>1678.68</v>
      </c>
      <c r="G82" s="55">
        <f>_xll.EQNXTDZ($A$1,$B82,G$5,$B$1)</f>
        <v>0</v>
      </c>
      <c r="H82" s="55">
        <f>_xll.EQNXTDZ($A$1,$B82,H$5,$B$1)</f>
        <v>1531.91</v>
      </c>
      <c r="I82" s="55">
        <f>_xll.EQNXTDZ($A$1,$B82,I$5,$B$1)</f>
        <v>0</v>
      </c>
      <c r="J82" s="55">
        <f>_xll.EQNXTDZ($A$1,$B82,J$5,$B$1)</f>
        <v>1744.67</v>
      </c>
      <c r="K82" s="55">
        <f>_xll.EQNXTDZ($A$1,$B82,K$5,$B$1)</f>
        <v>0</v>
      </c>
      <c r="L82" s="55">
        <f>_xll.EQNXTDZ($A$1,$B82,L$5,$B$1)</f>
        <v>1425.03</v>
      </c>
      <c r="M82" s="55">
        <f>_xll.EQNXTDZ($A$1,$B82,M$5,$B$1)</f>
        <v>0</v>
      </c>
      <c r="N82" s="55">
        <f>_xll.EQNXTDZ($A$1,$B82,N$5,$B$1)</f>
        <v>2041.89</v>
      </c>
      <c r="O82" s="55">
        <f>_xll.EQNXTDZ($A$1,$B82,O$5,$B$1)</f>
        <v>0</v>
      </c>
      <c r="P82" s="55">
        <f>_xll.EQNXTDZ($A$1,$B82,P$5,$B$1)</f>
        <v>1521.4</v>
      </c>
      <c r="Q82" s="55">
        <f>_xll.EQNXTDZ($A$1,$B82,Q$5,$B$1)</f>
        <v>0</v>
      </c>
      <c r="R82" s="55">
        <f>_xll.EQNXTDZ($A$1,$B82,R$5,$B$1)</f>
        <v>1745.67</v>
      </c>
      <c r="S82" s="55">
        <f>_xll.EQNXTDZ($A$1,$B82,S$5,$B$1)</f>
        <v>0</v>
      </c>
      <c r="T82" s="55">
        <f>_xll.EQNXTDZ($A$1,$B82,T$5,$B$1)</f>
        <v>1441.82</v>
      </c>
      <c r="U82" s="55">
        <f>_xll.EQNXTDZ($A$1,$B82,U$5,$B$1)</f>
        <v>0</v>
      </c>
      <c r="V82" s="55">
        <f>_xll.EQNXTDZ($A$1,$B82,V$5,$B$1)</f>
        <v>1370.43</v>
      </c>
      <c r="W82" s="55">
        <f>_xll.EQNXTDZ($A$1,$B82,W$5,$B$1)</f>
        <v>0</v>
      </c>
      <c r="X82" s="55">
        <f>_xll.EQNXTDZ($A$1,$B82,X$5,$B$1)</f>
        <v>1215.6099999999999</v>
      </c>
      <c r="Y82" s="55">
        <f>_xll.EQNXTDZ($A$1,$B82,Y$5,$B$1)</f>
        <v>0</v>
      </c>
      <c r="Z82" s="55">
        <f>_xll.EQNXTDZ($A$1,$B82,Z$5,$B$1)</f>
        <v>1929.79</v>
      </c>
      <c r="AA82" s="55">
        <f>_xll.EQNXTDZ($A$1,$B82,AA$5,$B$1)</f>
        <v>0</v>
      </c>
      <c r="AB82" s="55">
        <f>_xll.EQNXTDZ($A$1,$B82,AB$5,$B$1)</f>
        <v>1896.64</v>
      </c>
      <c r="AC82" s="55">
        <f>_xll.EQNXTDZ($A$1,$B82,AC$5,$B$1)</f>
        <v>0</v>
      </c>
      <c r="AD82" s="55">
        <f>_xll.EQNXTDZ($A$1,$B82,AD$5,$B$1)</f>
        <v>2212.61</v>
      </c>
      <c r="AE82" s="55">
        <f>_xll.EQNXTDZ($A$1,$B82,AE$5,$B$1)</f>
        <v>0</v>
      </c>
      <c r="AF82" s="55">
        <f>_xll.EQNXTDZ($A$1,$B82,AF$5,$B$1)</f>
        <v>1767.45</v>
      </c>
      <c r="AG82" s="55">
        <f>_xll.EQNXTDZ($A$1,$B82,AG$5,$B$1)</f>
        <v>0</v>
      </c>
      <c r="AH82" s="55">
        <f>_xll.EQNXTDZ($A$1,$B82,AH$5,$B$1)</f>
        <v>1863.87</v>
      </c>
      <c r="AI82" s="55">
        <f>_xll.EQNXTDZ($A$1,$B82,AI$5,$B$1)</f>
        <v>0</v>
      </c>
      <c r="AJ82" s="55">
        <f>_xll.EQNXTDZ($A$1,$B82,AJ$5,$B$1)</f>
        <v>1549.67</v>
      </c>
      <c r="AK82" s="55">
        <f>_xll.EQNXTDZ($A$1,$B82,AK$5,$B$1)</f>
        <v>0</v>
      </c>
      <c r="AL82" s="55">
        <f>_xll.EQNXTDZ($A$1,$B82,AL$5,$B$1)</f>
        <v>2125.19</v>
      </c>
      <c r="AM82" s="55">
        <f>_xll.EQNXTDZ($A$1,$B82,AM$5,$B$1)</f>
        <v>0</v>
      </c>
      <c r="AN82" s="55">
        <f>_xll.EQNXTDZ($A$1,$B82,AN$5,$B$1)</f>
        <v>1478.28</v>
      </c>
      <c r="AO82" s="55">
        <f>_xll.EQNXTDZ($A$1,$B82,AO$5,$B$1)</f>
        <v>0</v>
      </c>
      <c r="AP82" s="55">
        <f>_xll.EQNXTDZ($A$1,$B82,AP$5,$B$1)</f>
        <v>1805.77</v>
      </c>
      <c r="AQ82" s="55">
        <f>_xll.EQNXTDZ($A$1,$B82,AQ$5,$B$1)</f>
        <v>0</v>
      </c>
      <c r="AR82" s="55">
        <f>_xll.EQNXTDZ($A$1,$B82,AR$5,$B$1)</f>
        <v>2154.4299999999998</v>
      </c>
      <c r="AS82" s="55">
        <f>_xll.EQNXTDZ($A$1,$B82,AS$5,$B$1)</f>
        <v>0</v>
      </c>
      <c r="AT82" s="55">
        <f>_xll.EQNXTDZ($A$1,$B82,AT$5,$B$1)</f>
        <v>3562.91</v>
      </c>
      <c r="AU82" s="55">
        <f>_xll.EQNXTDZ($A$1,$B82,AU$5,$B$1)</f>
        <v>0</v>
      </c>
      <c r="AV82" s="55">
        <f>_xll.EQNXTDZ($A$1,$B82,AV$5,$B$1)</f>
        <v>3154.1</v>
      </c>
      <c r="AW82" s="55">
        <f>_xll.EQNXTDZ($A$1,$B82,AW$5,$B$1)</f>
        <v>0</v>
      </c>
      <c r="AX82" s="55">
        <f>_xll.EQNXTDZ($A$1,$B82,AX$5,$B$1)</f>
        <v>3469.5</v>
      </c>
      <c r="AY82" s="55">
        <f>_xll.EQNXTDZ($A$1,$B82,AY$5,$B$1)</f>
        <v>0</v>
      </c>
      <c r="AZ82" s="55">
        <f>_xll.EQNXTDZ($A$1,$B82,AZ$5,$B$1)</f>
        <v>3678.36</v>
      </c>
      <c r="BA82" s="55">
        <f>_xll.EQNXTDZ($A$1,$B82,BA$5,$B$1)</f>
        <v>0</v>
      </c>
      <c r="BB82" s="55">
        <f>_xll.EQNXTDZ($A$1,$B82,BB$5,$B$1)</f>
        <v>3563.82</v>
      </c>
      <c r="BC82" s="55">
        <f>_xll.EQNXTDZ($A$1,$B82,BC$5,$B$1)</f>
        <v>0</v>
      </c>
      <c r="BD82" s="55">
        <f>_xll.EQNXTDZ($A$1,$B82,BD$5,$B$1)</f>
        <v>3073.75</v>
      </c>
      <c r="BE82" s="55">
        <f>_xll.EQNXTDZ($A$1,$B82,BE$5,$B$1)</f>
        <v>0</v>
      </c>
      <c r="BF82" s="55">
        <f>_xll.EQNXTDZ($A$1,$B82,BF$5,$B$1)</f>
        <v>3093.55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73.03</v>
      </c>
      <c r="E83" s="55">
        <f>_xll.EQNXTDZ($A$1,$B83,E$5,$B$1)</f>
        <v>0</v>
      </c>
      <c r="F83" s="55">
        <f>_xll.EQNXTDZ($A$1,$B83,F$5,$B$1)</f>
        <v>289.70999999999998</v>
      </c>
      <c r="G83" s="55">
        <f>_xll.EQNXTDZ($A$1,$B83,G$5,$B$1)</f>
        <v>0</v>
      </c>
      <c r="H83" s="55">
        <f>_xll.EQNXTDZ($A$1,$B83,H$5,$B$1)</f>
        <v>53.48</v>
      </c>
      <c r="I83" s="55">
        <f>_xll.EQNXTDZ($A$1,$B83,I$5,$B$1)</f>
        <v>0</v>
      </c>
      <c r="J83" s="55">
        <f>_xll.EQNXTDZ($A$1,$B83,J$5,$B$1)</f>
        <v>142</v>
      </c>
      <c r="K83" s="55">
        <f>_xll.EQNXTDZ($A$1,$B83,K$5,$B$1)</f>
        <v>0</v>
      </c>
      <c r="L83" s="55">
        <f>_xll.EQNXTDZ($A$1,$B83,L$5,$B$1)</f>
        <v>62.45</v>
      </c>
      <c r="M83" s="55">
        <f>_xll.EQNXTDZ($A$1,$B83,M$5,$B$1)</f>
        <v>0</v>
      </c>
      <c r="N83" s="55">
        <f>_xll.EQNXTDZ($A$1,$B83,N$5,$B$1)</f>
        <v>333.14</v>
      </c>
      <c r="O83" s="55">
        <f>_xll.EQNXTDZ($A$1,$B83,O$5,$B$1)</f>
        <v>0</v>
      </c>
      <c r="P83" s="55">
        <f>_xll.EQNXTDZ($A$1,$B83,P$5,$B$1)</f>
        <v>58.03</v>
      </c>
      <c r="Q83" s="55">
        <f>_xll.EQNXTDZ($A$1,$B83,Q$5,$B$1)</f>
        <v>0</v>
      </c>
      <c r="R83" s="55">
        <f>_xll.EQNXTDZ($A$1,$B83,R$5,$B$1)</f>
        <v>208.38</v>
      </c>
      <c r="S83" s="55">
        <f>_xll.EQNXTDZ($A$1,$B83,S$5,$B$1)</f>
        <v>0</v>
      </c>
      <c r="T83" s="55">
        <f>_xll.EQNXTDZ($A$1,$B83,T$5,$B$1)</f>
        <v>26.03</v>
      </c>
      <c r="U83" s="55">
        <f>_xll.EQNXTDZ($A$1,$B83,U$5,$B$1)</f>
        <v>0</v>
      </c>
      <c r="V83" s="55">
        <f>_xll.EQNXTDZ($A$1,$B83,V$5,$B$1)</f>
        <v>132.4</v>
      </c>
      <c r="W83" s="55">
        <f>_xll.EQNXTDZ($A$1,$B83,W$5,$B$1)</f>
        <v>0</v>
      </c>
      <c r="X83" s="55">
        <f>_xll.EQNXTDZ($A$1,$B83,X$5,$B$1)</f>
        <v>72.3</v>
      </c>
      <c r="Y83" s="55">
        <f>_xll.EQNXTDZ($A$1,$B83,Y$5,$B$1)</f>
        <v>0</v>
      </c>
      <c r="Z83" s="55">
        <f>_xll.EQNXTDZ($A$1,$B83,Z$5,$B$1)</f>
        <v>143.69</v>
      </c>
      <c r="AA83" s="55">
        <f>_xll.EQNXTDZ($A$1,$B83,AA$5,$B$1)</f>
        <v>0</v>
      </c>
      <c r="AB83" s="55">
        <f>_xll.EQNXTDZ($A$1,$B83,AB$5,$B$1)</f>
        <v>72.03</v>
      </c>
      <c r="AC83" s="55">
        <f>_xll.EQNXTDZ($A$1,$B83,AC$5,$B$1)</f>
        <v>0</v>
      </c>
      <c r="AD83" s="55">
        <f>_xll.EQNXTDZ($A$1,$B83,AD$5,$B$1)</f>
        <v>231.52</v>
      </c>
      <c r="AE83" s="55">
        <f>_xll.EQNXTDZ($A$1,$B83,AE$5,$B$1)</f>
        <v>0</v>
      </c>
      <c r="AF83" s="55">
        <f>_xll.EQNXTDZ($A$1,$B83,AF$5,$B$1)</f>
        <v>203.3</v>
      </c>
      <c r="AG83" s="55">
        <f>_xll.EQNXTDZ($A$1,$B83,AG$5,$B$1)</f>
        <v>0</v>
      </c>
      <c r="AH83" s="55">
        <f>_xll.EQNXTDZ($A$1,$B83,AH$5,$B$1)</f>
        <v>342.11</v>
      </c>
      <c r="AI83" s="55">
        <f>_xll.EQNXTDZ($A$1,$B83,AI$5,$B$1)</f>
        <v>0</v>
      </c>
      <c r="AJ83" s="55">
        <f>_xll.EQNXTDZ($A$1,$B83,AJ$5,$B$1)</f>
        <v>335.82</v>
      </c>
      <c r="AK83" s="55">
        <f>_xll.EQNXTDZ($A$1,$B83,AK$5,$B$1)</f>
        <v>0</v>
      </c>
      <c r="AL83" s="55">
        <f>_xll.EQNXTDZ($A$1,$B83,AL$5,$B$1)</f>
        <v>723.58</v>
      </c>
      <c r="AM83" s="55">
        <f>_xll.EQNXTDZ($A$1,$B83,AM$5,$B$1)</f>
        <v>0</v>
      </c>
      <c r="AN83" s="55">
        <f>_xll.EQNXTDZ($A$1,$B83,AN$5,$B$1)</f>
        <v>566.30999999999995</v>
      </c>
      <c r="AO83" s="55">
        <f>_xll.EQNXTDZ($A$1,$B83,AO$5,$B$1)</f>
        <v>0</v>
      </c>
      <c r="AP83" s="55">
        <f>_xll.EQNXTDZ($A$1,$B83,AP$5,$B$1)</f>
        <v>672.5</v>
      </c>
      <c r="AQ83" s="55">
        <f>_xll.EQNXTDZ($A$1,$B83,AQ$5,$B$1)</f>
        <v>0</v>
      </c>
      <c r="AR83" s="55">
        <f>_xll.EQNXTDZ($A$1,$B83,AR$5,$B$1)</f>
        <v>396.5</v>
      </c>
      <c r="AS83" s="55">
        <f>_xll.EQNXTDZ($A$1,$B83,AS$5,$B$1)</f>
        <v>0</v>
      </c>
      <c r="AT83" s="55">
        <f>_xll.EQNXTDZ($A$1,$B83,AT$5,$B$1)</f>
        <v>213.22</v>
      </c>
      <c r="AU83" s="55">
        <f>_xll.EQNXTDZ($A$1,$B83,AU$5,$B$1)</f>
        <v>0</v>
      </c>
      <c r="AV83" s="55">
        <f>_xll.EQNXTDZ($A$1,$B83,AV$5,$B$1)</f>
        <v>275.06</v>
      </c>
      <c r="AW83" s="55">
        <f>_xll.EQNXTDZ($A$1,$B83,AW$5,$B$1)</f>
        <v>0</v>
      </c>
      <c r="AX83" s="55">
        <f>_xll.EQNXTDZ($A$1,$B83,AX$5,$B$1)</f>
        <v>894.62</v>
      </c>
      <c r="AY83" s="55">
        <f>_xll.EQNXTDZ($A$1,$B83,AY$5,$B$1)</f>
        <v>0</v>
      </c>
      <c r="AZ83" s="55">
        <f>_xll.EQNXTDZ($A$1,$B83,AZ$5,$B$1)</f>
        <v>725.99</v>
      </c>
      <c r="BA83" s="55">
        <f>_xll.EQNXTDZ($A$1,$B83,BA$5,$B$1)</f>
        <v>0</v>
      </c>
      <c r="BB83" s="55">
        <f>_xll.EQNXTDZ($A$1,$B83,BB$5,$B$1)</f>
        <v>770.29</v>
      </c>
      <c r="BC83" s="55">
        <f>_xll.EQNXTDZ($A$1,$B83,BC$5,$B$1)</f>
        <v>0</v>
      </c>
      <c r="BD83" s="55">
        <f>_xll.EQNXTDZ($A$1,$B83,BD$5,$B$1)</f>
        <v>204.97</v>
      </c>
      <c r="BE83" s="55">
        <f>_xll.EQNXTDZ($A$1,$B83,BE$5,$B$1)</f>
        <v>0</v>
      </c>
      <c r="BF83" s="55">
        <f>_xll.EQNXTDZ($A$1,$B83,BF$5,$B$1)</f>
        <v>543.02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9.49</v>
      </c>
      <c r="E84" s="55">
        <f>_xll.EQNXTDZ($A$1,$B84,E$5,$B$1)</f>
        <v>0</v>
      </c>
      <c r="F84" s="55">
        <f>_xll.EQNXTDZ($A$1,$B84,F$5,$B$1)</f>
        <v>5.93</v>
      </c>
      <c r="G84" s="55">
        <f>_xll.EQNXTDZ($A$1,$B84,G$5,$B$1)</f>
        <v>0</v>
      </c>
      <c r="H84" s="55">
        <f>_xll.EQNXTDZ($A$1,$B84,H$5,$B$1)</f>
        <v>2.4700000000000002</v>
      </c>
      <c r="I84" s="55">
        <f>_xll.EQNXTDZ($A$1,$B84,I$5,$B$1)</f>
        <v>0</v>
      </c>
      <c r="J84" s="55">
        <f>_xll.EQNXTDZ($A$1,$B84,J$5,$B$1)</f>
        <v>8.08</v>
      </c>
      <c r="K84" s="55">
        <f>_xll.EQNXTDZ($A$1,$B84,K$5,$B$1)</f>
        <v>0</v>
      </c>
      <c r="L84" s="55">
        <f>_xll.EQNXTDZ($A$1,$B84,L$5,$B$1)</f>
        <v>3.83</v>
      </c>
      <c r="M84" s="55">
        <f>_xll.EQNXTDZ($A$1,$B84,M$5,$B$1)</f>
        <v>0</v>
      </c>
      <c r="N84" s="55">
        <f>_xll.EQNXTDZ($A$1,$B84,N$5,$B$1)</f>
        <v>1175.17</v>
      </c>
      <c r="O84" s="55">
        <f>_xll.EQNXTDZ($A$1,$B84,O$5,$B$1)</f>
        <v>0</v>
      </c>
      <c r="P84" s="55">
        <f>_xll.EQNXTDZ($A$1,$B84,P$5,$B$1)</f>
        <v>5.08</v>
      </c>
      <c r="Q84" s="55">
        <f>_xll.EQNXTDZ($A$1,$B84,Q$5,$B$1)</f>
        <v>0</v>
      </c>
      <c r="R84" s="55">
        <f>_xll.EQNXTDZ($A$1,$B84,R$5,$B$1)</f>
        <v>940.11</v>
      </c>
      <c r="S84" s="55">
        <f>_xll.EQNXTDZ($A$1,$B84,S$5,$B$1)</f>
        <v>0</v>
      </c>
      <c r="T84" s="55">
        <f>_xll.EQNXTDZ($A$1,$B84,T$5,$B$1)</f>
        <v>599.38</v>
      </c>
      <c r="U84" s="55">
        <f>_xll.EQNXTDZ($A$1,$B84,U$5,$B$1)</f>
        <v>0</v>
      </c>
      <c r="V84" s="55">
        <f>_xll.EQNXTDZ($A$1,$B84,V$5,$B$1)</f>
        <v>702.07</v>
      </c>
      <c r="W84" s="55">
        <f>_xll.EQNXTDZ($A$1,$B84,W$5,$B$1)</f>
        <v>0</v>
      </c>
      <c r="X84" s="55">
        <f>_xll.EQNXTDZ($A$1,$B84,X$5,$B$1)</f>
        <v>482.66</v>
      </c>
      <c r="Y84" s="55">
        <f>_xll.EQNXTDZ($A$1,$B84,Y$5,$B$1)</f>
        <v>0</v>
      </c>
      <c r="Z84" s="55">
        <f>_xll.EQNXTDZ($A$1,$B84,Z$5,$B$1)</f>
        <v>609.32000000000005</v>
      </c>
      <c r="AA84" s="55">
        <f>_xll.EQNXTDZ($A$1,$B84,AA$5,$B$1)</f>
        <v>0</v>
      </c>
      <c r="AB84" s="55">
        <f>_xll.EQNXTDZ($A$1,$B84,AB$5,$B$1)</f>
        <v>459.36</v>
      </c>
      <c r="AC84" s="55">
        <f>_xll.EQNXTDZ($A$1,$B84,AC$5,$B$1)</f>
        <v>0</v>
      </c>
      <c r="AD84" s="55">
        <f>_xll.EQNXTDZ($A$1,$B84,AD$5,$B$1)</f>
        <v>680.37</v>
      </c>
      <c r="AE84" s="55">
        <f>_xll.EQNXTDZ($A$1,$B84,AE$5,$B$1)</f>
        <v>0</v>
      </c>
      <c r="AF84" s="55">
        <f>_xll.EQNXTDZ($A$1,$B84,AF$5,$B$1)</f>
        <v>778.07</v>
      </c>
      <c r="AG84" s="55">
        <f>_xll.EQNXTDZ($A$1,$B84,AG$5,$B$1)</f>
        <v>0</v>
      </c>
      <c r="AH84" s="55">
        <f>_xll.EQNXTDZ($A$1,$B84,AH$5,$B$1)</f>
        <v>863.29</v>
      </c>
      <c r="AI84" s="55">
        <f>_xll.EQNXTDZ($A$1,$B84,AI$5,$B$1)</f>
        <v>0</v>
      </c>
      <c r="AJ84" s="55">
        <f>_xll.EQNXTDZ($A$1,$B84,AJ$5,$B$1)</f>
        <v>1044.76</v>
      </c>
      <c r="AK84" s="55">
        <f>_xll.EQNXTDZ($A$1,$B84,AK$5,$B$1)</f>
        <v>0</v>
      </c>
      <c r="AL84" s="55">
        <f>_xll.EQNXTDZ($A$1,$B84,AL$5,$B$1)</f>
        <v>831</v>
      </c>
      <c r="AM84" s="55">
        <f>_xll.EQNXTDZ($A$1,$B84,AM$5,$B$1)</f>
        <v>0</v>
      </c>
      <c r="AN84" s="55">
        <f>_xll.EQNXTDZ($A$1,$B84,AN$5,$B$1)</f>
        <v>933.34</v>
      </c>
      <c r="AO84" s="55">
        <f>_xll.EQNXTDZ($A$1,$B84,AO$5,$B$1)</f>
        <v>0</v>
      </c>
      <c r="AP84" s="55">
        <f>_xll.EQNXTDZ($A$1,$B84,AP$5,$B$1)</f>
        <v>958.05</v>
      </c>
      <c r="AQ84" s="55">
        <f>_xll.EQNXTDZ($A$1,$B84,AQ$5,$B$1)</f>
        <v>0</v>
      </c>
      <c r="AR84" s="55">
        <f>_xll.EQNXTDZ($A$1,$B84,AR$5,$B$1)</f>
        <v>1015.28</v>
      </c>
      <c r="AS84" s="55">
        <f>_xll.EQNXTDZ($A$1,$B84,AS$5,$B$1)</f>
        <v>0</v>
      </c>
      <c r="AT84" s="55">
        <f>_xll.EQNXTDZ($A$1,$B84,AT$5,$B$1)</f>
        <v>925.81</v>
      </c>
      <c r="AU84" s="55">
        <f>_xll.EQNXTDZ($A$1,$B84,AU$5,$B$1)</f>
        <v>0</v>
      </c>
      <c r="AV84" s="55">
        <f>_xll.EQNXTDZ($A$1,$B84,AV$5,$B$1)</f>
        <v>1214.1500000000001</v>
      </c>
      <c r="AW84" s="55">
        <f>_xll.EQNXTDZ($A$1,$B84,AW$5,$B$1)</f>
        <v>0</v>
      </c>
      <c r="AX84" s="55">
        <f>_xll.EQNXTDZ($A$1,$B84,AX$5,$B$1)</f>
        <v>980.08</v>
      </c>
      <c r="AY84" s="55">
        <f>_xll.EQNXTDZ($A$1,$B84,AY$5,$B$1)</f>
        <v>0</v>
      </c>
      <c r="AZ84" s="55">
        <f>_xll.EQNXTDZ($A$1,$B84,AZ$5,$B$1)</f>
        <v>1005.61</v>
      </c>
      <c r="BA84" s="55">
        <f>_xll.EQNXTDZ($A$1,$B84,BA$5,$B$1)</f>
        <v>0</v>
      </c>
      <c r="BB84" s="55">
        <f>_xll.EQNXTDZ($A$1,$B84,BB$5,$B$1)</f>
        <v>797.22</v>
      </c>
      <c r="BC84" s="55">
        <f>_xll.EQNXTDZ($A$1,$B84,BC$5,$B$1)</f>
        <v>0</v>
      </c>
      <c r="BD84" s="55">
        <f>_xll.EQNXTDZ($A$1,$B84,BD$5,$B$1)</f>
        <v>1195</v>
      </c>
      <c r="BE84" s="55">
        <f>_xll.EQNXTDZ($A$1,$B84,BE$5,$B$1)</f>
        <v>0</v>
      </c>
      <c r="BF84" s="55">
        <f>_xll.EQNXTDZ($A$1,$B84,BF$5,$B$1)</f>
        <v>1017.69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885.96</v>
      </c>
      <c r="E85" s="55">
        <f>_xll.EQNXTDZ($A$1,$B85,E$5,$B$1)</f>
        <v>0</v>
      </c>
      <c r="F85" s="55">
        <f>_xll.EQNXTDZ($A$1,$B85,F$5,$B$1)</f>
        <v>928.74</v>
      </c>
      <c r="G85" s="55">
        <f>_xll.EQNXTDZ($A$1,$B85,G$5,$B$1)</f>
        <v>0</v>
      </c>
      <c r="H85" s="55">
        <f>_xll.EQNXTDZ($A$1,$B85,H$5,$B$1)</f>
        <v>918.34</v>
      </c>
      <c r="I85" s="55">
        <f>_xll.EQNXTDZ($A$1,$B85,I$5,$B$1)</f>
        <v>0</v>
      </c>
      <c r="J85" s="55">
        <f>_xll.EQNXTDZ($A$1,$B85,J$5,$B$1)</f>
        <v>1133.6400000000001</v>
      </c>
      <c r="K85" s="55">
        <f>_xll.EQNXTDZ($A$1,$B85,K$5,$B$1)</f>
        <v>0</v>
      </c>
      <c r="L85" s="55">
        <f>_xll.EQNXTDZ($A$1,$B85,L$5,$B$1)</f>
        <v>1192.28</v>
      </c>
      <c r="M85" s="55">
        <f>_xll.EQNXTDZ($A$1,$B85,M$5,$B$1)</f>
        <v>0</v>
      </c>
      <c r="N85" s="55">
        <f>_xll.EQNXTDZ($A$1,$B85,N$5,$B$1)</f>
        <v>5.13</v>
      </c>
      <c r="O85" s="55">
        <f>_xll.EQNXTDZ($A$1,$B85,O$5,$B$1)</f>
        <v>0</v>
      </c>
      <c r="P85" s="55">
        <f>_xll.EQNXTDZ($A$1,$B85,P$5,$B$1)</f>
        <v>1937.11</v>
      </c>
      <c r="Q85" s="55">
        <f>_xll.EQNXTDZ($A$1,$B85,Q$5,$B$1)</f>
        <v>0</v>
      </c>
      <c r="R85" s="55">
        <f>_xll.EQNXTDZ($A$1,$B85,R$5,$B$1)</f>
        <v>221.41</v>
      </c>
      <c r="S85" s="55">
        <f>_xll.EQNXTDZ($A$1,$B85,S$5,$B$1)</f>
        <v>0</v>
      </c>
      <c r="T85" s="55">
        <f>_xll.EQNXTDZ($A$1,$B85,T$5,$B$1)</f>
        <v>609.80999999999995</v>
      </c>
      <c r="U85" s="55">
        <f>_xll.EQNXTDZ($A$1,$B85,U$5,$B$1)</f>
        <v>0</v>
      </c>
      <c r="V85" s="55">
        <f>_xll.EQNXTDZ($A$1,$B85,V$5,$B$1)</f>
        <v>163.05000000000001</v>
      </c>
      <c r="W85" s="55">
        <f>_xll.EQNXTDZ($A$1,$B85,W$5,$B$1)</f>
        <v>0</v>
      </c>
      <c r="X85" s="55">
        <f>_xll.EQNXTDZ($A$1,$B85,X$5,$B$1)</f>
        <v>990.25</v>
      </c>
      <c r="Y85" s="55">
        <f>_xll.EQNXTDZ($A$1,$B85,Y$5,$B$1)</f>
        <v>0</v>
      </c>
      <c r="Z85" s="55">
        <f>_xll.EQNXTDZ($A$1,$B85,Z$5,$B$1)</f>
        <v>191.72</v>
      </c>
      <c r="AA85" s="55">
        <f>_xll.EQNXTDZ($A$1,$B85,AA$5,$B$1)</f>
        <v>0</v>
      </c>
      <c r="AB85" s="55">
        <f>_xll.EQNXTDZ($A$1,$B85,AB$5,$B$1)</f>
        <v>1108.9000000000001</v>
      </c>
      <c r="AC85" s="55">
        <f>_xll.EQNXTDZ($A$1,$B85,AC$5,$B$1)</f>
        <v>0</v>
      </c>
      <c r="AD85" s="55">
        <f>_xll.EQNXTDZ($A$1,$B85,AD$5,$B$1)</f>
        <v>115.99</v>
      </c>
      <c r="AE85" s="55">
        <f>_xll.EQNXTDZ($A$1,$B85,AE$5,$B$1)</f>
        <v>0</v>
      </c>
      <c r="AF85" s="55">
        <f>_xll.EQNXTDZ($A$1,$B85,AF$5,$B$1)</f>
        <v>101.09</v>
      </c>
      <c r="AG85" s="55">
        <f>_xll.EQNXTDZ($A$1,$B85,AG$5,$B$1)</f>
        <v>0</v>
      </c>
      <c r="AH85" s="55">
        <f>_xll.EQNXTDZ($A$1,$B85,AH$5,$B$1)</f>
        <v>58.8</v>
      </c>
      <c r="AI85" s="55">
        <f>_xll.EQNXTDZ($A$1,$B85,AI$5,$B$1)</f>
        <v>0</v>
      </c>
      <c r="AJ85" s="55">
        <f>_xll.EQNXTDZ($A$1,$B85,AJ$5,$B$1)</f>
        <v>60.52</v>
      </c>
      <c r="AK85" s="55">
        <f>_xll.EQNXTDZ($A$1,$B85,AK$5,$B$1)</f>
        <v>0</v>
      </c>
      <c r="AL85" s="55">
        <f>_xll.EQNXTDZ($A$1,$B85,AL$5,$B$1)</f>
        <v>53.5</v>
      </c>
      <c r="AM85" s="55">
        <f>_xll.EQNXTDZ($A$1,$B85,AM$5,$B$1)</f>
        <v>0</v>
      </c>
      <c r="AN85" s="55">
        <f>_xll.EQNXTDZ($A$1,$B85,AN$5,$B$1)</f>
        <v>92.51</v>
      </c>
      <c r="AO85" s="55">
        <f>_xll.EQNXTDZ($A$1,$B85,AO$5,$B$1)</f>
        <v>0</v>
      </c>
      <c r="AP85" s="55">
        <f>_xll.EQNXTDZ($A$1,$B85,AP$5,$B$1)</f>
        <v>64.900000000000006</v>
      </c>
      <c r="AQ85" s="55">
        <f>_xll.EQNXTDZ($A$1,$B85,AQ$5,$B$1)</f>
        <v>0</v>
      </c>
      <c r="AR85" s="55">
        <f>_xll.EQNXTDZ($A$1,$B85,AR$5,$B$1)</f>
        <v>68.48</v>
      </c>
      <c r="AS85" s="55">
        <f>_xll.EQNXTDZ($A$1,$B85,AS$5,$B$1)</f>
        <v>0</v>
      </c>
      <c r="AT85" s="55">
        <f>_xll.EQNXTDZ($A$1,$B85,AT$5,$B$1)</f>
        <v>91.7</v>
      </c>
      <c r="AU85" s="55">
        <f>_xll.EQNXTDZ($A$1,$B85,AU$5,$B$1)</f>
        <v>0</v>
      </c>
      <c r="AV85" s="55">
        <f>_xll.EQNXTDZ($A$1,$B85,AV$5,$B$1)</f>
        <v>90.04</v>
      </c>
      <c r="AW85" s="55">
        <f>_xll.EQNXTDZ($A$1,$B85,AW$5,$B$1)</f>
        <v>0</v>
      </c>
      <c r="AX85" s="55">
        <f>_xll.EQNXTDZ($A$1,$B85,AX$5,$B$1)</f>
        <v>60.55</v>
      </c>
      <c r="AY85" s="55">
        <f>_xll.EQNXTDZ($A$1,$B85,AY$5,$B$1)</f>
        <v>0</v>
      </c>
      <c r="AZ85" s="55">
        <f>_xll.EQNXTDZ($A$1,$B85,AZ$5,$B$1)</f>
        <v>54.35</v>
      </c>
      <c r="BA85" s="55">
        <f>_xll.EQNXTDZ($A$1,$B85,BA$5,$B$1)</f>
        <v>0</v>
      </c>
      <c r="BB85" s="55">
        <f>_xll.EQNXTDZ($A$1,$B85,BB$5,$B$1)</f>
        <v>51.78</v>
      </c>
      <c r="BC85" s="55">
        <f>_xll.EQNXTDZ($A$1,$B85,BC$5,$B$1)</f>
        <v>0</v>
      </c>
      <c r="BD85" s="55">
        <f>_xll.EQNXTDZ($A$1,$B85,BD$5,$B$1)</f>
        <v>40.18</v>
      </c>
      <c r="BE85" s="55">
        <f>_xll.EQNXTDZ($A$1,$B85,BE$5,$B$1)</f>
        <v>0</v>
      </c>
      <c r="BF85" s="55">
        <f>_xll.EQNXTDZ($A$1,$B85,BF$5,$B$1)</f>
        <v>38.72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4261.34</v>
      </c>
      <c r="E86" s="55">
        <f>_xll.EQNXTDZ($A$1,$B86,E$5,$B$1)</f>
        <v>0</v>
      </c>
      <c r="F86" s="55">
        <f>_xll.EQNXTDZ($A$1,$B86,F$5,$B$1)</f>
        <v>4832.1400000000003</v>
      </c>
      <c r="G86" s="55">
        <f>_xll.EQNXTDZ($A$1,$B86,G$5,$B$1)</f>
        <v>0</v>
      </c>
      <c r="H86" s="55">
        <f>_xll.EQNXTDZ($A$1,$B86,H$5,$B$1)</f>
        <v>4080.21</v>
      </c>
      <c r="I86" s="55">
        <f>_xll.EQNXTDZ($A$1,$B86,I$5,$B$1)</f>
        <v>0</v>
      </c>
      <c r="J86" s="55">
        <f>_xll.EQNXTDZ($A$1,$B86,J$5,$B$1)</f>
        <v>5011.7</v>
      </c>
      <c r="K86" s="55">
        <f>_xll.EQNXTDZ($A$1,$B86,K$5,$B$1)</f>
        <v>0</v>
      </c>
      <c r="L86" s="55">
        <f>_xll.EQNXTDZ($A$1,$B86,L$5,$B$1)</f>
        <v>4309.43</v>
      </c>
      <c r="M86" s="55">
        <f>_xll.EQNXTDZ($A$1,$B86,M$5,$B$1)</f>
        <v>0</v>
      </c>
      <c r="N86" s="55">
        <f>_xll.EQNXTDZ($A$1,$B86,N$5,$B$1)</f>
        <v>6833.31</v>
      </c>
      <c r="O86" s="55">
        <f>_xll.EQNXTDZ($A$1,$B86,O$5,$B$1)</f>
        <v>0</v>
      </c>
      <c r="P86" s="55">
        <f>_xll.EQNXTDZ($A$1,$B86,P$5,$B$1)</f>
        <v>5535.11</v>
      </c>
      <c r="Q86" s="55">
        <f>_xll.EQNXTDZ($A$1,$B86,Q$5,$B$1)</f>
        <v>0</v>
      </c>
      <c r="R86" s="55">
        <f>_xll.EQNXTDZ($A$1,$B86,R$5,$B$1)</f>
        <v>5708.49</v>
      </c>
      <c r="S86" s="55">
        <f>_xll.EQNXTDZ($A$1,$B86,S$5,$B$1)</f>
        <v>0</v>
      </c>
      <c r="T86" s="55">
        <f>_xll.EQNXTDZ($A$1,$B86,T$5,$B$1)</f>
        <v>4362.3100000000004</v>
      </c>
      <c r="U86" s="55">
        <f>_xll.EQNXTDZ($A$1,$B86,U$5,$B$1)</f>
        <v>0</v>
      </c>
      <c r="V86" s="55">
        <f>_xll.EQNXTDZ($A$1,$B86,V$5,$B$1)</f>
        <v>4679.6000000000004</v>
      </c>
      <c r="W86" s="55">
        <f>_xll.EQNXTDZ($A$1,$B86,W$5,$B$1)</f>
        <v>0</v>
      </c>
      <c r="X86" s="55">
        <f>_xll.EQNXTDZ($A$1,$B86,X$5,$B$1)</f>
        <v>4696.84</v>
      </c>
      <c r="Y86" s="55">
        <f>_xll.EQNXTDZ($A$1,$B86,Y$5,$B$1)</f>
        <v>0</v>
      </c>
      <c r="Z86" s="55">
        <f>_xll.EQNXTDZ($A$1,$B86,Z$5,$B$1)</f>
        <v>5338.97</v>
      </c>
      <c r="AA86" s="55">
        <f>_xll.EQNXTDZ($A$1,$B86,AA$5,$B$1)</f>
        <v>0</v>
      </c>
      <c r="AB86" s="55">
        <f>_xll.EQNXTDZ($A$1,$B86,AB$5,$B$1)</f>
        <v>5765.59</v>
      </c>
      <c r="AC86" s="55">
        <f>_xll.EQNXTDZ($A$1,$B86,AC$5,$B$1)</f>
        <v>0</v>
      </c>
      <c r="AD86" s="55">
        <f>_xll.EQNXTDZ($A$1,$B86,AD$5,$B$1)</f>
        <v>6429.75</v>
      </c>
      <c r="AE86" s="55">
        <f>_xll.EQNXTDZ($A$1,$B86,AE$5,$B$1)</f>
        <v>0</v>
      </c>
      <c r="AF86" s="55">
        <f>_xll.EQNXTDZ($A$1,$B86,AF$5,$B$1)</f>
        <v>5883.18</v>
      </c>
      <c r="AG86" s="55">
        <f>_xll.EQNXTDZ($A$1,$B86,AG$5,$B$1)</f>
        <v>0</v>
      </c>
      <c r="AH86" s="55">
        <f>_xll.EQNXTDZ($A$1,$B86,AH$5,$B$1)</f>
        <v>5818.11</v>
      </c>
      <c r="AI86" s="55">
        <f>_xll.EQNXTDZ($A$1,$B86,AI$5,$B$1)</f>
        <v>0</v>
      </c>
      <c r="AJ86" s="55">
        <f>_xll.EQNXTDZ($A$1,$B86,AJ$5,$B$1)</f>
        <v>5729.13</v>
      </c>
      <c r="AK86" s="55">
        <f>_xll.EQNXTDZ($A$1,$B86,AK$5,$B$1)</f>
        <v>0</v>
      </c>
      <c r="AL86" s="55">
        <f>_xll.EQNXTDZ($A$1,$B86,AL$5,$B$1)</f>
        <v>6717.08</v>
      </c>
      <c r="AM86" s="55">
        <f>_xll.EQNXTDZ($A$1,$B86,AM$5,$B$1)</f>
        <v>0</v>
      </c>
      <c r="AN86" s="55">
        <f>_xll.EQNXTDZ($A$1,$B86,AN$5,$B$1)</f>
        <v>6210.12</v>
      </c>
      <c r="AO86" s="55">
        <f>_xll.EQNXTDZ($A$1,$B86,AO$5,$B$1)</f>
        <v>0</v>
      </c>
      <c r="AP86" s="55">
        <f>_xll.EQNXTDZ($A$1,$B86,AP$5,$B$1)</f>
        <v>7267.11</v>
      </c>
      <c r="AQ86" s="55">
        <f>_xll.EQNXTDZ($A$1,$B86,AQ$5,$B$1)</f>
        <v>0</v>
      </c>
      <c r="AR86" s="55">
        <f>_xll.EQNXTDZ($A$1,$B86,AR$5,$B$1)</f>
        <v>8232.94</v>
      </c>
      <c r="AS86" s="55">
        <f>_xll.EQNXTDZ($A$1,$B86,AS$5,$B$1)</f>
        <v>0</v>
      </c>
      <c r="AT86" s="55">
        <f>_xll.EQNXTDZ($A$1,$B86,AT$5,$B$1)</f>
        <v>8903.39</v>
      </c>
      <c r="AU86" s="55">
        <f>_xll.EQNXTDZ($A$1,$B86,AU$5,$B$1)</f>
        <v>0</v>
      </c>
      <c r="AV86" s="55">
        <f>_xll.EQNXTDZ($A$1,$B86,AV$5,$B$1)</f>
        <v>9444.01</v>
      </c>
      <c r="AW86" s="55">
        <f>_xll.EQNXTDZ($A$1,$B86,AW$5,$B$1)</f>
        <v>0</v>
      </c>
      <c r="AX86" s="55">
        <f>_xll.EQNXTDZ($A$1,$B86,AX$5,$B$1)</f>
        <v>10303.76</v>
      </c>
      <c r="AY86" s="55">
        <f>_xll.EQNXTDZ($A$1,$B86,AY$5,$B$1)</f>
        <v>0</v>
      </c>
      <c r="AZ86" s="55">
        <f>_xll.EQNXTDZ($A$1,$B86,AZ$5,$B$1)</f>
        <v>10501.18</v>
      </c>
      <c r="BA86" s="55">
        <f>_xll.EQNXTDZ($A$1,$B86,BA$5,$B$1)</f>
        <v>0</v>
      </c>
      <c r="BB86" s="55">
        <f>_xll.EQNXTDZ($A$1,$B86,BB$5,$B$1)</f>
        <v>10105.42</v>
      </c>
      <c r="BC86" s="55">
        <f>_xll.EQNXTDZ($A$1,$B86,BC$5,$B$1)</f>
        <v>0</v>
      </c>
      <c r="BD86" s="55">
        <f>_xll.EQNXTDZ($A$1,$B86,BD$5,$B$1)</f>
        <v>10047.76</v>
      </c>
      <c r="BE86" s="55">
        <f>_xll.EQNXTDZ($A$1,$B86,BE$5,$B$1)</f>
        <v>0</v>
      </c>
      <c r="BF86" s="55">
        <f>_xll.EQNXTDZ($A$1,$B86,BF$5,$B$1)</f>
        <v>9972.57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1577.96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1903.5</v>
      </c>
      <c r="E88" s="55">
        <f>_xll.EQNXTDZ($A$1,$B88,E$5,$B$1)</f>
        <v>0</v>
      </c>
      <c r="F88" s="55">
        <f>_xll.EQNXTDZ($A$1,$B88,F$5,$B$1)</f>
        <v>2102.42</v>
      </c>
      <c r="G88" s="55">
        <f>_xll.EQNXTDZ($A$1,$B88,G$5,$B$1)</f>
        <v>0</v>
      </c>
      <c r="H88" s="55">
        <f>_xll.EQNXTDZ($A$1,$B88,H$5,$B$1)</f>
        <v>2042.42</v>
      </c>
      <c r="I88" s="55">
        <f>_xll.EQNXTDZ($A$1,$B88,I$5,$B$1)</f>
        <v>0</v>
      </c>
      <c r="J88" s="55">
        <f>_xll.EQNXTDZ($A$1,$B88,J$5,$B$1)</f>
        <v>2282.1999999999998</v>
      </c>
      <c r="K88" s="55">
        <f>_xll.EQNXTDZ($A$1,$B88,K$5,$B$1)</f>
        <v>0</v>
      </c>
      <c r="L88" s="55">
        <f>_xll.EQNXTDZ($A$1,$B88,L$5,$B$1)</f>
        <v>1934.17</v>
      </c>
      <c r="M88" s="55">
        <f>_xll.EQNXTDZ($A$1,$B88,M$5,$B$1)</f>
        <v>0</v>
      </c>
      <c r="N88" s="55">
        <f>_xll.EQNXTDZ($A$1,$B88,N$5,$B$1)</f>
        <v>3229.47</v>
      </c>
      <c r="O88" s="55">
        <f>_xll.EQNXTDZ($A$1,$B88,O$5,$B$1)</f>
        <v>0</v>
      </c>
      <c r="P88" s="55">
        <f>_xll.EQNXTDZ($A$1,$B88,P$5,$B$1)</f>
        <v>2452.5300000000002</v>
      </c>
      <c r="Q88" s="55">
        <f>_xll.EQNXTDZ($A$1,$B88,Q$5,$B$1)</f>
        <v>0</v>
      </c>
      <c r="R88" s="55">
        <f>_xll.EQNXTDZ($A$1,$B88,R$5,$B$1)</f>
        <v>2932.36</v>
      </c>
      <c r="S88" s="55">
        <f>_xll.EQNXTDZ($A$1,$B88,S$5,$B$1)</f>
        <v>0</v>
      </c>
      <c r="T88" s="55">
        <f>_xll.EQNXTDZ($A$1,$B88,T$5,$B$1)</f>
        <v>2042.17</v>
      </c>
      <c r="U88" s="55">
        <f>_xll.EQNXTDZ($A$1,$B88,U$5,$B$1)</f>
        <v>0</v>
      </c>
      <c r="V88" s="55">
        <f>_xll.EQNXTDZ($A$1,$B88,V$5,$B$1)</f>
        <v>2197.9899999999998</v>
      </c>
      <c r="W88" s="55">
        <f>_xll.EQNXTDZ($A$1,$B88,W$5,$B$1)</f>
        <v>0</v>
      </c>
      <c r="X88" s="55">
        <f>_xll.EQNXTDZ($A$1,$B88,X$5,$B$1)</f>
        <v>2282.6799999999998</v>
      </c>
      <c r="Y88" s="55">
        <f>_xll.EQNXTDZ($A$1,$B88,Y$5,$B$1)</f>
        <v>0</v>
      </c>
      <c r="Z88" s="55">
        <f>_xll.EQNXTDZ($A$1,$B88,Z$5,$B$1)</f>
        <v>2725.53</v>
      </c>
      <c r="AA88" s="55">
        <f>_xll.EQNXTDZ($A$1,$B88,AA$5,$B$1)</f>
        <v>0</v>
      </c>
      <c r="AB88" s="55">
        <f>_xll.EQNXTDZ($A$1,$B88,AB$5,$B$1)</f>
        <v>1980.17</v>
      </c>
      <c r="AC88" s="55">
        <f>_xll.EQNXTDZ($A$1,$B88,AC$5,$B$1)</f>
        <v>0</v>
      </c>
      <c r="AD88" s="55">
        <f>_xll.EQNXTDZ($A$1,$B88,AD$5,$B$1)</f>
        <v>2683.87</v>
      </c>
      <c r="AE88" s="55">
        <f>_xll.EQNXTDZ($A$1,$B88,AE$5,$B$1)</f>
        <v>0</v>
      </c>
      <c r="AF88" s="55">
        <f>_xll.EQNXTDZ($A$1,$B88,AF$5,$B$1)</f>
        <v>2869.05</v>
      </c>
      <c r="AG88" s="55">
        <f>_xll.EQNXTDZ($A$1,$B88,AG$5,$B$1)</f>
        <v>0</v>
      </c>
      <c r="AH88" s="55">
        <f>_xll.EQNXTDZ($A$1,$B88,AH$5,$B$1)</f>
        <v>2550</v>
      </c>
      <c r="AI88" s="55">
        <f>_xll.EQNXTDZ($A$1,$B88,AI$5,$B$1)</f>
        <v>0</v>
      </c>
      <c r="AJ88" s="55">
        <f>_xll.EQNXTDZ($A$1,$B88,AJ$5,$B$1)</f>
        <v>2781.32</v>
      </c>
      <c r="AK88" s="55">
        <f>_xll.EQNXTDZ($A$1,$B88,AK$5,$B$1)</f>
        <v>0</v>
      </c>
      <c r="AL88" s="55">
        <f>_xll.EQNXTDZ($A$1,$B88,AL$5,$B$1)</f>
        <v>2785.07</v>
      </c>
      <c r="AM88" s="55">
        <f>_xll.EQNXTDZ($A$1,$B88,AM$5,$B$1)</f>
        <v>0</v>
      </c>
      <c r="AN88" s="55">
        <f>_xll.EQNXTDZ($A$1,$B88,AN$5,$B$1)</f>
        <v>3162.76</v>
      </c>
      <c r="AO88" s="55">
        <f>_xll.EQNXTDZ($A$1,$B88,AO$5,$B$1)</f>
        <v>0</v>
      </c>
      <c r="AP88" s="55">
        <f>_xll.EQNXTDZ($A$1,$B88,AP$5,$B$1)</f>
        <v>3954.58</v>
      </c>
      <c r="AQ88" s="55">
        <f>_xll.EQNXTDZ($A$1,$B88,AQ$5,$B$1)</f>
        <v>0</v>
      </c>
      <c r="AR88" s="55">
        <f>_xll.EQNXTDZ($A$1,$B88,AR$5,$B$1)</f>
        <v>4052</v>
      </c>
      <c r="AS88" s="55">
        <f>_xll.EQNXTDZ($A$1,$B88,AS$5,$B$1)</f>
        <v>0</v>
      </c>
      <c r="AT88" s="55">
        <f>_xll.EQNXTDZ($A$1,$B88,AT$5,$B$1)</f>
        <v>2959.99</v>
      </c>
      <c r="AU88" s="55">
        <f>_xll.EQNXTDZ($A$1,$B88,AU$5,$B$1)</f>
        <v>0</v>
      </c>
      <c r="AV88" s="55">
        <f>_xll.EQNXTDZ($A$1,$B88,AV$5,$B$1)</f>
        <v>3378.89</v>
      </c>
      <c r="AW88" s="55">
        <f>_xll.EQNXTDZ($A$1,$B88,AW$5,$B$1)</f>
        <v>0</v>
      </c>
      <c r="AX88" s="55">
        <f>_xll.EQNXTDZ($A$1,$B88,AX$5,$B$1)</f>
        <v>3478.89</v>
      </c>
      <c r="AY88" s="55">
        <f>_xll.EQNXTDZ($A$1,$B88,AY$5,$B$1)</f>
        <v>0</v>
      </c>
      <c r="AZ88" s="55">
        <f>_xll.EQNXTDZ($A$1,$B88,AZ$5,$B$1)</f>
        <v>3911.16</v>
      </c>
      <c r="BA88" s="55">
        <f>_xll.EQNXTDZ($A$1,$B88,BA$5,$B$1)</f>
        <v>0</v>
      </c>
      <c r="BB88" s="55">
        <f>_xll.EQNXTDZ($A$1,$B88,BB$5,$B$1)</f>
        <v>3062.49</v>
      </c>
      <c r="BC88" s="55">
        <f>_xll.EQNXTDZ($A$1,$B88,BC$5,$B$1)</f>
        <v>0</v>
      </c>
      <c r="BD88" s="55">
        <f>_xll.EQNXTDZ($A$1,$B88,BD$5,$B$1)</f>
        <v>3430.76</v>
      </c>
      <c r="BE88" s="55">
        <f>_xll.EQNXTDZ($A$1,$B88,BE$5,$B$1)</f>
        <v>0</v>
      </c>
      <c r="BF88" s="55">
        <f>_xll.EQNXTDZ($A$1,$B88,BF$5,$B$1)</f>
        <v>2549.64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793.08</v>
      </c>
      <c r="G89" s="55">
        <f>_xll.EQNXTDZ($A$1,$B89,G$5,$B$1)</f>
        <v>0</v>
      </c>
      <c r="H89" s="55">
        <f>_xll.EQNXTDZ($A$1,$B89,H$5,$B$1)</f>
        <v>459.67</v>
      </c>
      <c r="I89" s="55">
        <f>_xll.EQNXTDZ($A$1,$B89,I$5,$B$1)</f>
        <v>0</v>
      </c>
      <c r="J89" s="55">
        <f>_xll.EQNXTDZ($A$1,$B89,J$5,$B$1)</f>
        <v>679.7</v>
      </c>
      <c r="K89" s="55">
        <f>_xll.EQNXTDZ($A$1,$B89,K$5,$B$1)</f>
        <v>0</v>
      </c>
      <c r="L89" s="55">
        <f>_xll.EQNXTDZ($A$1,$B89,L$5,$B$1)</f>
        <v>294.95</v>
      </c>
      <c r="M89" s="55">
        <f>_xll.EQNXTDZ($A$1,$B89,M$5,$B$1)</f>
        <v>0</v>
      </c>
      <c r="N89" s="55">
        <f>_xll.EQNXTDZ($A$1,$B89,N$5,$B$1)</f>
        <v>893.1</v>
      </c>
      <c r="O89" s="55">
        <f>_xll.EQNXTDZ($A$1,$B89,O$5,$B$1)</f>
        <v>0</v>
      </c>
      <c r="P89" s="55">
        <f>_xll.EQNXTDZ($A$1,$B89,P$5,$B$1)</f>
        <v>286.25</v>
      </c>
      <c r="Q89" s="55">
        <f>_xll.EQNXTDZ($A$1,$B89,Q$5,$B$1)</f>
        <v>0</v>
      </c>
      <c r="R89" s="55">
        <f>_xll.EQNXTDZ($A$1,$B89,R$5,$B$1)</f>
        <v>499.5</v>
      </c>
      <c r="S89" s="55">
        <f>_xll.EQNXTDZ($A$1,$B89,S$5,$B$1)</f>
        <v>0</v>
      </c>
      <c r="T89" s="55">
        <f>_xll.EQNXTDZ($A$1,$B89,T$5,$B$1)</f>
        <v>271.95999999999998</v>
      </c>
      <c r="U89" s="55">
        <f>_xll.EQNXTDZ($A$1,$B89,U$5,$B$1)</f>
        <v>0</v>
      </c>
      <c r="V89" s="55">
        <f>_xll.EQNXTDZ($A$1,$B89,V$5,$B$1)</f>
        <v>411.41</v>
      </c>
      <c r="W89" s="55">
        <f>_xll.EQNXTDZ($A$1,$B89,W$5,$B$1)</f>
        <v>0</v>
      </c>
      <c r="X89" s="55">
        <f>_xll.EQNXTDZ($A$1,$B89,X$5,$B$1)</f>
        <v>257.25</v>
      </c>
      <c r="Y89" s="55">
        <f>_xll.EQNXTDZ($A$1,$B89,Y$5,$B$1)</f>
        <v>0</v>
      </c>
      <c r="Z89" s="55">
        <f>_xll.EQNXTDZ($A$1,$B89,Z$5,$B$1)</f>
        <v>566.28</v>
      </c>
      <c r="AA89" s="55">
        <f>_xll.EQNXTDZ($A$1,$B89,AA$5,$B$1)</f>
        <v>0</v>
      </c>
      <c r="AB89" s="55">
        <f>_xll.EQNXTDZ($A$1,$B89,AB$5,$B$1)</f>
        <v>1391.25</v>
      </c>
      <c r="AC89" s="55">
        <f>_xll.EQNXTDZ($A$1,$B89,AC$5,$B$1)</f>
        <v>0</v>
      </c>
      <c r="AD89" s="55">
        <f>_xll.EQNXTDZ($A$1,$B89,AD$5,$B$1)</f>
        <v>1803.76</v>
      </c>
      <c r="AE89" s="55">
        <f>_xll.EQNXTDZ($A$1,$B89,AE$5,$B$1)</f>
        <v>0</v>
      </c>
      <c r="AF89" s="55">
        <f>_xll.EQNXTDZ($A$1,$B89,AF$5,$B$1)</f>
        <v>1184.97</v>
      </c>
      <c r="AG89" s="55">
        <f>_xll.EQNXTDZ($A$1,$B89,AG$5,$B$1)</f>
        <v>0</v>
      </c>
      <c r="AH89" s="55">
        <f>_xll.EQNXTDZ($A$1,$B89,AH$5,$B$1)</f>
        <v>1401.4</v>
      </c>
      <c r="AI89" s="55">
        <f>_xll.EQNXTDZ($A$1,$B89,AI$5,$B$1)</f>
        <v>0</v>
      </c>
      <c r="AJ89" s="55">
        <f>_xll.EQNXTDZ($A$1,$B89,AJ$5,$B$1)</f>
        <v>951.17</v>
      </c>
      <c r="AK89" s="55">
        <f>_xll.EQNXTDZ($A$1,$B89,AK$5,$B$1)</f>
        <v>0</v>
      </c>
      <c r="AL89" s="55">
        <f>_xll.EQNXTDZ($A$1,$B89,AL$5,$B$1)</f>
        <v>1936.69</v>
      </c>
      <c r="AM89" s="55">
        <f>_xll.EQNXTDZ($A$1,$B89,AM$5,$B$1)</f>
        <v>0</v>
      </c>
      <c r="AN89" s="55">
        <f>_xll.EQNXTDZ($A$1,$B89,AN$5,$B$1)</f>
        <v>1217.0999999999999</v>
      </c>
      <c r="AO89" s="55">
        <f>_xll.EQNXTDZ($A$1,$B89,AO$5,$B$1)</f>
        <v>0</v>
      </c>
      <c r="AP89" s="55">
        <f>_xll.EQNXTDZ($A$1,$B89,AP$5,$B$1)</f>
        <v>1540.12</v>
      </c>
      <c r="AQ89" s="55">
        <f>_xll.EQNXTDZ($A$1,$B89,AQ$5,$B$1)</f>
        <v>0</v>
      </c>
      <c r="AR89" s="55">
        <f>_xll.EQNXTDZ($A$1,$B89,AR$5,$B$1)</f>
        <v>2055.3000000000002</v>
      </c>
      <c r="AS89" s="55">
        <f>_xll.EQNXTDZ($A$1,$B89,AS$5,$B$1)</f>
        <v>0</v>
      </c>
      <c r="AT89" s="55">
        <f>_xll.EQNXTDZ($A$1,$B89,AT$5,$B$1)</f>
        <v>3004.15</v>
      </c>
      <c r="AU89" s="55">
        <f>_xll.EQNXTDZ($A$1,$B89,AU$5,$B$1)</f>
        <v>0</v>
      </c>
      <c r="AV89" s="55">
        <f>_xll.EQNXTDZ($A$1,$B89,AV$5,$B$1)</f>
        <v>2591.69</v>
      </c>
      <c r="AW89" s="55">
        <f>_xll.EQNXTDZ($A$1,$B89,AW$5,$B$1)</f>
        <v>0</v>
      </c>
      <c r="AX89" s="55">
        <f>_xll.EQNXTDZ($A$1,$B89,AX$5,$B$1)</f>
        <v>2953.12</v>
      </c>
      <c r="AY89" s="55">
        <f>_xll.EQNXTDZ($A$1,$B89,AY$5,$B$1)</f>
        <v>0</v>
      </c>
      <c r="AZ89" s="55">
        <f>_xll.EQNXTDZ($A$1,$B89,AZ$5,$B$1)</f>
        <v>2529</v>
      </c>
      <c r="BA89" s="55">
        <f>_xll.EQNXTDZ($A$1,$B89,BA$5,$B$1)</f>
        <v>0</v>
      </c>
      <c r="BB89" s="55">
        <f>_xll.EQNXTDZ($A$1,$B89,BB$5,$B$1)</f>
        <v>2522.21</v>
      </c>
      <c r="BC89" s="55">
        <f>_xll.EQNXTDZ($A$1,$B89,BC$5,$B$1)</f>
        <v>0</v>
      </c>
      <c r="BD89" s="55">
        <f>_xll.EQNXTDZ($A$1,$B89,BD$5,$B$1)</f>
        <v>2125.19</v>
      </c>
      <c r="BE89" s="55">
        <f>_xll.EQNXTDZ($A$1,$B89,BE$5,$B$1)</f>
        <v>0</v>
      </c>
      <c r="BF89" s="55">
        <f>_xll.EQNXTDZ($A$1,$B89,BF$5,$B$1)</f>
        <v>2623.12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867.3</v>
      </c>
      <c r="G91" s="55">
        <f>_xll.EQNXTDZ($A$1,$B91,G$5,$B$1)</f>
        <v>0</v>
      </c>
      <c r="H91" s="55">
        <f>_xll.EQNXTDZ($A$1,$B91,H$5,$B$1)</f>
        <v>674.85</v>
      </c>
      <c r="I91" s="55">
        <f>_xll.EQNXTDZ($A$1,$B91,I$5,$B$1)</f>
        <v>0</v>
      </c>
      <c r="J91" s="55">
        <f>_xll.EQNXTDZ($A$1,$B91,J$5,$B$1)</f>
        <v>857.69</v>
      </c>
      <c r="K91" s="55">
        <f>_xll.EQNXTDZ($A$1,$B91,K$5,$B$1)</f>
        <v>0</v>
      </c>
      <c r="L91" s="55">
        <f>_xll.EQNXTDZ($A$1,$B91,L$5,$B$1)</f>
        <v>1011.3</v>
      </c>
      <c r="M91" s="55">
        <f>_xll.EQNXTDZ($A$1,$B91,M$5,$B$1)</f>
        <v>0</v>
      </c>
      <c r="N91" s="55">
        <f>_xll.EQNXTDZ($A$1,$B91,N$5,$B$1)</f>
        <v>1495.21</v>
      </c>
      <c r="O91" s="55">
        <f>_xll.EQNXTDZ($A$1,$B91,O$5,$B$1)</f>
        <v>0</v>
      </c>
      <c r="P91" s="55">
        <f>_xll.EQNXTDZ($A$1,$B91,P$5,$B$1)</f>
        <v>904.57</v>
      </c>
      <c r="Q91" s="55">
        <f>_xll.EQNXTDZ($A$1,$B91,Q$5,$B$1)</f>
        <v>0</v>
      </c>
      <c r="R91" s="55">
        <f>_xll.EQNXTDZ($A$1,$B91,R$5,$B$1)</f>
        <v>1295.6199999999999</v>
      </c>
      <c r="S91" s="55">
        <f>_xll.EQNXTDZ($A$1,$B91,S$5,$B$1)</f>
        <v>0</v>
      </c>
      <c r="T91" s="55">
        <f>_xll.EQNXTDZ($A$1,$B91,T$5,$B$1)</f>
        <v>994.27</v>
      </c>
      <c r="U91" s="55">
        <f>_xll.EQNXTDZ($A$1,$B91,U$5,$B$1)</f>
        <v>0</v>
      </c>
      <c r="V91" s="55">
        <f>_xll.EQNXTDZ($A$1,$B91,V$5,$B$1)</f>
        <v>1203.05</v>
      </c>
      <c r="W91" s="55">
        <f>_xll.EQNXTDZ($A$1,$B91,W$5,$B$1)</f>
        <v>0</v>
      </c>
      <c r="X91" s="55">
        <f>_xll.EQNXTDZ($A$1,$B91,X$5,$B$1)</f>
        <v>608.75</v>
      </c>
      <c r="Y91" s="55">
        <f>_xll.EQNXTDZ($A$1,$B91,Y$5,$B$1)</f>
        <v>0</v>
      </c>
      <c r="Z91" s="55">
        <f>_xll.EQNXTDZ($A$1,$B91,Z$5,$B$1)</f>
        <v>912.77</v>
      </c>
      <c r="AA91" s="55">
        <f>_xll.EQNXTDZ($A$1,$B91,AA$5,$B$1)</f>
        <v>0</v>
      </c>
      <c r="AB91" s="55">
        <f>_xll.EQNXTDZ($A$1,$B91,AB$5,$B$1)</f>
        <v>722.78</v>
      </c>
      <c r="AC91" s="55">
        <f>_xll.EQNXTDZ($A$1,$B91,AC$5,$B$1)</f>
        <v>0</v>
      </c>
      <c r="AD91" s="55">
        <f>_xll.EQNXTDZ($A$1,$B91,AD$5,$B$1)</f>
        <v>1253.18</v>
      </c>
      <c r="AE91" s="55">
        <f>_xll.EQNXTDZ($A$1,$B91,AE$5,$B$1)</f>
        <v>0</v>
      </c>
      <c r="AF91" s="55">
        <f>_xll.EQNXTDZ($A$1,$B91,AF$5,$B$1)</f>
        <v>1261.47</v>
      </c>
      <c r="AG91" s="55">
        <f>_xll.EQNXTDZ($A$1,$B91,AG$5,$B$1)</f>
        <v>0</v>
      </c>
      <c r="AH91" s="55">
        <f>_xll.EQNXTDZ($A$1,$B91,AH$5,$B$1)</f>
        <v>1866.4</v>
      </c>
      <c r="AI91" s="55">
        <f>_xll.EQNXTDZ($A$1,$B91,AI$5,$B$1)</f>
        <v>0</v>
      </c>
      <c r="AJ91" s="55">
        <f>_xll.EQNXTDZ($A$1,$B91,AJ$5,$B$1)</f>
        <v>2063.39</v>
      </c>
      <c r="AK91" s="55">
        <f>_xll.EQNXTDZ($A$1,$B91,AK$5,$B$1)</f>
        <v>0</v>
      </c>
      <c r="AL91" s="55">
        <f>_xll.EQNXTDZ($A$1,$B91,AL$5,$B$1)</f>
        <v>1607.38</v>
      </c>
      <c r="AM91" s="55">
        <f>_xll.EQNXTDZ($A$1,$B91,AM$5,$B$1)</f>
        <v>0</v>
      </c>
      <c r="AN91" s="55">
        <f>_xll.EQNXTDZ($A$1,$B91,AN$5,$B$1)</f>
        <v>1516.46</v>
      </c>
      <c r="AO91" s="55">
        <f>_xll.EQNXTDZ($A$1,$B91,AO$5,$B$1)</f>
        <v>0</v>
      </c>
      <c r="AP91" s="55">
        <f>_xll.EQNXTDZ($A$1,$B91,AP$5,$B$1)</f>
        <v>1548.68</v>
      </c>
      <c r="AQ91" s="55">
        <f>_xll.EQNXTDZ($A$1,$B91,AQ$5,$B$1)</f>
        <v>0</v>
      </c>
      <c r="AR91" s="55">
        <f>_xll.EQNXTDZ($A$1,$B91,AR$5,$B$1)</f>
        <v>1749.52</v>
      </c>
      <c r="AS91" s="55">
        <f>_xll.EQNXTDZ($A$1,$B91,AS$5,$B$1)</f>
        <v>0</v>
      </c>
      <c r="AT91" s="55">
        <f>_xll.EQNXTDZ($A$1,$B91,AT$5,$B$1)</f>
        <v>1906.46</v>
      </c>
      <c r="AU91" s="55">
        <f>_xll.EQNXTDZ($A$1,$B91,AU$5,$B$1)</f>
        <v>0</v>
      </c>
      <c r="AV91" s="55">
        <f>_xll.EQNXTDZ($A$1,$B91,AV$5,$B$1)</f>
        <v>2193.54</v>
      </c>
      <c r="AW91" s="55">
        <f>_xll.EQNXTDZ($A$1,$B91,AW$5,$B$1)</f>
        <v>0</v>
      </c>
      <c r="AX91" s="55">
        <f>_xll.EQNXTDZ($A$1,$B91,AX$5,$B$1)</f>
        <v>1782.51</v>
      </c>
      <c r="AY91" s="55">
        <f>_xll.EQNXTDZ($A$1,$B91,AY$5,$B$1)</f>
        <v>0</v>
      </c>
      <c r="AZ91" s="55">
        <f>_xll.EQNXTDZ($A$1,$B91,AZ$5,$B$1)</f>
        <v>1805.3</v>
      </c>
      <c r="BA91" s="55">
        <f>_xll.EQNXTDZ($A$1,$B91,BA$5,$B$1)</f>
        <v>0</v>
      </c>
      <c r="BB91" s="55">
        <f>_xll.EQNXTDZ($A$1,$B91,BB$5,$B$1)</f>
        <v>1273.8699999999999</v>
      </c>
      <c r="BC91" s="55">
        <f>_xll.EQNXTDZ($A$1,$B91,BC$5,$B$1)</f>
        <v>0</v>
      </c>
      <c r="BD91" s="55">
        <f>_xll.EQNXTDZ($A$1,$B91,BD$5,$B$1)</f>
        <v>891.99</v>
      </c>
      <c r="BE91" s="55">
        <f>_xll.EQNXTDZ($A$1,$B91,BE$5,$B$1)</f>
        <v>0</v>
      </c>
      <c r="BF91" s="55">
        <f>_xll.EQNXTDZ($A$1,$B91,BF$5,$B$1)</f>
        <v>893.9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38.630000000000003</v>
      </c>
      <c r="E92" s="55">
        <f>_xll.EQNXTDZ($A$1,$B92,E$5,$B$1)</f>
        <v>0</v>
      </c>
      <c r="F92" s="55">
        <f>_xll.EQNXTDZ($A$1,$B92,F$5,$B$1)</f>
        <v>39.659999999999997</v>
      </c>
      <c r="G92" s="55">
        <f>_xll.EQNXTDZ($A$1,$B92,G$5,$B$1)</f>
        <v>0</v>
      </c>
      <c r="H92" s="55">
        <f>_xll.EQNXTDZ($A$1,$B92,H$5,$B$1)</f>
        <v>41.45</v>
      </c>
      <c r="I92" s="55">
        <f>_xll.EQNXTDZ($A$1,$B92,I$5,$B$1)</f>
        <v>0</v>
      </c>
      <c r="J92" s="55">
        <f>_xll.EQNXTDZ($A$1,$B92,J$5,$B$1)</f>
        <v>36.89</v>
      </c>
      <c r="K92" s="55">
        <f>_xll.EQNXTDZ($A$1,$B92,K$5,$B$1)</f>
        <v>0</v>
      </c>
      <c r="L92" s="55">
        <f>_xll.EQNXTDZ($A$1,$B92,L$5,$B$1)</f>
        <v>3.42</v>
      </c>
      <c r="M92" s="55">
        <f>_xll.EQNXTDZ($A$1,$B92,M$5,$B$1)</f>
        <v>0</v>
      </c>
      <c r="N92" s="55">
        <f>_xll.EQNXTDZ($A$1,$B92,N$5,$B$1)</f>
        <v>6.35</v>
      </c>
      <c r="O92" s="55">
        <f>_xll.EQNXTDZ($A$1,$B92,O$5,$B$1)</f>
        <v>0</v>
      </c>
      <c r="P92" s="55">
        <f>_xll.EQNXTDZ($A$1,$B92,P$5,$B$1)</f>
        <v>16.79</v>
      </c>
      <c r="Q92" s="55">
        <f>_xll.EQNXTDZ($A$1,$B92,Q$5,$B$1)</f>
        <v>0</v>
      </c>
      <c r="R92" s="55">
        <f>_xll.EQNXTDZ($A$1,$B92,R$5,$B$1)</f>
        <v>10.4</v>
      </c>
      <c r="S92" s="55">
        <f>_xll.EQNXTDZ($A$1,$B92,S$5,$B$1)</f>
        <v>0</v>
      </c>
      <c r="T92" s="55">
        <f>_xll.EQNXTDZ($A$1,$B92,T$5,$B$1)</f>
        <v>8.14</v>
      </c>
      <c r="U92" s="55">
        <f>_xll.EQNXTDZ($A$1,$B92,U$5,$B$1)</f>
        <v>0</v>
      </c>
      <c r="V92" s="55">
        <f>_xll.EQNXTDZ($A$1,$B92,V$5,$B$1)</f>
        <v>11.61</v>
      </c>
      <c r="W92" s="55">
        <f>_xll.EQNXTDZ($A$1,$B92,W$5,$B$1)</f>
        <v>0</v>
      </c>
      <c r="X92" s="55">
        <f>_xll.EQNXTDZ($A$1,$B92,X$5,$B$1)</f>
        <v>8.67</v>
      </c>
      <c r="Y92" s="55">
        <f>_xll.EQNXTDZ($A$1,$B92,Y$5,$B$1)</f>
        <v>0</v>
      </c>
      <c r="Z92" s="55">
        <f>_xll.EQNXTDZ($A$1,$B92,Z$5,$B$1)</f>
        <v>14.76</v>
      </c>
      <c r="AA92" s="55">
        <f>_xll.EQNXTDZ($A$1,$B92,AA$5,$B$1)</f>
        <v>0</v>
      </c>
      <c r="AB92" s="55">
        <f>_xll.EQNXTDZ($A$1,$B92,AB$5,$B$1)</f>
        <v>11.11</v>
      </c>
      <c r="AC92" s="55">
        <f>_xll.EQNXTDZ($A$1,$B92,AC$5,$B$1)</f>
        <v>0</v>
      </c>
      <c r="AD92" s="55">
        <f>_xll.EQNXTDZ($A$1,$B92,AD$5,$B$1)</f>
        <v>18.2</v>
      </c>
      <c r="AE92" s="55">
        <f>_xll.EQNXTDZ($A$1,$B92,AE$5,$B$1)</f>
        <v>0</v>
      </c>
      <c r="AF92" s="55">
        <f>_xll.EQNXTDZ($A$1,$B92,AF$5,$B$1)</f>
        <v>25.87</v>
      </c>
      <c r="AG92" s="55">
        <f>_xll.EQNXTDZ($A$1,$B92,AG$5,$B$1)</f>
        <v>0</v>
      </c>
      <c r="AH92" s="55">
        <f>_xll.EQNXTDZ($A$1,$B92,AH$5,$B$1)</f>
        <v>22.87</v>
      </c>
      <c r="AI92" s="55">
        <f>_xll.EQNXTDZ($A$1,$B92,AI$5,$B$1)</f>
        <v>0</v>
      </c>
      <c r="AJ92" s="55">
        <f>_xll.EQNXTDZ($A$1,$B92,AJ$5,$B$1)</f>
        <v>36.619999999999997</v>
      </c>
      <c r="AK92" s="55">
        <f>_xll.EQNXTDZ($A$1,$B92,AK$5,$B$1)</f>
        <v>0</v>
      </c>
      <c r="AL92" s="55">
        <f>_xll.EQNXTDZ($A$1,$B92,AL$5,$B$1)</f>
        <v>95.34</v>
      </c>
      <c r="AM92" s="55">
        <f>_xll.EQNXTDZ($A$1,$B92,AM$5,$B$1)</f>
        <v>0</v>
      </c>
      <c r="AN92" s="55">
        <f>_xll.EQNXTDZ($A$1,$B92,AN$5,$B$1)</f>
        <v>28.38</v>
      </c>
      <c r="AO92" s="55">
        <f>_xll.EQNXTDZ($A$1,$B92,AO$5,$B$1)</f>
        <v>0</v>
      </c>
      <c r="AP92" s="55">
        <f>_xll.EQNXTDZ($A$1,$B92,AP$5,$B$1)</f>
        <v>95.46</v>
      </c>
      <c r="AQ92" s="55">
        <f>_xll.EQNXTDZ($A$1,$B92,AQ$5,$B$1)</f>
        <v>0</v>
      </c>
      <c r="AR92" s="55">
        <f>_xll.EQNXTDZ($A$1,$B92,AR$5,$B$1)</f>
        <v>97.46</v>
      </c>
      <c r="AS92" s="55">
        <f>_xll.EQNXTDZ($A$1,$B92,AS$5,$B$1)</f>
        <v>0</v>
      </c>
      <c r="AT92" s="55">
        <f>_xll.EQNXTDZ($A$1,$B92,AT$5,$B$1)</f>
        <v>96.02</v>
      </c>
      <c r="AU92" s="55">
        <f>_xll.EQNXTDZ($A$1,$B92,AU$5,$B$1)</f>
        <v>0</v>
      </c>
      <c r="AV92" s="55">
        <f>_xll.EQNXTDZ($A$1,$B92,AV$5,$B$1)</f>
        <v>91.23</v>
      </c>
      <c r="AW92" s="55">
        <f>_xll.EQNXTDZ($A$1,$B92,AW$5,$B$1)</f>
        <v>0</v>
      </c>
      <c r="AX92" s="55">
        <f>_xll.EQNXTDZ($A$1,$B92,AX$5,$B$1)</f>
        <v>111.09</v>
      </c>
      <c r="AY92" s="55">
        <f>_xll.EQNXTDZ($A$1,$B92,AY$5,$B$1)</f>
        <v>0</v>
      </c>
      <c r="AZ92" s="55">
        <f>_xll.EQNXTDZ($A$1,$B92,AZ$5,$B$1)</f>
        <v>107.69</v>
      </c>
      <c r="BA92" s="55">
        <f>_xll.EQNXTDZ($A$1,$B92,BA$5,$B$1)</f>
        <v>0</v>
      </c>
      <c r="BB92" s="55">
        <f>_xll.EQNXTDZ($A$1,$B92,BB$5,$B$1)</f>
        <v>124.73</v>
      </c>
      <c r="BC92" s="55">
        <f>_xll.EQNXTDZ($A$1,$B92,BC$5,$B$1)</f>
        <v>0</v>
      </c>
      <c r="BD92" s="55">
        <f>_xll.EQNXTDZ($A$1,$B92,BD$5,$B$1)</f>
        <v>117.58</v>
      </c>
      <c r="BE92" s="55">
        <f>_xll.EQNXTDZ($A$1,$B92,BE$5,$B$1)</f>
        <v>0</v>
      </c>
      <c r="BF92" s="55">
        <f>_xll.EQNXTDZ($A$1,$B92,BF$5,$B$1)</f>
        <v>121.02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3520.09</v>
      </c>
      <c r="E93" s="55">
        <f>_xll.EQNXTDZ($A$1,$B93,E$5,$B$1)</f>
        <v>0</v>
      </c>
      <c r="F93" s="55">
        <f>_xll.EQNXTDZ($A$1,$B93,F$5,$B$1)</f>
        <v>3802.46</v>
      </c>
      <c r="G93" s="55">
        <f>_xll.EQNXTDZ($A$1,$B93,G$5,$B$1)</f>
        <v>0</v>
      </c>
      <c r="H93" s="55">
        <f>_xll.EQNXTDZ($A$1,$B93,H$5,$B$1)</f>
        <v>3218.39</v>
      </c>
      <c r="I93" s="55">
        <f>_xll.EQNXTDZ($A$1,$B93,I$5,$B$1)</f>
        <v>0</v>
      </c>
      <c r="J93" s="55">
        <f>_xll.EQNXTDZ($A$1,$B93,J$5,$B$1)</f>
        <v>3856.48</v>
      </c>
      <c r="K93" s="55">
        <f>_xll.EQNXTDZ($A$1,$B93,K$5,$B$1)</f>
        <v>0</v>
      </c>
      <c r="L93" s="55">
        <f>_xll.EQNXTDZ($A$1,$B93,L$5,$B$1)</f>
        <v>3243.84</v>
      </c>
      <c r="M93" s="55">
        <f>_xll.EQNXTDZ($A$1,$B93,M$5,$B$1)</f>
        <v>0</v>
      </c>
      <c r="N93" s="55">
        <f>_xll.EQNXTDZ($A$1,$B93,N$5,$B$1)</f>
        <v>5624.13</v>
      </c>
      <c r="O93" s="55">
        <f>_xll.EQNXTDZ($A$1,$B93,O$5,$B$1)</f>
        <v>0</v>
      </c>
      <c r="P93" s="55">
        <f>_xll.EQNXTDZ($A$1,$B93,P$5,$B$1)</f>
        <v>3660.14</v>
      </c>
      <c r="Q93" s="55">
        <f>_xll.EQNXTDZ($A$1,$B93,Q$5,$B$1)</f>
        <v>0</v>
      </c>
      <c r="R93" s="55">
        <f>_xll.EQNXTDZ($A$1,$B93,R$5,$B$1)</f>
        <v>4737.88</v>
      </c>
      <c r="S93" s="55">
        <f>_xll.EQNXTDZ($A$1,$B93,S$5,$B$1)</f>
        <v>0</v>
      </c>
      <c r="T93" s="55">
        <f>_xll.EQNXTDZ($A$1,$B93,T$5,$B$1)</f>
        <v>3316.54</v>
      </c>
      <c r="U93" s="55">
        <f>_xll.EQNXTDZ($A$1,$B93,U$5,$B$1)</f>
        <v>0</v>
      </c>
      <c r="V93" s="55">
        <f>_xll.EQNXTDZ($A$1,$B93,V$5,$B$1)</f>
        <v>3824.06</v>
      </c>
      <c r="W93" s="55">
        <f>_xll.EQNXTDZ($A$1,$B93,W$5,$B$1)</f>
        <v>0</v>
      </c>
      <c r="X93" s="55">
        <f>_xll.EQNXTDZ($A$1,$B93,X$5,$B$1)</f>
        <v>3157.35</v>
      </c>
      <c r="Y93" s="55">
        <f>_xll.EQNXTDZ($A$1,$B93,Y$5,$B$1)</f>
        <v>0</v>
      </c>
      <c r="Z93" s="55">
        <f>_xll.EQNXTDZ($A$1,$B93,Z$5,$B$1)</f>
        <v>4219.34</v>
      </c>
      <c r="AA93" s="55">
        <f>_xll.EQNXTDZ($A$1,$B93,AA$5,$B$1)</f>
        <v>0</v>
      </c>
      <c r="AB93" s="55">
        <f>_xll.EQNXTDZ($A$1,$B93,AB$5,$B$1)</f>
        <v>4105.3100000000004</v>
      </c>
      <c r="AC93" s="55">
        <f>_xll.EQNXTDZ($A$1,$B93,AC$5,$B$1)</f>
        <v>0</v>
      </c>
      <c r="AD93" s="55">
        <f>_xll.EQNXTDZ($A$1,$B93,AD$5,$B$1)</f>
        <v>5759.01</v>
      </c>
      <c r="AE93" s="55">
        <f>_xll.EQNXTDZ($A$1,$B93,AE$5,$B$1)</f>
        <v>0</v>
      </c>
      <c r="AF93" s="55">
        <f>_xll.EQNXTDZ($A$1,$B93,AF$5,$B$1)</f>
        <v>5341.36</v>
      </c>
      <c r="AG93" s="55">
        <f>_xll.EQNXTDZ($A$1,$B93,AG$5,$B$1)</f>
        <v>0</v>
      </c>
      <c r="AH93" s="55">
        <f>_xll.EQNXTDZ($A$1,$B93,AH$5,$B$1)</f>
        <v>5840.67</v>
      </c>
      <c r="AI93" s="55">
        <f>_xll.EQNXTDZ($A$1,$B93,AI$5,$B$1)</f>
        <v>0</v>
      </c>
      <c r="AJ93" s="55">
        <f>_xll.EQNXTDZ($A$1,$B93,AJ$5,$B$1)</f>
        <v>5832.5</v>
      </c>
      <c r="AK93" s="55">
        <f>_xll.EQNXTDZ($A$1,$B93,AK$5,$B$1)</f>
        <v>0</v>
      </c>
      <c r="AL93" s="55">
        <f>_xll.EQNXTDZ($A$1,$B93,AL$5,$B$1)</f>
        <v>6424.48</v>
      </c>
      <c r="AM93" s="55">
        <f>_xll.EQNXTDZ($A$1,$B93,AM$5,$B$1)</f>
        <v>0</v>
      </c>
      <c r="AN93" s="55">
        <f>_xll.EQNXTDZ($A$1,$B93,AN$5,$B$1)</f>
        <v>5924.7</v>
      </c>
      <c r="AO93" s="55">
        <f>_xll.EQNXTDZ($A$1,$B93,AO$5,$B$1)</f>
        <v>0</v>
      </c>
      <c r="AP93" s="55">
        <f>_xll.EQNXTDZ($A$1,$B93,AP$5,$B$1)</f>
        <v>7138.84</v>
      </c>
      <c r="AQ93" s="55">
        <f>_xll.EQNXTDZ($A$1,$B93,AQ$5,$B$1)</f>
        <v>0</v>
      </c>
      <c r="AR93" s="55">
        <f>_xll.EQNXTDZ($A$1,$B93,AR$5,$B$1)</f>
        <v>7954.28</v>
      </c>
      <c r="AS93" s="55">
        <f>_xll.EQNXTDZ($A$1,$B93,AS$5,$B$1)</f>
        <v>0</v>
      </c>
      <c r="AT93" s="55">
        <f>_xll.EQNXTDZ($A$1,$B93,AT$5,$B$1)</f>
        <v>7966.62</v>
      </c>
      <c r="AU93" s="55">
        <f>_xll.EQNXTDZ($A$1,$B93,AU$5,$B$1)</f>
        <v>0</v>
      </c>
      <c r="AV93" s="55">
        <f>_xll.EQNXTDZ($A$1,$B93,AV$5,$B$1)</f>
        <v>8255.35</v>
      </c>
      <c r="AW93" s="55">
        <f>_xll.EQNXTDZ($A$1,$B93,AW$5,$B$1)</f>
        <v>0</v>
      </c>
      <c r="AX93" s="55">
        <f>_xll.EQNXTDZ($A$1,$B93,AX$5,$B$1)</f>
        <v>8325.61</v>
      </c>
      <c r="AY93" s="55">
        <f>_xll.EQNXTDZ($A$1,$B93,AY$5,$B$1)</f>
        <v>0</v>
      </c>
      <c r="AZ93" s="55">
        <f>_xll.EQNXTDZ($A$1,$B93,AZ$5,$B$1)</f>
        <v>8353.15</v>
      </c>
      <c r="BA93" s="55">
        <f>_xll.EQNXTDZ($A$1,$B93,BA$5,$B$1)</f>
        <v>0</v>
      </c>
      <c r="BB93" s="55">
        <f>_xll.EQNXTDZ($A$1,$B93,BB$5,$B$1)</f>
        <v>6983.3</v>
      </c>
      <c r="BC93" s="55">
        <f>_xll.EQNXTDZ($A$1,$B93,BC$5,$B$1)</f>
        <v>0</v>
      </c>
      <c r="BD93" s="55">
        <f>_xll.EQNXTDZ($A$1,$B93,BD$5,$B$1)</f>
        <v>6565.52</v>
      </c>
      <c r="BE93" s="55">
        <f>_xll.EQNXTDZ($A$1,$B93,BE$5,$B$1)</f>
        <v>0</v>
      </c>
      <c r="BF93" s="55">
        <f>_xll.EQNXTDZ($A$1,$B93,BF$5,$B$1)</f>
        <v>6187.68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741.25</v>
      </c>
      <c r="E94" s="55">
        <f>_xll.EQNXTDZ($A$1,$B94,E$5,$B$1)</f>
        <v>0</v>
      </c>
      <c r="F94" s="55">
        <f>_xll.EQNXTDZ($A$1,$B94,F$5,$B$1)</f>
        <v>1029.68</v>
      </c>
      <c r="G94" s="55">
        <f>_xll.EQNXTDZ($A$1,$B94,G$5,$B$1)</f>
        <v>0</v>
      </c>
      <c r="H94" s="55">
        <f>_xll.EQNXTDZ($A$1,$B94,H$5,$B$1)</f>
        <v>861.82</v>
      </c>
      <c r="I94" s="55">
        <f>_xll.EQNXTDZ($A$1,$B94,I$5,$B$1)</f>
        <v>0</v>
      </c>
      <c r="J94" s="55">
        <f>_xll.EQNXTDZ($A$1,$B94,J$5,$B$1)</f>
        <v>1155.22</v>
      </c>
      <c r="K94" s="55">
        <f>_xll.EQNXTDZ($A$1,$B94,K$5,$B$1)</f>
        <v>0</v>
      </c>
      <c r="L94" s="55">
        <f>_xll.EQNXTDZ($A$1,$B94,L$5,$B$1)</f>
        <v>1065.5899999999999</v>
      </c>
      <c r="M94" s="55">
        <f>_xll.EQNXTDZ($A$1,$B94,M$5,$B$1)</f>
        <v>0</v>
      </c>
      <c r="N94" s="55">
        <f>_xll.EQNXTDZ($A$1,$B94,N$5,$B$1)</f>
        <v>1209.18</v>
      </c>
      <c r="O94" s="55">
        <f>_xll.EQNXTDZ($A$1,$B94,O$5,$B$1)</f>
        <v>0</v>
      </c>
      <c r="P94" s="55">
        <f>_xll.EQNXTDZ($A$1,$B94,P$5,$B$1)</f>
        <v>1874.97</v>
      </c>
      <c r="Q94" s="55">
        <f>_xll.EQNXTDZ($A$1,$B94,Q$5,$B$1)</f>
        <v>0</v>
      </c>
      <c r="R94" s="55">
        <f>_xll.EQNXTDZ($A$1,$B94,R$5,$B$1)</f>
        <v>970.61</v>
      </c>
      <c r="S94" s="55">
        <f>_xll.EQNXTDZ($A$1,$B94,S$5,$B$1)</f>
        <v>0</v>
      </c>
      <c r="T94" s="55">
        <f>_xll.EQNXTDZ($A$1,$B94,T$5,$B$1)</f>
        <v>1045.77</v>
      </c>
      <c r="U94" s="55">
        <f>_xll.EQNXTDZ($A$1,$B94,U$5,$B$1)</f>
        <v>0</v>
      </c>
      <c r="V94" s="55">
        <f>_xll.EQNXTDZ($A$1,$B94,V$5,$B$1)</f>
        <v>855.53999999999905</v>
      </c>
      <c r="W94" s="55">
        <f>_xll.EQNXTDZ($A$1,$B94,W$5,$B$1)</f>
        <v>0</v>
      </c>
      <c r="X94" s="55">
        <f>_xll.EQNXTDZ($A$1,$B94,X$5,$B$1)</f>
        <v>1539.49</v>
      </c>
      <c r="Y94" s="55">
        <f>_xll.EQNXTDZ($A$1,$B94,Y$5,$B$1)</f>
        <v>0</v>
      </c>
      <c r="Z94" s="55">
        <f>_xll.EQNXTDZ($A$1,$B94,Z$5,$B$1)</f>
        <v>1119.6300000000001</v>
      </c>
      <c r="AA94" s="55">
        <f>_xll.EQNXTDZ($A$1,$B94,AA$5,$B$1)</f>
        <v>0</v>
      </c>
      <c r="AB94" s="55">
        <f>_xll.EQNXTDZ($A$1,$B94,AB$5,$B$1)</f>
        <v>1660.28</v>
      </c>
      <c r="AC94" s="55">
        <f>_xll.EQNXTDZ($A$1,$B94,AC$5,$B$1)</f>
        <v>0</v>
      </c>
      <c r="AD94" s="55">
        <f>_xll.EQNXTDZ($A$1,$B94,AD$5,$B$1)</f>
        <v>670.73999999999899</v>
      </c>
      <c r="AE94" s="55">
        <f>_xll.EQNXTDZ($A$1,$B94,AE$5,$B$1)</f>
        <v>0</v>
      </c>
      <c r="AF94" s="55">
        <f>_xll.EQNXTDZ($A$1,$B94,AF$5,$B$1)</f>
        <v>541.81999999999903</v>
      </c>
      <c r="AG94" s="55">
        <f>_xll.EQNXTDZ($A$1,$B94,AG$5,$B$1)</f>
        <v>0</v>
      </c>
      <c r="AH94" s="55">
        <f>_xll.EQNXTDZ($A$1,$B94,AH$5,$B$1)</f>
        <v>-22.559999999999899</v>
      </c>
      <c r="AI94" s="55">
        <f>_xll.EQNXTDZ($A$1,$B94,AI$5,$B$1)</f>
        <v>0</v>
      </c>
      <c r="AJ94" s="55">
        <f>_xll.EQNXTDZ($A$1,$B94,AJ$5,$B$1)</f>
        <v>-103.370000000001</v>
      </c>
      <c r="AK94" s="55">
        <f>_xll.EQNXTDZ($A$1,$B94,AK$5,$B$1)</f>
        <v>0</v>
      </c>
      <c r="AL94" s="55">
        <f>_xll.EQNXTDZ($A$1,$B94,AL$5,$B$1)</f>
        <v>292.60000000000002</v>
      </c>
      <c r="AM94" s="55">
        <f>_xll.EQNXTDZ($A$1,$B94,AM$5,$B$1)</f>
        <v>0</v>
      </c>
      <c r="AN94" s="55">
        <f>_xll.EQNXTDZ($A$1,$B94,AN$5,$B$1)</f>
        <v>285.42</v>
      </c>
      <c r="AO94" s="55">
        <f>_xll.EQNXTDZ($A$1,$B94,AO$5,$B$1)</f>
        <v>0</v>
      </c>
      <c r="AP94" s="55">
        <f>_xll.EQNXTDZ($A$1,$B94,AP$5,$B$1)</f>
        <v>128.27000000000001</v>
      </c>
      <c r="AQ94" s="55">
        <f>_xll.EQNXTDZ($A$1,$B94,AQ$5,$B$1)</f>
        <v>0</v>
      </c>
      <c r="AR94" s="55">
        <f>_xll.EQNXTDZ($A$1,$B94,AR$5,$B$1)</f>
        <v>278.66000000000099</v>
      </c>
      <c r="AS94" s="55">
        <f>_xll.EQNXTDZ($A$1,$B94,AS$5,$B$1)</f>
        <v>0</v>
      </c>
      <c r="AT94" s="55">
        <f>_xll.EQNXTDZ($A$1,$B94,AT$5,$B$1)</f>
        <v>936.76999999999805</v>
      </c>
      <c r="AU94" s="55">
        <f>_xll.EQNXTDZ($A$1,$B94,AU$5,$B$1)</f>
        <v>0</v>
      </c>
      <c r="AV94" s="55">
        <f>_xll.EQNXTDZ($A$1,$B94,AV$5,$B$1)</f>
        <v>1188.6600000000001</v>
      </c>
      <c r="AW94" s="55">
        <f>_xll.EQNXTDZ($A$1,$B94,AW$5,$B$1)</f>
        <v>0</v>
      </c>
      <c r="AX94" s="55">
        <f>_xll.EQNXTDZ($A$1,$B94,AX$5,$B$1)</f>
        <v>1978.15</v>
      </c>
      <c r="AY94" s="55">
        <f>_xll.EQNXTDZ($A$1,$B94,AY$5,$B$1)</f>
        <v>0</v>
      </c>
      <c r="AZ94" s="55">
        <f>_xll.EQNXTDZ($A$1,$B94,AZ$5,$B$1)</f>
        <v>2148.0300000000002</v>
      </c>
      <c r="BA94" s="55">
        <f>_xll.EQNXTDZ($A$1,$B94,BA$5,$B$1)</f>
        <v>0</v>
      </c>
      <c r="BB94" s="55">
        <f>_xll.EQNXTDZ($A$1,$B94,BB$5,$B$1)</f>
        <v>3122.12</v>
      </c>
      <c r="BC94" s="55">
        <f>_xll.EQNXTDZ($A$1,$B94,BC$5,$B$1)</f>
        <v>0</v>
      </c>
      <c r="BD94" s="55">
        <f>_xll.EQNXTDZ($A$1,$B94,BD$5,$B$1)</f>
        <v>3482.24</v>
      </c>
      <c r="BE94" s="55">
        <f>_xll.EQNXTDZ($A$1,$B94,BE$5,$B$1)</f>
        <v>0</v>
      </c>
      <c r="BF94" s="55">
        <f>_xll.EQNXTDZ($A$1,$B94,BF$5,$B$1)</f>
        <v>3784.89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-140.56</v>
      </c>
      <c r="E96" s="55">
        <f>_xll.EQNXTDZ($A$1,$B96,E$5,$B$1)</f>
        <v>0</v>
      </c>
      <c r="F96" s="55">
        <f>_xll.EQNXTDZ($A$1,$B96,F$5,$B$1)</f>
        <v>-64.72</v>
      </c>
      <c r="G96" s="55">
        <f>_xll.EQNXTDZ($A$1,$B96,G$5,$B$1)</f>
        <v>0</v>
      </c>
      <c r="H96" s="55">
        <f>_xll.EQNXTDZ($A$1,$B96,H$5,$B$1)</f>
        <v>-188.16</v>
      </c>
      <c r="I96" s="55">
        <f>_xll.EQNXTDZ($A$1,$B96,I$5,$B$1)</f>
        <v>0</v>
      </c>
      <c r="J96" s="55">
        <f>_xll.EQNXTDZ($A$1,$B96,J$5,$B$1)</f>
        <v>-115.79</v>
      </c>
      <c r="K96" s="55">
        <f>_xll.EQNXTDZ($A$1,$B96,K$5,$B$1)</f>
        <v>0</v>
      </c>
      <c r="L96" s="55">
        <f>_xll.EQNXTDZ($A$1,$B96,L$5,$B$1)</f>
        <v>-270.85000000000002</v>
      </c>
      <c r="M96" s="55">
        <f>_xll.EQNXTDZ($A$1,$B96,M$5,$B$1)</f>
        <v>0</v>
      </c>
      <c r="N96" s="55">
        <f>_xll.EQNXTDZ($A$1,$B96,N$5,$B$1)</f>
        <v>-192.68</v>
      </c>
      <c r="O96" s="55">
        <f>_xll.EQNXTDZ($A$1,$B96,O$5,$B$1)</f>
        <v>0</v>
      </c>
      <c r="P96" s="55">
        <f>_xll.EQNXTDZ($A$1,$B96,P$5,$B$1)</f>
        <v>-437.12</v>
      </c>
      <c r="Q96" s="55">
        <f>_xll.EQNXTDZ($A$1,$B96,Q$5,$B$1)</f>
        <v>0</v>
      </c>
      <c r="R96" s="55">
        <f>_xll.EQNXTDZ($A$1,$B96,R$5,$B$1)</f>
        <v>-152.91999999999999</v>
      </c>
      <c r="S96" s="55">
        <f>_xll.EQNXTDZ($A$1,$B96,S$5,$B$1)</f>
        <v>0</v>
      </c>
      <c r="T96" s="55">
        <f>_xll.EQNXTDZ($A$1,$B96,T$5,$B$1)</f>
        <v>-349.52</v>
      </c>
      <c r="U96" s="55">
        <f>_xll.EQNXTDZ($A$1,$B96,U$5,$B$1)</f>
        <v>0</v>
      </c>
      <c r="V96" s="55">
        <f>_xll.EQNXTDZ($A$1,$B96,V$5,$B$1)</f>
        <v>-190.93</v>
      </c>
      <c r="W96" s="55">
        <f>_xll.EQNXTDZ($A$1,$B96,W$5,$B$1)</f>
        <v>0</v>
      </c>
      <c r="X96" s="55">
        <f>_xll.EQNXTDZ($A$1,$B96,X$5,$B$1)</f>
        <v>-415.26</v>
      </c>
      <c r="Y96" s="55">
        <f>_xll.EQNXTDZ($A$1,$B96,Y$5,$B$1)</f>
        <v>0</v>
      </c>
      <c r="Z96" s="55">
        <f>_xll.EQNXTDZ($A$1,$B96,Z$5,$B$1)</f>
        <v>-168.61</v>
      </c>
      <c r="AA96" s="55">
        <f>_xll.EQNXTDZ($A$1,$B96,AA$5,$B$1)</f>
        <v>0</v>
      </c>
      <c r="AB96" s="55">
        <f>_xll.EQNXTDZ($A$1,$B96,AB$5,$B$1)</f>
        <v>-488.57</v>
      </c>
      <c r="AC96" s="55">
        <f>_xll.EQNXTDZ($A$1,$B96,AC$5,$B$1)</f>
        <v>0</v>
      </c>
      <c r="AD96" s="55">
        <f>_xll.EQNXTDZ($A$1,$B96,AD$5,$B$1)</f>
        <v>-193.8</v>
      </c>
      <c r="AE96" s="55">
        <f>_xll.EQNXTDZ($A$1,$B96,AE$5,$B$1)</f>
        <v>0</v>
      </c>
      <c r="AF96" s="55">
        <f>_xll.EQNXTDZ($A$1,$B96,AF$5,$B$1)</f>
        <v>-11.93</v>
      </c>
      <c r="AG96" s="55">
        <f>_xll.EQNXTDZ($A$1,$B96,AG$5,$B$1)</f>
        <v>0</v>
      </c>
      <c r="AH96" s="55">
        <f>_xll.EQNXTDZ($A$1,$B96,AH$5,$B$1)</f>
        <v>-53.790000000000099</v>
      </c>
      <c r="AI96" s="55">
        <f>_xll.EQNXTDZ($A$1,$B96,AI$5,$B$1)</f>
        <v>0</v>
      </c>
      <c r="AJ96" s="55">
        <f>_xll.EQNXTDZ($A$1,$B96,AJ$5,$B$1)</f>
        <v>-65.87</v>
      </c>
      <c r="AK96" s="55">
        <f>_xll.EQNXTDZ($A$1,$B96,AK$5,$B$1)</f>
        <v>0</v>
      </c>
      <c r="AL96" s="55">
        <f>_xll.EQNXTDZ($A$1,$B96,AL$5,$B$1)</f>
        <v>-122.56</v>
      </c>
      <c r="AM96" s="55">
        <f>_xll.EQNXTDZ($A$1,$B96,AM$5,$B$1)</f>
        <v>0</v>
      </c>
      <c r="AN96" s="55">
        <f>_xll.EQNXTDZ($A$1,$B96,AN$5,$B$1)</f>
        <v>-190.67</v>
      </c>
      <c r="AO96" s="55">
        <f>_xll.EQNXTDZ($A$1,$B96,AO$5,$B$1)</f>
        <v>0</v>
      </c>
      <c r="AP96" s="55">
        <f>_xll.EQNXTDZ($A$1,$B96,AP$5,$B$1)</f>
        <v>-222.21</v>
      </c>
      <c r="AQ96" s="55">
        <f>_xll.EQNXTDZ($A$1,$B96,AQ$5,$B$1)</f>
        <v>0</v>
      </c>
      <c r="AR96" s="55">
        <f>_xll.EQNXTDZ($A$1,$B96,AR$5,$B$1)</f>
        <v>-231.31</v>
      </c>
      <c r="AS96" s="55">
        <f>_xll.EQNXTDZ($A$1,$B96,AS$5,$B$1)</f>
        <v>0</v>
      </c>
      <c r="AT96" s="55">
        <f>_xll.EQNXTDZ($A$1,$B96,AT$5,$B$1)</f>
        <v>-327.62</v>
      </c>
      <c r="AU96" s="55">
        <f>_xll.EQNXTDZ($A$1,$B96,AU$5,$B$1)</f>
        <v>0</v>
      </c>
      <c r="AV96" s="55">
        <f>_xll.EQNXTDZ($A$1,$B96,AV$5,$B$1)</f>
        <v>-359.51</v>
      </c>
      <c r="AW96" s="55">
        <f>_xll.EQNXTDZ($A$1,$B96,AW$5,$B$1)</f>
        <v>0</v>
      </c>
      <c r="AX96" s="55">
        <f>_xll.EQNXTDZ($A$1,$B96,AX$5,$B$1)</f>
        <v>-552.29999999999995</v>
      </c>
      <c r="AY96" s="55">
        <f>_xll.EQNXTDZ($A$1,$B96,AY$5,$B$1)</f>
        <v>0</v>
      </c>
      <c r="AZ96" s="55">
        <f>_xll.EQNXTDZ($A$1,$B96,AZ$5,$B$1)</f>
        <v>-549.84</v>
      </c>
      <c r="BA96" s="55">
        <f>_xll.EQNXTDZ($A$1,$B96,BA$5,$B$1)</f>
        <v>0</v>
      </c>
      <c r="BB96" s="55">
        <f>_xll.EQNXTDZ($A$1,$B96,BB$5,$B$1)</f>
        <v>-791.78</v>
      </c>
      <c r="BC96" s="55">
        <f>_xll.EQNXTDZ($A$1,$B96,BC$5,$B$1)</f>
        <v>0</v>
      </c>
      <c r="BD96" s="55">
        <f>_xll.EQNXTDZ($A$1,$B96,BD$5,$B$1)</f>
        <v>-798.03</v>
      </c>
      <c r="BE96" s="55">
        <f>_xll.EQNXTDZ($A$1,$B96,BE$5,$B$1)</f>
        <v>0</v>
      </c>
      <c r="BF96" s="55">
        <f>_xll.EQNXTDZ($A$1,$B96,BF$5,$B$1)</f>
        <v>-824.71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4853.49</v>
      </c>
      <c r="E97" s="55">
        <f>_xll.EQNXTDZ($A$1,$B97,E$5,$B$1)</f>
        <v>0</v>
      </c>
      <c r="F97" s="55">
        <f>_xll.EQNXTDZ($A$1,$B97,F$5,$B$1)</f>
        <v>6845.7</v>
      </c>
      <c r="G97" s="55">
        <f>_xll.EQNXTDZ($A$1,$B97,G$5,$B$1)</f>
        <v>0</v>
      </c>
      <c r="H97" s="55">
        <f>_xll.EQNXTDZ($A$1,$B97,H$5,$B$1)</f>
        <v>5407.74</v>
      </c>
      <c r="I97" s="55">
        <f>_xll.EQNXTDZ($A$1,$B97,I$5,$B$1)</f>
        <v>0</v>
      </c>
      <c r="J97" s="55">
        <f>_xll.EQNXTDZ($A$1,$B97,J$5,$B$1)</f>
        <v>7443.53</v>
      </c>
      <c r="K97" s="55">
        <f>_xll.EQNXTDZ($A$1,$B97,K$5,$B$1)</f>
        <v>0</v>
      </c>
      <c r="L97" s="55">
        <f>_xll.EQNXTDZ($A$1,$B97,L$5,$B$1)</f>
        <v>5677.74</v>
      </c>
      <c r="M97" s="55">
        <f>_xll.EQNXTDZ($A$1,$B97,M$5,$B$1)</f>
        <v>0</v>
      </c>
      <c r="N97" s="55">
        <f>_xll.EQNXTDZ($A$1,$B97,N$5,$B$1)</f>
        <v>10182.620000000001</v>
      </c>
      <c r="O97" s="55">
        <f>_xll.EQNXTDZ($A$1,$B97,O$5,$B$1)</f>
        <v>0</v>
      </c>
      <c r="P97" s="55">
        <f>_xll.EQNXTDZ($A$1,$B97,P$5,$B$1)</f>
        <v>6733.6</v>
      </c>
      <c r="Q97" s="55">
        <f>_xll.EQNXTDZ($A$1,$B97,Q$5,$B$1)</f>
        <v>0</v>
      </c>
      <c r="R97" s="55">
        <f>_xll.EQNXTDZ($A$1,$B97,R$5,$B$1)</f>
        <v>9455.09</v>
      </c>
      <c r="S97" s="55">
        <f>_xll.EQNXTDZ($A$1,$B97,S$5,$B$1)</f>
        <v>0</v>
      </c>
      <c r="T97" s="55">
        <f>_xll.EQNXTDZ($A$1,$B97,T$5,$B$1)</f>
        <v>7451.03</v>
      </c>
      <c r="U97" s="55">
        <f>_xll.EQNXTDZ($A$1,$B97,U$5,$B$1)</f>
        <v>0</v>
      </c>
      <c r="V97" s="55">
        <f>_xll.EQNXTDZ($A$1,$B97,V$5,$B$1)</f>
        <v>8840.8799999999992</v>
      </c>
      <c r="W97" s="55">
        <f>_xll.EQNXTDZ($A$1,$B97,W$5,$B$1)</f>
        <v>0</v>
      </c>
      <c r="X97" s="55">
        <f>_xll.EQNXTDZ($A$1,$B97,X$5,$B$1)</f>
        <v>7768.77</v>
      </c>
      <c r="Y97" s="55">
        <f>_xll.EQNXTDZ($A$1,$B97,Y$5,$B$1)</f>
        <v>0</v>
      </c>
      <c r="Z97" s="55">
        <f>_xll.EQNXTDZ($A$1,$B97,Z$5,$B$1)</f>
        <v>8808.56</v>
      </c>
      <c r="AA97" s="55">
        <f>_xll.EQNXTDZ($A$1,$B97,AA$5,$B$1)</f>
        <v>0</v>
      </c>
      <c r="AB97" s="55">
        <f>_xll.EQNXTDZ($A$1,$B97,AB$5,$B$1)</f>
        <v>7946.76</v>
      </c>
      <c r="AC97" s="55">
        <f>_xll.EQNXTDZ($A$1,$B97,AC$5,$B$1)</f>
        <v>0</v>
      </c>
      <c r="AD97" s="55">
        <f>_xll.EQNXTDZ($A$1,$B97,AD$5,$B$1)</f>
        <v>8828.66</v>
      </c>
      <c r="AE97" s="55">
        <f>_xll.EQNXTDZ($A$1,$B97,AE$5,$B$1)</f>
        <v>0</v>
      </c>
      <c r="AF97" s="55">
        <f>_xll.EQNXTDZ($A$1,$B97,AF$5,$B$1)</f>
        <v>9054.6299999999992</v>
      </c>
      <c r="AG97" s="55">
        <f>_xll.EQNXTDZ($A$1,$B97,AG$5,$B$1)</f>
        <v>0</v>
      </c>
      <c r="AH97" s="55">
        <f>_xll.EQNXTDZ($A$1,$B97,AH$5,$B$1)</f>
        <v>9187.17</v>
      </c>
      <c r="AI97" s="55">
        <f>_xll.EQNXTDZ($A$1,$B97,AI$5,$B$1)</f>
        <v>0</v>
      </c>
      <c r="AJ97" s="55">
        <f>_xll.EQNXTDZ($A$1,$B97,AJ$5,$B$1)</f>
        <v>9000.26</v>
      </c>
      <c r="AK97" s="55">
        <f>_xll.EQNXTDZ($A$1,$B97,AK$5,$B$1)</f>
        <v>0</v>
      </c>
      <c r="AL97" s="55">
        <f>_xll.EQNXTDZ($A$1,$B97,AL$5,$B$1)</f>
        <v>9268.1299999999992</v>
      </c>
      <c r="AM97" s="55">
        <f>_xll.EQNXTDZ($A$1,$B97,AM$5,$B$1)</f>
        <v>0</v>
      </c>
      <c r="AN97" s="55">
        <f>_xll.EQNXTDZ($A$1,$B97,AN$5,$B$1)</f>
        <v>9377.15</v>
      </c>
      <c r="AO97" s="55">
        <f>_xll.EQNXTDZ($A$1,$B97,AO$5,$B$1)</f>
        <v>0</v>
      </c>
      <c r="AP97" s="55">
        <f>_xll.EQNXTDZ($A$1,$B97,AP$5,$B$1)</f>
        <v>9082.16</v>
      </c>
      <c r="AQ97" s="55">
        <f>_xll.EQNXTDZ($A$1,$B97,AQ$5,$B$1)</f>
        <v>0</v>
      </c>
      <c r="AR97" s="55">
        <f>_xll.EQNXTDZ($A$1,$B97,AR$5,$B$1)</f>
        <v>9142.32</v>
      </c>
      <c r="AS97" s="55">
        <f>_xll.EQNXTDZ($A$1,$B97,AS$5,$B$1)</f>
        <v>0</v>
      </c>
      <c r="AT97" s="55">
        <f>_xll.EQNXTDZ($A$1,$B97,AT$5,$B$1)</f>
        <v>9588.58</v>
      </c>
      <c r="AU97" s="55">
        <f>_xll.EQNXTDZ($A$1,$B97,AU$5,$B$1)</f>
        <v>0</v>
      </c>
      <c r="AV97" s="55">
        <f>_xll.EQNXTDZ($A$1,$B97,AV$5,$B$1)</f>
        <v>11269.95</v>
      </c>
      <c r="AW97" s="55">
        <f>_xll.EQNXTDZ($A$1,$B97,AW$5,$B$1)</f>
        <v>0</v>
      </c>
      <c r="AX97" s="55">
        <f>_xll.EQNXTDZ($A$1,$B97,AX$5,$B$1)</f>
        <v>11800.81</v>
      </c>
      <c r="AY97" s="55">
        <f>_xll.EQNXTDZ($A$1,$B97,AY$5,$B$1)</f>
        <v>0</v>
      </c>
      <c r="AZ97" s="55">
        <f>_xll.EQNXTDZ($A$1,$B97,AZ$5,$B$1)</f>
        <v>11882.89</v>
      </c>
      <c r="BA97" s="55">
        <f>_xll.EQNXTDZ($A$1,$B97,BA$5,$B$1)</f>
        <v>0</v>
      </c>
      <c r="BB97" s="55">
        <f>_xll.EQNXTDZ($A$1,$B97,BB$5,$B$1)</f>
        <v>12890.21</v>
      </c>
      <c r="BC97" s="55">
        <f>_xll.EQNXTDZ($A$1,$B97,BC$5,$B$1)</f>
        <v>0</v>
      </c>
      <c r="BD97" s="55">
        <f>_xll.EQNXTDZ($A$1,$B97,BD$5,$B$1)</f>
        <v>13715.35</v>
      </c>
      <c r="BE97" s="55">
        <f>_xll.EQNXTDZ($A$1,$B97,BE$5,$B$1)</f>
        <v>0</v>
      </c>
      <c r="BF97" s="55">
        <f>_xll.EQNXTDZ($A$1,$B97,BF$5,$B$1)</f>
        <v>14559.54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100378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Jindal Saw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7314.5981000000002</v>
      </c>
      <c r="M6" s="100">
        <f>_xll.EQNXTDZ($A$1,$B6,M$1,$B$1)</f>
        <v>4754.7852000000003</v>
      </c>
      <c r="N6" s="100">
        <f>_xll.EQNXTDZ($A$1,$B6,N$1,$B$1)</f>
        <v>6230.0772999999999</v>
      </c>
      <c r="O6" s="100">
        <f>_xll.EQNXTDZ($A$1,$B6,O$1,$B$1)</f>
        <v>6924.1437999999998</v>
      </c>
      <c r="P6" s="100">
        <f>_xll.EQNXTDZ($A$1,$B6,P$1,$B$1)</f>
        <v>6948.0411000000004</v>
      </c>
      <c r="Q6" s="100">
        <f>_xll.EQNXTDZ($A$1,$B6,Q$1,$B$1)</f>
        <v>8519.5488000000005</v>
      </c>
      <c r="R6" s="100">
        <f>_xll.EQNXTDZ($A$1,$B6,R$1,$B$1)</f>
        <v>7940.4062000000004</v>
      </c>
      <c r="S6" s="100">
        <f>_xll.EQNXTDZ($A$1,$B6,S$1,$B$1)</f>
        <v>7343.0641999999998</v>
      </c>
      <c r="T6" s="100">
        <f>_xll.EQNXTDZ($A$1,$B6,T$1,$B$1)</f>
        <v>8564.3294999999998</v>
      </c>
      <c r="U6" s="100">
        <f>_xll.EQNXTDZ($A$1,$B6,U$1,$B$1)</f>
        <v>12117.0016</v>
      </c>
      <c r="V6" s="100">
        <f>_xll.EQNXTDZ($A$1,$B6,V$1,$B$1)</f>
        <v>11627.0368</v>
      </c>
      <c r="W6" s="100">
        <f>_xll.EQNXTDZ($A$1,$B6,W$1,$B$1)</f>
        <v>10663.6358</v>
      </c>
      <c r="X6" s="100">
        <f>_xll.EQNXTDZ($A$1,$B6,X$1,$B$1)</f>
        <v>13298.4211</v>
      </c>
      <c r="Y6" s="100">
        <f>_xll.EQNXTDZ($A$1,$B6,Y$1,$B$1)</f>
        <v>17868.068899999998</v>
      </c>
      <c r="Z6" s="100">
        <f>_xll.EQNXTDZ($A$1,$B6,Z$1,$B$1)</f>
        <v>20957.6901</v>
      </c>
      <c r="AA6" s="100">
        <f>_xll.EQNXTDZ($A$1,$B6,AA$1,$B$1)</f>
        <v>20828.894799999998</v>
      </c>
      <c r="AB6" s="100">
        <f>_xll.EQNXTDZ($A$1,$B6,AB$1,$B$1)</f>
        <v>17895.165199999999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204.3331</v>
      </c>
      <c r="M9" s="100">
        <f>_xll.EQNXTDZ($A$1,$B9,M$1,$B$1)</f>
        <v>168.4598</v>
      </c>
      <c r="N9" s="100">
        <f>_xll.EQNXTDZ($A$1,$B9,N$1,$B$1)</f>
        <v>193.6816</v>
      </c>
      <c r="O9" s="100">
        <f>_xll.EQNXTDZ($A$1,$B9,O$1,$B$1)</f>
        <v>159.416</v>
      </c>
      <c r="P9" s="100">
        <f>_xll.EQNXTDZ($A$1,$B9,P$1,$B$1)</f>
        <v>292.19369999999998</v>
      </c>
      <c r="Q9" s="100">
        <f>_xll.EQNXTDZ($A$1,$B9,Q$1,$B$1)</f>
        <v>311.71870000000001</v>
      </c>
      <c r="R9" s="100">
        <f>_xll.EQNXTDZ($A$1,$B9,R$1,$B$1)</f>
        <v>237.82759999999999</v>
      </c>
      <c r="S9" s="100">
        <f>_xll.EQNXTDZ($A$1,$B9,S$1,$B$1)</f>
        <v>272.94279999999998</v>
      </c>
      <c r="T9" s="100">
        <f>_xll.EQNXTDZ($A$1,$B9,T$1,$B$1)</f>
        <v>57.709600000000002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7110.2650000000003</v>
      </c>
      <c r="M10" s="100">
        <f>_xll.EQNXTDZ($A$1,$B10,M$1,$B$1)</f>
        <v>4586.3253999999997</v>
      </c>
      <c r="N10" s="100">
        <f>_xll.EQNXTDZ($A$1,$B10,N$1,$B$1)</f>
        <v>6036.3957</v>
      </c>
      <c r="O10" s="100">
        <f>_xll.EQNXTDZ($A$1,$B10,O$1,$B$1)</f>
        <v>6764.7277999999997</v>
      </c>
      <c r="P10" s="100">
        <f>_xll.EQNXTDZ($A$1,$B10,P$1,$B$1)</f>
        <v>6655.8473999999997</v>
      </c>
      <c r="Q10" s="100">
        <f>_xll.EQNXTDZ($A$1,$B10,Q$1,$B$1)</f>
        <v>8207.8300999999992</v>
      </c>
      <c r="R10" s="100">
        <f>_xll.EQNXTDZ($A$1,$B10,R$1,$B$1)</f>
        <v>7702.5785999999998</v>
      </c>
      <c r="S10" s="100">
        <f>_xll.EQNXTDZ($A$1,$B10,S$1,$B$1)</f>
        <v>7070.1214</v>
      </c>
      <c r="T10" s="100">
        <f>_xll.EQNXTDZ($A$1,$B10,T$1,$B$1)</f>
        <v>8506.6198999999997</v>
      </c>
      <c r="U10" s="100">
        <f>_xll.EQNXTDZ($A$1,$B10,U$1,$B$1)</f>
        <v>12117.0016</v>
      </c>
      <c r="V10" s="100">
        <f>_xll.EQNXTDZ($A$1,$B10,V$1,$B$1)</f>
        <v>11627.0368</v>
      </c>
      <c r="W10" s="100">
        <f>_xll.EQNXTDZ($A$1,$B10,W$1,$B$1)</f>
        <v>10663.6358</v>
      </c>
      <c r="X10" s="100">
        <f>_xll.EQNXTDZ($A$1,$B10,X$1,$B$1)</f>
        <v>13298.4211</v>
      </c>
      <c r="Y10" s="100">
        <f>_xll.EQNXTDZ($A$1,$B10,Y$1,$B$1)</f>
        <v>17868.068899999998</v>
      </c>
      <c r="Z10" s="100">
        <f>_xll.EQNXTDZ($A$1,$B10,Z$1,$B$1)</f>
        <v>20957.6901</v>
      </c>
      <c r="AA10" s="100">
        <f>_xll.EQNXTDZ($A$1,$B10,AA$1,$B$1)</f>
        <v>20828.894799999998</v>
      </c>
      <c r="AB10" s="100">
        <f>_xll.EQNXTDZ($A$1,$B10,AB$1,$B$1)</f>
        <v>17895.165199999999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223.49780000000001</v>
      </c>
      <c r="M11" s="100">
        <f>_xll.EQNXTDZ($A$1,$B11,M$1,$B$1)</f>
        <v>-41.9741</v>
      </c>
      <c r="N11" s="100">
        <f>_xll.EQNXTDZ($A$1,$B11,N$1,$B$1)</f>
        <v>-658.76589999999999</v>
      </c>
      <c r="O11" s="100">
        <f>_xll.EQNXTDZ($A$1,$B11,O$1,$B$1)</f>
        <v>304.51519999999999</v>
      </c>
      <c r="P11" s="100">
        <f>_xll.EQNXTDZ($A$1,$B11,P$1,$B$1)</f>
        <v>78.259900000000002</v>
      </c>
      <c r="Q11" s="100">
        <f>_xll.EQNXTDZ($A$1,$B11,Q$1,$B$1)</f>
        <v>-353.3623</v>
      </c>
      <c r="R11" s="100">
        <f>_xll.EQNXTDZ($A$1,$B11,R$1,$B$1)</f>
        <v>13.423500000000001</v>
      </c>
      <c r="S11" s="100">
        <f>_xll.EQNXTDZ($A$1,$B11,S$1,$B$1)</f>
        <v>-6.907</v>
      </c>
      <c r="T11" s="100">
        <f>_xll.EQNXTDZ($A$1,$B11,T$1,$B$1)</f>
        <v>-257.88220000000001</v>
      </c>
      <c r="U11" s="100">
        <f>_xll.EQNXTDZ($A$1,$B11,U$1,$B$1)</f>
        <v>-108.1233</v>
      </c>
      <c r="V11" s="100">
        <f>_xll.EQNXTDZ($A$1,$B11,V$1,$B$1)</f>
        <v>206.20419999999999</v>
      </c>
      <c r="W11" s="100">
        <f>_xll.EQNXTDZ($A$1,$B11,W$1,$B$1)</f>
        <v>3.9201999999999999</v>
      </c>
      <c r="X11" s="100">
        <f>_xll.EQNXTDZ($A$1,$B11,X$1,$B$1)</f>
        <v>-290.51499999999999</v>
      </c>
      <c r="Y11" s="100">
        <f>_xll.EQNXTDZ($A$1,$B11,Y$1,$B$1)</f>
        <v>-40.2483</v>
      </c>
      <c r="Z11" s="100">
        <f>_xll.EQNXTDZ($A$1,$B11,Z$1,$B$1)</f>
        <v>-530.13919999999996</v>
      </c>
      <c r="AA11" s="100">
        <f>_xll.EQNXTDZ($A$1,$B11,AA$1,$B$1)</f>
        <v>162.1747</v>
      </c>
      <c r="AB11" s="100">
        <f>_xll.EQNXTDZ($A$1,$B11,AB$1,$B$1)</f>
        <v>-587.21699999999998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4223.8507</v>
      </c>
      <c r="M12" s="100">
        <f>_xll.EQNXTDZ($A$1,$B12,M$1,$B$1)</f>
        <v>2625.2844</v>
      </c>
      <c r="N12" s="100">
        <f>_xll.EQNXTDZ($A$1,$B12,N$1,$B$1)</f>
        <v>4351.9859999999999</v>
      </c>
      <c r="O12" s="100">
        <f>_xll.EQNXTDZ($A$1,$B12,O$1,$B$1)</f>
        <v>3955.3</v>
      </c>
      <c r="P12" s="100">
        <f>_xll.EQNXTDZ($A$1,$B12,P$1,$B$1)</f>
        <v>3641.1019000000001</v>
      </c>
      <c r="Q12" s="100">
        <f>_xll.EQNXTDZ($A$1,$B12,Q$1,$B$1)</f>
        <v>4601.2761</v>
      </c>
      <c r="R12" s="100">
        <f>_xll.EQNXTDZ($A$1,$B12,R$1,$B$1)</f>
        <v>4279.5070999999998</v>
      </c>
      <c r="S12" s="100">
        <f>_xll.EQNXTDZ($A$1,$B12,S$1,$B$1)</f>
        <v>3818.0066999999999</v>
      </c>
      <c r="T12" s="100">
        <f>_xll.EQNXTDZ($A$1,$B12,T$1,$B$1)</f>
        <v>5158.0847999999996</v>
      </c>
      <c r="U12" s="100">
        <f>_xll.EQNXTDZ($A$1,$B12,U$1,$B$1)</f>
        <v>7574.0882000000001</v>
      </c>
      <c r="V12" s="100">
        <f>_xll.EQNXTDZ($A$1,$B12,V$1,$B$1)</f>
        <v>6728.4404999999997</v>
      </c>
      <c r="W12" s="100">
        <f>_xll.EQNXTDZ($A$1,$B12,W$1,$B$1)</f>
        <v>6023.5904</v>
      </c>
      <c r="X12" s="100">
        <f>_xll.EQNXTDZ($A$1,$B12,X$1,$B$1)</f>
        <v>8192.7636000000002</v>
      </c>
      <c r="Y12" s="100">
        <f>_xll.EQNXTDZ($A$1,$B12,Y$1,$B$1)</f>
        <v>11232.6958</v>
      </c>
      <c r="Z12" s="100">
        <f>_xll.EQNXTDZ($A$1,$B12,Z$1,$B$1)</f>
        <v>12681.3392</v>
      </c>
      <c r="AA12" s="100">
        <f>_xll.EQNXTDZ($A$1,$B12,AA$1,$B$1)</f>
        <v>11682.912899999999</v>
      </c>
      <c r="AB12" s="100">
        <f>_xll.EQNXTDZ($A$1,$B12,AB$1,$B$1)</f>
        <v>10640.0551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222.15950000000001</v>
      </c>
      <c r="M13" s="100">
        <f>_xll.EQNXTDZ($A$1,$B13,M$1,$B$1)</f>
        <v>204.62360000000001</v>
      </c>
      <c r="N13" s="100">
        <f>_xll.EQNXTDZ($A$1,$B13,N$1,$B$1)</f>
        <v>307.49509999999998</v>
      </c>
      <c r="O13" s="100">
        <f>_xll.EQNXTDZ($A$1,$B13,O$1,$B$1)</f>
        <v>303.06830000000002</v>
      </c>
      <c r="P13" s="100">
        <f>_xll.EQNXTDZ($A$1,$B13,P$1,$B$1)</f>
        <v>365.82679999999999</v>
      </c>
      <c r="Q13" s="100">
        <f>_xll.EQNXTDZ($A$1,$B13,Q$1,$B$1)</f>
        <v>400.85849999999999</v>
      </c>
      <c r="R13" s="100">
        <f>_xll.EQNXTDZ($A$1,$B13,R$1,$B$1)</f>
        <v>365.73820000000001</v>
      </c>
      <c r="S13" s="100">
        <f>_xll.EQNXTDZ($A$1,$B13,S$1,$B$1)</f>
        <v>386.09339999999997</v>
      </c>
      <c r="T13" s="100">
        <f>_xll.EQNXTDZ($A$1,$B13,T$1,$B$1)</f>
        <v>436.44080000000002</v>
      </c>
      <c r="U13" s="100">
        <f>_xll.EQNXTDZ($A$1,$B13,U$1,$B$1)</f>
        <v>513.84990000000005</v>
      </c>
      <c r="V13" s="100">
        <f>_xll.EQNXTDZ($A$1,$B13,V$1,$B$1)</f>
        <v>499.23829999999998</v>
      </c>
      <c r="W13" s="100">
        <f>_xll.EQNXTDZ($A$1,$B13,W$1,$B$1)</f>
        <v>487.15620000000001</v>
      </c>
      <c r="X13" s="100">
        <f>_xll.EQNXTDZ($A$1,$B13,X$1,$B$1)</f>
        <v>604.0009</v>
      </c>
      <c r="Y13" s="100">
        <f>_xll.EQNXTDZ($A$1,$B13,Y$1,$B$1)</f>
        <v>758.42200000000003</v>
      </c>
      <c r="Z13" s="100">
        <f>_xll.EQNXTDZ($A$1,$B13,Z$1,$B$1)</f>
        <v>791.81820000000005</v>
      </c>
      <c r="AA13" s="100">
        <f>_xll.EQNXTDZ($A$1,$B13,AA$1,$B$1)</f>
        <v>776.96939999999995</v>
      </c>
      <c r="AB13" s="100">
        <f>_xll.EQNXTDZ($A$1,$B13,AB$1,$B$1)</f>
        <v>724.04160000000002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276.43549999999999</v>
      </c>
      <c r="M14" s="100">
        <f>_xll.EQNXTDZ($A$1,$B14,M$1,$B$1)</f>
        <v>281.03199999999998</v>
      </c>
      <c r="N14" s="100">
        <f>_xll.EQNXTDZ($A$1,$B14,N$1,$B$1)</f>
        <v>345.71559999999999</v>
      </c>
      <c r="O14" s="100">
        <f>_xll.EQNXTDZ($A$1,$B14,O$1,$B$1)</f>
        <v>423.99329999999998</v>
      </c>
      <c r="P14" s="100">
        <f>_xll.EQNXTDZ($A$1,$B14,P$1,$B$1)</f>
        <v>510.29539999999997</v>
      </c>
      <c r="Q14" s="100">
        <f>_xll.EQNXTDZ($A$1,$B14,Q$1,$B$1)</f>
        <v>664.94899999999996</v>
      </c>
      <c r="R14" s="100">
        <f>_xll.EQNXTDZ($A$1,$B14,R$1,$B$1)</f>
        <v>789.3424</v>
      </c>
      <c r="S14" s="100">
        <f>_xll.EQNXTDZ($A$1,$B14,S$1,$B$1)</f>
        <v>784.29100000000005</v>
      </c>
      <c r="T14" s="100">
        <f>_xll.EQNXTDZ($A$1,$B14,T$1,$B$1)</f>
        <v>757.27139999999997</v>
      </c>
      <c r="U14" s="100">
        <f>_xll.EQNXTDZ($A$1,$B14,U$1,$B$1)</f>
        <v>914.17049999999995</v>
      </c>
      <c r="V14" s="100">
        <f>_xll.EQNXTDZ($A$1,$B14,V$1,$B$1)</f>
        <v>965.86189999999999</v>
      </c>
      <c r="W14" s="100">
        <f>_xll.EQNXTDZ($A$1,$B14,W$1,$B$1)</f>
        <v>896.61429999999996</v>
      </c>
      <c r="X14" s="100">
        <f>_xll.EQNXTDZ($A$1,$B14,X$1,$B$1)</f>
        <v>1014.8671000000001</v>
      </c>
      <c r="Y14" s="100">
        <f>_xll.EQNXTDZ($A$1,$B14,Y$1,$B$1)</f>
        <v>1179.3043</v>
      </c>
      <c r="Z14" s="100">
        <f>_xll.EQNXTDZ($A$1,$B14,Z$1,$B$1)</f>
        <v>1492.4398000000001</v>
      </c>
      <c r="AA14" s="100">
        <f>_xll.EQNXTDZ($A$1,$B14,AA$1,$B$1)</f>
        <v>1527.0392999999999</v>
      </c>
      <c r="AB14" s="100">
        <f>_xll.EQNXTDZ($A$1,$B14,AB$1,$B$1)</f>
        <v>1629.7263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424.22140000000002</v>
      </c>
      <c r="M15" s="100">
        <f>_xll.EQNXTDZ($A$1,$B15,M$1,$B$1)</f>
        <v>375.24610000000001</v>
      </c>
      <c r="N15" s="100">
        <f>_xll.EQNXTDZ($A$1,$B15,N$1,$B$1)</f>
        <v>595.17319999999995</v>
      </c>
      <c r="O15" s="100">
        <f>_xll.EQNXTDZ($A$1,$B15,O$1,$B$1)</f>
        <v>654.0865</v>
      </c>
      <c r="P15" s="100">
        <f>_xll.EQNXTDZ($A$1,$B15,P$1,$B$1)</f>
        <v>816.2921</v>
      </c>
      <c r="Q15" s="100">
        <f>_xll.EQNXTDZ($A$1,$B15,Q$1,$B$1)</f>
        <v>1242.5797</v>
      </c>
      <c r="R15" s="100">
        <f>_xll.EQNXTDZ($A$1,$B15,R$1,$B$1)</f>
        <v>776.72770000000003</v>
      </c>
      <c r="S15" s="100">
        <f>_xll.EQNXTDZ($A$1,$B15,S$1,$B$1)</f>
        <v>626.82989999999995</v>
      </c>
      <c r="T15" s="100">
        <f>_xll.EQNXTDZ($A$1,$B15,T$1,$B$1)</f>
        <v>511.87549999999999</v>
      </c>
      <c r="U15" s="100">
        <f>_xll.EQNXTDZ($A$1,$B15,U$1,$B$1)</f>
        <v>591.02149999999995</v>
      </c>
      <c r="V15" s="100">
        <f>_xll.EQNXTDZ($A$1,$B15,V$1,$B$1)</f>
        <v>546.98</v>
      </c>
      <c r="W15" s="100">
        <f>_xll.EQNXTDZ($A$1,$B15,W$1,$B$1)</f>
        <v>777.28620000000001</v>
      </c>
      <c r="X15" s="100">
        <f>_xll.EQNXTDZ($A$1,$B15,X$1,$B$1)</f>
        <v>993.15419999999995</v>
      </c>
      <c r="Y15" s="100">
        <f>_xll.EQNXTDZ($A$1,$B15,Y$1,$B$1)</f>
        <v>1421.4521</v>
      </c>
      <c r="Z15" s="100">
        <f>_xll.EQNXTDZ($A$1,$B15,Z$1,$B$1)</f>
        <v>1440.0088000000001</v>
      </c>
      <c r="AA15" s="100">
        <f>_xll.EQNXTDZ($A$1,$B15,AA$1,$B$1)</f>
        <v>1345.8026</v>
      </c>
      <c r="AB15" s="100">
        <f>_xll.EQNXTDZ($A$1,$B15,AB$1,$B$1)</f>
        <v>1395.5754999999999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57.820900000000002</v>
      </c>
      <c r="M17" s="100">
        <f>_xll.EQNXTDZ($A$1,$B17,M$1,$B$1)</f>
        <v>63.620100000000001</v>
      </c>
      <c r="N17" s="100">
        <f>_xll.EQNXTDZ($A$1,$B17,N$1,$B$1)</f>
        <v>93.392399999999995</v>
      </c>
      <c r="O17" s="100">
        <f>_xll.EQNXTDZ($A$1,$B17,O$1,$B$1)</f>
        <v>100.2264</v>
      </c>
      <c r="P17" s="100">
        <f>_xll.EQNXTDZ($A$1,$B17,P$1,$B$1)</f>
        <v>131.8673</v>
      </c>
      <c r="Q17" s="100">
        <f>_xll.EQNXTDZ($A$1,$B17,Q$1,$B$1)</f>
        <v>206.809</v>
      </c>
      <c r="R17" s="100">
        <f>_xll.EQNXTDZ($A$1,$B17,R$1,$B$1)</f>
        <v>262.8218</v>
      </c>
      <c r="S17" s="100">
        <f>_xll.EQNXTDZ($A$1,$B17,S$1,$B$1)</f>
        <v>206.23050000000001</v>
      </c>
      <c r="T17" s="100">
        <f>_xll.EQNXTDZ($A$1,$B17,T$1,$B$1)</f>
        <v>179.673</v>
      </c>
      <c r="U17" s="100">
        <f>_xll.EQNXTDZ($A$1,$B17,U$1,$B$1)</f>
        <v>178.21780000000001</v>
      </c>
      <c r="V17" s="100">
        <f>_xll.EQNXTDZ($A$1,$B17,V$1,$B$1)</f>
        <v>188.71090000000001</v>
      </c>
      <c r="W17" s="100">
        <f>_xll.EQNXTDZ($A$1,$B17,W$1,$B$1)</f>
        <v>167.50980000000001</v>
      </c>
      <c r="X17" s="100">
        <f>_xll.EQNXTDZ($A$1,$B17,X$1,$B$1)</f>
        <v>162.99799999999999</v>
      </c>
      <c r="Y17" s="100">
        <f>_xll.EQNXTDZ($A$1,$B17,Y$1,$B$1)</f>
        <v>206.16749999999999</v>
      </c>
      <c r="Z17" s="100">
        <f>_xll.EQNXTDZ($A$1,$B17,Z$1,$B$1)</f>
        <v>216.88310000000001</v>
      </c>
      <c r="AA17" s="100">
        <f>_xll.EQNXTDZ($A$1,$B17,AA$1,$B$1)</f>
        <v>246.37790000000001</v>
      </c>
      <c r="AB17" s="100">
        <f>_xll.EQNXTDZ($A$1,$B17,AB$1,$B$1)</f>
        <v>246.23150000000001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352.70690000000002</v>
      </c>
      <c r="M18" s="100">
        <f>_xll.EQNXTDZ($A$1,$B18,M$1,$B$1)</f>
        <v>186.56630000000001</v>
      </c>
      <c r="N18" s="100">
        <f>_xll.EQNXTDZ($A$1,$B18,N$1,$B$1)</f>
        <v>269.93239999999997</v>
      </c>
      <c r="O18" s="100">
        <f>_xll.EQNXTDZ($A$1,$B18,O$1,$B$1)</f>
        <v>364.15159999999997</v>
      </c>
      <c r="P18" s="100">
        <f>_xll.EQNXTDZ($A$1,$B18,P$1,$B$1)</f>
        <v>372.60939999999999</v>
      </c>
      <c r="Q18" s="100">
        <f>_xll.EQNXTDZ($A$1,$B18,Q$1,$B$1)</f>
        <v>428.53429999999997</v>
      </c>
      <c r="R18" s="100">
        <f>_xll.EQNXTDZ($A$1,$B18,R$1,$B$1)</f>
        <v>471.64519999999999</v>
      </c>
      <c r="S18" s="100">
        <f>_xll.EQNXTDZ($A$1,$B18,S$1,$B$1)</f>
        <v>461.77280000000002</v>
      </c>
      <c r="T18" s="100">
        <f>_xll.EQNXTDZ($A$1,$B18,T$1,$B$1)</f>
        <v>546.72069999999997</v>
      </c>
      <c r="U18" s="100">
        <f>_xll.EQNXTDZ($A$1,$B18,U$1,$B$1)</f>
        <v>841.98670000000004</v>
      </c>
      <c r="V18" s="100">
        <f>_xll.EQNXTDZ($A$1,$B18,V$1,$B$1)</f>
        <v>884.51779999999997</v>
      </c>
      <c r="W18" s="100">
        <f>_xll.EQNXTDZ($A$1,$B18,W$1,$B$1)</f>
        <v>1004.365</v>
      </c>
      <c r="X18" s="100">
        <f>_xll.EQNXTDZ($A$1,$B18,X$1,$B$1)</f>
        <v>1118.8141000000001</v>
      </c>
      <c r="Y18" s="100">
        <f>_xll.EQNXTDZ($A$1,$B18,Y$1,$B$1)</f>
        <v>1313.8779</v>
      </c>
      <c r="Z18" s="100">
        <f>_xll.EQNXTDZ($A$1,$B18,Z$1,$B$1)</f>
        <v>1438.6660999999999</v>
      </c>
      <c r="AA18" s="100">
        <f>_xll.EQNXTDZ($A$1,$B18,AA$1,$B$1)</f>
        <v>1389.25</v>
      </c>
      <c r="AB18" s="100">
        <f>_xll.EQNXTDZ($A$1,$B18,AB$1,$B$1)</f>
        <v>1409.8388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84.579499999999996</v>
      </c>
      <c r="M19" s="100">
        <f>_xll.EQNXTDZ($A$1,$B19,M$1,$B$1)</f>
        <v>30.482199999999999</v>
      </c>
      <c r="N19" s="100">
        <f>_xll.EQNXTDZ($A$1,$B19,N$1,$B$1)</f>
        <v>63.088799999999999</v>
      </c>
      <c r="O19" s="100">
        <f>_xll.EQNXTDZ($A$1,$B19,O$1,$B$1)</f>
        <v>55.707999999999998</v>
      </c>
      <c r="P19" s="100">
        <f>_xll.EQNXTDZ($A$1,$B19,P$1,$B$1)</f>
        <v>99.583100000000002</v>
      </c>
      <c r="Q19" s="100">
        <f>_xll.EQNXTDZ($A$1,$B19,Q$1,$B$1)</f>
        <v>207.86250000000001</v>
      </c>
      <c r="R19" s="100">
        <f>_xll.EQNXTDZ($A$1,$B19,R$1,$B$1)</f>
        <v>72.933599999999998</v>
      </c>
      <c r="S19" s="100">
        <f>_xll.EQNXTDZ($A$1,$B19,S$1,$B$1)</f>
        <v>71.132000000000005</v>
      </c>
      <c r="T19" s="100">
        <f>_xll.EQNXTDZ($A$1,$B19,T$1,$B$1)</f>
        <v>178.47790000000001</v>
      </c>
      <c r="U19" s="100">
        <f>_xll.EQNXTDZ($A$1,$B19,U$1,$B$1)</f>
        <v>179.8357</v>
      </c>
      <c r="V19" s="100">
        <f>_xll.EQNXTDZ($A$1,$B19,V$1,$B$1)</f>
        <v>143.11089999999999</v>
      </c>
      <c r="W19" s="100">
        <f>_xll.EQNXTDZ($A$1,$B19,W$1,$B$1)</f>
        <v>118.2633</v>
      </c>
      <c r="X19" s="100">
        <f>_xll.EQNXTDZ($A$1,$B19,X$1,$B$1)</f>
        <v>146.94540000000001</v>
      </c>
      <c r="Y19" s="100">
        <f>_xll.EQNXTDZ($A$1,$B19,Y$1,$B$1)</f>
        <v>192.18729999999999</v>
      </c>
      <c r="Z19" s="100">
        <f>_xll.EQNXTDZ($A$1,$B19,Z$1,$B$1)</f>
        <v>249.99199999999999</v>
      </c>
      <c r="AA19" s="100">
        <f>_xll.EQNXTDZ($A$1,$B19,AA$1,$B$1)</f>
        <v>360.25830000000002</v>
      </c>
      <c r="AB19" s="100">
        <f>_xll.EQNXTDZ($A$1,$B19,AB$1,$B$1)</f>
        <v>275.18060000000003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8.5000000000000006E-3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5865.2722000000003</v>
      </c>
      <c r="M21" s="100">
        <f>_xll.EQNXTDZ($A$1,$B21,M$1,$B$1)</f>
        <v>3724.8806</v>
      </c>
      <c r="N21" s="100">
        <f>_xll.EQNXTDZ($A$1,$B21,N$1,$B$1)</f>
        <v>5368.0091000000002</v>
      </c>
      <c r="O21" s="100">
        <f>_xll.EQNXTDZ($A$1,$B21,O$1,$B$1)</f>
        <v>6161.0492999999997</v>
      </c>
      <c r="P21" s="100">
        <f>_xll.EQNXTDZ($A$1,$B21,P$1,$B$1)</f>
        <v>6015.8359</v>
      </c>
      <c r="Q21" s="100">
        <f>_xll.EQNXTDZ($A$1,$B21,Q$1,$B$1)</f>
        <v>7399.5068000000001</v>
      </c>
      <c r="R21" s="100">
        <f>_xll.EQNXTDZ($A$1,$B21,R$1,$B$1)</f>
        <v>7032.1395000000002</v>
      </c>
      <c r="S21" s="100">
        <f>_xll.EQNXTDZ($A$1,$B21,S$1,$B$1)</f>
        <v>6347.4493000000002</v>
      </c>
      <c r="T21" s="100">
        <f>_xll.EQNXTDZ($A$1,$B21,T$1,$B$1)</f>
        <v>7510.6619000000001</v>
      </c>
      <c r="U21" s="100">
        <f>_xll.EQNXTDZ($A$1,$B21,U$1,$B$1)</f>
        <v>10685.047</v>
      </c>
      <c r="V21" s="100">
        <f>_xll.EQNXTDZ($A$1,$B21,V$1,$B$1)</f>
        <v>10163.0645</v>
      </c>
      <c r="W21" s="100">
        <f>_xll.EQNXTDZ($A$1,$B21,W$1,$B$1)</f>
        <v>9478.7054000000007</v>
      </c>
      <c r="X21" s="100">
        <f>_xll.EQNXTDZ($A$1,$B21,X$1,$B$1)</f>
        <v>11943.0283</v>
      </c>
      <c r="Y21" s="100">
        <f>_xll.EQNXTDZ($A$1,$B21,Y$1,$B$1)</f>
        <v>16263.8586</v>
      </c>
      <c r="Z21" s="100">
        <f>_xll.EQNXTDZ($A$1,$B21,Z$1,$B$1)</f>
        <v>17781.008000000002</v>
      </c>
      <c r="AA21" s="100">
        <f>_xll.EQNXTDZ($A$1,$B21,AA$1,$B$1)</f>
        <v>17490.785100000001</v>
      </c>
      <c r="AB21" s="100">
        <f>_xll.EQNXTDZ($A$1,$B21,AB$1,$B$1)</f>
        <v>15733.4324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1244.9928</v>
      </c>
      <c r="M22" s="100">
        <f>_xll.EQNXTDZ($A$1,$B22,M$1,$B$1)</f>
        <v>861.44479999999999</v>
      </c>
      <c r="N22" s="100">
        <f>_xll.EQNXTDZ($A$1,$B22,N$1,$B$1)</f>
        <v>668.38659999999902</v>
      </c>
      <c r="O22" s="100">
        <f>_xll.EQNXTDZ($A$1,$B22,O$1,$B$1)</f>
        <v>603.67849999999999</v>
      </c>
      <c r="P22" s="100">
        <f>_xll.EQNXTDZ($A$1,$B22,P$1,$B$1)</f>
        <v>640.01149999999996</v>
      </c>
      <c r="Q22" s="100">
        <f>_xll.EQNXTDZ($A$1,$B22,Q$1,$B$1)</f>
        <v>808.32330000000002</v>
      </c>
      <c r="R22" s="100">
        <f>_xll.EQNXTDZ($A$1,$B22,R$1,$B$1)</f>
        <v>670.43910000000005</v>
      </c>
      <c r="S22" s="100">
        <f>_xll.EQNXTDZ($A$1,$B22,S$1,$B$1)</f>
        <v>722.6721</v>
      </c>
      <c r="T22" s="100">
        <f>_xll.EQNXTDZ($A$1,$B22,T$1,$B$1)</f>
        <v>995.95799999999997</v>
      </c>
      <c r="U22" s="100">
        <f>_xll.EQNXTDZ($A$1,$B22,U$1,$B$1)</f>
        <v>1431.9546</v>
      </c>
      <c r="V22" s="100">
        <f>_xll.EQNXTDZ($A$1,$B22,V$1,$B$1)</f>
        <v>1463.9722999999999</v>
      </c>
      <c r="W22" s="100">
        <f>_xll.EQNXTDZ($A$1,$B22,W$1,$B$1)</f>
        <v>1184.9304</v>
      </c>
      <c r="X22" s="100">
        <f>_xll.EQNXTDZ($A$1,$B22,X$1,$B$1)</f>
        <v>1355.3928000000001</v>
      </c>
      <c r="Y22" s="100">
        <f>_xll.EQNXTDZ($A$1,$B22,Y$1,$B$1)</f>
        <v>1604.2103</v>
      </c>
      <c r="Z22" s="100">
        <f>_xll.EQNXTDZ($A$1,$B22,Z$1,$B$1)</f>
        <v>3176.6821</v>
      </c>
      <c r="AA22" s="100">
        <f>_xll.EQNXTDZ($A$1,$B22,AA$1,$B$1)</f>
        <v>3338.1097</v>
      </c>
      <c r="AB22" s="100">
        <f>_xll.EQNXTDZ($A$1,$B22,AB$1,$B$1)</f>
        <v>2161.7328000000002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65.811099999999996</v>
      </c>
      <c r="M23" s="100">
        <f>_xll.EQNXTDZ($A$1,$B23,M$1,$B$1)</f>
        <v>61.236400000000003</v>
      </c>
      <c r="N23" s="100">
        <f>_xll.EQNXTDZ($A$1,$B23,N$1,$B$1)</f>
        <v>101.42919999999999</v>
      </c>
      <c r="O23" s="100">
        <f>_xll.EQNXTDZ($A$1,$B23,O$1,$B$1)</f>
        <v>82.797600000000003</v>
      </c>
      <c r="P23" s="100">
        <f>_xll.EQNXTDZ($A$1,$B23,P$1,$B$1)</f>
        <v>95.406999999999996</v>
      </c>
      <c r="Q23" s="100">
        <f>_xll.EQNXTDZ($A$1,$B23,Q$1,$B$1)</f>
        <v>205.9639</v>
      </c>
      <c r="R23" s="100">
        <f>_xll.EQNXTDZ($A$1,$B23,R$1,$B$1)</f>
        <v>273.07659999999998</v>
      </c>
      <c r="S23" s="100">
        <f>_xll.EQNXTDZ($A$1,$B23,S$1,$B$1)</f>
        <v>289.1241</v>
      </c>
      <c r="T23" s="100">
        <f>_xll.EQNXTDZ($A$1,$B23,T$1,$B$1)</f>
        <v>178.8313</v>
      </c>
      <c r="U23" s="100">
        <f>_xll.EQNXTDZ($A$1,$B23,U$1,$B$1)</f>
        <v>189.26830000000001</v>
      </c>
      <c r="V23" s="100">
        <f>_xll.EQNXTDZ($A$1,$B23,V$1,$B$1)</f>
        <v>156.20570000000001</v>
      </c>
      <c r="W23" s="100">
        <f>_xll.EQNXTDZ($A$1,$B23,W$1,$B$1)</f>
        <v>266.01150000000001</v>
      </c>
      <c r="X23" s="100">
        <f>_xll.EQNXTDZ($A$1,$B23,X$1,$B$1)</f>
        <v>199.184</v>
      </c>
      <c r="Y23" s="100">
        <f>_xll.EQNXTDZ($A$1,$B23,Y$1,$B$1)</f>
        <v>253.07929999999999</v>
      </c>
      <c r="Z23" s="100">
        <f>_xll.EQNXTDZ($A$1,$B23,Z$1,$B$1)</f>
        <v>312.48070000000001</v>
      </c>
      <c r="AA23" s="100">
        <f>_xll.EQNXTDZ($A$1,$B23,AA$1,$B$1)</f>
        <v>210.09350000000001</v>
      </c>
      <c r="AB23" s="100">
        <f>_xll.EQNXTDZ($A$1,$B23,AB$1,$B$1)</f>
        <v>144.68969999999999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1310.8039000000001</v>
      </c>
      <c r="M24" s="100">
        <f>_xll.EQNXTDZ($A$1,$B24,M$1,$B$1)</f>
        <v>922.68119999999999</v>
      </c>
      <c r="N24" s="100">
        <f>_xll.EQNXTDZ($A$1,$B24,N$1,$B$1)</f>
        <v>769.81579999999997</v>
      </c>
      <c r="O24" s="100">
        <f>_xll.EQNXTDZ($A$1,$B24,O$1,$B$1)</f>
        <v>686.47609999999997</v>
      </c>
      <c r="P24" s="100">
        <f>_xll.EQNXTDZ($A$1,$B24,P$1,$B$1)</f>
        <v>735.41849999999999</v>
      </c>
      <c r="Q24" s="100">
        <f>_xll.EQNXTDZ($A$1,$B24,Q$1,$B$1)</f>
        <v>1014.2872</v>
      </c>
      <c r="R24" s="100">
        <f>_xll.EQNXTDZ($A$1,$B24,R$1,$B$1)</f>
        <v>943.51570000000004</v>
      </c>
      <c r="S24" s="100">
        <f>_xll.EQNXTDZ($A$1,$B24,S$1,$B$1)</f>
        <v>1011.7962</v>
      </c>
      <c r="T24" s="100">
        <f>_xll.EQNXTDZ($A$1,$B24,T$1,$B$1)</f>
        <v>1174.7892999999999</v>
      </c>
      <c r="U24" s="100">
        <f>_xll.EQNXTDZ($A$1,$B24,U$1,$B$1)</f>
        <v>1621.2229</v>
      </c>
      <c r="V24" s="100">
        <f>_xll.EQNXTDZ($A$1,$B24,V$1,$B$1)</f>
        <v>1620.1780000000001</v>
      </c>
      <c r="W24" s="100">
        <f>_xll.EQNXTDZ($A$1,$B24,W$1,$B$1)</f>
        <v>1450.9419</v>
      </c>
      <c r="X24" s="100">
        <f>_xll.EQNXTDZ($A$1,$B24,X$1,$B$1)</f>
        <v>1554.5768</v>
      </c>
      <c r="Y24" s="100">
        <f>_xll.EQNXTDZ($A$1,$B24,Y$1,$B$1)</f>
        <v>1857.2896000000001</v>
      </c>
      <c r="Z24" s="100">
        <f>_xll.EQNXTDZ($A$1,$B24,Z$1,$B$1)</f>
        <v>3489.1628000000001</v>
      </c>
      <c r="AA24" s="100">
        <f>_xll.EQNXTDZ($A$1,$B24,AA$1,$B$1)</f>
        <v>3548.2031999999999</v>
      </c>
      <c r="AB24" s="100">
        <f>_xll.EQNXTDZ($A$1,$B24,AB$1,$B$1)</f>
        <v>2306.4225000000001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257.9228</v>
      </c>
      <c r="M25" s="100">
        <f>_xll.EQNXTDZ($A$1,$B25,M$1,$B$1)</f>
        <v>181.96270000000001</v>
      </c>
      <c r="N25" s="100">
        <f>_xll.EQNXTDZ($A$1,$B25,N$1,$B$1)</f>
        <v>165.46709999999999</v>
      </c>
      <c r="O25" s="100">
        <f>_xll.EQNXTDZ($A$1,$B25,O$1,$B$1)</f>
        <v>235.6362</v>
      </c>
      <c r="P25" s="100">
        <f>_xll.EQNXTDZ($A$1,$B25,P$1,$B$1)</f>
        <v>391.9658</v>
      </c>
      <c r="Q25" s="100">
        <f>_xll.EQNXTDZ($A$1,$B25,Q$1,$B$1)</f>
        <v>605.64359999999999</v>
      </c>
      <c r="R25" s="100">
        <f>_xll.EQNXTDZ($A$1,$B25,R$1,$B$1)</f>
        <v>678.85320000000002</v>
      </c>
      <c r="S25" s="100">
        <f>_xll.EQNXTDZ($A$1,$B25,S$1,$B$1)</f>
        <v>568.63459999999998</v>
      </c>
      <c r="T25" s="100">
        <f>_xll.EQNXTDZ($A$1,$B25,T$1,$B$1)</f>
        <v>581.36699999999996</v>
      </c>
      <c r="U25" s="100">
        <f>_xll.EQNXTDZ($A$1,$B25,U$1,$B$1)</f>
        <v>615.22839999999997</v>
      </c>
      <c r="V25" s="100">
        <f>_xll.EQNXTDZ($A$1,$B25,V$1,$B$1)</f>
        <v>619.85059999999999</v>
      </c>
      <c r="W25" s="100">
        <f>_xll.EQNXTDZ($A$1,$B25,W$1,$B$1)</f>
        <v>492.79070000000002</v>
      </c>
      <c r="X25" s="100">
        <f>_xll.EQNXTDZ($A$1,$B25,X$1,$B$1)</f>
        <v>460.11680000000001</v>
      </c>
      <c r="Y25" s="100">
        <f>_xll.EQNXTDZ($A$1,$B25,Y$1,$B$1)</f>
        <v>641.96870000000001</v>
      </c>
      <c r="Z25" s="100">
        <f>_xll.EQNXTDZ($A$1,$B25,Z$1,$B$1)</f>
        <v>704.69309999999996</v>
      </c>
      <c r="AA25" s="100">
        <f>_xll.EQNXTDZ($A$1,$B25,AA$1,$B$1)</f>
        <v>623.45339999999999</v>
      </c>
      <c r="AB25" s="100">
        <f>_xll.EQNXTDZ($A$1,$B25,AB$1,$B$1)</f>
        <v>619.55930000000001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1052.8811000000001</v>
      </c>
      <c r="M26" s="100">
        <f>_xll.EQNXTDZ($A$1,$B26,M$1,$B$1)</f>
        <v>740.71849999999995</v>
      </c>
      <c r="N26" s="100">
        <f>_xll.EQNXTDZ($A$1,$B26,N$1,$B$1)</f>
        <v>604.34870000000001</v>
      </c>
      <c r="O26" s="100">
        <f>_xll.EQNXTDZ($A$1,$B26,O$1,$B$1)</f>
        <v>450.8399</v>
      </c>
      <c r="P26" s="100">
        <f>_xll.EQNXTDZ($A$1,$B26,P$1,$B$1)</f>
        <v>343.45269999999999</v>
      </c>
      <c r="Q26" s="100">
        <f>_xll.EQNXTDZ($A$1,$B26,Q$1,$B$1)</f>
        <v>408.64359999999999</v>
      </c>
      <c r="R26" s="100">
        <f>_xll.EQNXTDZ($A$1,$B26,R$1,$B$1)</f>
        <v>264.66250000000002</v>
      </c>
      <c r="S26" s="100">
        <f>_xll.EQNXTDZ($A$1,$B26,S$1,$B$1)</f>
        <v>443.16160000000002</v>
      </c>
      <c r="T26" s="100">
        <f>_xll.EQNXTDZ($A$1,$B26,T$1,$B$1)</f>
        <v>593.42229999999995</v>
      </c>
      <c r="U26" s="100">
        <f>_xll.EQNXTDZ($A$1,$B26,U$1,$B$1)</f>
        <v>1005.9945</v>
      </c>
      <c r="V26" s="100">
        <f>_xll.EQNXTDZ($A$1,$B26,V$1,$B$1)</f>
        <v>1000.3274</v>
      </c>
      <c r="W26" s="100">
        <f>_xll.EQNXTDZ($A$1,$B26,W$1,$B$1)</f>
        <v>958.15120000000002</v>
      </c>
      <c r="X26" s="100">
        <f>_xll.EQNXTDZ($A$1,$B26,X$1,$B$1)</f>
        <v>1094.46</v>
      </c>
      <c r="Y26" s="100">
        <f>_xll.EQNXTDZ($A$1,$B26,Y$1,$B$1)</f>
        <v>1215.3208999999999</v>
      </c>
      <c r="Z26" s="100">
        <f>_xll.EQNXTDZ($A$1,$B26,Z$1,$B$1)</f>
        <v>2784.4697000000001</v>
      </c>
      <c r="AA26" s="100">
        <f>_xll.EQNXTDZ($A$1,$B26,AA$1,$B$1)</f>
        <v>2924.7498000000001</v>
      </c>
      <c r="AB26" s="100">
        <f>_xll.EQNXTDZ($A$1,$B26,AB$1,$B$1)</f>
        <v>1686.8632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158.5461</v>
      </c>
      <c r="M27" s="100">
        <f>_xll.EQNXTDZ($A$1,$B27,M$1,$B$1)</f>
        <v>163.7826</v>
      </c>
      <c r="N27" s="100">
        <f>_xll.EQNXTDZ($A$1,$B27,N$1,$B$1)</f>
        <v>181.7663</v>
      </c>
      <c r="O27" s="100">
        <f>_xll.EQNXTDZ($A$1,$B27,O$1,$B$1)</f>
        <v>218.99180000000001</v>
      </c>
      <c r="P27" s="100">
        <f>_xll.EQNXTDZ($A$1,$B27,P$1,$B$1)</f>
        <v>321.2833</v>
      </c>
      <c r="Q27" s="100">
        <f>_xll.EQNXTDZ($A$1,$B27,Q$1,$B$1)</f>
        <v>335.48349999999999</v>
      </c>
      <c r="R27" s="100">
        <f>_xll.EQNXTDZ($A$1,$B27,R$1,$B$1)</f>
        <v>327.93540000000002</v>
      </c>
      <c r="S27" s="100">
        <f>_xll.EQNXTDZ($A$1,$B27,S$1,$B$1)</f>
        <v>337.40530000000001</v>
      </c>
      <c r="T27" s="100">
        <f>_xll.EQNXTDZ($A$1,$B27,T$1,$B$1)</f>
        <v>363.4821</v>
      </c>
      <c r="U27" s="100">
        <f>_xll.EQNXTDZ($A$1,$B27,U$1,$B$1)</f>
        <v>396.2817</v>
      </c>
      <c r="V27" s="100">
        <f>_xll.EQNXTDZ($A$1,$B27,V$1,$B$1)</f>
        <v>421.6721</v>
      </c>
      <c r="W27" s="100">
        <f>_xll.EQNXTDZ($A$1,$B27,W$1,$B$1)</f>
        <v>458.8723</v>
      </c>
      <c r="X27" s="100">
        <f>_xll.EQNXTDZ($A$1,$B27,X$1,$B$1)</f>
        <v>472.98779999999999</v>
      </c>
      <c r="Y27" s="100">
        <f>_xll.EQNXTDZ($A$1,$B27,Y$1,$B$1)</f>
        <v>470.3338</v>
      </c>
      <c r="Z27" s="100">
        <f>_xll.EQNXTDZ($A$1,$B27,Z$1,$B$1)</f>
        <v>567.98689999999999</v>
      </c>
      <c r="AA27" s="100">
        <f>_xll.EQNXTDZ($A$1,$B27,AA$1,$B$1)</f>
        <v>602.05970000000002</v>
      </c>
      <c r="AB27" s="100">
        <f>_xll.EQNXTDZ($A$1,$B27,AB$1,$B$1)</f>
        <v>630.49109999999996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-0.49120000000000003</v>
      </c>
      <c r="R28" s="100">
        <f>_xll.EQNXTDZ($A$1,$B28,R$1,$B$1)</f>
        <v>0</v>
      </c>
      <c r="S28" s="100">
        <f>_xll.EQNXTDZ($A$1,$B28,S$1,$B$1)</f>
        <v>-8.5871999999999993</v>
      </c>
      <c r="T28" s="100">
        <f>_xll.EQNXTDZ($A$1,$B28,T$1,$B$1)</f>
        <v>-5.4043000000000001</v>
      </c>
      <c r="U28" s="100">
        <f>_xll.EQNXTDZ($A$1,$B28,U$1,$B$1)</f>
        <v>-3.5000000000000001E-3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-0.45600000000000002</v>
      </c>
      <c r="Z28" s="100">
        <f>_xll.EQNXTDZ($A$1,$B28,Z$1,$B$1)</f>
        <v>-0.80920000000000003</v>
      </c>
      <c r="AA28" s="100">
        <f>_xll.EQNXTDZ($A$1,$B28,AA$1,$B$1)</f>
        <v>26.274899999999999</v>
      </c>
      <c r="AB28" s="100">
        <f>_xll.EQNXTDZ($A$1,$B28,AB$1,$B$1)</f>
        <v>19.333100000000002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-140.8039</v>
      </c>
      <c r="O29" s="100">
        <f>_xll.EQNXTDZ($A$1,$B29,O$1,$B$1)</f>
        <v>-200.45400000000001</v>
      </c>
      <c r="P29" s="100">
        <f>_xll.EQNXTDZ($A$1,$B29,P$1,$B$1)</f>
        <v>-67.736599999999996</v>
      </c>
      <c r="Q29" s="100">
        <f>_xll.EQNXTDZ($A$1,$B29,Q$1,$B$1)</f>
        <v>-30.017399999999999</v>
      </c>
      <c r="R29" s="100">
        <f>_xll.EQNXTDZ($A$1,$B29,R$1,$B$1)</f>
        <v>-21.482299999999999</v>
      </c>
      <c r="S29" s="100">
        <f>_xll.EQNXTDZ($A$1,$B29,S$1,$B$1)</f>
        <v>95.892099999999999</v>
      </c>
      <c r="T29" s="100">
        <f>_xll.EQNXTDZ($A$1,$B29,T$1,$B$1)</f>
        <v>-90.8078</v>
      </c>
      <c r="U29" s="100">
        <f>_xll.EQNXTDZ($A$1,$B29,U$1,$B$1)</f>
        <v>377.90190000000001</v>
      </c>
      <c r="V29" s="100">
        <f>_xll.EQNXTDZ($A$1,$B29,V$1,$B$1)</f>
        <v>-112.0462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-25.044899999999998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215.34639999999999</v>
      </c>
      <c r="M30" s="100">
        <f>_xll.EQNXTDZ($A$1,$B30,M$1,$B$1)</f>
        <v>132.43780000000001</v>
      </c>
      <c r="N30" s="100">
        <f>_xll.EQNXTDZ($A$1,$B30,N$1,$B$1)</f>
        <v>93.33</v>
      </c>
      <c r="O30" s="100">
        <f>_xll.EQNXTDZ($A$1,$B30,O$1,$B$1)</f>
        <v>51.324399999999997</v>
      </c>
      <c r="P30" s="100">
        <f>_xll.EQNXTDZ($A$1,$B30,P$1,$B$1)</f>
        <v>54.6569</v>
      </c>
      <c r="Q30" s="100">
        <f>_xll.EQNXTDZ($A$1,$B30,Q$1,$B$1)</f>
        <v>116.1139</v>
      </c>
      <c r="R30" s="100">
        <f>_xll.EQNXTDZ($A$1,$B30,R$1,$B$1)</f>
        <v>-67.718900000000005</v>
      </c>
      <c r="S30" s="100">
        <f>_xll.EQNXTDZ($A$1,$B30,S$1,$B$1)</f>
        <v>62.739899999999999</v>
      </c>
      <c r="T30" s="100">
        <f>_xll.EQNXTDZ($A$1,$B30,T$1,$B$1)</f>
        <v>133.1155</v>
      </c>
      <c r="U30" s="100">
        <f>_xll.EQNXTDZ($A$1,$B30,U$1,$B$1)</f>
        <v>211.61959999999999</v>
      </c>
      <c r="V30" s="100">
        <f>_xll.EQNXTDZ($A$1,$B30,V$1,$B$1)</f>
        <v>5.3421000000000003</v>
      </c>
      <c r="W30" s="100">
        <f>_xll.EQNXTDZ($A$1,$B30,W$1,$B$1)</f>
        <v>171.54759999999999</v>
      </c>
      <c r="X30" s="100">
        <f>_xll.EQNXTDZ($A$1,$B30,X$1,$B$1)</f>
        <v>245.58240000000001</v>
      </c>
      <c r="Y30" s="100">
        <f>_xll.EQNXTDZ($A$1,$B30,Y$1,$B$1)</f>
        <v>267.7004</v>
      </c>
      <c r="Z30" s="100">
        <f>_xll.EQNXTDZ($A$1,$B30,Z$1,$B$1)</f>
        <v>622.7971</v>
      </c>
      <c r="AA30" s="100">
        <f>_xll.EQNXTDZ($A$1,$B30,AA$1,$B$1)</f>
        <v>890.91729999999995</v>
      </c>
      <c r="AB30" s="100">
        <f>_xll.EQNXTDZ($A$1,$B30,AB$1,$B$1)</f>
        <v>150.37950000000001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0.74139999999999995</v>
      </c>
      <c r="M32" s="100">
        <f>_xll.EQNXTDZ($A$1,$B32,M$1,$B$1)</f>
        <v>0.15859999999999999</v>
      </c>
      <c r="N32" s="100">
        <f>_xll.EQNXTDZ($A$1,$B32,N$1,$B$1)</f>
        <v>0.6613</v>
      </c>
      <c r="O32" s="100">
        <f>_xll.EQNXTDZ($A$1,$B32,O$1,$B$1)</f>
        <v>1.0636000000000001</v>
      </c>
      <c r="P32" s="100">
        <f>_xll.EQNXTDZ($A$1,$B32,P$1,$B$1)</f>
        <v>14.681900000000001</v>
      </c>
      <c r="Q32" s="100">
        <f>_xll.EQNXTDZ($A$1,$B32,Q$1,$B$1)</f>
        <v>12.937900000000001</v>
      </c>
      <c r="R32" s="100">
        <f>_xll.EQNXTDZ($A$1,$B32,R$1,$B$1)</f>
        <v>40.036700000000003</v>
      </c>
      <c r="S32" s="100">
        <f>_xll.EQNXTDZ($A$1,$B32,S$1,$B$1)</f>
        <v>75.250900000000001</v>
      </c>
      <c r="T32" s="100">
        <f>_xll.EQNXTDZ($A$1,$B32,T$1,$B$1)</f>
        <v>189.47810000000001</v>
      </c>
      <c r="U32" s="100">
        <f>_xll.EQNXTDZ($A$1,$B32,U$1,$B$1)</f>
        <v>86.442899999999995</v>
      </c>
      <c r="V32" s="100">
        <f>_xll.EQNXTDZ($A$1,$B32,V$1,$B$1)</f>
        <v>93.484099999999998</v>
      </c>
      <c r="W32" s="100">
        <f>_xll.EQNXTDZ($A$1,$B32,W$1,$B$1)</f>
        <v>-8.9007000000000005</v>
      </c>
      <c r="X32" s="100">
        <f>_xll.EQNXTDZ($A$1,$B32,X$1,$B$1)</f>
        <v>35.859299999999998</v>
      </c>
      <c r="Y32" s="100">
        <f>_xll.EQNXTDZ($A$1,$B32,Y$1,$B$1)</f>
        <v>192.1611</v>
      </c>
      <c r="Z32" s="100">
        <f>_xll.EQNXTDZ($A$1,$B32,Z$1,$B$1)</f>
        <v>84.156099999999995</v>
      </c>
      <c r="AA32" s="100">
        <f>_xll.EQNXTDZ($A$1,$B32,AA$1,$B$1)</f>
        <v>280.31869999999998</v>
      </c>
      <c r="AB32" s="100">
        <f>_xll.EQNXTDZ($A$1,$B32,AB$1,$B$1)</f>
        <v>48.026600000000002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679.73</v>
      </c>
      <c r="M35" s="100">
        <f>_xll.EQNXTDZ($A$1,$B35,M$1,$B$1)</f>
        <v>444.6567</v>
      </c>
      <c r="N35" s="100">
        <f>_xll.EQNXTDZ($A$1,$B35,N$1,$B$1)</f>
        <v>189.10980000000001</v>
      </c>
      <c r="O35" s="100">
        <f>_xll.EQNXTDZ($A$1,$B35,O$1,$B$1)</f>
        <v>-18.866700000000002</v>
      </c>
      <c r="P35" s="100">
        <f>_xll.EQNXTDZ($A$1,$B35,P$1,$B$1)</f>
        <v>-85.542199999999994</v>
      </c>
      <c r="Q35" s="100">
        <f>_xll.EQNXTDZ($A$1,$B35,Q$1,$B$1)</f>
        <v>-14.474600000000001</v>
      </c>
      <c r="R35" s="100">
        <f>_xll.EQNXTDZ($A$1,$B35,R$1,$B$1)</f>
        <v>-40.164200000000001</v>
      </c>
      <c r="S35" s="100">
        <f>_xll.EQNXTDZ($A$1,$B35,S$1,$B$1)</f>
        <v>113.7705</v>
      </c>
      <c r="T35" s="100">
        <f>_xll.EQNXTDZ($A$1,$B35,T$1,$B$1)</f>
        <v>178.49709999999999</v>
      </c>
      <c r="U35" s="100">
        <f>_xll.EQNXTDZ($A$1,$B35,U$1,$B$1)</f>
        <v>850.15949999999998</v>
      </c>
      <c r="V35" s="100">
        <f>_xll.EQNXTDZ($A$1,$B35,V$1,$B$1)</f>
        <v>554.75109999999995</v>
      </c>
      <c r="W35" s="100">
        <f>_xll.EQNXTDZ($A$1,$B35,W$1,$B$1)</f>
        <v>318.8306</v>
      </c>
      <c r="X35" s="100">
        <f>_xll.EQNXTDZ($A$1,$B35,X$1,$B$1)</f>
        <v>411.7491</v>
      </c>
      <c r="Y35" s="100">
        <f>_xll.EQNXTDZ($A$1,$B35,Y$1,$B$1)</f>
        <v>643.94690000000003</v>
      </c>
      <c r="Z35" s="100">
        <f>_xll.EQNXTDZ($A$1,$B35,Z$1,$B$1)</f>
        <v>1677.0326</v>
      </c>
      <c r="AA35" s="100">
        <f>_xll.EQNXTDZ($A$1,$B35,AA$1,$B$1)</f>
        <v>1738.3664000000001</v>
      </c>
      <c r="AB35" s="100">
        <f>_xll.EQNXTDZ($A$1,$B35,AB$1,$B$1)</f>
        <v>973.35230000000001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46.049900000000001</v>
      </c>
      <c r="R36" s="100">
        <f>_xll.EQNXTDZ($A$1,$B36,R$1,$B$1)</f>
        <v>-63.1646</v>
      </c>
      <c r="S36" s="100">
        <f>_xll.EQNXTDZ($A$1,$B36,S$1,$B$1)</f>
        <v>-91.801699999999997</v>
      </c>
      <c r="T36" s="100">
        <f>_xll.EQNXTDZ($A$1,$B36,T$1,$B$1)</f>
        <v>-11.5936</v>
      </c>
      <c r="U36" s="100">
        <f>_xll.EQNXTDZ($A$1,$B36,U$1,$B$1)</f>
        <v>-12.275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154.7234</v>
      </c>
      <c r="M41" s="55">
        <f>_xll.EQNXTDZ($A$1,$B41,M$1,$B$1)</f>
        <v>55.245800000000003</v>
      </c>
      <c r="N41" s="55">
        <f>_xll.EQNXTDZ($A$1,$B41,N$1,$B$1)</f>
        <v>55.245800000000003</v>
      </c>
      <c r="O41" s="55">
        <f>_xll.EQNXTDZ($A$1,$B41,O$1,$B$1)</f>
        <v>55.245800000000003</v>
      </c>
      <c r="P41" s="55">
        <f>_xll.EQNXTDZ($A$1,$B41,P$1,$B$1)</f>
        <v>55.245800000000003</v>
      </c>
      <c r="Q41" s="55">
        <f>_xll.EQNXTDZ($A$1,$B41,Q$1,$B$1)</f>
        <v>58.007399999999997</v>
      </c>
      <c r="R41" s="55">
        <f>_xll.EQNXTDZ($A$1,$B41,R$1,$B$1)</f>
        <v>60.907200000000003</v>
      </c>
      <c r="S41" s="55">
        <f>_xll.EQNXTDZ($A$1,$B41,S$1,$B$1)</f>
        <v>63.951900000000002</v>
      </c>
      <c r="T41" s="55">
        <f>_xll.EQNXTDZ($A$1,$B41,T$1,$B$1)</f>
        <v>63.951900000000002</v>
      </c>
      <c r="U41" s="55">
        <f>_xll.EQNXTDZ($A$1,$B41,U$1,$B$1)</f>
        <v>63.951900000000002</v>
      </c>
      <c r="V41" s="55">
        <f>_xll.EQNXTDZ($A$1,$B41,V$1,$B$1)</f>
        <v>63.951900000000002</v>
      </c>
      <c r="W41" s="55">
        <f>_xll.EQNXTDZ($A$1,$B41,W$1,$B$1)</f>
        <v>63.951900000000002</v>
      </c>
      <c r="X41" s="55">
        <f>_xll.EQNXTDZ($A$1,$B41,X$1,$B$1)</f>
        <v>63.951900000000002</v>
      </c>
      <c r="Y41" s="55">
        <f>_xll.EQNXTDZ($A$1,$B41,Y$1,$B$1)</f>
        <v>63.951900000000002</v>
      </c>
      <c r="Z41" s="55">
        <f>_xll.EQNXTDZ($A$1,$B41,Z$1,$B$1)</f>
        <v>63.951900000000002</v>
      </c>
      <c r="AA41" s="55">
        <f>_xll.EQNXTDZ($A$1,$B41,AA$1,$B$1)</f>
        <v>63.951900000000002</v>
      </c>
      <c r="AB41" s="55">
        <f>_xll.EQNXTDZ($A$1,$B41,AB$1,$B$1)</f>
        <v>63.951900000000002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26.610399999999998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58.527299999999997</v>
      </c>
      <c r="AA42" s="55">
        <f>_xll.EQNXTDZ($A$1,$B42,AA$1,$B$1)</f>
        <v>34.489800000000002</v>
      </c>
      <c r="AB42" s="55">
        <f>_xll.EQNXTDZ($A$1,$B42,AB$1,$B$1)</f>
        <v>25.719200000000001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3532.3261000000002</v>
      </c>
      <c r="M43" s="55">
        <f>_xll.EQNXTDZ($A$1,$B43,M$1,$B$1)</f>
        <v>4014.1761000000001</v>
      </c>
      <c r="N43" s="55">
        <f>_xll.EQNXTDZ($A$1,$B43,N$1,$B$1)</f>
        <v>3640.77</v>
      </c>
      <c r="O43" s="55">
        <f>_xll.EQNXTDZ($A$1,$B43,O$1,$B$1)</f>
        <v>3612.2354999999998</v>
      </c>
      <c r="P43" s="55">
        <f>_xll.EQNXTDZ($A$1,$B43,P$1,$B$1)</f>
        <v>3513.1275000000001</v>
      </c>
      <c r="Q43" s="55">
        <f>_xll.EQNXTDZ($A$1,$B43,Q$1,$B$1)</f>
        <v>5332.0906000000004</v>
      </c>
      <c r="R43" s="55">
        <f>_xll.EQNXTDZ($A$1,$B43,R$1,$B$1)</f>
        <v>5061.4553999999998</v>
      </c>
      <c r="S43" s="55">
        <f>_xll.EQNXTDZ($A$1,$B43,S$1,$B$1)</f>
        <v>5322.1855999999998</v>
      </c>
      <c r="T43" s="55">
        <f>_xll.EQNXTDZ($A$1,$B43,T$1,$B$1)</f>
        <v>5432.4450999999999</v>
      </c>
      <c r="U43" s="55">
        <f>_xll.EQNXTDZ($A$1,$B43,U$1,$B$1)</f>
        <v>6218.4116000000004</v>
      </c>
      <c r="V43" s="55">
        <f>_xll.EQNXTDZ($A$1,$B43,V$1,$B$1)</f>
        <v>6699.5460999999996</v>
      </c>
      <c r="W43" s="55">
        <f>_xll.EQNXTDZ($A$1,$B43,W$1,$B$1)</f>
        <v>6919.0829000000003</v>
      </c>
      <c r="X43" s="55">
        <f>_xll.EQNXTDZ($A$1,$B43,X$1,$B$1)</f>
        <v>7300.2309999999998</v>
      </c>
      <c r="Y43" s="55">
        <f>_xll.EQNXTDZ($A$1,$B43,Y$1,$B$1)</f>
        <v>7856.9656999999997</v>
      </c>
      <c r="Z43" s="55">
        <f>_xll.EQNXTDZ($A$1,$B43,Z$1,$B$1)</f>
        <v>9970.85</v>
      </c>
      <c r="AA43" s="55">
        <f>_xll.EQNXTDZ($A$1,$B43,AA$1,$B$1)</f>
        <v>11312.5177</v>
      </c>
      <c r="AB43" s="55">
        <f>_xll.EQNXTDZ($A$1,$B43,AB$1,$B$1)</f>
        <v>12484.573700000001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3687.0495000000001</v>
      </c>
      <c r="M44" s="55">
        <f>_xll.EQNXTDZ($A$1,$B44,M$1,$B$1)</f>
        <v>4069.4218999999998</v>
      </c>
      <c r="N44" s="55">
        <f>_xll.EQNXTDZ($A$1,$B44,N$1,$B$1)</f>
        <v>3722.6262000000002</v>
      </c>
      <c r="O44" s="55">
        <f>_xll.EQNXTDZ($A$1,$B44,O$1,$B$1)</f>
        <v>3667.4812999999999</v>
      </c>
      <c r="P44" s="55">
        <f>_xll.EQNXTDZ($A$1,$B44,P$1,$B$1)</f>
        <v>3568.3733000000002</v>
      </c>
      <c r="Q44" s="55">
        <f>_xll.EQNXTDZ($A$1,$B44,Q$1,$B$1)</f>
        <v>5390.098</v>
      </c>
      <c r="R44" s="55">
        <f>_xll.EQNXTDZ($A$1,$B44,R$1,$B$1)</f>
        <v>5122.3626000000004</v>
      </c>
      <c r="S44" s="55">
        <f>_xll.EQNXTDZ($A$1,$B44,S$1,$B$1)</f>
        <v>5386.1374999999998</v>
      </c>
      <c r="T44" s="55">
        <f>_xll.EQNXTDZ($A$1,$B44,T$1,$B$1)</f>
        <v>5496.3969999999999</v>
      </c>
      <c r="U44" s="55">
        <f>_xll.EQNXTDZ($A$1,$B44,U$1,$B$1)</f>
        <v>6282.3635000000004</v>
      </c>
      <c r="V44" s="55">
        <f>_xll.EQNXTDZ($A$1,$B44,V$1,$B$1)</f>
        <v>6763.4979999999996</v>
      </c>
      <c r="W44" s="55">
        <f>_xll.EQNXTDZ($A$1,$B44,W$1,$B$1)</f>
        <v>6983.0348000000004</v>
      </c>
      <c r="X44" s="55">
        <f>_xll.EQNXTDZ($A$1,$B44,X$1,$B$1)</f>
        <v>7364.1828999999998</v>
      </c>
      <c r="Y44" s="55">
        <f>_xll.EQNXTDZ($A$1,$B44,Y$1,$B$1)</f>
        <v>7920.9175999999998</v>
      </c>
      <c r="Z44" s="55">
        <f>_xll.EQNXTDZ($A$1,$B44,Z$1,$B$1)</f>
        <v>10093.3292</v>
      </c>
      <c r="AA44" s="55">
        <f>_xll.EQNXTDZ($A$1,$B44,AA$1,$B$1)</f>
        <v>11410.9594</v>
      </c>
      <c r="AB44" s="55">
        <f>_xll.EQNXTDZ($A$1,$B44,AB$1,$B$1)</f>
        <v>12574.2448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6.6771000000000003</v>
      </c>
      <c r="M45" s="55">
        <f>_xll.EQNXTDZ($A$1,$B45,M$1,$B$1)</f>
        <v>22.004200000000001</v>
      </c>
      <c r="N45" s="55">
        <f>_xll.EQNXTDZ($A$1,$B45,N$1,$B$1)</f>
        <v>30.8019</v>
      </c>
      <c r="O45" s="55">
        <f>_xll.EQNXTDZ($A$1,$B45,O$1,$B$1)</f>
        <v>197.976</v>
      </c>
      <c r="P45" s="55">
        <f>_xll.EQNXTDZ($A$1,$B45,P$1,$B$1)</f>
        <v>157.83109999999999</v>
      </c>
      <c r="Q45" s="55">
        <f>_xll.EQNXTDZ($A$1,$B45,Q$1,$B$1)</f>
        <v>44.940399999999997</v>
      </c>
      <c r="R45" s="55">
        <f>_xll.EQNXTDZ($A$1,$B45,R$1,$B$1)</f>
        <v>-5.9771999999999998</v>
      </c>
      <c r="S45" s="55">
        <f>_xll.EQNXTDZ($A$1,$B45,S$1,$B$1)</f>
        <v>-126.6046</v>
      </c>
      <c r="T45" s="55">
        <f>_xll.EQNXTDZ($A$1,$B45,T$1,$B$1)</f>
        <v>-296.4008</v>
      </c>
      <c r="U45" s="55">
        <f>_xll.EQNXTDZ($A$1,$B45,U$1,$B$1)</f>
        <v>-382.25259999999997</v>
      </c>
      <c r="V45" s="55">
        <f>_xll.EQNXTDZ($A$1,$B45,V$1,$B$1)</f>
        <v>-474.58069999999998</v>
      </c>
      <c r="W45" s="55">
        <f>_xll.EQNXTDZ($A$1,$B45,W$1,$B$1)</f>
        <v>-443.60090000000002</v>
      </c>
      <c r="X45" s="55">
        <f>_xll.EQNXTDZ($A$1,$B45,X$1,$B$1)</f>
        <v>-515.04459999999995</v>
      </c>
      <c r="Y45" s="55">
        <f>_xll.EQNXTDZ($A$1,$B45,Y$1,$B$1)</f>
        <v>-642.0127</v>
      </c>
      <c r="Z45" s="55">
        <f>_xll.EQNXTDZ($A$1,$B45,Z$1,$B$1)</f>
        <v>-726.18209999999999</v>
      </c>
      <c r="AA45" s="55">
        <f>_xll.EQNXTDZ($A$1,$B45,AA$1,$B$1)</f>
        <v>-456.8775</v>
      </c>
      <c r="AB45" s="55">
        <f>_xll.EQNXTDZ($A$1,$B45,AB$1,$B$1)</f>
        <v>-291.52719999999999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419.12650000000002</v>
      </c>
      <c r="M47" s="55">
        <f>_xll.EQNXTDZ($A$1,$B47,M$1,$B$1)</f>
        <v>424.5831</v>
      </c>
      <c r="N47" s="55">
        <f>_xll.EQNXTDZ($A$1,$B47,N$1,$B$1)</f>
        <v>1161.8077000000001</v>
      </c>
      <c r="O47" s="55">
        <f>_xll.EQNXTDZ($A$1,$B47,O$1,$B$1)</f>
        <v>1998.5661</v>
      </c>
      <c r="P47" s="55">
        <f>_xll.EQNXTDZ($A$1,$B47,P$1,$B$1)</f>
        <v>2556.3789999999999</v>
      </c>
      <c r="Q47" s="55">
        <f>_xll.EQNXTDZ($A$1,$B47,Q$1,$B$1)</f>
        <v>3598.9771000000001</v>
      </c>
      <c r="R47" s="55">
        <f>_xll.EQNXTDZ($A$1,$B47,R$1,$B$1)</f>
        <v>3512.6278000000002</v>
      </c>
      <c r="S47" s="55">
        <f>_xll.EQNXTDZ($A$1,$B47,S$1,$B$1)</f>
        <v>2499.7734</v>
      </c>
      <c r="T47" s="55">
        <f>_xll.EQNXTDZ($A$1,$B47,T$1,$B$1)</f>
        <v>2370.7060000000001</v>
      </c>
      <c r="U47" s="55">
        <f>_xll.EQNXTDZ($A$1,$B47,U$1,$B$1)</f>
        <v>2118.9367999999999</v>
      </c>
      <c r="V47" s="55">
        <f>_xll.EQNXTDZ($A$1,$B47,V$1,$B$1)</f>
        <v>1794.5243</v>
      </c>
      <c r="W47" s="55">
        <f>_xll.EQNXTDZ($A$1,$B47,W$1,$B$1)</f>
        <v>1738.7784999999999</v>
      </c>
      <c r="X47" s="55">
        <f>_xll.EQNXTDZ($A$1,$B47,X$1,$B$1)</f>
        <v>1253.1877999999999</v>
      </c>
      <c r="Y47" s="55">
        <f>_xll.EQNXTDZ($A$1,$B47,Y$1,$B$1)</f>
        <v>1168.8725999999999</v>
      </c>
      <c r="Z47" s="55">
        <f>_xll.EQNXTDZ($A$1,$B47,Z$1,$B$1)</f>
        <v>1465.4181000000001</v>
      </c>
      <c r="AA47" s="55">
        <f>_xll.EQNXTDZ($A$1,$B47,AA$1,$B$1)</f>
        <v>681.33249999999998</v>
      </c>
      <c r="AB47" s="55">
        <f>_xll.EQNXTDZ($A$1,$B47,AB$1,$B$1)</f>
        <v>598.84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661.53319999999997</v>
      </c>
      <c r="M48" s="55">
        <f>_xll.EQNXTDZ($A$1,$B48,M$1,$B$1)</f>
        <v>302.0573</v>
      </c>
      <c r="N48" s="55">
        <f>_xll.EQNXTDZ($A$1,$B48,N$1,$B$1)</f>
        <v>731.67370000000005</v>
      </c>
      <c r="O48" s="55">
        <f>_xll.EQNXTDZ($A$1,$B48,O$1,$B$1)</f>
        <v>845.22180000000003</v>
      </c>
      <c r="P48" s="55">
        <f>_xll.EQNXTDZ($A$1,$B48,P$1,$B$1)</f>
        <v>936.31849999999997</v>
      </c>
      <c r="Q48" s="55">
        <f>_xll.EQNXTDZ($A$1,$B48,Q$1,$B$1)</f>
        <v>776.61760000000004</v>
      </c>
      <c r="R48" s="55">
        <f>_xll.EQNXTDZ($A$1,$B48,R$1,$B$1)</f>
        <v>534.48310000000004</v>
      </c>
      <c r="S48" s="55">
        <f>_xll.EQNXTDZ($A$1,$B48,S$1,$B$1)</f>
        <v>802.45339999999999</v>
      </c>
      <c r="T48" s="55">
        <f>_xll.EQNXTDZ($A$1,$B48,T$1,$B$1)</f>
        <v>940.74940000000004</v>
      </c>
      <c r="U48" s="55">
        <f>_xll.EQNXTDZ($A$1,$B48,U$1,$B$1)</f>
        <v>514.18769999999995</v>
      </c>
      <c r="V48" s="55">
        <f>_xll.EQNXTDZ($A$1,$B48,V$1,$B$1)</f>
        <v>566.13689999999997</v>
      </c>
      <c r="W48" s="55">
        <f>_xll.EQNXTDZ($A$1,$B48,W$1,$B$1)</f>
        <v>559.50220000000002</v>
      </c>
      <c r="X48" s="55">
        <f>_xll.EQNXTDZ($A$1,$B48,X$1,$B$1)</f>
        <v>579.44629999999995</v>
      </c>
      <c r="Y48" s="55">
        <f>_xll.EQNXTDZ($A$1,$B48,Y$1,$B$1)</f>
        <v>653.34130000000005</v>
      </c>
      <c r="Z48" s="55">
        <f>_xll.EQNXTDZ($A$1,$B48,Z$1,$B$1)</f>
        <v>642.23059999999998</v>
      </c>
      <c r="AA48" s="55">
        <f>_xll.EQNXTDZ($A$1,$B48,AA$1,$B$1)</f>
        <v>901.93560000000002</v>
      </c>
      <c r="AB48" s="55">
        <f>_xll.EQNXTDZ($A$1,$B48,AB$1,$B$1)</f>
        <v>891.57129999999995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127.1555</v>
      </c>
      <c r="M49" s="55">
        <f>_xll.EQNXTDZ($A$1,$B49,M$1,$B$1)</f>
        <v>154.22880000000001</v>
      </c>
      <c r="N49" s="55">
        <f>_xll.EQNXTDZ($A$1,$B49,N$1,$B$1)</f>
        <v>18.914400000000001</v>
      </c>
      <c r="O49" s="55">
        <f>_xll.EQNXTDZ($A$1,$B49,O$1,$B$1)</f>
        <v>64.721500000000006</v>
      </c>
      <c r="P49" s="55">
        <f>_xll.EQNXTDZ($A$1,$B49,P$1,$B$1)</f>
        <v>115.7869</v>
      </c>
      <c r="Q49" s="55">
        <f>_xll.EQNXTDZ($A$1,$B49,Q$1,$B$1)</f>
        <v>229.7465</v>
      </c>
      <c r="R49" s="55">
        <f>_xll.EQNXTDZ($A$1,$B49,R$1,$B$1)</f>
        <v>152.92529999999999</v>
      </c>
      <c r="S49" s="55">
        <f>_xll.EQNXTDZ($A$1,$B49,S$1,$B$1)</f>
        <v>190.9358</v>
      </c>
      <c r="T49" s="55">
        <f>_xll.EQNXTDZ($A$1,$B49,T$1,$B$1)</f>
        <v>168.61349999999999</v>
      </c>
      <c r="U49" s="55">
        <f>_xll.EQNXTDZ($A$1,$B49,U$1,$B$1)</f>
        <v>193.80250000000001</v>
      </c>
      <c r="V49" s="55">
        <f>_xll.EQNXTDZ($A$1,$B49,V$1,$B$1)</f>
        <v>53.780700000000003</v>
      </c>
      <c r="W49" s="55">
        <f>_xll.EQNXTDZ($A$1,$B49,W$1,$B$1)</f>
        <v>122.5574</v>
      </c>
      <c r="X49" s="55">
        <f>_xll.EQNXTDZ($A$1,$B49,X$1,$B$1)</f>
        <v>222.21629999999999</v>
      </c>
      <c r="Y49" s="55">
        <f>_xll.EQNXTDZ($A$1,$B49,Y$1,$B$1)</f>
        <v>327.62490000000003</v>
      </c>
      <c r="Z49" s="55">
        <f>_xll.EQNXTDZ($A$1,$B49,Z$1,$B$1)</f>
        <v>552.30229999999995</v>
      </c>
      <c r="AA49" s="55">
        <f>_xll.EQNXTDZ($A$1,$B49,AA$1,$B$1)</f>
        <v>791.77840000000003</v>
      </c>
      <c r="AB49" s="55">
        <f>_xll.EQNXTDZ($A$1,$B49,AB$1,$B$1)</f>
        <v>824.7097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20.298200000000001</v>
      </c>
      <c r="N50" s="55">
        <f>_xll.EQNXTDZ($A$1,$B50,N$1,$B$1)</f>
        <v>22.134699999999999</v>
      </c>
      <c r="O50" s="55">
        <f>_xll.EQNXTDZ($A$1,$B50,O$1,$B$1)</f>
        <v>26.395499999999998</v>
      </c>
      <c r="P50" s="55">
        <f>_xll.EQNXTDZ($A$1,$B50,P$1,$B$1)</f>
        <v>86.546599999999998</v>
      </c>
      <c r="Q50" s="55">
        <f>_xll.EQNXTDZ($A$1,$B50,Q$1,$B$1)</f>
        <v>210.3544</v>
      </c>
      <c r="R50" s="55">
        <f>_xll.EQNXTDZ($A$1,$B50,R$1,$B$1)</f>
        <v>184.46459999999999</v>
      </c>
      <c r="S50" s="55">
        <f>_xll.EQNXTDZ($A$1,$B50,S$1,$B$1)</f>
        <v>145.2704</v>
      </c>
      <c r="T50" s="55">
        <f>_xll.EQNXTDZ($A$1,$B50,T$1,$B$1)</f>
        <v>147.2543</v>
      </c>
      <c r="U50" s="55">
        <f>_xll.EQNXTDZ($A$1,$B50,U$1,$B$1)</f>
        <v>149.92939999999999</v>
      </c>
      <c r="V50" s="55">
        <f>_xll.EQNXTDZ($A$1,$B50,V$1,$B$1)</f>
        <v>390.80630000000002</v>
      </c>
      <c r="W50" s="55">
        <f>_xll.EQNXTDZ($A$1,$B50,W$1,$B$1)</f>
        <v>362.9375</v>
      </c>
      <c r="X50" s="55">
        <f>_xll.EQNXTDZ($A$1,$B50,X$1,$B$1)</f>
        <v>348.31240000000003</v>
      </c>
      <c r="Y50" s="55">
        <f>_xll.EQNXTDZ($A$1,$B50,Y$1,$B$1)</f>
        <v>442.85219999999998</v>
      </c>
      <c r="Z50" s="55">
        <f>_xll.EQNXTDZ($A$1,$B50,Z$1,$B$1)</f>
        <v>289.51330000000002</v>
      </c>
      <c r="AA50" s="55">
        <f>_xll.EQNXTDZ($A$1,$B50,AA$1,$B$1)</f>
        <v>328.2149</v>
      </c>
      <c r="AB50" s="55">
        <f>_xll.EQNXTDZ($A$1,$B50,AB$1,$B$1)</f>
        <v>755.27409999999998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97.727099999999993</v>
      </c>
      <c r="O51" s="55">
        <f>_xll.EQNXTDZ($A$1,$B51,O$1,$B$1)</f>
        <v>75.566000000000003</v>
      </c>
      <c r="P51" s="55">
        <f>_xll.EQNXTDZ($A$1,$B51,P$1,$B$1)</f>
        <v>101.4474</v>
      </c>
      <c r="Q51" s="55">
        <f>_xll.EQNXTDZ($A$1,$B51,Q$1,$B$1)</f>
        <v>64.991600000000005</v>
      </c>
      <c r="R51" s="55">
        <f>_xll.EQNXTDZ($A$1,$B51,R$1,$B$1)</f>
        <v>47.261099999999999</v>
      </c>
      <c r="S51" s="55">
        <f>_xll.EQNXTDZ($A$1,$B51,S$1,$B$1)</f>
        <v>46.352699999999999</v>
      </c>
      <c r="T51" s="55">
        <f>_xll.EQNXTDZ($A$1,$B51,T$1,$B$1)</f>
        <v>49.737499999999997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24.607500000000002</v>
      </c>
      <c r="N52" s="55">
        <f>_xll.EQNXTDZ($A$1,$B52,N$1,$B$1)</f>
        <v>32.457999999999998</v>
      </c>
      <c r="O52" s="55">
        <f>_xll.EQNXTDZ($A$1,$B52,O$1,$B$1)</f>
        <v>34.4816</v>
      </c>
      <c r="P52" s="55">
        <f>_xll.EQNXTDZ($A$1,$B52,P$1,$B$1)</f>
        <v>36.631</v>
      </c>
      <c r="Q52" s="55">
        <f>_xll.EQNXTDZ($A$1,$B52,Q$1,$B$1)</f>
        <v>54.9878</v>
      </c>
      <c r="R52" s="55">
        <f>_xll.EQNXTDZ($A$1,$B52,R$1,$B$1)</f>
        <v>59.874699999999997</v>
      </c>
      <c r="S52" s="55">
        <f>_xll.EQNXTDZ($A$1,$B52,S$1,$B$1)</f>
        <v>87.489000000000004</v>
      </c>
      <c r="T52" s="55">
        <f>_xll.EQNXTDZ($A$1,$B52,T$1,$B$1)</f>
        <v>100.0853</v>
      </c>
      <c r="U52" s="55">
        <f>_xll.EQNXTDZ($A$1,$B52,U$1,$B$1)</f>
        <v>105.9609</v>
      </c>
      <c r="V52" s="55">
        <f>_xll.EQNXTDZ($A$1,$B52,V$1,$B$1)</f>
        <v>146.78579999999999</v>
      </c>
      <c r="W52" s="55">
        <f>_xll.EQNXTDZ($A$1,$B52,W$1,$B$1)</f>
        <v>67.475499999999997</v>
      </c>
      <c r="X52" s="55">
        <f>_xll.EQNXTDZ($A$1,$B52,X$1,$B$1)</f>
        <v>52.076999999999998</v>
      </c>
      <c r="Y52" s="55">
        <f>_xll.EQNXTDZ($A$1,$B52,Y$1,$B$1)</f>
        <v>44.607700000000001</v>
      </c>
      <c r="Z52" s="55">
        <f>_xll.EQNXTDZ($A$1,$B52,Z$1,$B$1)</f>
        <v>36.498800000000003</v>
      </c>
      <c r="AA52" s="55">
        <f>_xll.EQNXTDZ($A$1,$B52,AA$1,$B$1)</f>
        <v>24.650400000000001</v>
      </c>
      <c r="AB52" s="55">
        <f>_xll.EQNXTDZ($A$1,$B52,AB$1,$B$1)</f>
        <v>31.135300000000001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1207.8152</v>
      </c>
      <c r="M53" s="55">
        <f>_xll.EQNXTDZ($A$1,$B53,M$1,$B$1)</f>
        <v>925.7749</v>
      </c>
      <c r="N53" s="55">
        <f>_xll.EQNXTDZ($A$1,$B53,N$1,$B$1)</f>
        <v>2064.7156</v>
      </c>
      <c r="O53" s="55">
        <f>_xll.EQNXTDZ($A$1,$B53,O$1,$B$1)</f>
        <v>3044.9524999999999</v>
      </c>
      <c r="P53" s="55">
        <f>_xll.EQNXTDZ($A$1,$B53,P$1,$B$1)</f>
        <v>3833.1093999999998</v>
      </c>
      <c r="Q53" s="55">
        <f>_xll.EQNXTDZ($A$1,$B53,Q$1,$B$1)</f>
        <v>4935.6750000000002</v>
      </c>
      <c r="R53" s="55">
        <f>_xll.EQNXTDZ($A$1,$B53,R$1,$B$1)</f>
        <v>4491.6365999999998</v>
      </c>
      <c r="S53" s="55">
        <f>_xll.EQNXTDZ($A$1,$B53,S$1,$B$1)</f>
        <v>3772.2746999999999</v>
      </c>
      <c r="T53" s="55">
        <f>_xll.EQNXTDZ($A$1,$B53,T$1,$B$1)</f>
        <v>3777.1460000000002</v>
      </c>
      <c r="U53" s="55">
        <f>_xll.EQNXTDZ($A$1,$B53,U$1,$B$1)</f>
        <v>3082.8173000000002</v>
      </c>
      <c r="V53" s="55">
        <f>_xll.EQNXTDZ($A$1,$B53,V$1,$B$1)</f>
        <v>2952.0340000000001</v>
      </c>
      <c r="W53" s="55">
        <f>_xll.EQNXTDZ($A$1,$B53,W$1,$B$1)</f>
        <v>2851.2511</v>
      </c>
      <c r="X53" s="55">
        <f>_xll.EQNXTDZ($A$1,$B53,X$1,$B$1)</f>
        <v>2455.2397999999998</v>
      </c>
      <c r="Y53" s="55">
        <f>_xll.EQNXTDZ($A$1,$B53,Y$1,$B$1)</f>
        <v>2637.2986999999998</v>
      </c>
      <c r="Z53" s="55">
        <f>_xll.EQNXTDZ($A$1,$B53,Z$1,$B$1)</f>
        <v>2985.9630999999999</v>
      </c>
      <c r="AA53" s="55">
        <f>_xll.EQNXTDZ($A$1,$B53,AA$1,$B$1)</f>
        <v>2727.9117999999999</v>
      </c>
      <c r="AB53" s="55">
        <f>_xll.EQNXTDZ($A$1,$B53,AB$1,$B$1)</f>
        <v>3101.5304000000001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677.64409999999998</v>
      </c>
      <c r="M54" s="55">
        <f>_xll.EQNXTDZ($A$1,$B54,M$1,$B$1)</f>
        <v>413.11989999999997</v>
      </c>
      <c r="N54" s="55">
        <f>_xll.EQNXTDZ($A$1,$B54,N$1,$B$1)</f>
        <v>743.93669999999997</v>
      </c>
      <c r="O54" s="55">
        <f>_xll.EQNXTDZ($A$1,$B54,O$1,$B$1)</f>
        <v>793.08230000000003</v>
      </c>
      <c r="P54" s="55">
        <f>_xll.EQNXTDZ($A$1,$B54,P$1,$B$1)</f>
        <v>679.702</v>
      </c>
      <c r="Q54" s="55">
        <f>_xll.EQNXTDZ($A$1,$B54,Q$1,$B$1)</f>
        <v>893.10929999999996</v>
      </c>
      <c r="R54" s="55">
        <f>_xll.EQNXTDZ($A$1,$B54,R$1,$B$1)</f>
        <v>499.5</v>
      </c>
      <c r="S54" s="55">
        <f>_xll.EQNXTDZ($A$1,$B54,S$1,$B$1)</f>
        <v>411.40679999999998</v>
      </c>
      <c r="T54" s="55">
        <f>_xll.EQNXTDZ($A$1,$B54,T$1,$B$1)</f>
        <v>567.94839999999999</v>
      </c>
      <c r="U54" s="55">
        <f>_xll.EQNXTDZ($A$1,$B54,U$1,$B$1)</f>
        <v>1804.4974999999999</v>
      </c>
      <c r="V54" s="55">
        <f>_xll.EQNXTDZ($A$1,$B54,V$1,$B$1)</f>
        <v>1403.2239999999999</v>
      </c>
      <c r="W54" s="55">
        <f>_xll.EQNXTDZ($A$1,$B54,W$1,$B$1)</f>
        <v>1936.6831</v>
      </c>
      <c r="X54" s="55">
        <f>_xll.EQNXTDZ($A$1,$B54,X$1,$B$1)</f>
        <v>1540.1202000000001</v>
      </c>
      <c r="Y54" s="55">
        <f>_xll.EQNXTDZ($A$1,$B54,Y$1,$B$1)</f>
        <v>3004.1507999999999</v>
      </c>
      <c r="Z54" s="55">
        <f>_xll.EQNXTDZ($A$1,$B54,Z$1,$B$1)</f>
        <v>2953.1190000000001</v>
      </c>
      <c r="AA54" s="55">
        <f>_xll.EQNXTDZ($A$1,$B54,AA$1,$B$1)</f>
        <v>2522.2165</v>
      </c>
      <c r="AB54" s="55">
        <f>_xll.EQNXTDZ($A$1,$B54,AB$1,$B$1)</f>
        <v>2623.1197000000002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240.745</v>
      </c>
      <c r="M55" s="55">
        <f>_xll.EQNXTDZ($A$1,$B55,M$1,$B$1)</f>
        <v>986.43060000000003</v>
      </c>
      <c r="N55" s="55">
        <f>_xll.EQNXTDZ($A$1,$B55,N$1,$B$1)</f>
        <v>1089.9464</v>
      </c>
      <c r="O55" s="55">
        <f>_xll.EQNXTDZ($A$1,$B55,O$1,$B$1)</f>
        <v>867.31410000000005</v>
      </c>
      <c r="P55" s="55">
        <f>_xll.EQNXTDZ($A$1,$B55,P$1,$B$1)</f>
        <v>857.69240000000002</v>
      </c>
      <c r="Q55" s="55">
        <f>_xll.EQNXTDZ($A$1,$B55,Q$1,$B$1)</f>
        <v>1499.8194000000001</v>
      </c>
      <c r="R55" s="55">
        <f>_xll.EQNXTDZ($A$1,$B55,R$1,$B$1)</f>
        <v>1155.4090000000001</v>
      </c>
      <c r="S55" s="55">
        <f>_xll.EQNXTDZ($A$1,$B55,S$1,$B$1)</f>
        <v>1202.0165</v>
      </c>
      <c r="T55" s="55">
        <f>_xll.EQNXTDZ($A$1,$B55,T$1,$B$1)</f>
        <v>845.28980000000001</v>
      </c>
      <c r="U55" s="55">
        <f>_xll.EQNXTDZ($A$1,$B55,U$1,$B$1)</f>
        <v>1213.6084000000001</v>
      </c>
      <c r="V55" s="55">
        <f>_xll.EQNXTDZ($A$1,$B55,V$1,$B$1)</f>
        <v>1829.4771000000001</v>
      </c>
      <c r="W55" s="55">
        <f>_xll.EQNXTDZ($A$1,$B55,W$1,$B$1)</f>
        <v>2282.0650999999998</v>
      </c>
      <c r="X55" s="55">
        <f>_xll.EQNXTDZ($A$1,$B55,X$1,$B$1)</f>
        <v>2039.473</v>
      </c>
      <c r="Y55" s="55">
        <f>_xll.EQNXTDZ($A$1,$B55,Y$1,$B$1)</f>
        <v>2279.739</v>
      </c>
      <c r="Z55" s="55">
        <f>_xll.EQNXTDZ($A$1,$B55,Z$1,$B$1)</f>
        <v>2349.4987000000001</v>
      </c>
      <c r="AA55" s="55">
        <f>_xll.EQNXTDZ($A$1,$B55,AA$1,$B$1)</f>
        <v>1616.2366</v>
      </c>
      <c r="AB55" s="55">
        <f>_xll.EQNXTDZ($A$1,$B55,AB$1,$B$1)</f>
        <v>938.03880000000004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1191.7701</v>
      </c>
      <c r="N56" s="55">
        <f>_xll.EQNXTDZ($A$1,$B56,N$1,$B$1)</f>
        <v>1633.8071</v>
      </c>
      <c r="O56" s="55">
        <f>_xll.EQNXTDZ($A$1,$B56,O$1,$B$1)</f>
        <v>2102.4214999999999</v>
      </c>
      <c r="P56" s="55">
        <f>_xll.EQNXTDZ($A$1,$B56,P$1,$B$1)</f>
        <v>2282.2058000000002</v>
      </c>
      <c r="Q56" s="55">
        <f>_xll.EQNXTDZ($A$1,$B56,Q$1,$B$1)</f>
        <v>3229.4735999999998</v>
      </c>
      <c r="R56" s="55">
        <f>_xll.EQNXTDZ($A$1,$B56,R$1,$B$1)</f>
        <v>2932.3624</v>
      </c>
      <c r="S56" s="55">
        <f>_xll.EQNXTDZ($A$1,$B56,S$1,$B$1)</f>
        <v>2197.9928</v>
      </c>
      <c r="T56" s="55">
        <f>_xll.EQNXTDZ($A$1,$B56,T$1,$B$1)</f>
        <v>2761.9758000000002</v>
      </c>
      <c r="U56" s="55">
        <f>_xll.EQNXTDZ($A$1,$B56,U$1,$B$1)</f>
        <v>2706.9077000000002</v>
      </c>
      <c r="V56" s="55">
        <f>_xll.EQNXTDZ($A$1,$B56,V$1,$B$1)</f>
        <v>2573.7910999999999</v>
      </c>
      <c r="W56" s="55">
        <f>_xll.EQNXTDZ($A$1,$B56,W$1,$B$1)</f>
        <v>2087.0529999999999</v>
      </c>
      <c r="X56" s="55">
        <f>_xll.EQNXTDZ($A$1,$B56,X$1,$B$1)</f>
        <v>3437.4976000000001</v>
      </c>
      <c r="Y56" s="55">
        <f>_xll.EQNXTDZ($A$1,$B56,Y$1,$B$1)</f>
        <v>2556.3867</v>
      </c>
      <c r="Z56" s="55">
        <f>_xll.EQNXTDZ($A$1,$B56,Z$1,$B$1)</f>
        <v>2858.06</v>
      </c>
      <c r="AA56" s="55">
        <f>_xll.EQNXTDZ($A$1,$B56,AA$1,$B$1)</f>
        <v>2662.5643</v>
      </c>
      <c r="AB56" s="55">
        <f>_xll.EQNXTDZ($A$1,$B56,AB$1,$B$1)</f>
        <v>2456.7618000000002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92.027199999999993</v>
      </c>
      <c r="M57" s="55">
        <f>_xll.EQNXTDZ($A$1,$B57,M$1,$B$1)</f>
        <v>38.0563</v>
      </c>
      <c r="N57" s="55">
        <f>_xll.EQNXTDZ($A$1,$B57,N$1,$B$1)</f>
        <v>39.653599999999997</v>
      </c>
      <c r="O57" s="55">
        <f>_xll.EQNXTDZ($A$1,$B57,O$1,$B$1)</f>
        <v>39.651400000000002</v>
      </c>
      <c r="P57" s="55">
        <f>_xll.EQNXTDZ($A$1,$B57,P$1,$B$1)</f>
        <v>36.890799999999999</v>
      </c>
      <c r="Q57" s="55">
        <f>_xll.EQNXTDZ($A$1,$B57,Q$1,$B$1)</f>
        <v>6.3493000000000004</v>
      </c>
      <c r="R57" s="55">
        <f>_xll.EQNXTDZ($A$1,$B57,R$1,$B$1)</f>
        <v>24.0015</v>
      </c>
      <c r="S57" s="55">
        <f>_xll.EQNXTDZ($A$1,$B57,S$1,$B$1)</f>
        <v>12.6448</v>
      </c>
      <c r="T57" s="55">
        <f>_xll.EQNXTDZ($A$1,$B57,T$1,$B$1)</f>
        <v>44.1569</v>
      </c>
      <c r="U57" s="55">
        <f>_xll.EQNXTDZ($A$1,$B57,U$1,$B$1)</f>
        <v>59.357199999999999</v>
      </c>
      <c r="V57" s="55">
        <f>_xll.EQNXTDZ($A$1,$B57,V$1,$B$1)</f>
        <v>34.1815</v>
      </c>
      <c r="W57" s="55">
        <f>_xll.EQNXTDZ($A$1,$B57,W$1,$B$1)</f>
        <v>118.6859</v>
      </c>
      <c r="X57" s="55">
        <f>_xll.EQNXTDZ($A$1,$B57,X$1,$B$1)</f>
        <v>121.74769999999999</v>
      </c>
      <c r="Y57" s="55">
        <f>_xll.EQNXTDZ($A$1,$B57,Y$1,$B$1)</f>
        <v>126.3531</v>
      </c>
      <c r="Z57" s="55">
        <f>_xll.EQNXTDZ($A$1,$B57,Z$1,$B$1)</f>
        <v>164.92580000000001</v>
      </c>
      <c r="AA57" s="55">
        <f>_xll.EQNXTDZ($A$1,$B57,AA$1,$B$1)</f>
        <v>182.27160000000001</v>
      </c>
      <c r="AB57" s="55">
        <f>_xll.EQNXTDZ($A$1,$B57,AB$1,$B$1)</f>
        <v>169.75239999999999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126.59180000000001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14.175800000000001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1010.4163</v>
      </c>
      <c r="M59" s="55">
        <f>_xll.EQNXTDZ($A$1,$B59,M$1,$B$1)</f>
        <v>2629.3769000000002</v>
      </c>
      <c r="N59" s="55">
        <f>_xll.EQNXTDZ($A$1,$B59,N$1,$B$1)</f>
        <v>3507.3438000000001</v>
      </c>
      <c r="O59" s="55">
        <f>_xll.EQNXTDZ($A$1,$B59,O$1,$B$1)</f>
        <v>3802.4693000000002</v>
      </c>
      <c r="P59" s="55">
        <f>_xll.EQNXTDZ($A$1,$B59,P$1,$B$1)</f>
        <v>3856.491</v>
      </c>
      <c r="Q59" s="55">
        <f>_xll.EQNXTDZ($A$1,$B59,Q$1,$B$1)</f>
        <v>5628.7515999999996</v>
      </c>
      <c r="R59" s="55">
        <f>_xll.EQNXTDZ($A$1,$B59,R$1,$B$1)</f>
        <v>4611.2728999999999</v>
      </c>
      <c r="S59" s="55">
        <f>_xll.EQNXTDZ($A$1,$B59,S$1,$B$1)</f>
        <v>3824.0608999999999</v>
      </c>
      <c r="T59" s="55">
        <f>_xll.EQNXTDZ($A$1,$B59,T$1,$B$1)</f>
        <v>4219.3708999999999</v>
      </c>
      <c r="U59" s="55">
        <f>_xll.EQNXTDZ($A$1,$B59,U$1,$B$1)</f>
        <v>5784.3707999999997</v>
      </c>
      <c r="V59" s="55">
        <f>_xll.EQNXTDZ($A$1,$B59,V$1,$B$1)</f>
        <v>5840.6737000000003</v>
      </c>
      <c r="W59" s="55">
        <f>_xll.EQNXTDZ($A$1,$B59,W$1,$B$1)</f>
        <v>6424.4871000000003</v>
      </c>
      <c r="X59" s="55">
        <f>_xll.EQNXTDZ($A$1,$B59,X$1,$B$1)</f>
        <v>7138.8384999999998</v>
      </c>
      <c r="Y59" s="55">
        <f>_xll.EQNXTDZ($A$1,$B59,Y$1,$B$1)</f>
        <v>7966.6296000000002</v>
      </c>
      <c r="Z59" s="55">
        <f>_xll.EQNXTDZ($A$1,$B59,Z$1,$B$1)</f>
        <v>8325.6034999999993</v>
      </c>
      <c r="AA59" s="55">
        <f>_xll.EQNXTDZ($A$1,$B59,AA$1,$B$1)</f>
        <v>6983.2889999999998</v>
      </c>
      <c r="AB59" s="55">
        <f>_xll.EQNXTDZ($A$1,$B59,AB$1,$B$1)</f>
        <v>6187.6727000000001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5911.9580999999998</v>
      </c>
      <c r="M60" s="55">
        <f>_xll.EQNXTDZ($A$1,$B60,M$1,$B$1)</f>
        <v>7646.5779000000002</v>
      </c>
      <c r="N60" s="55">
        <f>_xll.EQNXTDZ($A$1,$B60,N$1,$B$1)</f>
        <v>9325.4874999999993</v>
      </c>
      <c r="O60" s="55">
        <f>_xll.EQNXTDZ($A$1,$B60,O$1,$B$1)</f>
        <v>10712.8791</v>
      </c>
      <c r="P60" s="55">
        <f>_xll.EQNXTDZ($A$1,$B60,P$1,$B$1)</f>
        <v>11415.8048</v>
      </c>
      <c r="Q60" s="55">
        <f>_xll.EQNXTDZ($A$1,$B60,Q$1,$B$1)</f>
        <v>15999.465</v>
      </c>
      <c r="R60" s="55">
        <f>_xll.EQNXTDZ($A$1,$B60,R$1,$B$1)</f>
        <v>14345.886699999999</v>
      </c>
      <c r="S60" s="55">
        <f>_xll.EQNXTDZ($A$1,$B60,S$1,$B$1)</f>
        <v>12855.8685</v>
      </c>
      <c r="T60" s="55">
        <f>_xll.EQNXTDZ($A$1,$B60,T$1,$B$1)</f>
        <v>13196.5131</v>
      </c>
      <c r="U60" s="55">
        <f>_xll.EQNXTDZ($A$1,$B60,U$1,$B$1)</f>
        <v>14781.4748</v>
      </c>
      <c r="V60" s="55">
        <f>_xll.EQNXTDZ($A$1,$B60,V$1,$B$1)</f>
        <v>15081.625</v>
      </c>
      <c r="W60" s="55">
        <f>_xll.EQNXTDZ($A$1,$B60,W$1,$B$1)</f>
        <v>15815.1721</v>
      </c>
      <c r="X60" s="55">
        <f>_xll.EQNXTDZ($A$1,$B60,X$1,$B$1)</f>
        <v>16443.2166</v>
      </c>
      <c r="Y60" s="55">
        <f>_xll.EQNXTDZ($A$1,$B60,Y$1,$B$1)</f>
        <v>17882.833200000001</v>
      </c>
      <c r="Z60" s="55">
        <f>_xll.EQNXTDZ($A$1,$B60,Z$1,$B$1)</f>
        <v>20678.7137</v>
      </c>
      <c r="AA60" s="55">
        <f>_xll.EQNXTDZ($A$1,$B60,AA$1,$B$1)</f>
        <v>20665.2827</v>
      </c>
      <c r="AB60" s="55">
        <f>_xll.EQNXTDZ($A$1,$B60,AB$1,$B$1)</f>
        <v>21571.920699999999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2972.1291000000001</v>
      </c>
      <c r="M62" s="55">
        <f>_xll.EQNXTDZ($A$1,$B62,M$1,$B$1)</f>
        <v>3232.7130000000002</v>
      </c>
      <c r="N62" s="55">
        <f>_xll.EQNXTDZ($A$1,$B62,N$1,$B$1)</f>
        <v>3697.2363</v>
      </c>
      <c r="O62" s="55">
        <f>_xll.EQNXTDZ($A$1,$B62,O$1,$B$1)</f>
        <v>5350.0190000000002</v>
      </c>
      <c r="P62" s="55">
        <f>_xll.EQNXTDZ($A$1,$B62,P$1,$B$1)</f>
        <v>7273.6390000000001</v>
      </c>
      <c r="Q62" s="55">
        <f>_xll.EQNXTDZ($A$1,$B62,Q$1,$B$1)</f>
        <v>8678.8487000000005</v>
      </c>
      <c r="R62" s="55">
        <f>_xll.EQNXTDZ($A$1,$B62,R$1,$B$1)</f>
        <v>8713.3991999999998</v>
      </c>
      <c r="S62" s="55">
        <f>_xll.EQNXTDZ($A$1,$B62,S$1,$B$1)</f>
        <v>8490.1610000000001</v>
      </c>
      <c r="T62" s="55">
        <f>_xll.EQNXTDZ($A$1,$B62,T$1,$B$1)</f>
        <v>8450.8546000000006</v>
      </c>
      <c r="U62" s="55">
        <f>_xll.EQNXTDZ($A$1,$B62,U$1,$B$1)</f>
        <v>8858.2152999999998</v>
      </c>
      <c r="V62" s="55">
        <f>_xll.EQNXTDZ($A$1,$B62,V$1,$B$1)</f>
        <v>9643.0149999999994</v>
      </c>
      <c r="W62" s="55">
        <f>_xll.EQNXTDZ($A$1,$B62,W$1,$B$1)</f>
        <v>9836.3050000000003</v>
      </c>
      <c r="X62" s="55">
        <f>_xll.EQNXTDZ($A$1,$B62,X$1,$B$1)</f>
        <v>10304.9452</v>
      </c>
      <c r="Y62" s="55">
        <f>_xll.EQNXTDZ($A$1,$B62,Y$1,$B$1)</f>
        <v>10724.5888</v>
      </c>
      <c r="Z62" s="55">
        <f>_xll.EQNXTDZ($A$1,$B62,Z$1,$B$1)</f>
        <v>12595.093199999999</v>
      </c>
      <c r="AA62" s="55">
        <f>_xll.EQNXTDZ($A$1,$B62,AA$1,$B$1)</f>
        <v>13549.519399999999</v>
      </c>
      <c r="AB62" s="55">
        <f>_xll.EQNXTDZ($A$1,$B62,AB$1,$B$1)</f>
        <v>15262.344300000001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571.45759999999996</v>
      </c>
      <c r="M63" s="55">
        <f>_xll.EQNXTDZ($A$1,$B63,M$1,$B$1)</f>
        <v>734.37180000000001</v>
      </c>
      <c r="N63" s="55">
        <f>_xll.EQNXTDZ($A$1,$B63,N$1,$B$1)</f>
        <v>897.21870000000001</v>
      </c>
      <c r="O63" s="55">
        <f>_xll.EQNXTDZ($A$1,$B63,O$1,$B$1)</f>
        <v>1103.0543</v>
      </c>
      <c r="P63" s="55">
        <f>_xll.EQNXTDZ($A$1,$B63,P$1,$B$1)</f>
        <v>1430.6072999999999</v>
      </c>
      <c r="Q63" s="55">
        <f>_xll.EQNXTDZ($A$1,$B63,Q$1,$B$1)</f>
        <v>440.16559999999998</v>
      </c>
      <c r="R63" s="55">
        <f>_xll.EQNXTDZ($A$1,$B63,R$1,$B$1)</f>
        <v>736.08929999999998</v>
      </c>
      <c r="S63" s="55">
        <f>_xll.EQNXTDZ($A$1,$B63,S$1,$B$1)</f>
        <v>1035.4998000000001</v>
      </c>
      <c r="T63" s="55">
        <f>_xll.EQNXTDZ($A$1,$B63,T$1,$B$1)</f>
        <v>1330.6635000000001</v>
      </c>
      <c r="U63" s="55">
        <f>_xll.EQNXTDZ($A$1,$B63,U$1,$B$1)</f>
        <v>1695.4384</v>
      </c>
      <c r="V63" s="55">
        <f>_xll.EQNXTDZ($A$1,$B63,V$1,$B$1)</f>
        <v>2151.7899000000002</v>
      </c>
      <c r="W63" s="55">
        <f>_xll.EQNXTDZ($A$1,$B63,W$1,$B$1)</f>
        <v>2520.7289999999998</v>
      </c>
      <c r="X63" s="55">
        <f>_xll.EQNXTDZ($A$1,$B63,X$1,$B$1)</f>
        <v>2948.1858000000002</v>
      </c>
      <c r="Y63" s="55">
        <f>_xll.EQNXTDZ($A$1,$B63,Y$1,$B$1)</f>
        <v>3240.4562999999998</v>
      </c>
      <c r="Z63" s="55">
        <f>_xll.EQNXTDZ($A$1,$B63,Z$1,$B$1)</f>
        <v>3742.1916999999999</v>
      </c>
      <c r="AA63" s="55">
        <f>_xll.EQNXTDZ($A$1,$B63,AA$1,$B$1)</f>
        <v>4208.5050000000001</v>
      </c>
      <c r="AB63" s="55">
        <f>_xll.EQNXTDZ($A$1,$B63,AB$1,$B$1)</f>
        <v>4853.8134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2400.6714999999999</v>
      </c>
      <c r="M65" s="55">
        <f>_xll.EQNXTDZ($A$1,$B65,M$1,$B$1)</f>
        <v>2498.3411999999998</v>
      </c>
      <c r="N65" s="55">
        <f>_xll.EQNXTDZ($A$1,$B65,N$1,$B$1)</f>
        <v>2800.0176000000001</v>
      </c>
      <c r="O65" s="55">
        <f>_xll.EQNXTDZ($A$1,$B65,O$1,$B$1)</f>
        <v>4246.9647000000004</v>
      </c>
      <c r="P65" s="55">
        <f>_xll.EQNXTDZ($A$1,$B65,P$1,$B$1)</f>
        <v>5843.0316999999995</v>
      </c>
      <c r="Q65" s="55">
        <f>_xll.EQNXTDZ($A$1,$B65,Q$1,$B$1)</f>
        <v>8238.6831000000002</v>
      </c>
      <c r="R65" s="55">
        <f>_xll.EQNXTDZ($A$1,$B65,R$1,$B$1)</f>
        <v>7977.3099000000002</v>
      </c>
      <c r="S65" s="55">
        <f>_xll.EQNXTDZ($A$1,$B65,S$1,$B$1)</f>
        <v>7454.6611999999996</v>
      </c>
      <c r="T65" s="55">
        <f>_xll.EQNXTDZ($A$1,$B65,T$1,$B$1)</f>
        <v>7120.1911</v>
      </c>
      <c r="U65" s="55">
        <f>_xll.EQNXTDZ($A$1,$B65,U$1,$B$1)</f>
        <v>7162.7768999999998</v>
      </c>
      <c r="V65" s="55">
        <f>_xll.EQNXTDZ($A$1,$B65,V$1,$B$1)</f>
        <v>7491.2250999999997</v>
      </c>
      <c r="W65" s="55">
        <f>_xll.EQNXTDZ($A$1,$B65,W$1,$B$1)</f>
        <v>7315.576</v>
      </c>
      <c r="X65" s="55">
        <f>_xll.EQNXTDZ($A$1,$B65,X$1,$B$1)</f>
        <v>7356.7593999999999</v>
      </c>
      <c r="Y65" s="55">
        <f>_xll.EQNXTDZ($A$1,$B65,Y$1,$B$1)</f>
        <v>7484.1324999999997</v>
      </c>
      <c r="Z65" s="55">
        <f>_xll.EQNXTDZ($A$1,$B65,Z$1,$B$1)</f>
        <v>8852.9014999999999</v>
      </c>
      <c r="AA65" s="55">
        <f>_xll.EQNXTDZ($A$1,$B65,AA$1,$B$1)</f>
        <v>9341.0144</v>
      </c>
      <c r="AB65" s="55">
        <f>_xll.EQNXTDZ($A$1,$B65,AB$1,$B$1)</f>
        <v>10408.5309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366.82249999999999</v>
      </c>
      <c r="M67" s="55">
        <f>_xll.EQNXTDZ($A$1,$B67,M$1,$B$1)</f>
        <v>665.05349999999999</v>
      </c>
      <c r="N67" s="55">
        <f>_xll.EQNXTDZ($A$1,$B67,N$1,$B$1)</f>
        <v>1502.0259000000001</v>
      </c>
      <c r="O67" s="55">
        <f>_xll.EQNXTDZ($A$1,$B67,O$1,$B$1)</f>
        <v>1281.8243</v>
      </c>
      <c r="P67" s="55">
        <f>_xll.EQNXTDZ($A$1,$B67,P$1,$B$1)</f>
        <v>306.21809999999999</v>
      </c>
      <c r="Q67" s="55">
        <f>_xll.EQNXTDZ($A$1,$B67,Q$1,$B$1)</f>
        <v>503.21749999999997</v>
      </c>
      <c r="R67" s="55">
        <f>_xll.EQNXTDZ($A$1,$B67,R$1,$B$1)</f>
        <v>254.43729999999999</v>
      </c>
      <c r="S67" s="55">
        <f>_xll.EQNXTDZ($A$1,$B67,S$1,$B$1)</f>
        <v>101.9295</v>
      </c>
      <c r="T67" s="55">
        <f>_xll.EQNXTDZ($A$1,$B67,T$1,$B$1)</f>
        <v>126.384</v>
      </c>
      <c r="U67" s="55">
        <f>_xll.EQNXTDZ($A$1,$B67,U$1,$B$1)</f>
        <v>259.78719999999998</v>
      </c>
      <c r="V67" s="55">
        <f>_xll.EQNXTDZ($A$1,$B67,V$1,$B$1)</f>
        <v>422.62720000000002</v>
      </c>
      <c r="W67" s="55">
        <f>_xll.EQNXTDZ($A$1,$B67,W$1,$B$1)</f>
        <v>403.70429999999999</v>
      </c>
      <c r="X67" s="55">
        <f>_xll.EQNXTDZ($A$1,$B67,X$1,$B$1)</f>
        <v>293.0942</v>
      </c>
      <c r="Y67" s="55">
        <f>_xll.EQNXTDZ($A$1,$B67,Y$1,$B$1)</f>
        <v>299.87349999999998</v>
      </c>
      <c r="Z67" s="55">
        <f>_xll.EQNXTDZ($A$1,$B67,Z$1,$B$1)</f>
        <v>632.19970000000001</v>
      </c>
      <c r="AA67" s="55">
        <f>_xll.EQNXTDZ($A$1,$B67,AA$1,$B$1)</f>
        <v>640.89080000000001</v>
      </c>
      <c r="AB67" s="55">
        <f>_xll.EQNXTDZ($A$1,$B67,AB$1,$B$1)</f>
        <v>452.87790000000001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0.13389999999999999</v>
      </c>
      <c r="P68" s="55">
        <f>_xll.EQNXTDZ($A$1,$B68,P$1,$B$1)</f>
        <v>0.1583</v>
      </c>
      <c r="Q68" s="55">
        <f>_xll.EQNXTDZ($A$1,$B68,Q$1,$B$1)</f>
        <v>27.669499999999999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127.76819999999999</v>
      </c>
      <c r="P69" s="55">
        <f>_xll.EQNXTDZ($A$1,$B69,P$1,$B$1)</f>
        <v>36.3262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325.6841</v>
      </c>
      <c r="M71" s="55">
        <f>_xll.EQNXTDZ($A$1,$B71,M$1,$B$1)</f>
        <v>84.836699999999993</v>
      </c>
      <c r="N71" s="55">
        <f>_xll.EQNXTDZ($A$1,$B71,N$1,$B$1)</f>
        <v>12.4688</v>
      </c>
      <c r="O71" s="55">
        <f>_xll.EQNXTDZ($A$1,$B71,O$1,$B$1)</f>
        <v>10.342499999999999</v>
      </c>
      <c r="P71" s="55">
        <f>_xll.EQNXTDZ($A$1,$B71,P$1,$B$1)</f>
        <v>10.342499999999999</v>
      </c>
      <c r="Q71" s="55">
        <f>_xll.EQNXTDZ($A$1,$B71,Q$1,$B$1)</f>
        <v>18.691500000000001</v>
      </c>
      <c r="R71" s="55">
        <f>_xll.EQNXTDZ($A$1,$B71,R$1,$B$1)</f>
        <v>26.317</v>
      </c>
      <c r="S71" s="55">
        <f>_xll.EQNXTDZ($A$1,$B71,S$1,$B$1)</f>
        <v>117.2392</v>
      </c>
      <c r="T71" s="55">
        <f>_xll.EQNXTDZ($A$1,$B71,T$1,$B$1)</f>
        <v>108.9002</v>
      </c>
      <c r="U71" s="55">
        <f>_xll.EQNXTDZ($A$1,$B71,U$1,$B$1)</f>
        <v>188.62049999999999</v>
      </c>
      <c r="V71" s="55">
        <f>_xll.EQNXTDZ($A$1,$B71,V$1,$B$1)</f>
        <v>126.0087</v>
      </c>
      <c r="W71" s="55">
        <f>_xll.EQNXTDZ($A$1,$B71,W$1,$B$1)</f>
        <v>132.89240000000001</v>
      </c>
      <c r="X71" s="55">
        <f>_xll.EQNXTDZ($A$1,$B71,X$1,$B$1)</f>
        <v>213.1677</v>
      </c>
      <c r="Y71" s="55">
        <f>_xll.EQNXTDZ($A$1,$B71,Y$1,$B$1)</f>
        <v>169.6645</v>
      </c>
      <c r="Z71" s="55">
        <f>_xll.EQNXTDZ($A$1,$B71,Z$1,$B$1)</f>
        <v>174.0171</v>
      </c>
      <c r="AA71" s="55">
        <f>_xll.EQNXTDZ($A$1,$B71,AA$1,$B$1)</f>
        <v>166.07050000000001</v>
      </c>
      <c r="AB71" s="55">
        <f>_xll.EQNXTDZ($A$1,$B71,AB$1,$B$1)</f>
        <v>92.698400000000007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458.15089999999998</v>
      </c>
      <c r="N72" s="55">
        <f>_xll.EQNXTDZ($A$1,$B72,N$1,$B$1)</f>
        <v>211.98990000000001</v>
      </c>
      <c r="O72" s="55">
        <f>_xll.EQNXTDZ($A$1,$B72,O$1,$B$1)</f>
        <v>213.72380000000001</v>
      </c>
      <c r="P72" s="55">
        <f>_xll.EQNXTDZ($A$1,$B72,P$1,$B$1)</f>
        <v>208.03</v>
      </c>
      <c r="Q72" s="55">
        <f>_xll.EQNXTDZ($A$1,$B72,Q$1,$B$1)</f>
        <v>245.00640000000001</v>
      </c>
      <c r="R72" s="55">
        <f>_xll.EQNXTDZ($A$1,$B72,R$1,$B$1)</f>
        <v>236.2559</v>
      </c>
      <c r="S72" s="55">
        <f>_xll.EQNXTDZ($A$1,$B72,S$1,$B$1)</f>
        <v>377.68680000000001</v>
      </c>
      <c r="T72" s="55">
        <f>_xll.EQNXTDZ($A$1,$B72,T$1,$B$1)</f>
        <v>344.38639999999998</v>
      </c>
      <c r="U72" s="55">
        <f>_xll.EQNXTDZ($A$1,$B72,U$1,$B$1)</f>
        <v>581.01459999999997</v>
      </c>
      <c r="V72" s="55">
        <f>_xll.EQNXTDZ($A$1,$B72,V$1,$B$1)</f>
        <v>1054.0333000000001</v>
      </c>
      <c r="W72" s="55">
        <f>_xll.EQNXTDZ($A$1,$B72,W$1,$B$1)</f>
        <v>1059.8675000000001</v>
      </c>
      <c r="X72" s="55">
        <f>_xll.EQNXTDZ($A$1,$B72,X$1,$B$1)</f>
        <v>1111.9082000000001</v>
      </c>
      <c r="Y72" s="55">
        <f>_xll.EQNXTDZ($A$1,$B72,Y$1,$B$1)</f>
        <v>772.42430000000002</v>
      </c>
      <c r="Z72" s="55">
        <f>_xll.EQNXTDZ($A$1,$B72,Z$1,$B$1)</f>
        <v>647.58839999999998</v>
      </c>
      <c r="AA72" s="55">
        <f>_xll.EQNXTDZ($A$1,$B72,AA$1,$B$1)</f>
        <v>305.90719999999999</v>
      </c>
      <c r="AB72" s="55">
        <f>_xll.EQNXTDZ($A$1,$B72,AB$1,$B$1)</f>
        <v>586.62580000000003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10.2135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132.86969999999999</v>
      </c>
      <c r="R73" s="55">
        <f>_xll.EQNXTDZ($A$1,$B73,R$1,$B$1)</f>
        <v>143.07339999999999</v>
      </c>
      <c r="S73" s="55">
        <f>_xll.EQNXTDZ($A$1,$B73,S$1,$B$1)</f>
        <v>124.7512</v>
      </c>
      <c r="T73" s="55">
        <f>_xll.EQNXTDZ($A$1,$B73,T$1,$B$1)</f>
        <v>157.6807</v>
      </c>
      <c r="U73" s="55">
        <f>_xll.EQNXTDZ($A$1,$B73,U$1,$B$1)</f>
        <v>159.52770000000001</v>
      </c>
      <c r="V73" s="55">
        <f>_xll.EQNXTDZ($A$1,$B73,V$1,$B$1)</f>
        <v>169.6174</v>
      </c>
      <c r="W73" s="55">
        <f>_xll.EQNXTDZ($A$1,$B73,W$1,$B$1)</f>
        <v>186.0566</v>
      </c>
      <c r="X73" s="55">
        <f>_xll.EQNXTDZ($A$1,$B73,X$1,$B$1)</f>
        <v>201.1797</v>
      </c>
      <c r="Y73" s="55">
        <f>_xll.EQNXTDZ($A$1,$B73,Y$1,$B$1)</f>
        <v>253.35079999999999</v>
      </c>
      <c r="Z73" s="55">
        <f>_xll.EQNXTDZ($A$1,$B73,Z$1,$B$1)</f>
        <v>68.247</v>
      </c>
      <c r="AA73" s="55">
        <f>_xll.EQNXTDZ($A$1,$B73,AA$1,$B$1)</f>
        <v>105.9862</v>
      </c>
      <c r="AB73" s="55">
        <f>_xll.EQNXTDZ($A$1,$B73,AB$1,$B$1)</f>
        <v>58.623199999999997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3093.1781000000001</v>
      </c>
      <c r="M74" s="55">
        <f>_xll.EQNXTDZ($A$1,$B74,M$1,$B$1)</f>
        <v>3716.5958000000001</v>
      </c>
      <c r="N74" s="55">
        <f>_xll.EQNXTDZ($A$1,$B74,N$1,$B$1)</f>
        <v>4526.5021999999999</v>
      </c>
      <c r="O74" s="55">
        <f>_xll.EQNXTDZ($A$1,$B74,O$1,$B$1)</f>
        <v>5880.7574000000004</v>
      </c>
      <c r="P74" s="55">
        <f>_xll.EQNXTDZ($A$1,$B74,P$1,$B$1)</f>
        <v>6404.1067999999996</v>
      </c>
      <c r="Q74" s="55">
        <f>_xll.EQNXTDZ($A$1,$B74,Q$1,$B$1)</f>
        <v>9166.1376999999993</v>
      </c>
      <c r="R74" s="55">
        <f>_xll.EQNXTDZ($A$1,$B74,R$1,$B$1)</f>
        <v>8637.3935000000001</v>
      </c>
      <c r="S74" s="55">
        <f>_xll.EQNXTDZ($A$1,$B74,S$1,$B$1)</f>
        <v>8176.2678999999998</v>
      </c>
      <c r="T74" s="55">
        <f>_xll.EQNXTDZ($A$1,$B74,T$1,$B$1)</f>
        <v>7857.5424000000003</v>
      </c>
      <c r="U74" s="55">
        <f>_xll.EQNXTDZ($A$1,$B74,U$1,$B$1)</f>
        <v>8351.7268999999997</v>
      </c>
      <c r="V74" s="55">
        <f>_xll.EQNXTDZ($A$1,$B74,V$1,$B$1)</f>
        <v>9263.5116999999991</v>
      </c>
      <c r="W74" s="55">
        <f>_xll.EQNXTDZ($A$1,$B74,W$1,$B$1)</f>
        <v>9098.0967999999993</v>
      </c>
      <c r="X74" s="55">
        <f>_xll.EQNXTDZ($A$1,$B74,X$1,$B$1)</f>
        <v>9176.1092000000008</v>
      </c>
      <c r="Y74" s="55">
        <f>_xll.EQNXTDZ($A$1,$B74,Y$1,$B$1)</f>
        <v>8979.4455999999991</v>
      </c>
      <c r="Z74" s="55">
        <f>_xll.EQNXTDZ($A$1,$B74,Z$1,$B$1)</f>
        <v>10374.9537</v>
      </c>
      <c r="AA74" s="55">
        <f>_xll.EQNXTDZ($A$1,$B74,AA$1,$B$1)</f>
        <v>10559.8691</v>
      </c>
      <c r="AB74" s="55">
        <f>_xll.EQNXTDZ($A$1,$B74,AB$1,$B$1)</f>
        <v>11599.3562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190.83019999999999</v>
      </c>
      <c r="N75" s="55">
        <f>_xll.EQNXTDZ($A$1,$B75,N$1,$B$1)</f>
        <v>32.2913</v>
      </c>
      <c r="O75" s="55">
        <f>_xll.EQNXTDZ($A$1,$B75,O$1,$B$1)</f>
        <v>143.19759999999999</v>
      </c>
      <c r="P75" s="55">
        <f>_xll.EQNXTDZ($A$1,$B75,P$1,$B$1)</f>
        <v>64.252899999999997</v>
      </c>
      <c r="Q75" s="55">
        <f>_xll.EQNXTDZ($A$1,$B75,Q$1,$B$1)</f>
        <v>289.88260000000002</v>
      </c>
      <c r="R75" s="55">
        <f>_xll.EQNXTDZ($A$1,$B75,R$1,$B$1)</f>
        <v>127.3006</v>
      </c>
      <c r="S75" s="55">
        <f>_xll.EQNXTDZ($A$1,$B75,S$1,$B$1)</f>
        <v>1.8123</v>
      </c>
      <c r="T75" s="55">
        <f>_xll.EQNXTDZ($A$1,$B75,T$1,$B$1)</f>
        <v>1.3426</v>
      </c>
      <c r="U75" s="55">
        <f>_xll.EQNXTDZ($A$1,$B75,U$1,$B$1)</f>
        <v>1.7686999999999999</v>
      </c>
      <c r="V75" s="55">
        <f>_xll.EQNXTDZ($A$1,$B75,V$1,$B$1)</f>
        <v>2.7864</v>
      </c>
      <c r="W75" s="55">
        <f>_xll.EQNXTDZ($A$1,$B75,W$1,$B$1)</f>
        <v>65.234800000000007</v>
      </c>
      <c r="X75" s="55">
        <f>_xll.EQNXTDZ($A$1,$B75,X$1,$B$1)</f>
        <v>10.3772</v>
      </c>
      <c r="Y75" s="55">
        <f>_xll.EQNXTDZ($A$1,$B75,Y$1,$B$1)</f>
        <v>4.9302000000000001</v>
      </c>
      <c r="Z75" s="55">
        <f>_xll.EQNXTDZ($A$1,$B75,Z$1,$B$1)</f>
        <v>3.7299000000000002</v>
      </c>
      <c r="AA75" s="55">
        <f>_xll.EQNXTDZ($A$1,$B75,AA$1,$B$1)</f>
        <v>1.8003</v>
      </c>
      <c r="AB75" s="55">
        <f>_xll.EQNXTDZ($A$1,$B75,AB$1,$B$1)</f>
        <v>12.3011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807.08069999999998</v>
      </c>
      <c r="M76" s="55">
        <f>_xll.EQNXTDZ($A$1,$B76,M$1,$B$1)</f>
        <v>1706.3527999999999</v>
      </c>
      <c r="N76" s="55">
        <f>_xll.EQNXTDZ($A$1,$B76,N$1,$B$1)</f>
        <v>2144.5805</v>
      </c>
      <c r="O76" s="55">
        <f>_xll.EQNXTDZ($A$1,$B76,O$1,$B$1)</f>
        <v>1785.8758</v>
      </c>
      <c r="P76" s="55">
        <f>_xll.EQNXTDZ($A$1,$B76,P$1,$B$1)</f>
        <v>1919.0572999999999</v>
      </c>
      <c r="Q76" s="55">
        <f>_xll.EQNXTDZ($A$1,$B76,Q$1,$B$1)</f>
        <v>2988.1015000000002</v>
      </c>
      <c r="R76" s="55">
        <f>_xll.EQNXTDZ($A$1,$B76,R$1,$B$1)</f>
        <v>2465.6235000000001</v>
      </c>
      <c r="S76" s="55">
        <f>_xll.EQNXTDZ($A$1,$B76,S$1,$B$1)</f>
        <v>2309.8575999999998</v>
      </c>
      <c r="T76" s="55">
        <f>_xll.EQNXTDZ($A$1,$B76,T$1,$B$1)</f>
        <v>2463.1113999999998</v>
      </c>
      <c r="U76" s="55">
        <f>_xll.EQNXTDZ($A$1,$B76,U$1,$B$1)</f>
        <v>3187.4958000000001</v>
      </c>
      <c r="V76" s="55">
        <f>_xll.EQNXTDZ($A$1,$B76,V$1,$B$1)</f>
        <v>2687.2489999999998</v>
      </c>
      <c r="W76" s="55">
        <f>_xll.EQNXTDZ($A$1,$B76,W$1,$B$1)</f>
        <v>2918.5814999999998</v>
      </c>
      <c r="X76" s="55">
        <f>_xll.EQNXTDZ($A$1,$B76,X$1,$B$1)</f>
        <v>3755.5077999999999</v>
      </c>
      <c r="Y76" s="55">
        <f>_xll.EQNXTDZ($A$1,$B76,Y$1,$B$1)</f>
        <v>4104.8244000000004</v>
      </c>
      <c r="Z76" s="55">
        <f>_xll.EQNXTDZ($A$1,$B76,Z$1,$B$1)</f>
        <v>4895.2817999999997</v>
      </c>
      <c r="AA76" s="55">
        <f>_xll.EQNXTDZ($A$1,$B76,AA$1,$B$1)</f>
        <v>4920.5083999999997</v>
      </c>
      <c r="AB76" s="55">
        <f>_xll.EQNXTDZ($A$1,$B76,AB$1,$B$1)</f>
        <v>5267.2893000000004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844.10799999999995</v>
      </c>
      <c r="M77" s="55">
        <f>_xll.EQNXTDZ($A$1,$B77,M$1,$B$1)</f>
        <v>1294.9321</v>
      </c>
      <c r="N77" s="55">
        <f>_xll.EQNXTDZ($A$1,$B77,N$1,$B$1)</f>
        <v>1555.1768</v>
      </c>
      <c r="O77" s="55">
        <f>_xll.EQNXTDZ($A$1,$B77,O$1,$B$1)</f>
        <v>1678.6832999999999</v>
      </c>
      <c r="P77" s="55">
        <f>_xll.EQNXTDZ($A$1,$B77,P$1,$B$1)</f>
        <v>1744.6647</v>
      </c>
      <c r="Q77" s="55">
        <f>_xll.EQNXTDZ($A$1,$B77,Q$1,$B$1)</f>
        <v>2042.4809</v>
      </c>
      <c r="R77" s="55">
        <f>_xll.EQNXTDZ($A$1,$B77,R$1,$B$1)</f>
        <v>1745.6679999999999</v>
      </c>
      <c r="S77" s="55">
        <f>_xll.EQNXTDZ($A$1,$B77,S$1,$B$1)</f>
        <v>1389.1559999999999</v>
      </c>
      <c r="T77" s="55">
        <f>_xll.EQNXTDZ($A$1,$B77,T$1,$B$1)</f>
        <v>1945.8217</v>
      </c>
      <c r="U77" s="55">
        <f>_xll.EQNXTDZ($A$1,$B77,U$1,$B$1)</f>
        <v>2217.8595999999998</v>
      </c>
      <c r="V77" s="55">
        <f>_xll.EQNXTDZ($A$1,$B77,V$1,$B$1)</f>
        <v>1865.4403</v>
      </c>
      <c r="W77" s="55">
        <f>_xll.EQNXTDZ($A$1,$B77,W$1,$B$1)</f>
        <v>2125.1904</v>
      </c>
      <c r="X77" s="55">
        <f>_xll.EQNXTDZ($A$1,$B77,X$1,$B$1)</f>
        <v>1805.7652</v>
      </c>
      <c r="Y77" s="55">
        <f>_xll.EQNXTDZ($A$1,$B77,Y$1,$B$1)</f>
        <v>3562.9128999999998</v>
      </c>
      <c r="Z77" s="55">
        <f>_xll.EQNXTDZ($A$1,$B77,Z$1,$B$1)</f>
        <v>3469.4967999999999</v>
      </c>
      <c r="AA77" s="55">
        <f>_xll.EQNXTDZ($A$1,$B77,AA$1,$B$1)</f>
        <v>3563.8220000000001</v>
      </c>
      <c r="AB77" s="55">
        <f>_xll.EQNXTDZ($A$1,$B77,AB$1,$B$1)</f>
        <v>3093.5472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599.15279999999996</v>
      </c>
      <c r="M78" s="55">
        <f>_xll.EQNXTDZ($A$1,$B78,M$1,$B$1)</f>
        <v>211.87549999999999</v>
      </c>
      <c r="N78" s="55">
        <f>_xll.EQNXTDZ($A$1,$B78,N$1,$B$1)</f>
        <v>294.98570000000001</v>
      </c>
      <c r="O78" s="55">
        <f>_xll.EQNXTDZ($A$1,$B78,O$1,$B$1)</f>
        <v>289.70929999999998</v>
      </c>
      <c r="P78" s="55">
        <f>_xll.EQNXTDZ($A$1,$B78,P$1,$B$1)</f>
        <v>141.99959999999999</v>
      </c>
      <c r="Q78" s="55">
        <f>_xll.EQNXTDZ($A$1,$B78,Q$1,$B$1)</f>
        <v>333.13819999999998</v>
      </c>
      <c r="R78" s="55">
        <f>_xll.EQNXTDZ($A$1,$B78,R$1,$B$1)</f>
        <v>208.38300000000001</v>
      </c>
      <c r="S78" s="55">
        <f>_xll.EQNXTDZ($A$1,$B78,S$1,$B$1)</f>
        <v>132.4547</v>
      </c>
      <c r="T78" s="55">
        <f>_xll.EQNXTDZ($A$1,$B78,T$1,$B$1)</f>
        <v>143.90029999999999</v>
      </c>
      <c r="U78" s="55">
        <f>_xll.EQNXTDZ($A$1,$B78,U$1,$B$1)</f>
        <v>231.64689999999999</v>
      </c>
      <c r="V78" s="55">
        <f>_xll.EQNXTDZ($A$1,$B78,V$1,$B$1)</f>
        <v>343.19990000000001</v>
      </c>
      <c r="W78" s="55">
        <f>_xll.EQNXTDZ($A$1,$B78,W$1,$B$1)</f>
        <v>723.58090000000004</v>
      </c>
      <c r="X78" s="55">
        <f>_xll.EQNXTDZ($A$1,$B78,X$1,$B$1)</f>
        <v>672.50360000000001</v>
      </c>
      <c r="Y78" s="55">
        <f>_xll.EQNXTDZ($A$1,$B78,Y$1,$B$1)</f>
        <v>213.2244</v>
      </c>
      <c r="Z78" s="55">
        <f>_xll.EQNXTDZ($A$1,$B78,Z$1,$B$1)</f>
        <v>894.62019999999995</v>
      </c>
      <c r="AA78" s="55">
        <f>_xll.EQNXTDZ($A$1,$B78,AA$1,$B$1)</f>
        <v>770.28449999999998</v>
      </c>
      <c r="AB78" s="55">
        <f>_xll.EQNXTDZ($A$1,$B78,AB$1,$B$1)</f>
        <v>543.02340000000004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47.2361</v>
      </c>
      <c r="M79" s="55">
        <f>_xll.EQNXTDZ($A$1,$B79,M$1,$B$1)</f>
        <v>2.5579999999999998</v>
      </c>
      <c r="N79" s="55">
        <f>_xll.EQNXTDZ($A$1,$B79,N$1,$B$1)</f>
        <v>2.3370000000000002</v>
      </c>
      <c r="O79" s="55">
        <f>_xll.EQNXTDZ($A$1,$B79,O$1,$B$1)</f>
        <v>3.3342000000000001</v>
      </c>
      <c r="P79" s="55">
        <f>_xll.EQNXTDZ($A$1,$B79,P$1,$B$1)</f>
        <v>5.6615000000000002</v>
      </c>
      <c r="Q79" s="55">
        <f>_xll.EQNXTDZ($A$1,$B79,Q$1,$B$1)</f>
        <v>828.32849999999996</v>
      </c>
      <c r="R79" s="55">
        <f>_xll.EQNXTDZ($A$1,$B79,R$1,$B$1)</f>
        <v>589.59820000000002</v>
      </c>
      <c r="S79" s="55">
        <f>_xll.EQNXTDZ($A$1,$B79,S$1,$B$1)</f>
        <v>108.2022</v>
      </c>
      <c r="T79" s="55">
        <f>_xll.EQNXTDZ($A$1,$B79,T$1,$B$1)</f>
        <v>78.774699999999996</v>
      </c>
      <c r="U79" s="55">
        <f>_xll.EQNXTDZ($A$1,$B79,U$1,$B$1)</f>
        <v>97.814899999999994</v>
      </c>
      <c r="V79" s="55">
        <f>_xll.EQNXTDZ($A$1,$B79,V$1,$B$1)</f>
        <v>111.1314</v>
      </c>
      <c r="W79" s="55">
        <f>_xll.EQNXTDZ($A$1,$B79,W$1,$B$1)</f>
        <v>99.177099999999996</v>
      </c>
      <c r="X79" s="55">
        <f>_xll.EQNXTDZ($A$1,$B79,X$1,$B$1)</f>
        <v>70.392399999999995</v>
      </c>
      <c r="Y79" s="55">
        <f>_xll.EQNXTDZ($A$1,$B79,Y$1,$B$1)</f>
        <v>256.33870000000002</v>
      </c>
      <c r="Z79" s="55">
        <f>_xll.EQNXTDZ($A$1,$B79,Z$1,$B$1)</f>
        <v>243.23150000000001</v>
      </c>
      <c r="AA79" s="55">
        <f>_xll.EQNXTDZ($A$1,$B79,AA$1,$B$1)</f>
        <v>67.951700000000002</v>
      </c>
      <c r="AB79" s="55">
        <f>_xll.EQNXTDZ($A$1,$B79,AB$1,$B$1)</f>
        <v>71.974100000000007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521.20240000000001</v>
      </c>
      <c r="M80" s="55">
        <f>_xll.EQNXTDZ($A$1,$B80,M$1,$B$1)</f>
        <v>523.4194</v>
      </c>
      <c r="N80" s="55">
        <f>_xll.EQNXTDZ($A$1,$B80,N$1,$B$1)</f>
        <v>769.61400000000003</v>
      </c>
      <c r="O80" s="55">
        <f>_xll.EQNXTDZ($A$1,$B80,O$1,$B$1)</f>
        <v>931.32150000000001</v>
      </c>
      <c r="P80" s="55">
        <f>_xll.EQNXTDZ($A$1,$B80,P$1,$B$1)</f>
        <v>1136.0619999999999</v>
      </c>
      <c r="Q80" s="55">
        <f>_xll.EQNXTDZ($A$1,$B80,Q$1,$B$1)</f>
        <v>351.3956</v>
      </c>
      <c r="R80" s="55">
        <f>_xll.EQNXTDZ($A$1,$B80,R$1,$B$1)</f>
        <v>474.58280000000002</v>
      </c>
      <c r="S80" s="55">
        <f>_xll.EQNXTDZ($A$1,$B80,S$1,$B$1)</f>
        <v>737.75609999999995</v>
      </c>
      <c r="T80" s="55">
        <f>_xll.EQNXTDZ($A$1,$B80,T$1,$B$1)</f>
        <v>703.98299999999995</v>
      </c>
      <c r="U80" s="55">
        <f>_xll.EQNXTDZ($A$1,$B80,U$1,$B$1)</f>
        <v>692.95659999999998</v>
      </c>
      <c r="V80" s="55">
        <f>_xll.EQNXTDZ($A$1,$B80,V$1,$B$1)</f>
        <v>808.10310000000004</v>
      </c>
      <c r="W80" s="55">
        <f>_xll.EQNXTDZ($A$1,$B80,W$1,$B$1)</f>
        <v>785.31060000000002</v>
      </c>
      <c r="X80" s="55">
        <f>_xll.EQNXTDZ($A$1,$B80,X$1,$B$1)</f>
        <v>952.56119999999999</v>
      </c>
      <c r="Y80" s="55">
        <f>_xll.EQNXTDZ($A$1,$B80,Y$1,$B$1)</f>
        <v>761.15700000000004</v>
      </c>
      <c r="Z80" s="55">
        <f>_xll.EQNXTDZ($A$1,$B80,Z$1,$B$1)</f>
        <v>797.39980000000003</v>
      </c>
      <c r="AA80" s="55">
        <f>_xll.EQNXTDZ($A$1,$B80,AA$1,$B$1)</f>
        <v>781.04669999999999</v>
      </c>
      <c r="AB80" s="55">
        <f>_xll.EQNXTDZ($A$1,$B80,AB$1,$B$1)</f>
        <v>984.42939999999999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97.337100000000007</v>
      </c>
      <c r="S81" s="55">
        <f>_xll.EQNXTDZ($A$1,$B81,S$1,$B$1)</f>
        <v>0.36170000000000002</v>
      </c>
      <c r="T81" s="55">
        <f>_xll.EQNXTDZ($A$1,$B81,T$1,$B$1)</f>
        <v>2.0369999999999999</v>
      </c>
      <c r="U81" s="55">
        <f>_xll.EQNXTDZ($A$1,$B81,U$1,$B$1)</f>
        <v>0.2054</v>
      </c>
      <c r="V81" s="55">
        <f>_xll.EQNXTDZ($A$1,$B81,V$1,$B$1)</f>
        <v>0.20319999999999999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2818.78</v>
      </c>
      <c r="M82" s="55">
        <f>_xll.EQNXTDZ($A$1,$B82,M$1,$B$1)</f>
        <v>3929.9679999999998</v>
      </c>
      <c r="N82" s="55">
        <f>_xll.EQNXTDZ($A$1,$B82,N$1,$B$1)</f>
        <v>4798.9853000000003</v>
      </c>
      <c r="O82" s="55">
        <f>_xll.EQNXTDZ($A$1,$B82,O$1,$B$1)</f>
        <v>4832.1216999999997</v>
      </c>
      <c r="P82" s="55">
        <f>_xll.EQNXTDZ($A$1,$B82,P$1,$B$1)</f>
        <v>5011.6980000000003</v>
      </c>
      <c r="Q82" s="55">
        <f>_xll.EQNXTDZ($A$1,$B82,Q$1,$B$1)</f>
        <v>6833.3272999999999</v>
      </c>
      <c r="R82" s="55">
        <f>_xll.EQNXTDZ($A$1,$B82,R$1,$B$1)</f>
        <v>5611.1561000000002</v>
      </c>
      <c r="S82" s="55">
        <f>_xll.EQNXTDZ($A$1,$B82,S$1,$B$1)</f>
        <v>4679.2389000000003</v>
      </c>
      <c r="T82" s="55">
        <f>_xll.EQNXTDZ($A$1,$B82,T$1,$B$1)</f>
        <v>5336.9336999999996</v>
      </c>
      <c r="U82" s="55">
        <f>_xll.EQNXTDZ($A$1,$B82,U$1,$B$1)</f>
        <v>6429.5424999999996</v>
      </c>
      <c r="V82" s="55">
        <f>_xll.EQNXTDZ($A$1,$B82,V$1,$B$1)</f>
        <v>5817.9101000000001</v>
      </c>
      <c r="W82" s="55">
        <f>_xll.EQNXTDZ($A$1,$B82,W$1,$B$1)</f>
        <v>6717.0753000000004</v>
      </c>
      <c r="X82" s="55">
        <f>_xll.EQNXTDZ($A$1,$B82,X$1,$B$1)</f>
        <v>7267.1073999999999</v>
      </c>
      <c r="Y82" s="55">
        <f>_xll.EQNXTDZ($A$1,$B82,Y$1,$B$1)</f>
        <v>8903.3876</v>
      </c>
      <c r="Z82" s="55">
        <f>_xll.EQNXTDZ($A$1,$B82,Z$1,$B$1)</f>
        <v>10303.76</v>
      </c>
      <c r="AA82" s="55">
        <f>_xll.EQNXTDZ($A$1,$B82,AA$1,$B$1)</f>
        <v>10105.4136</v>
      </c>
      <c r="AB82" s="55">
        <f>_xll.EQNXTDZ($A$1,$B82,AB$1,$B$1)</f>
        <v>9972.5645000000004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1.41E-2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5911.9580999999998</v>
      </c>
      <c r="M84" s="55">
        <f>_xll.EQNXTDZ($A$1,$B84,M$1,$B$1)</f>
        <v>7646.5779000000002</v>
      </c>
      <c r="N84" s="55">
        <f>_xll.EQNXTDZ($A$1,$B84,N$1,$B$1)</f>
        <v>9325.4874999999993</v>
      </c>
      <c r="O84" s="55">
        <f>_xll.EQNXTDZ($A$1,$B84,O$1,$B$1)</f>
        <v>10712.8791</v>
      </c>
      <c r="P84" s="55">
        <f>_xll.EQNXTDZ($A$1,$B84,P$1,$B$1)</f>
        <v>11415.8048</v>
      </c>
      <c r="Q84" s="55">
        <f>_xll.EQNXTDZ($A$1,$B84,Q$1,$B$1)</f>
        <v>15999.465</v>
      </c>
      <c r="R84" s="55">
        <f>_xll.EQNXTDZ($A$1,$B84,R$1,$B$1)</f>
        <v>14345.886699999999</v>
      </c>
      <c r="S84" s="55">
        <f>_xll.EQNXTDZ($A$1,$B84,S$1,$B$1)</f>
        <v>12855.8685</v>
      </c>
      <c r="T84" s="55">
        <f>_xll.EQNXTDZ($A$1,$B84,T$1,$B$1)</f>
        <v>13196.5131</v>
      </c>
      <c r="U84" s="55">
        <f>_xll.EQNXTDZ($A$1,$B84,U$1,$B$1)</f>
        <v>14781.4748</v>
      </c>
      <c r="V84" s="55">
        <f>_xll.EQNXTDZ($A$1,$B84,V$1,$B$1)</f>
        <v>15081.625</v>
      </c>
      <c r="W84" s="55">
        <f>_xll.EQNXTDZ($A$1,$B84,W$1,$B$1)</f>
        <v>15815.1721</v>
      </c>
      <c r="X84" s="55">
        <f>_xll.EQNXTDZ($A$1,$B84,X$1,$B$1)</f>
        <v>16443.2166</v>
      </c>
      <c r="Y84" s="55">
        <f>_xll.EQNXTDZ($A$1,$B84,Y$1,$B$1)</f>
        <v>17882.833200000001</v>
      </c>
      <c r="Z84" s="55">
        <f>_xll.EQNXTDZ($A$1,$B84,Z$1,$B$1)</f>
        <v>20678.7137</v>
      </c>
      <c r="AA84" s="55">
        <f>_xll.EQNXTDZ($A$1,$B84,AA$1,$B$1)</f>
        <v>20665.2827</v>
      </c>
      <c r="AB84" s="55">
        <f>_xll.EQNXTDZ($A$1,$B84,AB$1,$B$1)</f>
        <v>21571.920699999999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1434.8768</v>
      </c>
      <c r="M85" s="55">
        <f>_xll.EQNXTDZ($A$1,$B85,M$1,$B$1)</f>
        <v>2172.0408000000002</v>
      </c>
      <c r="N85" s="55">
        <f>_xll.EQNXTDZ($A$1,$B85,N$1,$B$1)</f>
        <v>2194.8861999999999</v>
      </c>
      <c r="O85" s="55">
        <f>_xll.EQNXTDZ($A$1,$B85,O$1,$B$1)</f>
        <v>1557.8967</v>
      </c>
      <c r="P85" s="55">
        <f>_xll.EQNXTDZ($A$1,$B85,P$1,$B$1)</f>
        <v>1630.4186999999999</v>
      </c>
      <c r="Q85" s="55">
        <f>_xll.EQNXTDZ($A$1,$B85,Q$1,$B$1)</f>
        <v>1896.5626</v>
      </c>
      <c r="R85" s="55">
        <f>_xll.EQNXTDZ($A$1,$B85,R$1,$B$1)</f>
        <v>2410.6904</v>
      </c>
      <c r="S85" s="55">
        <f>_xll.EQNXTDZ($A$1,$B85,S$1,$B$1)</f>
        <v>1447.4444000000001</v>
      </c>
      <c r="T85" s="55">
        <f>_xll.EQNXTDZ($A$1,$B85,T$1,$B$1)</f>
        <v>2464.4097000000002</v>
      </c>
      <c r="U85" s="55">
        <f>_xll.EQNXTDZ($A$1,$B85,U$1,$B$1)</f>
        <v>2109.8757000000001</v>
      </c>
      <c r="V85" s="55">
        <f>_xll.EQNXTDZ($A$1,$B85,V$1,$B$1)</f>
        <v>3003.8935999999999</v>
      </c>
      <c r="W85" s="55">
        <f>_xll.EQNXTDZ($A$1,$B85,W$1,$B$1)</f>
        <v>1860.2194</v>
      </c>
      <c r="X85" s="55">
        <f>_xll.EQNXTDZ($A$1,$B85,X$1,$B$1)</f>
        <v>2475.1849999999999</v>
      </c>
      <c r="Y85" s="55">
        <f>_xll.EQNXTDZ($A$1,$B85,Y$1,$B$1)</f>
        <v>3232.6765</v>
      </c>
      <c r="Z85" s="55">
        <f>_xll.EQNXTDZ($A$1,$B85,Z$1,$B$1)</f>
        <v>4313.7300999999998</v>
      </c>
      <c r="AA85" s="55">
        <f>_xll.EQNXTDZ($A$1,$B85,AA$1,$B$1)</f>
        <v>4235.8440000000001</v>
      </c>
      <c r="AB85" s="55">
        <f>_xll.EQNXTDZ($A$1,$B85,AB$1,$B$1)</f>
        <v>3314.9814999999999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24.2075</v>
      </c>
      <c r="M86" s="55">
        <f>_xll.EQNXTDZ($A$1,$B86,M$1,$B$1)</f>
        <v>47.993600000000001</v>
      </c>
      <c r="N86" s="55">
        <f>_xll.EQNXTDZ($A$1,$B86,N$1,$B$1)</f>
        <v>153.1455</v>
      </c>
      <c r="O86" s="55">
        <f>_xll.EQNXTDZ($A$1,$B86,O$1,$B$1)</f>
        <v>153.58109999999999</v>
      </c>
      <c r="P86" s="55">
        <f>_xll.EQNXTDZ($A$1,$B86,P$1,$B$1)</f>
        <v>153.58109999999999</v>
      </c>
      <c r="Q86" s="55">
        <f>_xll.EQNXTDZ($A$1,$B86,Q$1,$B$1)</f>
        <v>13.5343</v>
      </c>
      <c r="R86" s="55">
        <f>_xll.EQNXTDZ($A$1,$B86,R$1,$B$1)</f>
        <v>7.2141999999999999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61.052100000000003</v>
      </c>
      <c r="Z86" s="55">
        <f>_xll.EQNXTDZ($A$1,$B86,Z$1,$B$1)</f>
        <v>61.052100000000003</v>
      </c>
      <c r="AA86" s="55">
        <f>_xll.EQNXTDZ($A$1,$B86,AA$1,$B$1)</f>
        <v>61.052100000000003</v>
      </c>
      <c r="AB86" s="55">
        <f>_xll.EQNXTDZ($A$1,$B86,AB$1,$B$1)</f>
        <v>61.052100000000003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370.43209999999999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59.229100000000003</v>
      </c>
      <c r="O88" s="55">
        <f>_xll.EQNXTDZ($A$1,$B88,O$1,$B$1)</f>
        <v>213.13489999999999</v>
      </c>
      <c r="P88" s="55">
        <f>_xll.EQNXTDZ($A$1,$B88,P$1,$B$1)</f>
        <v>214.07480000000001</v>
      </c>
      <c r="Q88" s="55">
        <f>_xll.EQNXTDZ($A$1,$B88,Q$1,$B$1)</f>
        <v>497.13670000000002</v>
      </c>
      <c r="R88" s="55">
        <f>_xll.EQNXTDZ($A$1,$B88,R$1,$B$1)</f>
        <v>567.65679999999998</v>
      </c>
      <c r="S88" s="55">
        <f>_xll.EQNXTDZ($A$1,$B88,S$1,$B$1)</f>
        <v>721.6816</v>
      </c>
      <c r="T88" s="55">
        <f>_xll.EQNXTDZ($A$1,$B88,T$1,$B$1)</f>
        <v>270.91309999999999</v>
      </c>
      <c r="U88" s="55">
        <f>_xll.EQNXTDZ($A$1,$B88,U$1,$B$1)</f>
        <v>370.66269999999997</v>
      </c>
      <c r="V88" s="55">
        <f>_xll.EQNXTDZ($A$1,$B88,V$1,$B$1)</f>
        <v>460.91469999999998</v>
      </c>
      <c r="W88" s="55">
        <f>_xll.EQNXTDZ($A$1,$B88,W$1,$B$1)</f>
        <v>698.02</v>
      </c>
      <c r="X88" s="55">
        <f>_xll.EQNXTDZ($A$1,$B88,X$1,$B$1)</f>
        <v>517.07899999999995</v>
      </c>
      <c r="Y88" s="55">
        <f>_xll.EQNXTDZ($A$1,$B88,Y$1,$B$1)</f>
        <v>403.60820000000001</v>
      </c>
      <c r="Z88" s="55">
        <f>_xll.EQNXTDZ($A$1,$B88,Z$1,$B$1)</f>
        <v>620.83399999999995</v>
      </c>
      <c r="AA88" s="55">
        <f>_xll.EQNXTDZ($A$1,$B88,AA$1,$B$1)</f>
        <v>399.92989999999998</v>
      </c>
      <c r="AB88" s="55">
        <f>_xll.EQNXTDZ($A$1,$B88,AB$1,$B$1)</f>
        <v>92.876300000000001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3.3658000000000001</v>
      </c>
      <c r="U90" s="55">
        <f>_xll.EQNXTDZ($A$1,$B90,U$1,$B$1)</f>
        <v>4.6410999999999998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24.2075</v>
      </c>
      <c r="M91" s="55">
        <f>_xll.EQNXTDZ($A$1,$B91,M$1,$B$1)</f>
        <v>47.993600000000001</v>
      </c>
      <c r="N91" s="55">
        <f>_xll.EQNXTDZ($A$1,$B91,N$1,$B$1)</f>
        <v>153.1455</v>
      </c>
      <c r="O91" s="55">
        <f>_xll.EQNXTDZ($A$1,$B91,O$1,$B$1)</f>
        <v>153.58109999999999</v>
      </c>
      <c r="P91" s="55">
        <f>_xll.EQNXTDZ($A$1,$B91,P$1,$B$1)</f>
        <v>153.58109999999999</v>
      </c>
      <c r="Q91" s="55">
        <f>_xll.EQNXTDZ($A$1,$B91,Q$1,$B$1)</f>
        <v>13.5343</v>
      </c>
      <c r="R91" s="55">
        <f>_xll.EQNXTDZ($A$1,$B91,R$1,$B$1)</f>
        <v>7.2141999999999999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61.052100000000003</v>
      </c>
      <c r="Z91" s="55">
        <f>_xll.EQNXTDZ($A$1,$B91,Z$1,$B$1)</f>
        <v>61.052100000000003</v>
      </c>
      <c r="AA91" s="55">
        <f>_xll.EQNXTDZ($A$1,$B91,AA$1,$B$1)</f>
        <v>61.052100000000003</v>
      </c>
      <c r="AB91" s="55">
        <f>_xll.EQNXTDZ($A$1,$B91,AB$1,$B$1)</f>
        <v>61.052100000000003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16.978899999999999</v>
      </c>
      <c r="M93" s="55">
        <f>_xll.EQNXTDZ($A$1,$B93,M$1,$B$1)</f>
        <v>29.990300000000001</v>
      </c>
      <c r="N93" s="55">
        <f>_xll.EQNXTDZ($A$1,$B93,N$1,$B$1)</f>
        <v>38.278599999999997</v>
      </c>
      <c r="O93" s="55">
        <f>_xll.EQNXTDZ($A$1,$B93,O$1,$B$1)</f>
        <v>35.122599999999998</v>
      </c>
      <c r="P93" s="55">
        <f>_xll.EQNXTDZ($A$1,$B93,P$1,$B$1)</f>
        <v>34.139899999999997</v>
      </c>
      <c r="Q93" s="55">
        <f>_xll.EQNXTDZ($A$1,$B93,Q$1,$B$1)</f>
        <v>21.3598</v>
      </c>
      <c r="R93" s="55">
        <f>_xll.EQNXTDZ($A$1,$B93,R$1,$B$1)</f>
        <v>29.763500000000001</v>
      </c>
      <c r="S93" s="55">
        <f>_xll.EQNXTDZ($A$1,$B93,S$1,$B$1)</f>
        <v>25.7166</v>
      </c>
      <c r="T93" s="55">
        <f>_xll.EQNXTDZ($A$1,$B93,T$1,$B$1)</f>
        <v>33.955199999999998</v>
      </c>
      <c r="U93" s="55">
        <f>_xll.EQNXTDZ($A$1,$B93,U$1,$B$1)</f>
        <v>30.7575</v>
      </c>
      <c r="V93" s="55">
        <f>_xll.EQNXTDZ($A$1,$B93,V$1,$B$1)</f>
        <v>354.09070000000003</v>
      </c>
      <c r="W93" s="55">
        <f>_xll.EQNXTDZ($A$1,$B93,W$1,$B$1)</f>
        <v>28.998000000000001</v>
      </c>
      <c r="X93" s="55">
        <f>_xll.EQNXTDZ($A$1,$B93,X$1,$B$1)</f>
        <v>17.6981</v>
      </c>
      <c r="Y93" s="55">
        <f>_xll.EQNXTDZ($A$1,$B93,Y$1,$B$1)</f>
        <v>106.0939</v>
      </c>
      <c r="Z93" s="55">
        <f>_xll.EQNXTDZ($A$1,$B93,Z$1,$B$1)</f>
        <v>134.1497</v>
      </c>
      <c r="AA93" s="55">
        <f>_xll.EQNXTDZ($A$1,$B93,AA$1,$B$1)</f>
        <v>29.256900000000002</v>
      </c>
      <c r="AB93" s="55">
        <f>_xll.EQNXTDZ($A$1,$B93,AB$1,$B$1)</f>
        <v>13.074999999999999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922.72270000000003</v>
      </c>
      <c r="M95" s="55">
        <f>_xll.EQNXTDZ($A$1,$B95,M$1,$B$1)</f>
        <v>1136.6566</v>
      </c>
      <c r="N95" s="55">
        <f>_xll.EQNXTDZ($A$1,$B95,N$1,$B$1)</f>
        <v>1187.6943000000001</v>
      </c>
      <c r="O95" s="55">
        <f>_xll.EQNXTDZ($A$1,$B95,O$1,$B$1)</f>
        <v>1522.1344999999999</v>
      </c>
      <c r="P95" s="55">
        <f>_xll.EQNXTDZ($A$1,$B95,P$1,$B$1)</f>
        <v>1592.9174</v>
      </c>
      <c r="Q95" s="55">
        <f>_xll.EQNXTDZ($A$1,$B95,Q$1,$B$1)</f>
        <v>1875.2028</v>
      </c>
      <c r="R95" s="55">
        <f>_xll.EQNXTDZ($A$1,$B95,R$1,$B$1)</f>
        <v>2380.9268999999999</v>
      </c>
      <c r="S95" s="55">
        <f>_xll.EQNXTDZ($A$1,$B95,S$1,$B$1)</f>
        <v>1421.7277999999999</v>
      </c>
      <c r="T95" s="55">
        <f>_xll.EQNXTDZ($A$1,$B95,T$1,$B$1)</f>
        <v>2430.4544999999998</v>
      </c>
      <c r="U95" s="55">
        <f>_xll.EQNXTDZ($A$1,$B95,U$1,$B$1)</f>
        <v>2079.1181999999999</v>
      </c>
      <c r="V95" s="55">
        <f>_xll.EQNXTDZ($A$1,$B95,V$1,$B$1)</f>
        <v>2649.8029000000001</v>
      </c>
      <c r="W95" s="55">
        <f>_xll.EQNXTDZ($A$1,$B95,W$1,$B$1)</f>
        <v>1831.2213999999999</v>
      </c>
      <c r="X95" s="55">
        <f>_xll.EQNXTDZ($A$1,$B95,X$1,$B$1)</f>
        <v>2457.4868999999999</v>
      </c>
      <c r="Y95" s="55">
        <f>_xll.EQNXTDZ($A$1,$B95,Y$1,$B$1)</f>
        <v>3126.5826000000002</v>
      </c>
      <c r="Z95" s="55">
        <f>_xll.EQNXTDZ($A$1,$B95,Z$1,$B$1)</f>
        <v>4179.5803999999998</v>
      </c>
      <c r="AA95" s="55">
        <f>_xll.EQNXTDZ($A$1,$B95,AA$1,$B$1)</f>
        <v>4206.5870999999997</v>
      </c>
      <c r="AB95" s="55">
        <f>_xll.EQNXTDZ($A$1,$B95,AB$1,$B$1)</f>
        <v>3301.9065000000001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0.63959999999999995</v>
      </c>
      <c r="P96" s="55">
        <f>_xll.EQNXTDZ($A$1,$B96,P$1,$B$1)</f>
        <v>3.3614000000000002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89.3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495.17520000000002</v>
      </c>
      <c r="M98" s="55">
        <f>_xll.EQNXTDZ($A$1,$B98,M$1,$B$1)</f>
        <v>916.09389999999996</v>
      </c>
      <c r="N98" s="55">
        <f>_xll.EQNXTDZ($A$1,$B98,N$1,$B$1)</f>
        <v>968.91330000000005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54.722999999999999</v>
      </c>
      <c r="M104" s="55">
        <f>_xll.EQNXTDZ($A$1,$B104,M$1,$B$1)</f>
        <v>55.245399999999997</v>
      </c>
      <c r="N104" s="55">
        <f>_xll.EQNXTDZ($A$1,$B104,N$1,$B$1)</f>
        <v>55.245399999999997</v>
      </c>
      <c r="O104" s="55">
        <f>_xll.EQNXTDZ($A$1,$B104,O$1,$B$1)</f>
        <v>55.245399999999997</v>
      </c>
      <c r="P104" s="55">
        <f>_xll.EQNXTDZ($A$1,$B104,P$1,$B$1)</f>
        <v>55.245399999999997</v>
      </c>
      <c r="Q104" s="55">
        <f>_xll.EQNXTDZ($A$1,$B104,Q$1,$B$1)</f>
        <v>58.006999999999998</v>
      </c>
      <c r="R104" s="55">
        <f>_xll.EQNXTDZ($A$1,$B104,R$1,$B$1)</f>
        <v>60.906799999999997</v>
      </c>
      <c r="S104" s="55">
        <f>_xll.EQNXTDZ($A$1,$B104,S$1,$B$1)</f>
        <v>63.951500000000003</v>
      </c>
      <c r="T104" s="55">
        <f>_xll.EQNXTDZ($A$1,$B104,T$1,$B$1)</f>
        <v>63.951500000000003</v>
      </c>
      <c r="U104" s="55">
        <f>_xll.EQNXTDZ($A$1,$B104,U$1,$B$1)</f>
        <v>63.951500000000003</v>
      </c>
      <c r="V104" s="55">
        <f>_xll.EQNXTDZ($A$1,$B104,V$1,$B$1)</f>
        <v>63.951500000000003</v>
      </c>
      <c r="W104" s="55">
        <f>_xll.EQNXTDZ($A$1,$B104,W$1,$B$1)</f>
        <v>63.951500000000003</v>
      </c>
      <c r="X104" s="55">
        <f>_xll.EQNXTDZ($A$1,$B104,X$1,$B$1)</f>
        <v>63.951500000000003</v>
      </c>
      <c r="Y104" s="55">
        <f>_xll.EQNXTDZ($A$1,$B104,Y$1,$B$1)</f>
        <v>63.951500000000003</v>
      </c>
      <c r="Z104" s="55">
        <f>_xll.EQNXTDZ($A$1,$B104,Z$1,$B$1)</f>
        <v>63.951500000000003</v>
      </c>
      <c r="AA104" s="55">
        <f>_xll.EQNXTDZ($A$1,$B104,AA$1,$B$1)</f>
        <v>63.951500000000003</v>
      </c>
      <c r="AB104" s="55">
        <f>_xll.EQNXTDZ($A$1,$B104,AB$1,$B$1)</f>
        <v>63.951500000000003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106.15</v>
      </c>
      <c r="M106" s="55">
        <f>_xll.EQNXTDZ($A$1,$B106,M$1,$B$1)</f>
        <v>102.1</v>
      </c>
      <c r="N106" s="55">
        <f>_xll.EQNXTDZ($A$1,$B106,N$1,$B$1)</f>
        <v>87.05</v>
      </c>
      <c r="O106" s="55">
        <f>_xll.EQNXTDZ($A$1,$B106,O$1,$B$1)</f>
        <v>41.05</v>
      </c>
      <c r="P106" s="55">
        <f>_xll.EQNXTDZ($A$1,$B106,P$1,$B$1)</f>
        <v>28.3</v>
      </c>
      <c r="Q106" s="55">
        <f>_xll.EQNXTDZ($A$1,$B106,Q$1,$B$1)</f>
        <v>32.85</v>
      </c>
      <c r="R106" s="55">
        <f>_xll.EQNXTDZ($A$1,$B106,R$1,$B$1)</f>
        <v>19.274999999999999</v>
      </c>
      <c r="S106" s="55">
        <f>_xll.EQNXTDZ($A$1,$B106,S$1,$B$1)</f>
        <v>41.7</v>
      </c>
      <c r="T106" s="55">
        <f>_xll.EQNXTDZ($A$1,$B106,T$1,$B$1)</f>
        <v>59.5</v>
      </c>
      <c r="U106" s="55">
        <f>_xll.EQNXTDZ($A$1,$B106,U$1,$B$1)</f>
        <v>43.274999999999999</v>
      </c>
      <c r="V106" s="55">
        <f>_xll.EQNXTDZ($A$1,$B106,V$1,$B$1)</f>
        <v>22.9</v>
      </c>
      <c r="W106" s="55">
        <f>_xll.EQNXTDZ($A$1,$B106,W$1,$B$1)</f>
        <v>37.075000000000003</v>
      </c>
      <c r="X106" s="55">
        <f>_xll.EQNXTDZ($A$1,$B106,X$1,$B$1)</f>
        <v>45.024999999999999</v>
      </c>
      <c r="Y106" s="55">
        <f>_xll.EQNXTDZ($A$1,$B106,Y$1,$B$1)</f>
        <v>72.775000000000006</v>
      </c>
      <c r="Z106" s="55">
        <f>_xll.EQNXTDZ($A$1,$B106,Z$1,$B$1)</f>
        <v>216.05</v>
      </c>
      <c r="AA106" s="55">
        <f>_xll.EQNXTDZ($A$1,$B106,AA$1,$B$1)</f>
        <v>270.10000000000002</v>
      </c>
      <c r="AB106" s="55">
        <f>_xll.EQNXTDZ($A$1,$B106,AB$1,$B$1)</f>
        <v>183.25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112.4</v>
      </c>
      <c r="M107" s="55">
        <f>_xll.EQNXTDZ($A$1,$B107,M$1,$B$1)</f>
        <v>117.2</v>
      </c>
      <c r="N107" s="55">
        <f>_xll.EQNXTDZ($A$1,$B107,N$1,$B$1)</f>
        <v>105.425</v>
      </c>
      <c r="O107" s="55">
        <f>_xll.EQNXTDZ($A$1,$B107,O$1,$B$1)</f>
        <v>87.075000000000003</v>
      </c>
      <c r="P107" s="55">
        <f>_xll.EQNXTDZ($A$1,$B107,P$1,$B$1)</f>
        <v>46.45</v>
      </c>
      <c r="Q107" s="55">
        <f>_xll.EQNXTDZ($A$1,$B107,Q$1,$B$1)</f>
        <v>57.9</v>
      </c>
      <c r="R107" s="55">
        <f>_xll.EQNXTDZ($A$1,$B107,R$1,$B$1)</f>
        <v>42.7</v>
      </c>
      <c r="S107" s="55">
        <f>_xll.EQNXTDZ($A$1,$B107,S$1,$B$1)</f>
        <v>43.725000000000001</v>
      </c>
      <c r="T107" s="55">
        <f>_xll.EQNXTDZ($A$1,$B107,T$1,$B$1)</f>
        <v>91</v>
      </c>
      <c r="U107" s="55">
        <f>_xll.EQNXTDZ($A$1,$B107,U$1,$B$1)</f>
        <v>68.349999999999994</v>
      </c>
      <c r="V107" s="55">
        <f>_xll.EQNXTDZ($A$1,$B107,V$1,$B$1)</f>
        <v>51.35</v>
      </c>
      <c r="W107" s="55">
        <f>_xll.EQNXTDZ($A$1,$B107,W$1,$B$1)</f>
        <v>43.8</v>
      </c>
      <c r="X107" s="55">
        <f>_xll.EQNXTDZ($A$1,$B107,X$1,$B$1)</f>
        <v>73.825000000000003</v>
      </c>
      <c r="Y107" s="55">
        <f>_xll.EQNXTDZ($A$1,$B107,Y$1,$B$1)</f>
        <v>89.825000000000003</v>
      </c>
      <c r="Z107" s="55">
        <f>_xll.EQNXTDZ($A$1,$B107,Z$1,$B$1)</f>
        <v>279.14999999999998</v>
      </c>
      <c r="AA107" s="55">
        <f>_xll.EQNXTDZ($A$1,$B107,AA$1,$B$1)</f>
        <v>383.85</v>
      </c>
      <c r="AB107" s="55">
        <f>_xll.EQNXTDZ($A$1,$B107,AB$1,$B$1)</f>
        <v>277.39999999999998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17.760000000000002</v>
      </c>
      <c r="M108" s="55">
        <f>_xll.EQNXTDZ($A$1,$B108,M$1,$B$1)</f>
        <v>85</v>
      </c>
      <c r="N108" s="55">
        <f>_xll.EQNXTDZ($A$1,$B108,N$1,$B$1)</f>
        <v>54.5</v>
      </c>
      <c r="O108" s="55">
        <f>_xll.EQNXTDZ($A$1,$B108,O$1,$B$1)</f>
        <v>39</v>
      </c>
      <c r="P108" s="55">
        <f>_xll.EQNXTDZ($A$1,$B108,P$1,$B$1)</f>
        <v>18.95</v>
      </c>
      <c r="Q108" s="55">
        <f>_xll.EQNXTDZ($A$1,$B108,Q$1,$B$1)</f>
        <v>26.55</v>
      </c>
      <c r="R108" s="55">
        <f>_xll.EQNXTDZ($A$1,$B108,R$1,$B$1)</f>
        <v>17.824999999999999</v>
      </c>
      <c r="S108" s="55">
        <f>_xll.EQNXTDZ($A$1,$B108,S$1,$B$1)</f>
        <v>19.25</v>
      </c>
      <c r="T108" s="55">
        <f>_xll.EQNXTDZ($A$1,$B108,T$1,$B$1)</f>
        <v>36.15</v>
      </c>
      <c r="U108" s="55">
        <f>_xll.EQNXTDZ($A$1,$B108,U$1,$B$1)</f>
        <v>33.799999999999997</v>
      </c>
      <c r="V108" s="55">
        <f>_xll.EQNXTDZ($A$1,$B108,V$1,$B$1)</f>
        <v>20</v>
      </c>
      <c r="W108" s="55">
        <f>_xll.EQNXTDZ($A$1,$B108,W$1,$B$1)</f>
        <v>21.9</v>
      </c>
      <c r="X108" s="55">
        <f>_xll.EQNXTDZ($A$1,$B108,X$1,$B$1)</f>
        <v>35.325000000000003</v>
      </c>
      <c r="Y108" s="55">
        <f>_xll.EQNXTDZ($A$1,$B108,Y$1,$B$1)</f>
        <v>37.549999999999997</v>
      </c>
      <c r="Z108" s="55">
        <f>_xll.EQNXTDZ($A$1,$B108,Z$1,$B$1)</f>
        <v>72.575000000000003</v>
      </c>
      <c r="AA108" s="55">
        <f>_xll.EQNXTDZ($A$1,$B108,AA$1,$B$1)</f>
        <v>217.65</v>
      </c>
      <c r="AB108" s="55">
        <f>_xll.EQNXTDZ($A$1,$B108,AB$1,$B$1)</f>
        <v>153.19999999999999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5808.84645</v>
      </c>
      <c r="M109" s="55">
        <f>_xll.EQNXTDZ($A$1,$B109,M$1,$B$1)</f>
        <v>5640.5553399999999</v>
      </c>
      <c r="N109" s="55">
        <f>_xll.EQNXTDZ($A$1,$B109,N$1,$B$1)</f>
        <v>4809.1120700000001</v>
      </c>
      <c r="O109" s="55">
        <f>_xll.EQNXTDZ($A$1,$B109,O$1,$B$1)</f>
        <v>2267.8236700000002</v>
      </c>
      <c r="P109" s="55">
        <f>_xll.EQNXTDZ($A$1,$B109,P$1,$B$1)</f>
        <v>1563.4448199999999</v>
      </c>
      <c r="Q109" s="55">
        <f>_xll.EQNXTDZ($A$1,$B109,Q$1,$B$1)</f>
        <v>1905.5299500000001</v>
      </c>
      <c r="R109" s="55">
        <f>_xll.EQNXTDZ($A$1,$B109,R$1,$B$1)</f>
        <v>1173.97857</v>
      </c>
      <c r="S109" s="55">
        <f>_xll.EQNXTDZ($A$1,$B109,S$1,$B$1)</f>
        <v>2666.7775499999998</v>
      </c>
      <c r="T109" s="55">
        <f>_xll.EQNXTDZ($A$1,$B109,T$1,$B$1)</f>
        <v>3805.1142500000001</v>
      </c>
      <c r="U109" s="55">
        <f>_xll.EQNXTDZ($A$1,$B109,U$1,$B$1)</f>
        <v>2767.5011625000002</v>
      </c>
      <c r="V109" s="55">
        <f>_xll.EQNXTDZ($A$1,$B109,V$1,$B$1)</f>
        <v>1464.4893500000001</v>
      </c>
      <c r="W109" s="55">
        <f>_xll.EQNXTDZ($A$1,$B109,W$1,$B$1)</f>
        <v>2371.0018624999998</v>
      </c>
      <c r="X109" s="55">
        <f>_xll.EQNXTDZ($A$1,$B109,X$1,$B$1)</f>
        <v>2879.4162875000002</v>
      </c>
      <c r="Y109" s="55">
        <f>_xll.EQNXTDZ($A$1,$B109,Y$1,$B$1)</f>
        <v>4654.0704125000002</v>
      </c>
      <c r="Z109" s="55">
        <f>_xll.EQNXTDZ($A$1,$B109,Z$1,$B$1)</f>
        <v>13816.721575</v>
      </c>
      <c r="AA109" s="55">
        <f>_xll.EQNXTDZ($A$1,$B109,AA$1,$B$1)</f>
        <v>17273.300149999999</v>
      </c>
      <c r="AB109" s="55">
        <f>_xll.EQNXTDZ($A$1,$B109,AB$1,$B$1)</f>
        <v>11719.112375000001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0.625</v>
      </c>
      <c r="M110" s="55">
        <f>_xll.EQNXTDZ($A$1,$B110,M$1,$B$1)</f>
        <v>0.5</v>
      </c>
      <c r="N110" s="55">
        <f>_xll.EQNXTDZ($A$1,$B110,N$1,$B$1)</f>
        <v>0.5</v>
      </c>
      <c r="O110" s="55">
        <f>_xll.EQNXTDZ($A$1,$B110,O$1,$B$1)</f>
        <v>0.5</v>
      </c>
      <c r="P110" s="55">
        <f>_xll.EQNXTDZ($A$1,$B110,P$1,$B$1)</f>
        <v>0.5</v>
      </c>
      <c r="Q110" s="55">
        <f>_xll.EQNXTDZ($A$1,$B110,Q$1,$B$1)</f>
        <v>0.5</v>
      </c>
      <c r="R110" s="55">
        <f>_xll.EQNXTDZ($A$1,$B110,R$1,$B$1)</f>
        <v>0.5</v>
      </c>
      <c r="S110" s="55">
        <f>_xll.EQNXTDZ($A$1,$B110,S$1,$B$1)</f>
        <v>0.5</v>
      </c>
      <c r="T110" s="55">
        <f>_xll.EQNXTDZ($A$1,$B110,T$1,$B$1)</f>
        <v>0.6</v>
      </c>
      <c r="U110" s="55">
        <f>_xll.EQNXTDZ($A$1,$B110,U$1,$B$1)</f>
        <v>1</v>
      </c>
      <c r="V110" s="55">
        <f>_xll.EQNXTDZ($A$1,$B110,V$1,$B$1)</f>
        <v>1</v>
      </c>
      <c r="W110" s="55">
        <f>_xll.EQNXTDZ($A$1,$B110,W$1,$B$1)</f>
        <v>1</v>
      </c>
      <c r="X110" s="55">
        <f>_xll.EQNXTDZ($A$1,$B110,X$1,$B$1)</f>
        <v>1</v>
      </c>
      <c r="Y110" s="55">
        <f>_xll.EQNXTDZ($A$1,$B110,Y$1,$B$1)</f>
        <v>1.5</v>
      </c>
      <c r="Z110" s="55">
        <f>_xll.EQNXTDZ($A$1,$B110,Z$1,$B$1)</f>
        <v>2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46.44</v>
      </c>
      <c r="M112" s="56">
        <f>_xll.EQNXTDZ($A$1,$B112,M$5)</f>
        <v>46</v>
      </c>
      <c r="N112" s="56">
        <f>_xll.EQNXTDZ($A$1,$B112,N$5)</f>
        <v>46</v>
      </c>
      <c r="O112" s="56">
        <f>_xll.EQNXTDZ($A$1,$B112,O$5)</f>
        <v>46</v>
      </c>
      <c r="P112" s="56">
        <f>_xll.EQNXTDZ($A$1,$B112,P$5)</f>
        <v>46.27</v>
      </c>
      <c r="Q112" s="56">
        <f>_xll.EQNXTDZ($A$1,$B112,Q$5)</f>
        <v>48.83</v>
      </c>
      <c r="R112" s="56">
        <f>_xll.EQNXTDZ($A$1,$B112,R$5)</f>
        <v>51.27</v>
      </c>
      <c r="S112" s="56">
        <f>_xll.EQNXTDZ($A$1,$B112,S$5)</f>
        <v>53.59</v>
      </c>
      <c r="T112" s="56">
        <f>_xll.EQNXTDZ($A$1,$B112,T$5)</f>
        <v>53.59</v>
      </c>
      <c r="U112" s="56">
        <f>_xll.EQNXTDZ($A$1,$B112,U$5)</f>
        <v>63.01</v>
      </c>
      <c r="V112" s="56">
        <f>_xll.EQNXTDZ($A$1,$B112,V$5)</f>
        <v>63.02</v>
      </c>
      <c r="W112" s="56">
        <f>_xll.EQNXTDZ($A$1,$B112,W$5)</f>
        <v>63.02</v>
      </c>
      <c r="X112" s="56">
        <f>_xll.EQNXTDZ($A$1,$B112,X$5)</f>
        <v>63.02</v>
      </c>
      <c r="Y112" s="56">
        <f>_xll.EQNXTDZ($A$1,$B112,Y$5)</f>
        <v>63.25</v>
      </c>
      <c r="Z112" s="56">
        <f>_xll.EQNXTDZ($A$1,$B112,Z$5)</f>
        <v>63.27</v>
      </c>
      <c r="AA112" s="56">
        <f>_xll.EQNXTDZ($A$1,$B112,AA$5)</f>
        <v>63.28</v>
      </c>
      <c r="AB112" s="56">
        <f>_xll.EQNXTDZ($A$1,$B112,AB$5)</f>
        <v>63.25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0.47</v>
      </c>
      <c r="M113" s="56">
        <f>_xll.EQNXTDZ($A$1,$B113,M$5)</f>
        <v>0.08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4.08</v>
      </c>
      <c r="S113" s="56">
        <f>_xll.EQNXTDZ($A$1,$B113,S$5)</f>
        <v>4.49</v>
      </c>
      <c r="T113" s="56">
        <f>_xll.EQNXTDZ($A$1,$B113,T$5)</f>
        <v>4.49</v>
      </c>
      <c r="U113" s="56">
        <f>_xll.EQNXTDZ($A$1,$B113,U$5)</f>
        <v>3.82</v>
      </c>
      <c r="V113" s="56">
        <f>_xll.EQNXTDZ($A$1,$B113,V$5)</f>
        <v>3.82</v>
      </c>
      <c r="W113" s="56">
        <f>_xll.EQNXTDZ($A$1,$B113,W$5)</f>
        <v>0</v>
      </c>
      <c r="X113" s="56">
        <f>_xll.EQNXTDZ($A$1,$B113,X$5)</f>
        <v>3.2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100378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61.725000000000001</v>
      </c>
      <c r="D6" cm="1">
        <f t="array" ref="D6">_xll.EQNXTDZ($A$1,$B6,D$1)</f>
        <v>67.424999999999997</v>
      </c>
      <c r="E6" cm="1">
        <f t="array" ref="E6">_xll.EQNXTDZ($A$1,$B6,E$1)</f>
        <v>57.5</v>
      </c>
      <c r="F6" cm="1">
        <f t="array" ref="F6">_xll.EQNXTDZ($A$1,$B6,F$1)</f>
        <v>58.65</v>
      </c>
      <c r="G6" cm="1">
        <f t="array" ref="G6">_xll.EQNXTDZ($A$1,$B6,G$1)</f>
        <v>59.924999999999997</v>
      </c>
      <c r="H6" cm="1">
        <f t="array" ref="H6">_xll.EQNXTDZ($A$1,$B6,H$1)</f>
        <v>57.075000000000003</v>
      </c>
      <c r="I6" cm="1">
        <f t="array" ref="I6">_xll.EQNXTDZ($A$1,$B6,I$1)</f>
        <v>66.5</v>
      </c>
      <c r="J6" cm="1">
        <f t="array" ref="J6">_xll.EQNXTDZ($A$1,$B6,J$1)</f>
        <v>65.125</v>
      </c>
      <c r="K6" cm="1">
        <f t="array" ref="K6">_xll.EQNXTDZ($A$1,$B6,K$1)</f>
        <v>54.25</v>
      </c>
      <c r="L6" cm="1">
        <f t="array" ref="L6">_xll.EQNXTDZ($A$1,$B6,L$1)</f>
        <v>44.2</v>
      </c>
      <c r="M6" cm="1">
        <f t="array" ref="M6">_xll.EQNXTDZ($A$1,$B6,M$1)</f>
        <v>41.475000000000001</v>
      </c>
      <c r="N6" cm="1">
        <f t="array" ref="N6">_xll.EQNXTDZ($A$1,$B6,N$1)</f>
        <v>39.549999999999997</v>
      </c>
      <c r="O6" cm="1">
        <f t="array" ref="O6">_xll.EQNXTDZ($A$1,$B6,O$1)</f>
        <v>35.875</v>
      </c>
      <c r="P6" cm="1">
        <f t="array" ref="P6">_xll.EQNXTDZ($A$1,$B6,P$1)</f>
        <v>28.5</v>
      </c>
      <c r="Q6" cm="1">
        <f t="array" ref="Q6">_xll.EQNXTDZ($A$1,$B6,Q$1)</f>
        <v>21.05</v>
      </c>
      <c r="R6" cm="1">
        <f t="array" ref="R6">_xll.EQNXTDZ($A$1,$B6,R$1)</f>
        <v>24.25</v>
      </c>
      <c r="S6" cm="1">
        <f t="array" ref="S6">_xll.EQNXTDZ($A$1,$B6,S$1)</f>
        <v>22.35</v>
      </c>
      <c r="T6" cm="1">
        <f t="array" ref="T6">_xll.EQNXTDZ($A$1,$B6,T$1)</f>
        <v>23.95</v>
      </c>
      <c r="U6" cm="1">
        <f t="array" ref="U6">_xll.EQNXTDZ($A$1,$B6,U$1)</f>
        <v>23.125</v>
      </c>
      <c r="V6" cm="1">
        <f t="array" ref="V6">_xll.EQNXTDZ($A$1,$B6,V$1)</f>
        <v>24.75</v>
      </c>
      <c r="W6" cm="1">
        <f t="array" ref="W6">_xll.EQNXTDZ($A$1,$B6,W$1)</f>
        <v>25.75</v>
      </c>
      <c r="X6" cm="1">
        <f t="array" ref="X6">_xll.EQNXTDZ($A$1,$B6,X$1)</f>
        <v>23.5</v>
      </c>
      <c r="Y6" cm="1">
        <f t="array" ref="Y6">_xll.EQNXTDZ($A$1,$B6,Y$1)</f>
        <v>28.274999999999999</v>
      </c>
      <c r="Z6" cm="1">
        <f t="array" ref="Z6">_xll.EQNXTDZ($A$1,$B6,Z$1)</f>
        <v>28.05</v>
      </c>
      <c r="AA6" cm="1">
        <f t="array" ref="AA6">_xll.EQNXTDZ($A$1,$B6,AA$1)</f>
        <v>44.75</v>
      </c>
      <c r="AB6" cm="1">
        <f t="array" ref="AB6">_xll.EQNXTDZ($A$1,$B6,AB$1)</f>
        <v>41.6</v>
      </c>
      <c r="AC6" cm="1">
        <f t="array" ref="AC6">_xll.EQNXTDZ($A$1,$B6,AC$1)</f>
        <v>38.200000000000003</v>
      </c>
      <c r="AD6" cm="1">
        <f t="array" ref="AD6">_xll.EQNXTDZ($A$1,$B6,AD$1)</f>
        <v>38.700000000000003</v>
      </c>
      <c r="AE6" cm="1">
        <f t="array" ref="AE6">_xll.EQNXTDZ($A$1,$B6,AE$1)</f>
        <v>40.049999999999997</v>
      </c>
      <c r="AF6" cm="1">
        <f t="array" ref="AF6">_xll.EQNXTDZ($A$1,$B6,AF$1)</f>
        <v>39</v>
      </c>
      <c r="AG6" cm="1">
        <f t="array" ref="AG6">_xll.EQNXTDZ($A$1,$B6,AG$1)</f>
        <v>54.95</v>
      </c>
      <c r="AH6" cm="1">
        <f t="array" ref="AH6">_xll.EQNXTDZ($A$1,$B6,AH$1)</f>
        <v>46.5</v>
      </c>
      <c r="AI6" cm="1">
        <f t="array" ref="AI6">_xll.EQNXTDZ($A$1,$B6,AI$1)</f>
        <v>40.424999999999997</v>
      </c>
      <c r="AJ6" cm="1">
        <f t="array" ref="AJ6">_xll.EQNXTDZ($A$1,$B6,AJ$1)</f>
        <v>39.5</v>
      </c>
      <c r="AK6" cm="1">
        <f t="array" ref="AK6">_xll.EQNXTDZ($A$1,$B6,AK$1)</f>
        <v>32.875</v>
      </c>
      <c r="AL6" cm="1">
        <f t="array" ref="AL6">_xll.EQNXTDZ($A$1,$B6,AL$1)</f>
        <v>34.625</v>
      </c>
      <c r="AM6" cm="1">
        <f t="array" ref="AM6">_xll.EQNXTDZ($A$1,$B6,AM$1)</f>
        <v>30.8</v>
      </c>
      <c r="AN6" cm="1">
        <f t="array" ref="AN6">_xll.EQNXTDZ($A$1,$B6,AN$1)</f>
        <v>29.3</v>
      </c>
      <c r="AO6" cm="1">
        <f t="array" ref="AO6">_xll.EQNXTDZ($A$1,$B6,AO$1)</f>
        <v>38.35</v>
      </c>
      <c r="AP6" cm="1">
        <f t="array" ref="AP6">_xll.EQNXTDZ($A$1,$B6,AP$1)</f>
        <v>32.875</v>
      </c>
      <c r="AQ6" cm="1">
        <f t="array" ref="AQ6">_xll.EQNXTDZ($A$1,$B6,AQ$1)</f>
        <v>32.075000000000003</v>
      </c>
      <c r="AR6" cm="1">
        <f t="array" ref="AR6">_xll.EQNXTDZ($A$1,$B6,AR$1)</f>
        <v>33.200000000000003</v>
      </c>
      <c r="AS6" cm="1">
        <f t="array" ref="AS6">_xll.EQNXTDZ($A$1,$B6,AS$1)</f>
        <v>33.375</v>
      </c>
      <c r="AT6" cm="1">
        <f t="array" ref="AT6">_xll.EQNXTDZ($A$1,$B6,AT$1)</f>
        <v>31.375</v>
      </c>
      <c r="AU6" cm="1">
        <f t="array" ref="AU6">_xll.EQNXTDZ($A$1,$B6,AU$1)</f>
        <v>25.4</v>
      </c>
      <c r="AV6" cm="1">
        <f t="array" ref="AV6">_xll.EQNXTDZ($A$1,$B6,AV$1)</f>
        <v>18.05</v>
      </c>
      <c r="AW6" cm="1">
        <f t="array" ref="AW6">_xll.EQNXTDZ($A$1,$B6,AW$1)</f>
        <v>19.399999999999999</v>
      </c>
      <c r="AX6" cm="1">
        <f t="array" ref="AX6">_xll.EQNXTDZ($A$1,$B6,AX$1)</f>
        <v>21.2</v>
      </c>
      <c r="AY6" cm="1">
        <f t="array" ref="AY6">_xll.EQNXTDZ($A$1,$B6,AY$1)</f>
        <v>20.125</v>
      </c>
      <c r="AZ6" cm="1">
        <f t="array" ref="AZ6">_xll.EQNXTDZ($A$1,$B6,AZ$1)</f>
        <v>26.824999999999999</v>
      </c>
      <c r="BA6" cm="1">
        <f t="array" ref="BA6">_xll.EQNXTDZ($A$1,$B6,BA$1)</f>
        <v>25.774999999999999</v>
      </c>
      <c r="BB6" cm="1">
        <f t="array" ref="BB6">_xll.EQNXTDZ($A$1,$B6,BB$1)</f>
        <v>23</v>
      </c>
      <c r="BC6" cm="1">
        <f t="array" ref="BC6">_xll.EQNXTDZ($A$1,$B6,BC$1)</f>
        <v>27.65</v>
      </c>
      <c r="BD6" cm="1">
        <f t="array" ref="BD6">_xll.EQNXTDZ($A$1,$B6,BD$1)</f>
        <v>32.174999999999997</v>
      </c>
      <c r="BE6" cm="1">
        <f t="array" ref="BE6">_xll.EQNXTDZ($A$1,$B6,BE$1)</f>
        <v>27.975000000000001</v>
      </c>
      <c r="BF6" cm="1">
        <f t="array" ref="BF6">_xll.EQNXTDZ($A$1,$B6,BF$1)</f>
        <v>27.675000000000001</v>
      </c>
      <c r="BG6" cm="1">
        <f t="array" ref="BG6">_xll.EQNXTDZ($A$1,$B6,BG$1)</f>
        <v>29</v>
      </c>
      <c r="BH6" cm="1">
        <f t="array" ref="BH6">_xll.EQNXTDZ($A$1,$B6,BH$1)</f>
        <v>38.625</v>
      </c>
      <c r="BI6" cm="1">
        <f t="array" ref="BI6">_xll.EQNXTDZ($A$1,$B6,BI$1)</f>
        <v>42.075000000000003</v>
      </c>
      <c r="BJ6" cm="1">
        <f t="array" ref="BJ6">_xll.EQNXTDZ($A$1,$B6,BJ$1)</f>
        <v>40.5</v>
      </c>
      <c r="BK6" cm="1">
        <f t="array" ref="BK6">_xll.EQNXTDZ($A$1,$B6,BK$1)</f>
        <v>36.75</v>
      </c>
      <c r="BL6" cm="1">
        <f t="array" ref="BL6">_xll.EQNXTDZ($A$1,$B6,BL$1)</f>
        <v>42.3</v>
      </c>
      <c r="BM6" cm="1">
        <f t="array" ref="BM6">_xll.EQNXTDZ($A$1,$B6,BM$1)</f>
        <v>51.75</v>
      </c>
      <c r="BN6" cm="1">
        <f t="array" ref="BN6">_xll.EQNXTDZ($A$1,$B6,BN$1)</f>
        <v>49.25</v>
      </c>
      <c r="BO6" cm="1">
        <f t="array" ref="BO6">_xll.EQNXTDZ($A$1,$B6,BO$1)</f>
        <v>56.725000000000001</v>
      </c>
      <c r="BP6" cm="1">
        <f t="array" ref="BP6">_xll.EQNXTDZ($A$1,$B6,BP$1)</f>
        <v>62.5</v>
      </c>
      <c r="BQ6" cm="1">
        <f t="array" ref="BQ6">_xll.EQNXTDZ($A$1,$B6,BQ$1)</f>
        <v>62.7</v>
      </c>
      <c r="BR6" cm="1">
        <f t="array" ref="BR6">_xll.EQNXTDZ($A$1,$B6,BR$1)</f>
        <v>70.575000000000003</v>
      </c>
      <c r="BS6" cm="1">
        <f t="array" ref="BS6">_xll.EQNXTDZ($A$1,$B6,BS$1)</f>
        <v>74.55</v>
      </c>
      <c r="BT6" cm="1">
        <f t="array" ref="BT6">_xll.EQNXTDZ($A$1,$B6,BT$1)</f>
        <v>68.625</v>
      </c>
      <c r="BU6" cm="1">
        <f t="array" ref="BU6">_xll.EQNXTDZ($A$1,$B6,BU$1)</f>
        <v>60.575000000000003</v>
      </c>
      <c r="BV6" cm="1">
        <f t="array" ref="BV6">_xll.EQNXTDZ($A$1,$B6,BV$1)</f>
        <v>62.05</v>
      </c>
      <c r="BW6" cm="1">
        <f t="array" ref="BW6">_xll.EQNXTDZ($A$1,$B6,BW$1)</f>
        <v>51.5</v>
      </c>
      <c r="BX6" cm="1">
        <f t="array" ref="BX6">_xll.EQNXTDZ($A$1,$B6,BX$1)</f>
        <v>40.450000000000003</v>
      </c>
      <c r="BY6" cm="1">
        <f t="array" ref="BY6">_xll.EQNXTDZ($A$1,$B6,BY$1)</f>
        <v>44.5</v>
      </c>
      <c r="BZ6" cm="1">
        <f t="array" ref="BZ6">_xll.EQNXTDZ($A$1,$B6,BZ$1)</f>
        <v>46.924999999999997</v>
      </c>
      <c r="CA6" cm="1">
        <f t="array" ref="CA6">_xll.EQNXTDZ($A$1,$B6,CA$1)</f>
        <v>36.924999999999997</v>
      </c>
      <c r="CB6" cm="1">
        <f t="array" ref="CB6">_xll.EQNXTDZ($A$1,$B6,CB$1)</f>
        <v>42.65</v>
      </c>
      <c r="CC6" cm="1">
        <f t="array" ref="CC6">_xll.EQNXTDZ($A$1,$B6,CC$1)</f>
        <v>41.15</v>
      </c>
      <c r="CD6" cm="1">
        <f t="array" ref="CD6">_xll.EQNXTDZ($A$1,$B6,CD$1)</f>
        <v>42.55</v>
      </c>
      <c r="CE6" cm="1">
        <f t="array" ref="CE6">_xll.EQNXTDZ($A$1,$B6,CE$1)</f>
        <v>44.6</v>
      </c>
      <c r="CF6" cm="1">
        <f t="array" ref="CF6">_xll.EQNXTDZ($A$1,$B6,CF$1)</f>
        <v>40.975000000000001</v>
      </c>
      <c r="CG6" cm="1">
        <f t="array" ref="CG6">_xll.EQNXTDZ($A$1,$B6,CG$1)</f>
        <v>43.8</v>
      </c>
      <c r="CH6" cm="1">
        <f t="array" ref="CH6">_xll.EQNXTDZ($A$1,$B6,CH$1)</f>
        <v>40.524999999999999</v>
      </c>
      <c r="CI6" cm="1">
        <f t="array" ref="CI6">_xll.EQNXTDZ($A$1,$B6,CI$1)</f>
        <v>44.225000000000001</v>
      </c>
      <c r="CJ6" cm="1">
        <f t="array" ref="CJ6">_xll.EQNXTDZ($A$1,$B6,CJ$1)</f>
        <v>41.774999999999999</v>
      </c>
      <c r="CK6" cm="1">
        <f t="array" ref="CK6">_xll.EQNXTDZ($A$1,$B6,CK$1)</f>
        <v>33.475000000000001</v>
      </c>
      <c r="CL6" cm="1">
        <f t="array" ref="CL6">_xll.EQNXTDZ($A$1,$B6,CL$1)</f>
        <v>34.200000000000003</v>
      </c>
      <c r="CM6" cm="1">
        <f t="array" ref="CM6">_xll.EQNXTDZ($A$1,$B6,CM$1)</f>
        <v>42.5</v>
      </c>
      <c r="CN6" cm="1">
        <f t="array" ref="CN6">_xll.EQNXTDZ($A$1,$B6,CN$1)</f>
        <v>45.25</v>
      </c>
      <c r="CO6" cm="1">
        <f t="array" ref="CO6">_xll.EQNXTDZ($A$1,$B6,CO$1)</f>
        <v>40.25</v>
      </c>
      <c r="CP6" cm="1">
        <f t="array" ref="CP6">_xll.EQNXTDZ($A$1,$B6,CP$1)</f>
        <v>36.625</v>
      </c>
      <c r="CQ6" cm="1">
        <f t="array" ref="CQ6">_xll.EQNXTDZ($A$1,$B6,CQ$1)</f>
        <v>44.9</v>
      </c>
      <c r="CR6" cm="1">
        <f t="array" ref="CR6">_xll.EQNXTDZ($A$1,$B6,CR$1)</f>
        <v>38.65</v>
      </c>
      <c r="CS6" cm="1">
        <f t="array" ref="CS6">_xll.EQNXTDZ($A$1,$B6,CS$1)</f>
        <v>23.5</v>
      </c>
      <c r="CT6" cm="1">
        <f t="array" ref="CT6">_xll.EQNXTDZ($A$1,$B6,CT$1)</f>
        <v>26.65</v>
      </c>
      <c r="CU6" cm="1">
        <f t="array" ref="CU6">_xll.EQNXTDZ($A$1,$B6,CU$1)</f>
        <v>23.5</v>
      </c>
      <c r="CV6" cm="1">
        <f t="array" ref="CV6">_xll.EQNXTDZ($A$1,$B6,CV$1)</f>
        <v>29.05</v>
      </c>
      <c r="CW6" cm="1">
        <f t="array" ref="CW6">_xll.EQNXTDZ($A$1,$B6,CW$1)</f>
        <v>27.25</v>
      </c>
      <c r="CX6" cm="1">
        <f t="array" ref="CX6">_xll.EQNXTDZ($A$1,$B6,CX$1)</f>
        <v>31.1</v>
      </c>
      <c r="CY6" cm="1">
        <f t="array" ref="CY6">_xll.EQNXTDZ($A$1,$B6,CY$1)</f>
        <v>31.65</v>
      </c>
      <c r="CZ6" cm="1">
        <f t="array" ref="CZ6">_xll.EQNXTDZ($A$1,$B6,CZ$1)</f>
        <v>30.274999999999999</v>
      </c>
      <c r="DA6" cm="1">
        <f t="array" ref="DA6">_xll.EQNXTDZ($A$1,$B6,DA$1)</f>
        <v>35.075000000000003</v>
      </c>
      <c r="DB6" cm="1">
        <f t="array" ref="DB6">_xll.EQNXTDZ($A$1,$B6,DB$1)</f>
        <v>38.049999999999997</v>
      </c>
      <c r="DC6" cm="1">
        <f t="array" ref="DC6">_xll.EQNXTDZ($A$1,$B6,DC$1)</f>
        <v>35.549999999999997</v>
      </c>
      <c r="DD6" cm="1">
        <f t="array" ref="DD6">_xll.EQNXTDZ($A$1,$B6,DD$1)</f>
        <v>40.424999999999997</v>
      </c>
      <c r="DE6" cm="1">
        <f t="array" ref="DE6">_xll.EQNXTDZ($A$1,$B6,DE$1)</f>
        <v>37.35</v>
      </c>
      <c r="DF6" cm="1">
        <f t="array" ref="DF6">_xll.EQNXTDZ($A$1,$B6,DF$1)</f>
        <v>42.45</v>
      </c>
      <c r="DG6" cm="1">
        <f t="array" ref="DG6">_xll.EQNXTDZ($A$1,$B6,DG$1)</f>
        <v>55.9</v>
      </c>
      <c r="DH6" cm="1">
        <f t="array" ref="DH6">_xll.EQNXTDZ($A$1,$B6,DH$1)</f>
        <v>58.8</v>
      </c>
      <c r="DI6" cm="1">
        <f t="array" ref="DI6">_xll.EQNXTDZ($A$1,$B6,DI$1)</f>
        <v>69.099999999999994</v>
      </c>
      <c r="DJ6" cm="1">
        <f t="array" ref="DJ6">_xll.EQNXTDZ($A$1,$B6,DJ$1)</f>
        <v>59.25</v>
      </c>
      <c r="DK6" cm="1">
        <f t="array" ref="DK6">_xll.EQNXTDZ($A$1,$B6,DK$1)</f>
        <v>56.65</v>
      </c>
      <c r="DL6" cm="1">
        <f t="array" ref="DL6">_xll.EQNXTDZ($A$1,$B6,DL$1)</f>
        <v>57.75</v>
      </c>
      <c r="DM6" cm="1">
        <f t="array" ref="DM6">_xll.EQNXTDZ($A$1,$B6,DM$1)</f>
        <v>50.8</v>
      </c>
      <c r="DN6" cm="1">
        <f t="array" ref="DN6">_xll.EQNXTDZ($A$1,$B6,DN$1)</f>
        <v>49.65</v>
      </c>
      <c r="DO6" cm="1">
        <f t="array" ref="DO6">_xll.EQNXTDZ($A$1,$B6,DO$1)</f>
        <v>50.5</v>
      </c>
      <c r="DP6" cm="1">
        <f t="array" ref="DP6">_xll.EQNXTDZ($A$1,$B6,DP$1)</f>
        <v>42.774999999999999</v>
      </c>
      <c r="DQ6" cm="1">
        <f t="array" ref="DQ6">_xll.EQNXTDZ($A$1,$B6,DQ$1)</f>
        <v>45.2</v>
      </c>
      <c r="DR6" cm="1">
        <f t="array" ref="DR6">_xll.EQNXTDZ($A$1,$B6,DR$1)</f>
        <v>46</v>
      </c>
      <c r="DS6" cm="1">
        <f t="array" ref="DS6">_xll.EQNXTDZ($A$1,$B6,DS$1)</f>
        <v>43.075000000000003</v>
      </c>
      <c r="DT6" cm="1">
        <f t="array" ref="DT6">_xll.EQNXTDZ($A$1,$B6,DT$1)</f>
        <v>39.35</v>
      </c>
      <c r="DU6" cm="1">
        <f t="array" ref="DU6">_xll.EQNXTDZ($A$1,$B6,DU$1)</f>
        <v>43.25</v>
      </c>
      <c r="DV6" cm="1">
        <f t="array" ref="DV6">_xll.EQNXTDZ($A$1,$B6,DV$1)</f>
        <v>43.225000000000001</v>
      </c>
      <c r="DW6" cm="1">
        <f t="array" ref="DW6">_xll.EQNXTDZ($A$1,$B6,DW$1)</f>
        <v>41.125</v>
      </c>
      <c r="DX6" cm="1">
        <f t="array" ref="DX6">_xll.EQNXTDZ($A$1,$B6,DX$1)</f>
        <v>39.1</v>
      </c>
      <c r="DY6" cm="1">
        <f t="array" ref="DY6">_xll.EQNXTDZ($A$1,$B6,DY$1)</f>
        <v>47.15</v>
      </c>
      <c r="DZ6" cm="1">
        <f t="array" ref="DZ6">_xll.EQNXTDZ($A$1,$B6,DZ$1)</f>
        <v>51.975000000000001</v>
      </c>
      <c r="EA6" cm="1">
        <f t="array" ref="EA6">_xll.EQNXTDZ($A$1,$B6,EA$1)</f>
        <v>62.5</v>
      </c>
      <c r="EB6" cm="1">
        <f t="array" ref="EB6">_xll.EQNXTDZ($A$1,$B6,EB$1)</f>
        <v>75.075000000000003</v>
      </c>
      <c r="EC6" cm="1">
        <f t="array" ref="EC6">_xll.EQNXTDZ($A$1,$B6,EC$1)</f>
        <v>73.45</v>
      </c>
      <c r="ED6" cm="1">
        <f t="array" ref="ED6">_xll.EQNXTDZ($A$1,$B6,ED$1)</f>
        <v>82.325000000000003</v>
      </c>
      <c r="EE6" cm="1">
        <f t="array" ref="EE6">_xll.EQNXTDZ($A$1,$B6,EE$1)</f>
        <v>121.5</v>
      </c>
      <c r="EF6" cm="1">
        <f t="array" ref="EF6">_xll.EQNXTDZ($A$1,$B6,EF$1)</f>
        <v>128.55000000000001</v>
      </c>
      <c r="EG6" cm="1">
        <f t="array" ref="EG6">_xll.EQNXTDZ($A$1,$B6,EG$1)</f>
        <v>165.7</v>
      </c>
      <c r="EH6" cm="1">
        <f t="array" ref="EH6">_xll.EQNXTDZ($A$1,$B6,EH$1)</f>
        <v>177.5</v>
      </c>
      <c r="EI6" cm="1">
        <f t="array" ref="EI6">_xll.EQNXTDZ($A$1,$B6,EI$1)</f>
        <v>173.92500000000001</v>
      </c>
      <c r="EJ6" cm="1">
        <f t="array" ref="EJ6">_xll.EQNXTDZ($A$1,$B6,EJ$1)</f>
        <v>223.4</v>
      </c>
      <c r="EK6" cm="1">
        <f t="array" ref="EK6">_xll.EQNXTDZ($A$1,$B6,EK$1)</f>
        <v>231.45</v>
      </c>
      <c r="EL6" cm="1">
        <f t="array" ref="EL6">_xll.EQNXTDZ($A$1,$B6,EL$1)</f>
        <v>206.02500000000001</v>
      </c>
      <c r="EM6" cm="1">
        <f t="array" ref="EM6">_xll.EQNXTDZ($A$1,$B6,EM$1)</f>
        <v>262.10000000000002</v>
      </c>
      <c r="EN6" cm="1">
        <f t="array" ref="EN6">_xll.EQNXTDZ($A$1,$B6,EN$1)</f>
        <v>243.75</v>
      </c>
      <c r="EO6" cm="1">
        <f t="array" ref="EO6">_xll.EQNXTDZ($A$1,$B6,EO$1)</f>
        <v>219.6</v>
      </c>
      <c r="EP6" cm="1">
        <f t="array" ref="EP6">_xll.EQNXTDZ($A$1,$B6,EP$1)</f>
        <v>277.7</v>
      </c>
      <c r="EQ6" cm="1">
        <f t="array" ref="EQ6">_xll.EQNXTDZ($A$1,$B6,EQ$1)</f>
        <v>278.5</v>
      </c>
      <c r="ER6" cm="1">
        <f t="array" ref="ER6">_xll.EQNXTDZ($A$1,$B6,ER$1)</f>
        <v>271.92500000000001</v>
      </c>
      <c r="ES6" cm="1">
        <f t="array" ref="ES6">_xll.EQNXTDZ($A$1,$B6,ES$1)</f>
        <v>321.67500000000001</v>
      </c>
      <c r="ET6" cm="1">
        <f t="array" ref="ET6">_xll.EQNXTDZ($A$1,$B6,ET$1)</f>
        <v>342.5</v>
      </c>
      <c r="EU6" cm="1">
        <f t="array" ref="EU6">_xll.EQNXTDZ($A$1,$B6,EU$1)</f>
        <v>372.2</v>
      </c>
      <c r="EV6" cm="1">
        <f t="array" ref="EV6">_xll.EQNXTDZ($A$1,$B6,EV$1)</f>
        <v>328</v>
      </c>
      <c r="EW6" cm="1">
        <f t="array" ref="EW6">_xll.EQNXTDZ($A$1,$B6,EW$1)</f>
        <v>308.60000000000002</v>
      </c>
      <c r="EX6" cm="1">
        <f t="array" ref="EX6">_xll.EQNXTDZ($A$1,$B6,EX$1)</f>
        <v>289.3</v>
      </c>
      <c r="EY6" cm="1">
        <f t="array" ref="EY6">_xll.EQNXTDZ($A$1,$B6,EY$1)</f>
        <v>249.05</v>
      </c>
      <c r="EZ6" cm="1">
        <f t="array" ref="EZ6">_xll.EQNXTDZ($A$1,$B6,EZ$1)</f>
        <v>246.66</v>
      </c>
      <c r="FA6" cm="1">
        <f t="array" ref="FA6">_xll.EQNXTDZ($A$1,$B6,FA$1)</f>
        <v>271</v>
      </c>
      <c r="FB6" cm="1">
        <f t="array" ref="FB6">_xll.EQNXTDZ($A$1,$B6,FB$1)</f>
        <v>249.3</v>
      </c>
      <c r="FC6" cm="1">
        <f t="array" ref="FC6">_xll.EQNXTDZ($A$1,$B6,FC$1)</f>
        <v>211.3</v>
      </c>
      <c r="FD6" cm="1">
        <f t="array" ref="FD6">_xll.EQNXTDZ($A$1,$B6,FD$1)</f>
        <v>241.1</v>
      </c>
      <c r="FE6" cm="1">
        <f t="array" ref="FE6">_xll.EQNXTDZ($A$1,$B6,FE$1)</f>
        <v>210.75</v>
      </c>
      <c r="FF6" cm="1">
        <f t="array" ref="FF6">_xll.EQNXTDZ($A$1,$B6,FF$1)</f>
        <v>198.2</v>
      </c>
      <c r="FG6" cm="1">
        <f t="array" ref="FG6">_xll.EQNXTDZ($A$1,$B6,FG$1)</f>
        <v>203</v>
      </c>
      <c r="FH6" cm="1">
        <f t="array" ref="FH6">_xll.EQNXTDZ($A$1,$B6,FH$1)</f>
        <v>175.4</v>
      </c>
      <c r="FI6" cm="1">
        <f t="array" ref="FI6">_xll.EQNXTDZ($A$1,$B6,FI$1)</f>
        <v>163.80000000000001</v>
      </c>
      <c r="FJ6" cm="1">
        <f t="array" ref="FJ6">_xll.EQNXTDZ($A$1,$B6,FJ$1)</f>
        <v>168.4</v>
      </c>
      <c r="FK6" cm="1">
        <f t="array" ref="FK6">_xll.EQNXTDZ($A$1,$B6,FK$1)</f>
        <v>176.9</v>
      </c>
      <c r="FL6" cm="1">
        <f t="array" ref="FL6">_xll.EQNXTDZ($A$1,$B6,FL$1)</f>
        <v>173.75</v>
      </c>
      <c r="FM6" cm="1">
        <f t="array" ref="FM6">_xll.EQNXTDZ($A$1,$B6,FM$1)</f>
        <v>187.51</v>
      </c>
      <c r="FN6" cm="1">
        <f t="array" ref="FN6">_xll.EQNXTDZ($A$1,$B6,FN$1)</f>
        <v>223.86</v>
      </c>
      <c r="FO6" cm="1">
        <f t="array" ref="FO6">_xll.EQNXTDZ($A$1,$B6,FO$1)</f>
        <v>247.1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66.7</v>
      </c>
      <c r="D7" s="116" cm="1">
        <f t="array" ref="D7">_xll.EQNXTDZ($A$1,$B7,D$1)</f>
        <v>69.224999999999994</v>
      </c>
      <c r="E7" s="116" cm="1">
        <f t="array" ref="E7">_xll.EQNXTDZ($A$1,$B7,E$1)</f>
        <v>61.5</v>
      </c>
      <c r="F7" s="116" cm="1">
        <f t="array" ref="F7">_xll.EQNXTDZ($A$1,$B7,F$1)</f>
        <v>61.75</v>
      </c>
      <c r="G7" s="116" cm="1">
        <f t="array" ref="G7">_xll.EQNXTDZ($A$1,$B7,G$1)</f>
        <v>60.75</v>
      </c>
      <c r="H7" s="116" cm="1">
        <f t="array" ref="H7">_xll.EQNXTDZ($A$1,$B7,H$1)</f>
        <v>68.95</v>
      </c>
      <c r="I7" s="116" cm="1">
        <f t="array" ref="I7">_xll.EQNXTDZ($A$1,$B7,I$1)</f>
        <v>66.825000000000003</v>
      </c>
      <c r="J7" s="116" cm="1">
        <f t="array" ref="J7">_xll.EQNXTDZ($A$1,$B7,J$1)</f>
        <v>68.349999999999994</v>
      </c>
      <c r="K7" s="116" cm="1">
        <f t="array" ref="K7">_xll.EQNXTDZ($A$1,$B7,K$1)</f>
        <v>55.9</v>
      </c>
      <c r="L7" s="116" cm="1">
        <f t="array" ref="L7">_xll.EQNXTDZ($A$1,$B7,L$1)</f>
        <v>50.225000000000001</v>
      </c>
      <c r="M7" s="116" cm="1">
        <f t="array" ref="M7">_xll.EQNXTDZ($A$1,$B7,M$1)</f>
        <v>46.424999999999997</v>
      </c>
      <c r="N7" s="116" cm="1">
        <f t="array" ref="N7">_xll.EQNXTDZ($A$1,$B7,N$1)</f>
        <v>42.4</v>
      </c>
      <c r="O7" s="116" cm="1">
        <f t="array" ref="O7">_xll.EQNXTDZ($A$1,$B7,O$1)</f>
        <v>35.9</v>
      </c>
      <c r="P7" s="116" cm="1">
        <f t="array" ref="P7">_xll.EQNXTDZ($A$1,$B7,P$1)</f>
        <v>31.95</v>
      </c>
      <c r="Q7" s="116" cm="1">
        <f t="array" ref="Q7">_xll.EQNXTDZ($A$1,$B7,Q$1)</f>
        <v>25.95</v>
      </c>
      <c r="R7" s="116" cm="1">
        <f t="array" ref="R7">_xll.EQNXTDZ($A$1,$B7,R$1)</f>
        <v>27.7</v>
      </c>
      <c r="S7" s="116" cm="1">
        <f t="array" ref="S7">_xll.EQNXTDZ($A$1,$B7,S$1)</f>
        <v>25.175000000000001</v>
      </c>
      <c r="T7" s="116" cm="1">
        <f t="array" ref="T7">_xll.EQNXTDZ($A$1,$B7,T$1)</f>
        <v>26.625</v>
      </c>
      <c r="U7" s="116" cm="1">
        <f t="array" ref="U7">_xll.EQNXTDZ($A$1,$B7,U$1)</f>
        <v>27.05</v>
      </c>
      <c r="V7" s="116" cm="1">
        <f t="array" ref="V7">_xll.EQNXTDZ($A$1,$B7,V$1)</f>
        <v>31.725000000000001</v>
      </c>
      <c r="W7" s="116" cm="1">
        <f t="array" ref="W7">_xll.EQNXTDZ($A$1,$B7,W$1)</f>
        <v>26.9</v>
      </c>
      <c r="X7" s="116" cm="1">
        <f t="array" ref="X7">_xll.EQNXTDZ($A$1,$B7,X$1)</f>
        <v>28.85</v>
      </c>
      <c r="Y7" s="116" cm="1">
        <f t="array" ref="Y7">_xll.EQNXTDZ($A$1,$B7,Y$1)</f>
        <v>31.95</v>
      </c>
      <c r="Z7" s="116" cm="1">
        <f t="array" ref="Z7">_xll.EQNXTDZ($A$1,$B7,Z$1)</f>
        <v>46.325000000000003</v>
      </c>
      <c r="AA7" s="116" cm="1">
        <f t="array" ref="AA7">_xll.EQNXTDZ($A$1,$B7,AA$1)</f>
        <v>47.924999999999997</v>
      </c>
      <c r="AB7" s="116" cm="1">
        <f t="array" ref="AB7">_xll.EQNXTDZ($A$1,$B7,AB$1)</f>
        <v>44.225000000000001</v>
      </c>
      <c r="AC7" s="116" cm="1">
        <f t="array" ref="AC7">_xll.EQNXTDZ($A$1,$B7,AC$1)</f>
        <v>41.95</v>
      </c>
      <c r="AD7" s="116" cm="1">
        <f t="array" ref="AD7">_xll.EQNXTDZ($A$1,$B7,AD$1)</f>
        <v>49.15</v>
      </c>
      <c r="AE7" s="116" cm="1">
        <f t="array" ref="AE7">_xll.EQNXTDZ($A$1,$B7,AE$1)</f>
        <v>42.424999999999997</v>
      </c>
      <c r="AF7" s="116" cm="1">
        <f t="array" ref="AF7">_xll.EQNXTDZ($A$1,$B7,AF$1)</f>
        <v>57.35</v>
      </c>
      <c r="AG7" s="116" cm="1">
        <f t="array" ref="AG7">_xll.EQNXTDZ($A$1,$B7,AG$1)</f>
        <v>57.825000000000003</v>
      </c>
      <c r="AH7" s="116" cm="1">
        <f t="array" ref="AH7">_xll.EQNXTDZ($A$1,$B7,AH$1)</f>
        <v>48.6</v>
      </c>
      <c r="AI7" s="116" cm="1">
        <f t="array" ref="AI7">_xll.EQNXTDZ($A$1,$B7,AI$1)</f>
        <v>43.075000000000003</v>
      </c>
      <c r="AJ7" s="116" cm="1">
        <f t="array" ref="AJ7">_xll.EQNXTDZ($A$1,$B7,AJ$1)</f>
        <v>40.125</v>
      </c>
      <c r="AK7" s="116" cm="1">
        <f t="array" ref="AK7">_xll.EQNXTDZ($A$1,$B7,AK$1)</f>
        <v>36.299999999999997</v>
      </c>
      <c r="AL7" s="116" cm="1">
        <f t="array" ref="AL7">_xll.EQNXTDZ($A$1,$B7,AL$1)</f>
        <v>37.325000000000003</v>
      </c>
      <c r="AM7" s="116" cm="1">
        <f t="array" ref="AM7">_xll.EQNXTDZ($A$1,$B7,AM$1)</f>
        <v>31.324999999999999</v>
      </c>
      <c r="AN7" s="116" cm="1">
        <f t="array" ref="AN7">_xll.EQNXTDZ($A$1,$B7,AN$1)</f>
        <v>42.2</v>
      </c>
      <c r="AO7" s="116" cm="1">
        <f t="array" ref="AO7">_xll.EQNXTDZ($A$1,$B7,AO$1)</f>
        <v>42.7</v>
      </c>
      <c r="AP7" s="116" cm="1">
        <f t="array" ref="AP7">_xll.EQNXTDZ($A$1,$B7,AP$1)</f>
        <v>33.4</v>
      </c>
      <c r="AQ7" s="116" cm="1">
        <f t="array" ref="AQ7">_xll.EQNXTDZ($A$1,$B7,AQ$1)</f>
        <v>36.75</v>
      </c>
      <c r="AR7" s="116" cm="1">
        <f t="array" ref="AR7">_xll.EQNXTDZ($A$1,$B7,AR$1)</f>
        <v>34</v>
      </c>
      <c r="AS7" s="116" cm="1">
        <f t="array" ref="AS7">_xll.EQNXTDZ($A$1,$B7,AS$1)</f>
        <v>34.35</v>
      </c>
      <c r="AT7" s="116" cm="1">
        <f t="array" ref="AT7">_xll.EQNXTDZ($A$1,$B7,AT$1)</f>
        <v>32.85</v>
      </c>
      <c r="AU7" s="116" cm="1">
        <f t="array" ref="AU7">_xll.EQNXTDZ($A$1,$B7,AU$1)</f>
        <v>26.1</v>
      </c>
      <c r="AV7" s="116" cm="1">
        <f t="array" ref="AV7">_xll.EQNXTDZ($A$1,$B7,AV$1)</f>
        <v>22.25</v>
      </c>
      <c r="AW7" s="116" cm="1">
        <f t="array" ref="AW7">_xll.EQNXTDZ($A$1,$B7,AW$1)</f>
        <v>23.4</v>
      </c>
      <c r="AX7" s="116" cm="1">
        <f t="array" ref="AX7">_xll.EQNXTDZ($A$1,$B7,AX$1)</f>
        <v>21.725000000000001</v>
      </c>
      <c r="AY7" s="116" cm="1">
        <f t="array" ref="AY7">_xll.EQNXTDZ($A$1,$B7,AY$1)</f>
        <v>27.774999999999999</v>
      </c>
      <c r="AZ7" s="116" cm="1">
        <f t="array" ref="AZ7">_xll.EQNXTDZ($A$1,$B7,AZ$1)</f>
        <v>28.45</v>
      </c>
      <c r="BA7" s="116" cm="1">
        <f t="array" ref="BA7">_xll.EQNXTDZ($A$1,$B7,BA$1)</f>
        <v>26.25</v>
      </c>
      <c r="BB7" s="116" cm="1">
        <f t="array" ref="BB7">_xll.EQNXTDZ($A$1,$B7,BB$1)</f>
        <v>29.9</v>
      </c>
      <c r="BC7" s="116" cm="1">
        <f t="array" ref="BC7">_xll.EQNXTDZ($A$1,$B7,BC$1)</f>
        <v>33.799999999999997</v>
      </c>
      <c r="BD7" s="116" cm="1">
        <f t="array" ref="BD7">_xll.EQNXTDZ($A$1,$B7,BD$1)</f>
        <v>33.25</v>
      </c>
      <c r="BE7" s="116" cm="1">
        <f t="array" ref="BE7">_xll.EQNXTDZ($A$1,$B7,BE$1)</f>
        <v>30.824999999999999</v>
      </c>
      <c r="BF7" s="116" cm="1">
        <f t="array" ref="BF7">_xll.EQNXTDZ($A$1,$B7,BF$1)</f>
        <v>31.65</v>
      </c>
      <c r="BG7" s="116" cm="1">
        <f t="array" ref="BG7">_xll.EQNXTDZ($A$1,$B7,BG$1)</f>
        <v>39.6</v>
      </c>
      <c r="BH7" s="116" cm="1">
        <f t="array" ref="BH7">_xll.EQNXTDZ($A$1,$B7,BH$1)</f>
        <v>43.75</v>
      </c>
      <c r="BI7" s="116" cm="1">
        <f t="array" ref="BI7">_xll.EQNXTDZ($A$1,$B7,BI$1)</f>
        <v>43.174999999999997</v>
      </c>
      <c r="BJ7" s="116" cm="1">
        <f t="array" ref="BJ7">_xll.EQNXTDZ($A$1,$B7,BJ$1)</f>
        <v>41.274999999999999</v>
      </c>
      <c r="BK7" s="116" cm="1">
        <f t="array" ref="BK7">_xll.EQNXTDZ($A$1,$B7,BK$1)</f>
        <v>46.1</v>
      </c>
      <c r="BL7" s="116" cm="1">
        <f t="array" ref="BL7">_xll.EQNXTDZ($A$1,$B7,BL$1)</f>
        <v>51.85</v>
      </c>
      <c r="BM7" s="116" cm="1">
        <f t="array" ref="BM7">_xll.EQNXTDZ($A$1,$B7,BM$1)</f>
        <v>53.85</v>
      </c>
      <c r="BN7" s="116" cm="1">
        <f t="array" ref="BN7">_xll.EQNXTDZ($A$1,$B7,BN$1)</f>
        <v>61.5</v>
      </c>
      <c r="BO7" s="116" cm="1">
        <f t="array" ref="BO7">_xll.EQNXTDZ($A$1,$B7,BO$1)</f>
        <v>63.625</v>
      </c>
      <c r="BP7" s="116" cm="1">
        <f t="array" ref="BP7">_xll.EQNXTDZ($A$1,$B7,BP$1)</f>
        <v>66.849999999999994</v>
      </c>
      <c r="BQ7" s="116" cm="1">
        <f t="array" ref="BQ7">_xll.EQNXTDZ($A$1,$B7,BQ$1)</f>
        <v>71.849999999999994</v>
      </c>
      <c r="BR7" s="116" cm="1">
        <f t="array" ref="BR7">_xll.EQNXTDZ($A$1,$B7,BR$1)</f>
        <v>91.125</v>
      </c>
      <c r="BS7" s="116" cm="1">
        <f t="array" ref="BS7">_xll.EQNXTDZ($A$1,$B7,BS$1)</f>
        <v>77.599999999999994</v>
      </c>
      <c r="BT7" s="116" cm="1">
        <f t="array" ref="BT7">_xll.EQNXTDZ($A$1,$B7,BT$1)</f>
        <v>70.275000000000006</v>
      </c>
      <c r="BU7" s="116" cm="1">
        <f t="array" ref="BU7">_xll.EQNXTDZ($A$1,$B7,BU$1)</f>
        <v>68.75</v>
      </c>
      <c r="BV7" s="116" cm="1">
        <f t="array" ref="BV7">_xll.EQNXTDZ($A$1,$B7,BV$1)</f>
        <v>63.575000000000003</v>
      </c>
      <c r="BW7" s="116" cm="1">
        <f t="array" ref="BW7">_xll.EQNXTDZ($A$1,$B7,BW$1)</f>
        <v>51.924999999999997</v>
      </c>
      <c r="BX7" s="116" cm="1">
        <f t="array" ref="BX7">_xll.EQNXTDZ($A$1,$B7,BX$1)</f>
        <v>45.325000000000003</v>
      </c>
      <c r="BY7" s="116" cm="1">
        <f t="array" ref="BY7">_xll.EQNXTDZ($A$1,$B7,BY$1)</f>
        <v>47.875</v>
      </c>
      <c r="BZ7" s="116" cm="1">
        <f t="array" ref="BZ7">_xll.EQNXTDZ($A$1,$B7,BZ$1)</f>
        <v>50.95</v>
      </c>
      <c r="CA7" s="116" cm="1">
        <f t="array" ref="CA7">_xll.EQNXTDZ($A$1,$B7,CA$1)</f>
        <v>43.45</v>
      </c>
      <c r="CB7" s="116" cm="1">
        <f t="array" ref="CB7">_xll.EQNXTDZ($A$1,$B7,CB$1)</f>
        <v>45.375</v>
      </c>
      <c r="CC7" s="116" cm="1">
        <f t="array" ref="CC7">_xll.EQNXTDZ($A$1,$B7,CC$1)</f>
        <v>44</v>
      </c>
      <c r="CD7" s="116" cm="1">
        <f t="array" ref="CD7">_xll.EQNXTDZ($A$1,$B7,CD$1)</f>
        <v>45.2</v>
      </c>
      <c r="CE7" s="116" cm="1">
        <f t="array" ref="CE7">_xll.EQNXTDZ($A$1,$B7,CE$1)</f>
        <v>44.95</v>
      </c>
      <c r="CF7" s="116" cm="1">
        <f t="array" ref="CF7">_xll.EQNXTDZ($A$1,$B7,CF$1)</f>
        <v>48.6</v>
      </c>
      <c r="CG7" s="116" cm="1">
        <f t="array" ref="CG7">_xll.EQNXTDZ($A$1,$B7,CG$1)</f>
        <v>46</v>
      </c>
      <c r="CH7" s="116" cm="1">
        <f t="array" ref="CH7">_xll.EQNXTDZ($A$1,$B7,CH$1)</f>
        <v>46.4</v>
      </c>
      <c r="CI7" s="116" cm="1">
        <f t="array" ref="CI7">_xll.EQNXTDZ($A$1,$B7,CI$1)</f>
        <v>45.4</v>
      </c>
      <c r="CJ7" s="116" cm="1">
        <f t="array" ref="CJ7">_xll.EQNXTDZ($A$1,$B7,CJ$1)</f>
        <v>42.75</v>
      </c>
      <c r="CK7" s="116" cm="1">
        <f t="array" ref="CK7">_xll.EQNXTDZ($A$1,$B7,CK$1)</f>
        <v>36.575000000000003</v>
      </c>
      <c r="CL7" s="116" cm="1">
        <f t="array" ref="CL7">_xll.EQNXTDZ($A$1,$B7,CL$1)</f>
        <v>44.25</v>
      </c>
      <c r="CM7" s="116" cm="1">
        <f t="array" ref="CM7">_xll.EQNXTDZ($A$1,$B7,CM$1)</f>
        <v>45.6</v>
      </c>
      <c r="CN7" s="116" cm="1">
        <f t="array" ref="CN7">_xll.EQNXTDZ($A$1,$B7,CN$1)</f>
        <v>46.45</v>
      </c>
      <c r="CO7" s="116" cm="1">
        <f t="array" ref="CO7">_xll.EQNXTDZ($A$1,$B7,CO$1)</f>
        <v>40.725000000000001</v>
      </c>
      <c r="CP7" s="116" cm="1">
        <f t="array" ref="CP7">_xll.EQNXTDZ($A$1,$B7,CP$1)</f>
        <v>51.3</v>
      </c>
      <c r="CQ7" s="116" cm="1">
        <f t="array" ref="CQ7">_xll.EQNXTDZ($A$1,$B7,CQ$1)</f>
        <v>48</v>
      </c>
      <c r="CR7" s="116" cm="1">
        <f t="array" ref="CR7">_xll.EQNXTDZ($A$1,$B7,CR$1)</f>
        <v>42.774999999999999</v>
      </c>
      <c r="CS7" s="116" cm="1">
        <f t="array" ref="CS7">_xll.EQNXTDZ($A$1,$B7,CS$1)</f>
        <v>30.574999999999999</v>
      </c>
      <c r="CT7" s="116" cm="1">
        <f t="array" ref="CT7">_xll.EQNXTDZ($A$1,$B7,CT$1)</f>
        <v>27.5</v>
      </c>
      <c r="CU7" s="116" cm="1">
        <f t="array" ref="CU7">_xll.EQNXTDZ($A$1,$B7,CU$1)</f>
        <v>31.95</v>
      </c>
      <c r="CV7" s="116" cm="1">
        <f t="array" ref="CV7">_xll.EQNXTDZ($A$1,$B7,CV$1)</f>
        <v>32.875</v>
      </c>
      <c r="CW7" s="116" cm="1">
        <f t="array" ref="CW7">_xll.EQNXTDZ($A$1,$B7,CW$1)</f>
        <v>35.85</v>
      </c>
      <c r="CX7" s="116" cm="1">
        <f t="array" ref="CX7">_xll.EQNXTDZ($A$1,$B7,CX$1)</f>
        <v>37.375</v>
      </c>
      <c r="CY7" s="116" cm="1">
        <f t="array" ref="CY7">_xll.EQNXTDZ($A$1,$B7,CY$1)</f>
        <v>32.6</v>
      </c>
      <c r="CZ7" s="116" cm="1">
        <f t="array" ref="CZ7">_xll.EQNXTDZ($A$1,$B7,CZ$1)</f>
        <v>35.625</v>
      </c>
      <c r="DA7" s="116" cm="1">
        <f t="array" ref="DA7">_xll.EQNXTDZ($A$1,$B7,DA$1)</f>
        <v>40.950000000000003</v>
      </c>
      <c r="DB7" s="116" cm="1">
        <f t="array" ref="DB7">_xll.EQNXTDZ($A$1,$B7,DB$1)</f>
        <v>42.475000000000001</v>
      </c>
      <c r="DC7" s="116" cm="1">
        <f t="array" ref="DC7">_xll.EQNXTDZ($A$1,$B7,DC$1)</f>
        <v>42.2</v>
      </c>
      <c r="DD7" s="116" cm="1">
        <f t="array" ref="DD7">_xll.EQNXTDZ($A$1,$B7,DD$1)</f>
        <v>43.825000000000003</v>
      </c>
      <c r="DE7" s="116" cm="1">
        <f t="array" ref="DE7">_xll.EQNXTDZ($A$1,$B7,DE$1)</f>
        <v>43.825000000000003</v>
      </c>
      <c r="DF7" s="116" cm="1">
        <f t="array" ref="DF7">_xll.EQNXTDZ($A$1,$B7,DF$1)</f>
        <v>55.35</v>
      </c>
      <c r="DG7" s="116" cm="1">
        <f t="array" ref="DG7">_xll.EQNXTDZ($A$1,$B7,DG$1)</f>
        <v>59.85</v>
      </c>
      <c r="DH7" s="116" cm="1">
        <f t="array" ref="DH7">_xll.EQNXTDZ($A$1,$B7,DH$1)</f>
        <v>73.8</v>
      </c>
      <c r="DI7" s="116" cm="1">
        <f t="array" ref="DI7">_xll.EQNXTDZ($A$1,$B7,DI$1)</f>
        <v>72.400000000000006</v>
      </c>
      <c r="DJ7" s="116" cm="1">
        <f t="array" ref="DJ7">_xll.EQNXTDZ($A$1,$B7,DJ$1)</f>
        <v>62.35</v>
      </c>
      <c r="DK7" s="116" cm="1">
        <f t="array" ref="DK7">_xll.EQNXTDZ($A$1,$B7,DK$1)</f>
        <v>64</v>
      </c>
      <c r="DL7" s="116" cm="1">
        <f t="array" ref="DL7">_xll.EQNXTDZ($A$1,$B7,DL$1)</f>
        <v>58.35</v>
      </c>
      <c r="DM7" s="116" cm="1">
        <f t="array" ref="DM7">_xll.EQNXTDZ($A$1,$B7,DM$1)</f>
        <v>55.25</v>
      </c>
      <c r="DN7" s="116" cm="1">
        <f t="array" ref="DN7">_xll.EQNXTDZ($A$1,$B7,DN$1)</f>
        <v>59.7</v>
      </c>
      <c r="DO7" s="116" cm="1">
        <f t="array" ref="DO7">_xll.EQNXTDZ($A$1,$B7,DO$1)</f>
        <v>54.2</v>
      </c>
      <c r="DP7" s="116" cm="1">
        <f t="array" ref="DP7">_xll.EQNXTDZ($A$1,$B7,DP$1)</f>
        <v>49.325000000000003</v>
      </c>
      <c r="DQ7" s="116" cm="1">
        <f t="array" ref="DQ7">_xll.EQNXTDZ($A$1,$B7,DQ$1)</f>
        <v>50.75</v>
      </c>
      <c r="DR7" s="116" cm="1">
        <f t="array" ref="DR7">_xll.EQNXTDZ($A$1,$B7,DR$1)</f>
        <v>47.95</v>
      </c>
      <c r="DS7" s="116" cm="1">
        <f t="array" ref="DS7">_xll.EQNXTDZ($A$1,$B7,DS$1)</f>
        <v>45.5</v>
      </c>
      <c r="DT7" s="116" cm="1">
        <f t="array" ref="DT7">_xll.EQNXTDZ($A$1,$B7,DT$1)</f>
        <v>43.5</v>
      </c>
      <c r="DU7" s="116" cm="1">
        <f t="array" ref="DU7">_xll.EQNXTDZ($A$1,$B7,DU$1)</f>
        <v>46.4</v>
      </c>
      <c r="DV7" s="116" cm="1">
        <f t="array" ref="DV7">_xll.EQNXTDZ($A$1,$B7,DV$1)</f>
        <v>45.9</v>
      </c>
      <c r="DW7" s="116" cm="1">
        <f t="array" ref="DW7">_xll.EQNXTDZ($A$1,$B7,DW$1)</f>
        <v>43.65</v>
      </c>
      <c r="DX7" s="116" cm="1">
        <f t="array" ref="DX7">_xll.EQNXTDZ($A$1,$B7,DX$1)</f>
        <v>47.375</v>
      </c>
      <c r="DY7" s="116" cm="1">
        <f t="array" ref="DY7">_xll.EQNXTDZ($A$1,$B7,DY$1)</f>
        <v>53.9</v>
      </c>
      <c r="DZ7" s="116" cm="1">
        <f t="array" ref="DZ7">_xll.EQNXTDZ($A$1,$B7,DZ$1)</f>
        <v>63</v>
      </c>
      <c r="EA7" s="116" cm="1">
        <f t="array" ref="EA7">_xll.EQNXTDZ($A$1,$B7,EA$1)</f>
        <v>79.224999999999994</v>
      </c>
      <c r="EB7" s="116" cm="1">
        <f t="array" ref="EB7">_xll.EQNXTDZ($A$1,$B7,EB$1)</f>
        <v>89.775000000000006</v>
      </c>
      <c r="EC7" s="116" cm="1">
        <f t="array" ref="EC7">_xll.EQNXTDZ($A$1,$B7,EC$1)</f>
        <v>83.474999999999994</v>
      </c>
      <c r="ED7" s="116" cm="1">
        <f t="array" ref="ED7">_xll.EQNXTDZ($A$1,$B7,ED$1)</f>
        <v>124.35</v>
      </c>
      <c r="EE7" s="116" cm="1">
        <f t="array" ref="EE7">_xll.EQNXTDZ($A$1,$B7,EE$1)</f>
        <v>132.19999999999999</v>
      </c>
      <c r="EF7" s="116" cm="1">
        <f t="array" ref="EF7">_xll.EQNXTDZ($A$1,$B7,EF$1)</f>
        <v>192.25</v>
      </c>
      <c r="EG7" s="116" cm="1">
        <f t="array" ref="EG7">_xll.EQNXTDZ($A$1,$B7,EG$1)</f>
        <v>177.5</v>
      </c>
      <c r="EH7" s="116" cm="1">
        <f t="array" ref="EH7">_xll.EQNXTDZ($A$1,$B7,EH$1)</f>
        <v>195.5</v>
      </c>
      <c r="EI7" s="116" cm="1">
        <f t="array" ref="EI7">_xll.EQNXTDZ($A$1,$B7,EI$1)</f>
        <v>224</v>
      </c>
      <c r="EJ7" s="116" cm="1">
        <f t="array" ref="EJ7">_xll.EQNXTDZ($A$1,$B7,EJ$1)</f>
        <v>257.5</v>
      </c>
      <c r="EK7" s="116" cm="1">
        <f t="array" ref="EK7">_xll.EQNXTDZ($A$1,$B7,EK$1)</f>
        <v>242.47499999999999</v>
      </c>
      <c r="EL7" s="116" cm="1">
        <f t="array" ref="EL7">_xll.EQNXTDZ($A$1,$B7,EL$1)</f>
        <v>269.45</v>
      </c>
      <c r="EM7" s="116" cm="1">
        <f t="array" ref="EM7">_xll.EQNXTDZ($A$1,$B7,EM$1)</f>
        <v>279.22500000000002</v>
      </c>
      <c r="EN7" s="116" cm="1">
        <f t="array" ref="EN7">_xll.EQNXTDZ($A$1,$B7,EN$1)</f>
        <v>248.9</v>
      </c>
      <c r="EO7" s="116" cm="1">
        <f t="array" ref="EO7">_xll.EQNXTDZ($A$1,$B7,EO$1)</f>
        <v>287.92500000000001</v>
      </c>
      <c r="EP7" s="116" cm="1">
        <f t="array" ref="EP7">_xll.EQNXTDZ($A$1,$B7,EP$1)</f>
        <v>299</v>
      </c>
      <c r="EQ7" s="116" cm="1">
        <f t="array" ref="EQ7">_xll.EQNXTDZ($A$1,$B7,EQ$1)</f>
        <v>295.5</v>
      </c>
      <c r="ER7" s="116" cm="1">
        <f t="array" ref="ER7">_xll.EQNXTDZ($A$1,$B7,ER$1)</f>
        <v>327.27499999999998</v>
      </c>
      <c r="ES7" s="116" cm="1">
        <f t="array" ref="ES7">_xll.EQNXTDZ($A$1,$B7,ES$1)</f>
        <v>355</v>
      </c>
      <c r="ET7" s="116" cm="1">
        <f t="array" ref="ET7">_xll.EQNXTDZ($A$1,$B7,ET$1)</f>
        <v>379.95</v>
      </c>
      <c r="EU7" s="116" cm="1">
        <f t="array" ref="EU7">_xll.EQNXTDZ($A$1,$B7,EU$1)</f>
        <v>383.85</v>
      </c>
      <c r="EV7" s="116" cm="1">
        <f t="array" ref="EV7">_xll.EQNXTDZ($A$1,$B7,EV$1)</f>
        <v>337.8</v>
      </c>
      <c r="EW7" s="116" cm="1">
        <f t="array" ref="EW7">_xll.EQNXTDZ($A$1,$B7,EW$1)</f>
        <v>342.8</v>
      </c>
      <c r="EX7" s="116" cm="1">
        <f t="array" ref="EX7">_xll.EQNXTDZ($A$1,$B7,EX$1)</f>
        <v>289.3</v>
      </c>
      <c r="EY7" s="116" cm="1">
        <f t="array" ref="EY7">_xll.EQNXTDZ($A$1,$B7,EY$1)</f>
        <v>269.45</v>
      </c>
      <c r="EZ7" s="116" cm="1">
        <f t="array" ref="EZ7">_xll.EQNXTDZ($A$1,$B7,EZ$1)</f>
        <v>286.39999999999998</v>
      </c>
      <c r="FA7" s="116" cm="1">
        <f t="array" ref="FA7">_xll.EQNXTDZ($A$1,$B7,FA$1)</f>
        <v>277.95</v>
      </c>
      <c r="FB7" s="116" cm="1">
        <f t="array" ref="FB7">_xll.EQNXTDZ($A$1,$B7,FB$1)</f>
        <v>254.24</v>
      </c>
      <c r="FC7" s="116" cm="1">
        <f t="array" ref="FC7">_xll.EQNXTDZ($A$1,$B7,FC$1)</f>
        <v>260.39999999999998</v>
      </c>
      <c r="FD7" s="116" cm="1">
        <f t="array" ref="FD7">_xll.EQNXTDZ($A$1,$B7,FD$1)</f>
        <v>244.91</v>
      </c>
      <c r="FE7" s="116" cm="1">
        <f t="array" ref="FE7">_xll.EQNXTDZ($A$1,$B7,FE$1)</f>
        <v>216.29</v>
      </c>
      <c r="FF7" s="116" cm="1">
        <f t="array" ref="FF7">_xll.EQNXTDZ($A$1,$B7,FF$1)</f>
        <v>224.7</v>
      </c>
      <c r="FG7" s="116" cm="1">
        <f t="array" ref="FG7">_xll.EQNXTDZ($A$1,$B7,FG$1)</f>
        <v>213.6</v>
      </c>
      <c r="FH7" s="116" cm="1">
        <f t="array" ref="FH7">_xll.EQNXTDZ($A$1,$B7,FH$1)</f>
        <v>176.2</v>
      </c>
      <c r="FI7" s="116" cm="1">
        <f t="array" ref="FI7">_xll.EQNXTDZ($A$1,$B7,FI$1)</f>
        <v>171.27</v>
      </c>
      <c r="FJ7" s="116" cm="1">
        <f t="array" ref="FJ7">_xll.EQNXTDZ($A$1,$B7,FJ$1)</f>
        <v>195</v>
      </c>
      <c r="FK7" s="116" cm="1">
        <f t="array" ref="FK7">_xll.EQNXTDZ($A$1,$B7,FK$1)</f>
        <v>198.9</v>
      </c>
      <c r="FL7" s="116" cm="1">
        <f t="array" ref="FL7">_xll.EQNXTDZ($A$1,$B7,FL$1)</f>
        <v>211</v>
      </c>
      <c r="FM7" s="116" cm="1">
        <f t="array" ref="FM7">_xll.EQNXTDZ($A$1,$B7,FM$1)</f>
        <v>249.79</v>
      </c>
      <c r="FN7" s="116" cm="1">
        <f t="array" ref="FN7">_xll.EQNXTDZ($A$1,$B7,FN$1)</f>
        <v>251.7</v>
      </c>
      <c r="FO7" s="116" cm="1">
        <f t="array" ref="FO7">_xll.EQNXTDZ($A$1,$B7,FO$1)</f>
        <v>267.5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69.224999999999994</v>
      </c>
      <c r="HQ7" s="116">
        <f>+MAX(G7:I7)</f>
        <v>68.95</v>
      </c>
      <c r="HR7" s="116">
        <f>+MAX(J7:L7)</f>
        <v>68.349999999999994</v>
      </c>
      <c r="HS7" s="116">
        <f>+MAX(M7:O7)</f>
        <v>46.424999999999997</v>
      </c>
      <c r="HT7" s="116">
        <f>+MAX(P7:R7)</f>
        <v>31.95</v>
      </c>
      <c r="HU7" s="116">
        <f>+MAX(S7:U7)</f>
        <v>27.05</v>
      </c>
      <c r="HV7" s="116">
        <f>+MAX(V7:X7)</f>
        <v>31.725000000000001</v>
      </c>
      <c r="HW7" s="116">
        <f>+MAX(Y7:AA7)</f>
        <v>47.924999999999997</v>
      </c>
      <c r="HX7" s="116">
        <f>+MAX(AB7:AD7)</f>
        <v>49.15</v>
      </c>
      <c r="HY7" s="116">
        <f>+MAX(AE7:AG7)</f>
        <v>57.825000000000003</v>
      </c>
      <c r="HZ7" s="116">
        <f>+MAX(AH7:AJ7)</f>
        <v>48.6</v>
      </c>
      <c r="IA7" s="116">
        <f>+MAX(AK7:AM7)</f>
        <v>37.325000000000003</v>
      </c>
      <c r="IB7" s="116">
        <f>+MAX(AN7:AP7)</f>
        <v>42.7</v>
      </c>
      <c r="IC7" s="116">
        <f>+MAX(AQ7:AS7)</f>
        <v>36.75</v>
      </c>
      <c r="ID7" s="116">
        <f>+MAX(AT7:AV7)</f>
        <v>32.85</v>
      </c>
      <c r="IE7" s="116">
        <f>+MAX(AW7:AY7)</f>
        <v>27.774999999999999</v>
      </c>
      <c r="IF7" s="116">
        <f>+MAX(AZ7:BB7)</f>
        <v>29.9</v>
      </c>
      <c r="IG7" s="116">
        <f>+MAX(BC7:BE7)</f>
        <v>33.799999999999997</v>
      </c>
      <c r="IH7" s="116">
        <f>+MAX(BF7:BH7)</f>
        <v>43.75</v>
      </c>
      <c r="II7" s="116">
        <f>+MAX(BI7:BK7)</f>
        <v>46.1</v>
      </c>
      <c r="IJ7" s="116">
        <f>+MAX(BL7:BN7)</f>
        <v>61.5</v>
      </c>
      <c r="IK7" s="116">
        <f>+MAX(BO7:BQ7)</f>
        <v>71.849999999999994</v>
      </c>
      <c r="IL7" s="116">
        <f>+MAX(BR7:BT7)</f>
        <v>91.125</v>
      </c>
      <c r="IM7" s="116">
        <f>+MAX(BU7:BW7)</f>
        <v>68.75</v>
      </c>
      <c r="IN7" s="116">
        <f>+MAX(BX7:BZ7)</f>
        <v>50.95</v>
      </c>
      <c r="IO7" s="116">
        <f>+MAX(CA7:CC7)</f>
        <v>45.375</v>
      </c>
      <c r="IP7" s="116">
        <f>+MAX(CD7:CF7)</f>
        <v>48.6</v>
      </c>
      <c r="IQ7" s="116">
        <f>+MAX(CG7:CI7)</f>
        <v>46.4</v>
      </c>
      <c r="IR7" s="116">
        <f>+MAX(CJ7:CL7)</f>
        <v>44.25</v>
      </c>
      <c r="IS7" s="116">
        <f>+MAX(CM7:CO7)</f>
        <v>46.45</v>
      </c>
      <c r="IT7" s="116">
        <f>+MAX(CP7:CR7)</f>
        <v>51.3</v>
      </c>
      <c r="IU7" s="116">
        <f>+MAX(CS7:CU7)</f>
        <v>31.95</v>
      </c>
      <c r="IV7" s="116">
        <f>+MAX(CV7:CX7)</f>
        <v>37.375</v>
      </c>
      <c r="IW7" s="116">
        <f>+MAX(CY7:DA7)</f>
        <v>40.950000000000003</v>
      </c>
      <c r="IX7" s="116">
        <f>+MAX(DB7:DD7)</f>
        <v>43.825000000000003</v>
      </c>
      <c r="IY7" s="116">
        <f>+MAX(DE7:DG7)</f>
        <v>59.85</v>
      </c>
      <c r="IZ7" s="116">
        <f>+MAX(DH7:DJ7)</f>
        <v>73.8</v>
      </c>
      <c r="JA7" s="116">
        <f>+MAX(DK7:DM7)</f>
        <v>64</v>
      </c>
      <c r="JB7" s="116">
        <f>+MAX(DN7:DP7)</f>
        <v>59.7</v>
      </c>
      <c r="JC7" s="116">
        <f>+MAX(DQ7:DS7)</f>
        <v>50.75</v>
      </c>
      <c r="JD7" s="116">
        <f>+MAX(DT7:DV7)</f>
        <v>46.4</v>
      </c>
      <c r="JE7" s="116">
        <f>+MAX(DW7:DY7)</f>
        <v>53.9</v>
      </c>
      <c r="JF7" s="116">
        <f>+MAX(DZ7:EB7)</f>
        <v>89.775000000000006</v>
      </c>
      <c r="JG7" s="116">
        <f>+MAX(EC7:EE7)</f>
        <v>132.19999999999999</v>
      </c>
      <c r="JH7" s="116">
        <f>+MAX(EF7:EH7)</f>
        <v>195.5</v>
      </c>
      <c r="JI7" s="116">
        <f>+MAX(EI7:EK7)</f>
        <v>257.5</v>
      </c>
      <c r="JJ7" s="116">
        <f>+MAX(EL7:EN7)</f>
        <v>279.22500000000002</v>
      </c>
      <c r="JK7" s="116">
        <f>MAX(EO7:EQ7)</f>
        <v>299</v>
      </c>
      <c r="JL7" s="116">
        <f>MAX(ER7:ET7)</f>
        <v>379.95</v>
      </c>
      <c r="JM7" s="116">
        <f>MAX(EU7:EW7)</f>
        <v>383.85</v>
      </c>
      <c r="JN7" s="116">
        <f>MAX(EX7:EZ7)</f>
        <v>289.3</v>
      </c>
      <c r="JO7" s="116">
        <f>MAX(FA7:FC7)</f>
        <v>277.95</v>
      </c>
      <c r="JP7" s="116">
        <f>MAX(FD7:FF7)</f>
        <v>244.91</v>
      </c>
      <c r="JQ7" s="116">
        <f>MAX(FG7:FI7)</f>
        <v>213.6</v>
      </c>
      <c r="JR7" s="116">
        <f>MAX(FJ7:FL7)</f>
        <v>211</v>
      </c>
      <c r="JS7" s="116">
        <f>MAX(FM7:FO7)</f>
        <v>267.5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60.174999999999997</v>
      </c>
      <c r="D8" s="116" cm="1">
        <f t="array" ref="D8">_xll.EQNXTDZ($A$1,$B8,D$1)</f>
        <v>59.25</v>
      </c>
      <c r="E8" s="116" cm="1">
        <f t="array" ref="E8">_xll.EQNXTDZ($A$1,$B8,E$1)</f>
        <v>56.875</v>
      </c>
      <c r="F8" s="116" cm="1">
        <f t="array" ref="F8">_xll.EQNXTDZ($A$1,$B8,F$1)</f>
        <v>55.575000000000003</v>
      </c>
      <c r="G8" s="116" cm="1">
        <f t="array" ref="G8">_xll.EQNXTDZ($A$1,$B8,G$1)</f>
        <v>54.5</v>
      </c>
      <c r="H8" s="116" cm="1">
        <f t="array" ref="H8">_xll.EQNXTDZ($A$1,$B8,H$1)</f>
        <v>56.6</v>
      </c>
      <c r="I8" s="116" cm="1">
        <f t="array" ref="I8">_xll.EQNXTDZ($A$1,$B8,I$1)</f>
        <v>60</v>
      </c>
      <c r="J8" s="116" cm="1">
        <f t="array" ref="J8">_xll.EQNXTDZ($A$1,$B8,J$1)</f>
        <v>52.55</v>
      </c>
      <c r="K8" s="116" cm="1">
        <f t="array" ref="K8">_xll.EQNXTDZ($A$1,$B8,K$1)</f>
        <v>43.9</v>
      </c>
      <c r="L8" s="116" cm="1">
        <f t="array" ref="L8">_xll.EQNXTDZ($A$1,$B8,L$1)</f>
        <v>38.5</v>
      </c>
      <c r="M8" s="116" cm="1">
        <f t="array" ref="M8">_xll.EQNXTDZ($A$1,$B8,M$1)</f>
        <v>39.450000000000003</v>
      </c>
      <c r="N8" s="116" cm="1">
        <f t="array" ref="N8">_xll.EQNXTDZ($A$1,$B8,N$1)</f>
        <v>35.475000000000001</v>
      </c>
      <c r="O8" s="116" cm="1">
        <f t="array" ref="O8">_xll.EQNXTDZ($A$1,$B8,O$1)</f>
        <v>24.25</v>
      </c>
      <c r="P8" s="116" cm="1">
        <f t="array" ref="P8">_xll.EQNXTDZ($A$1,$B8,P$1)</f>
        <v>19</v>
      </c>
      <c r="Q8" s="116" cm="1">
        <f t="array" ref="Q8">_xll.EQNXTDZ($A$1,$B8,Q$1)</f>
        <v>18.774999999999999</v>
      </c>
      <c r="R8" s="116" cm="1">
        <f t="array" ref="R8">_xll.EQNXTDZ($A$1,$B8,R$1)</f>
        <v>21.55</v>
      </c>
      <c r="S8" s="116" cm="1">
        <f t="array" ref="S8">_xll.EQNXTDZ($A$1,$B8,S$1)</f>
        <v>21.074999999999999</v>
      </c>
      <c r="T8" s="116" cm="1">
        <f t="array" ref="T8">_xll.EQNXTDZ($A$1,$B8,T$1)</f>
        <v>21.774999999999999</v>
      </c>
      <c r="U8" s="116" cm="1">
        <f t="array" ref="U8">_xll.EQNXTDZ($A$1,$B8,U$1)</f>
        <v>22.55</v>
      </c>
      <c r="V8" s="116" cm="1">
        <f t="array" ref="V8">_xll.EQNXTDZ($A$1,$B8,V$1)</f>
        <v>24.625</v>
      </c>
      <c r="W8" s="116" cm="1">
        <f t="array" ref="W8">_xll.EQNXTDZ($A$1,$B8,W$1)</f>
        <v>23.35</v>
      </c>
      <c r="X8" s="116" cm="1">
        <f t="array" ref="X8">_xll.EQNXTDZ($A$1,$B8,X$1)</f>
        <v>23.024999999999999</v>
      </c>
      <c r="Y8" s="116" cm="1">
        <f t="array" ref="Y8">_xll.EQNXTDZ($A$1,$B8,Y$1)</f>
        <v>26.625</v>
      </c>
      <c r="Z8" s="116" cm="1">
        <f t="array" ref="Z8">_xll.EQNXTDZ($A$1,$B8,Z$1)</f>
        <v>26</v>
      </c>
      <c r="AA8" s="116" cm="1">
        <f t="array" ref="AA8">_xll.EQNXTDZ($A$1,$B8,AA$1)</f>
        <v>40.674999999999997</v>
      </c>
      <c r="AB8" s="116" cm="1">
        <f t="array" ref="AB8">_xll.EQNXTDZ($A$1,$B8,AB$1)</f>
        <v>35.75</v>
      </c>
      <c r="AC8" s="116" cm="1">
        <f t="array" ref="AC8">_xll.EQNXTDZ($A$1,$B8,AC$1)</f>
        <v>35.9</v>
      </c>
      <c r="AD8" s="116" cm="1">
        <f t="array" ref="AD8">_xll.EQNXTDZ($A$1,$B8,AD$1)</f>
        <v>36.774999999999999</v>
      </c>
      <c r="AE8" s="116" cm="1">
        <f t="array" ref="AE8">_xll.EQNXTDZ($A$1,$B8,AE$1)</f>
        <v>37</v>
      </c>
      <c r="AF8" s="116" cm="1">
        <f t="array" ref="AF8">_xll.EQNXTDZ($A$1,$B8,AF$1)</f>
        <v>38.85</v>
      </c>
      <c r="AG8" s="116" cm="1">
        <f t="array" ref="AG8">_xll.EQNXTDZ($A$1,$B8,AG$1)</f>
        <v>44.5</v>
      </c>
      <c r="AH8" s="116" cm="1">
        <f t="array" ref="AH8">_xll.EQNXTDZ($A$1,$B8,AH$1)</f>
        <v>40.075000000000003</v>
      </c>
      <c r="AI8" s="116" cm="1">
        <f t="array" ref="AI8">_xll.EQNXTDZ($A$1,$B8,AI$1)</f>
        <v>35.700000000000003</v>
      </c>
      <c r="AJ8" s="116" cm="1">
        <f t="array" ref="AJ8">_xll.EQNXTDZ($A$1,$B8,AJ$1)</f>
        <v>28.1</v>
      </c>
      <c r="AK8" s="116" cm="1">
        <f t="array" ref="AK8">_xll.EQNXTDZ($A$1,$B8,AK$1)</f>
        <v>30.5</v>
      </c>
      <c r="AL8" s="116" cm="1">
        <f t="array" ref="AL8">_xll.EQNXTDZ($A$1,$B8,AL$1)</f>
        <v>29.9</v>
      </c>
      <c r="AM8" s="116" cm="1">
        <f t="array" ref="AM8">_xll.EQNXTDZ($A$1,$B8,AM$1)</f>
        <v>25.5</v>
      </c>
      <c r="AN8" s="116" cm="1">
        <f t="array" ref="AN8">_xll.EQNXTDZ($A$1,$B8,AN$1)</f>
        <v>29.125</v>
      </c>
      <c r="AO8" s="116" cm="1">
        <f t="array" ref="AO8">_xll.EQNXTDZ($A$1,$B8,AO$1)</f>
        <v>30</v>
      </c>
      <c r="AP8" s="116" cm="1">
        <f t="array" ref="AP8">_xll.EQNXTDZ($A$1,$B8,AP$1)</f>
        <v>29.824999999999999</v>
      </c>
      <c r="AQ8" s="116" cm="1">
        <f t="array" ref="AQ8">_xll.EQNXTDZ($A$1,$B8,AQ$1)</f>
        <v>31.175000000000001</v>
      </c>
      <c r="AR8" s="116" cm="1">
        <f t="array" ref="AR8">_xll.EQNXTDZ($A$1,$B8,AR$1)</f>
        <v>29.875</v>
      </c>
      <c r="AS8" s="116" cm="1">
        <f t="array" ref="AS8">_xll.EQNXTDZ($A$1,$B8,AS$1)</f>
        <v>30.024999999999999</v>
      </c>
      <c r="AT8" s="116" cm="1">
        <f t="array" ref="AT8">_xll.EQNXTDZ($A$1,$B8,AT$1)</f>
        <v>23.8</v>
      </c>
      <c r="AU8" s="116" cm="1">
        <f t="array" ref="AU8">_xll.EQNXTDZ($A$1,$B8,AU$1)</f>
        <v>17.824999999999999</v>
      </c>
      <c r="AV8" s="116" cm="1">
        <f t="array" ref="AV8">_xll.EQNXTDZ($A$1,$B8,AV$1)</f>
        <v>18.05</v>
      </c>
      <c r="AW8" s="116" cm="1">
        <f t="array" ref="AW8">_xll.EQNXTDZ($A$1,$B8,AW$1)</f>
        <v>19.125</v>
      </c>
      <c r="AX8" s="116" cm="1">
        <f t="array" ref="AX8">_xll.EQNXTDZ($A$1,$B8,AX$1)</f>
        <v>19.375</v>
      </c>
      <c r="AY8" s="116" cm="1">
        <f t="array" ref="AY8">_xll.EQNXTDZ($A$1,$B8,AY$1)</f>
        <v>20.100000000000001</v>
      </c>
      <c r="AZ8" s="116" cm="1">
        <f t="array" ref="AZ8">_xll.EQNXTDZ($A$1,$B8,AZ$1)</f>
        <v>25.425000000000001</v>
      </c>
      <c r="BA8" s="116" cm="1">
        <f t="array" ref="BA8">_xll.EQNXTDZ($A$1,$B8,BA$1)</f>
        <v>22.925000000000001</v>
      </c>
      <c r="BB8" s="116" cm="1">
        <f t="array" ref="BB8">_xll.EQNXTDZ($A$1,$B8,BB$1)</f>
        <v>22.375</v>
      </c>
      <c r="BC8" s="116" cm="1">
        <f t="array" ref="BC8">_xll.EQNXTDZ($A$1,$B8,BC$1)</f>
        <v>27.574999999999999</v>
      </c>
      <c r="BD8" s="116" cm="1">
        <f t="array" ref="BD8">_xll.EQNXTDZ($A$1,$B8,BD$1)</f>
        <v>23.75</v>
      </c>
      <c r="BE8" s="116" cm="1">
        <f t="array" ref="BE8">_xll.EQNXTDZ($A$1,$B8,BE$1)</f>
        <v>26.6</v>
      </c>
      <c r="BF8" s="116" cm="1">
        <f t="array" ref="BF8">_xll.EQNXTDZ($A$1,$B8,BF$1)</f>
        <v>27.625</v>
      </c>
      <c r="BG8" s="116" cm="1">
        <f t="array" ref="BG8">_xll.EQNXTDZ($A$1,$B8,BG$1)</f>
        <v>28.824999999999999</v>
      </c>
      <c r="BH8" s="116" cm="1">
        <f t="array" ref="BH8">_xll.EQNXTDZ($A$1,$B8,BH$1)</f>
        <v>38.575000000000003</v>
      </c>
      <c r="BI8" s="116" cm="1">
        <f t="array" ref="BI8">_xll.EQNXTDZ($A$1,$B8,BI$1)</f>
        <v>39.35</v>
      </c>
      <c r="BJ8" s="116" cm="1">
        <f t="array" ref="BJ8">_xll.EQNXTDZ($A$1,$B8,BJ$1)</f>
        <v>36.274999999999999</v>
      </c>
      <c r="BK8" s="116" cm="1">
        <f t="array" ref="BK8">_xll.EQNXTDZ($A$1,$B8,BK$1)</f>
        <v>36.225000000000001</v>
      </c>
      <c r="BL8" s="116" cm="1">
        <f t="array" ref="BL8">_xll.EQNXTDZ($A$1,$B8,BL$1)</f>
        <v>41.125</v>
      </c>
      <c r="BM8" s="116" cm="1">
        <f t="array" ref="BM8">_xll.EQNXTDZ($A$1,$B8,BM$1)</f>
        <v>42.7</v>
      </c>
      <c r="BN8" s="116" cm="1">
        <f t="array" ref="BN8">_xll.EQNXTDZ($A$1,$B8,BN$1)</f>
        <v>47.8</v>
      </c>
      <c r="BO8" s="116" cm="1">
        <f t="array" ref="BO8">_xll.EQNXTDZ($A$1,$B8,BO$1)</f>
        <v>55.75</v>
      </c>
      <c r="BP8" s="116" cm="1">
        <f t="array" ref="BP8">_xll.EQNXTDZ($A$1,$B8,BP$1)</f>
        <v>56.05</v>
      </c>
      <c r="BQ8" s="116" cm="1">
        <f t="array" ref="BQ8">_xll.EQNXTDZ($A$1,$B8,BQ$1)</f>
        <v>54.5</v>
      </c>
      <c r="BR8" s="116" cm="1">
        <f t="array" ref="BR8">_xll.EQNXTDZ($A$1,$B8,BR$1)</f>
        <v>68.525000000000006</v>
      </c>
      <c r="BS8" s="116" cm="1">
        <f t="array" ref="BS8">_xll.EQNXTDZ($A$1,$B8,BS$1)</f>
        <v>57.424999999999997</v>
      </c>
      <c r="BT8" s="116" cm="1">
        <f t="array" ref="BT8">_xll.EQNXTDZ($A$1,$B8,BT$1)</f>
        <v>56.774999999999999</v>
      </c>
      <c r="BU8" s="116" cm="1">
        <f t="array" ref="BU8">_xll.EQNXTDZ($A$1,$B8,BU$1)</f>
        <v>60.024999999999999</v>
      </c>
      <c r="BV8" s="116" cm="1">
        <f t="array" ref="BV8">_xll.EQNXTDZ($A$1,$B8,BV$1)</f>
        <v>46.8</v>
      </c>
      <c r="BW8" s="116" cm="1">
        <f t="array" ref="BW8">_xll.EQNXTDZ($A$1,$B8,BW$1)</f>
        <v>35.274999999999999</v>
      </c>
      <c r="BX8" s="116" cm="1">
        <f t="array" ref="BX8">_xll.EQNXTDZ($A$1,$B8,BX$1)</f>
        <v>35</v>
      </c>
      <c r="BY8" s="116" cm="1">
        <f t="array" ref="BY8">_xll.EQNXTDZ($A$1,$B8,BY$1)</f>
        <v>38.524999999999999</v>
      </c>
      <c r="BZ8" s="116" cm="1">
        <f t="array" ref="BZ8">_xll.EQNXTDZ($A$1,$B8,BZ$1)</f>
        <v>35.725000000000001</v>
      </c>
      <c r="CA8" s="116" cm="1">
        <f t="array" ref="CA8">_xll.EQNXTDZ($A$1,$B8,CA$1)</f>
        <v>33.700000000000003</v>
      </c>
      <c r="CB8" s="116" cm="1">
        <f t="array" ref="CB8">_xll.EQNXTDZ($A$1,$B8,CB$1)</f>
        <v>39.75</v>
      </c>
      <c r="CC8" s="116" cm="1">
        <f t="array" ref="CC8">_xll.EQNXTDZ($A$1,$B8,CC$1)</f>
        <v>37.125</v>
      </c>
      <c r="CD8" s="116" cm="1">
        <f t="array" ref="CD8">_xll.EQNXTDZ($A$1,$B8,CD$1)</f>
        <v>37.524999999999999</v>
      </c>
      <c r="CE8" s="116" cm="1">
        <f t="array" ref="CE8">_xll.EQNXTDZ($A$1,$B8,CE$1)</f>
        <v>37.049999999999997</v>
      </c>
      <c r="CF8" s="116" cm="1">
        <f t="array" ref="CF8">_xll.EQNXTDZ($A$1,$B8,CF$1)</f>
        <v>40.975000000000001</v>
      </c>
      <c r="CG8" s="116" cm="1">
        <f t="array" ref="CG8">_xll.EQNXTDZ($A$1,$B8,CG$1)</f>
        <v>40.325000000000003</v>
      </c>
      <c r="CH8" s="116" cm="1">
        <f t="array" ref="CH8">_xll.EQNXTDZ($A$1,$B8,CH$1)</f>
        <v>36.4</v>
      </c>
      <c r="CI8" s="116" cm="1">
        <f t="array" ref="CI8">_xll.EQNXTDZ($A$1,$B8,CI$1)</f>
        <v>38.475000000000001</v>
      </c>
      <c r="CJ8" s="116" cm="1">
        <f t="array" ref="CJ8">_xll.EQNXTDZ($A$1,$B8,CJ$1)</f>
        <v>32.549999999999997</v>
      </c>
      <c r="CK8" s="116" cm="1">
        <f t="array" ref="CK8">_xll.EQNXTDZ($A$1,$B8,CK$1)</f>
        <v>31.5</v>
      </c>
      <c r="CL8" s="116" cm="1">
        <f t="array" ref="CL8">_xll.EQNXTDZ($A$1,$B8,CL$1)</f>
        <v>32.575000000000003</v>
      </c>
      <c r="CM8" s="116" cm="1">
        <f t="array" ref="CM8">_xll.EQNXTDZ($A$1,$B8,CM$1)</f>
        <v>38.6</v>
      </c>
      <c r="CN8" s="116" cm="1">
        <f t="array" ref="CN8">_xll.EQNXTDZ($A$1,$B8,CN$1)</f>
        <v>38.924999999999997</v>
      </c>
      <c r="CO8" s="116" cm="1">
        <f t="array" ref="CO8">_xll.EQNXTDZ($A$1,$B8,CO$1)</f>
        <v>35.049999999999997</v>
      </c>
      <c r="CP8" s="116" cm="1">
        <f t="array" ref="CP8">_xll.EQNXTDZ($A$1,$B8,CP$1)</f>
        <v>36.6</v>
      </c>
      <c r="CQ8" s="116" cm="1">
        <f t="array" ref="CQ8">_xll.EQNXTDZ($A$1,$B8,CQ$1)</f>
        <v>37.5</v>
      </c>
      <c r="CR8" s="116" cm="1">
        <f t="array" ref="CR8">_xll.EQNXTDZ($A$1,$B8,CR$1)</f>
        <v>19.925000000000001</v>
      </c>
      <c r="CS8" s="116" cm="1">
        <f t="array" ref="CS8">_xll.EQNXTDZ($A$1,$B8,CS$1)</f>
        <v>21.9</v>
      </c>
      <c r="CT8" s="116" cm="1">
        <f t="array" ref="CT8">_xll.EQNXTDZ($A$1,$B8,CT$1)</f>
        <v>22.774999999999999</v>
      </c>
      <c r="CU8" s="116" cm="1">
        <f t="array" ref="CU8">_xll.EQNXTDZ($A$1,$B8,CU$1)</f>
        <v>23.45</v>
      </c>
      <c r="CV8" s="116" cm="1">
        <f t="array" ref="CV8">_xll.EQNXTDZ($A$1,$B8,CV$1)</f>
        <v>27.25</v>
      </c>
      <c r="CW8" s="116" cm="1">
        <f t="array" ref="CW8">_xll.EQNXTDZ($A$1,$B8,CW$1)</f>
        <v>27.15</v>
      </c>
      <c r="CX8" s="116" cm="1">
        <f t="array" ref="CX8">_xll.EQNXTDZ($A$1,$B8,CX$1)</f>
        <v>30.125</v>
      </c>
      <c r="CY8" s="116" cm="1">
        <f t="array" ref="CY8">_xll.EQNXTDZ($A$1,$B8,CY$1)</f>
        <v>29</v>
      </c>
      <c r="CZ8" s="116" cm="1">
        <f t="array" ref="CZ8">_xll.EQNXTDZ($A$1,$B8,CZ$1)</f>
        <v>29.4</v>
      </c>
      <c r="DA8" s="116" cm="1">
        <f t="array" ref="DA8">_xll.EQNXTDZ($A$1,$B8,DA$1)</f>
        <v>33.75</v>
      </c>
      <c r="DB8" s="116" cm="1">
        <f t="array" ref="DB8">_xll.EQNXTDZ($A$1,$B8,DB$1)</f>
        <v>34.924999999999997</v>
      </c>
      <c r="DC8" s="116" cm="1">
        <f t="array" ref="DC8">_xll.EQNXTDZ($A$1,$B8,DC$1)</f>
        <v>35.15</v>
      </c>
      <c r="DD8" s="116" cm="1">
        <f t="array" ref="DD8">_xll.EQNXTDZ($A$1,$B8,DD$1)</f>
        <v>35.075000000000003</v>
      </c>
      <c r="DE8" s="116" cm="1">
        <f t="array" ref="DE8">_xll.EQNXTDZ($A$1,$B8,DE$1)</f>
        <v>35.299999999999997</v>
      </c>
      <c r="DF8" s="116" cm="1">
        <f t="array" ref="DF8">_xll.EQNXTDZ($A$1,$B8,DF$1)</f>
        <v>42.25</v>
      </c>
      <c r="DG8" s="116" cm="1">
        <f t="array" ref="DG8">_xll.EQNXTDZ($A$1,$B8,DG$1)</f>
        <v>49.774999999999999</v>
      </c>
      <c r="DH8" s="116" cm="1">
        <f t="array" ref="DH8">_xll.EQNXTDZ($A$1,$B8,DH$1)</f>
        <v>58.25</v>
      </c>
      <c r="DI8" s="116" cm="1">
        <f t="array" ref="DI8">_xll.EQNXTDZ($A$1,$B8,DI$1)</f>
        <v>57.85</v>
      </c>
      <c r="DJ8" s="116" cm="1">
        <f t="array" ref="DJ8">_xll.EQNXTDZ($A$1,$B8,DJ$1)</f>
        <v>55.225000000000001</v>
      </c>
      <c r="DK8" s="116" cm="1">
        <f t="array" ref="DK8">_xll.EQNXTDZ($A$1,$B8,DK$1)</f>
        <v>54.625</v>
      </c>
      <c r="DL8" s="116" cm="1">
        <f t="array" ref="DL8">_xll.EQNXTDZ($A$1,$B8,DL$1)</f>
        <v>48.174999999999997</v>
      </c>
      <c r="DM8" s="116" cm="1">
        <f t="array" ref="DM8">_xll.EQNXTDZ($A$1,$B8,DM$1)</f>
        <v>46.75</v>
      </c>
      <c r="DN8" s="116" cm="1">
        <f t="array" ref="DN8">_xll.EQNXTDZ($A$1,$B8,DN$1)</f>
        <v>49.024999999999999</v>
      </c>
      <c r="DO8" s="116" cm="1">
        <f t="array" ref="DO8">_xll.EQNXTDZ($A$1,$B8,DO$1)</f>
        <v>40</v>
      </c>
      <c r="DP8" s="116" cm="1">
        <f t="array" ref="DP8">_xll.EQNXTDZ($A$1,$B8,DP$1)</f>
        <v>42.05</v>
      </c>
      <c r="DQ8" s="116" cm="1">
        <f t="array" ref="DQ8">_xll.EQNXTDZ($A$1,$B8,DQ$1)</f>
        <v>45.05</v>
      </c>
      <c r="DR8" s="116" cm="1">
        <f t="array" ref="DR8">_xll.EQNXTDZ($A$1,$B8,DR$1)</f>
        <v>38.799999999999997</v>
      </c>
      <c r="DS8" s="116" cm="1">
        <f t="array" ref="DS8">_xll.EQNXTDZ($A$1,$B8,DS$1)</f>
        <v>37.524999999999999</v>
      </c>
      <c r="DT8" s="116" cm="1">
        <f t="array" ref="DT8">_xll.EQNXTDZ($A$1,$B8,DT$1)</f>
        <v>38.424999999999997</v>
      </c>
      <c r="DU8" s="116" cm="1">
        <f t="array" ref="DU8">_xll.EQNXTDZ($A$1,$B8,DU$1)</f>
        <v>40.549999999999997</v>
      </c>
      <c r="DV8" s="116" cm="1">
        <f t="array" ref="DV8">_xll.EQNXTDZ($A$1,$B8,DV$1)</f>
        <v>39.924999999999997</v>
      </c>
      <c r="DW8" s="116" cm="1">
        <f t="array" ref="DW8">_xll.EQNXTDZ($A$1,$B8,DW$1)</f>
        <v>38.725000000000001</v>
      </c>
      <c r="DX8" s="116" cm="1">
        <f t="array" ref="DX8">_xll.EQNXTDZ($A$1,$B8,DX$1)</f>
        <v>39</v>
      </c>
      <c r="DY8" s="116" cm="1">
        <f t="array" ref="DY8">_xll.EQNXTDZ($A$1,$B8,DY$1)</f>
        <v>44.774999999999999</v>
      </c>
      <c r="DZ8" s="116" cm="1">
        <f t="array" ref="DZ8">_xll.EQNXTDZ($A$1,$B8,DZ$1)</f>
        <v>51.875</v>
      </c>
      <c r="EA8" s="116" cm="1">
        <f t="array" ref="EA8">_xll.EQNXTDZ($A$1,$B8,EA$1)</f>
        <v>58.9</v>
      </c>
      <c r="EB8" s="116" cm="1">
        <f t="array" ref="EB8">_xll.EQNXTDZ($A$1,$B8,EB$1)</f>
        <v>67.7</v>
      </c>
      <c r="EC8" s="116" cm="1">
        <f t="array" ref="EC8">_xll.EQNXTDZ($A$1,$B8,EC$1)</f>
        <v>73.174999999999997</v>
      </c>
      <c r="ED8" s="116" cm="1">
        <f t="array" ref="ED8">_xll.EQNXTDZ($A$1,$B8,ED$1)</f>
        <v>77.599999999999994</v>
      </c>
      <c r="EE8" s="116" cm="1">
        <f t="array" ref="EE8">_xll.EQNXTDZ($A$1,$B8,EE$1)</f>
        <v>113.5</v>
      </c>
      <c r="EF8" s="116" cm="1">
        <f t="array" ref="EF8">_xll.EQNXTDZ($A$1,$B8,EF$1)</f>
        <v>128.52500000000001</v>
      </c>
      <c r="EG8" s="116" cm="1">
        <f t="array" ref="EG8">_xll.EQNXTDZ($A$1,$B8,EG$1)</f>
        <v>151.22499999999999</v>
      </c>
      <c r="EH8" s="116" cm="1">
        <f t="array" ref="EH8">_xll.EQNXTDZ($A$1,$B8,EH$1)</f>
        <v>154.75</v>
      </c>
      <c r="EI8" s="116" cm="1">
        <f t="array" ref="EI8">_xll.EQNXTDZ($A$1,$B8,EI$1)</f>
        <v>164.27500000000001</v>
      </c>
      <c r="EJ8" s="116" cm="1">
        <f t="array" ref="EJ8">_xll.EQNXTDZ($A$1,$B8,EJ$1)</f>
        <v>211</v>
      </c>
      <c r="EK8" s="116" cm="1">
        <f t="array" ref="EK8">_xll.EQNXTDZ($A$1,$B8,EK$1)</f>
        <v>202.5</v>
      </c>
      <c r="EL8" s="116" cm="1">
        <f t="array" ref="EL8">_xll.EQNXTDZ($A$1,$B8,EL$1)</f>
        <v>202</v>
      </c>
      <c r="EM8" s="116" cm="1">
        <f t="array" ref="EM8">_xll.EQNXTDZ($A$1,$B8,EM$1)</f>
        <v>231.35</v>
      </c>
      <c r="EN8" s="116" cm="1">
        <f t="array" ref="EN8">_xll.EQNXTDZ($A$1,$B8,EN$1)</f>
        <v>189.97499999999999</v>
      </c>
      <c r="EO8" s="116" cm="1">
        <f t="array" ref="EO8">_xll.EQNXTDZ($A$1,$B8,EO$1)</f>
        <v>219.42500000000001</v>
      </c>
      <c r="EP8" s="116" cm="1">
        <f t="array" ref="EP8">_xll.EQNXTDZ($A$1,$B8,EP$1)</f>
        <v>257.7</v>
      </c>
      <c r="EQ8" s="116" cm="1">
        <f t="array" ref="EQ8">_xll.EQNXTDZ($A$1,$B8,EQ$1)</f>
        <v>236.47499999999999</v>
      </c>
      <c r="ER8" s="116" cm="1">
        <f t="array" ref="ER8">_xll.EQNXTDZ($A$1,$B8,ER$1)</f>
        <v>263.42500000000001</v>
      </c>
      <c r="ES8" s="116" cm="1">
        <f t="array" ref="ES8">_xll.EQNXTDZ($A$1,$B8,ES$1)</f>
        <v>298.75</v>
      </c>
      <c r="ET8" s="116" cm="1">
        <f t="array" ref="ET8">_xll.EQNXTDZ($A$1,$B8,ET$1)</f>
        <v>331.82499999999999</v>
      </c>
      <c r="EU8" s="116" cm="1">
        <f t="array" ref="EU8">_xll.EQNXTDZ($A$1,$B8,EU$1)</f>
        <v>293.55</v>
      </c>
      <c r="EV8" s="116" cm="1">
        <f t="array" ref="EV8">_xll.EQNXTDZ($A$1,$B8,EV$1)</f>
        <v>287.5</v>
      </c>
      <c r="EW8" s="116" cm="1">
        <f t="array" ref="EW8">_xll.EQNXTDZ($A$1,$B8,EW$1)</f>
        <v>287.7</v>
      </c>
      <c r="EX8" s="116" cm="1">
        <f t="array" ref="EX8">_xll.EQNXTDZ($A$1,$B8,EX$1)</f>
        <v>217.65</v>
      </c>
      <c r="EY8" s="116" cm="1">
        <f t="array" ref="EY8">_xll.EQNXTDZ($A$1,$B8,EY$1)</f>
        <v>224.6</v>
      </c>
      <c r="EZ8" s="116" cm="1">
        <f t="array" ref="EZ8">_xll.EQNXTDZ($A$1,$B8,EZ$1)</f>
        <v>230.41</v>
      </c>
      <c r="FA8" s="116" cm="1">
        <f t="array" ref="FA8">_xll.EQNXTDZ($A$1,$B8,FA$1)</f>
        <v>225.1</v>
      </c>
      <c r="FB8" s="116" cm="1">
        <f t="array" ref="FB8">_xll.EQNXTDZ($A$1,$B8,FB$1)</f>
        <v>199.62</v>
      </c>
      <c r="FC8" s="116" cm="1">
        <f t="array" ref="FC8">_xll.EQNXTDZ($A$1,$B8,FC$1)</f>
        <v>210</v>
      </c>
      <c r="FD8" s="116" cm="1">
        <f t="array" ref="FD8">_xll.EQNXTDZ($A$1,$B8,FD$1)</f>
        <v>210</v>
      </c>
      <c r="FE8" s="116" cm="1">
        <f t="array" ref="FE8">_xll.EQNXTDZ($A$1,$B8,FE$1)</f>
        <v>196.02</v>
      </c>
      <c r="FF8" s="116" cm="1">
        <f t="array" ref="FF8">_xll.EQNXTDZ($A$1,$B8,FF$1)</f>
        <v>197.8</v>
      </c>
      <c r="FG8" s="116" cm="1">
        <f t="array" ref="FG8">_xll.EQNXTDZ($A$1,$B8,FG$1)</f>
        <v>175</v>
      </c>
      <c r="FH8" s="116" cm="1">
        <f t="array" ref="FH8">_xll.EQNXTDZ($A$1,$B8,FH$1)</f>
        <v>160.27000000000001</v>
      </c>
      <c r="FI8" s="116" cm="1">
        <f t="array" ref="FI8">_xll.EQNXTDZ($A$1,$B8,FI$1)</f>
        <v>153</v>
      </c>
      <c r="FJ8" s="116" cm="1">
        <f t="array" ref="FJ8">_xll.EQNXTDZ($A$1,$B8,FJ$1)</f>
        <v>154</v>
      </c>
      <c r="FK8" s="116" cm="1">
        <f t="array" ref="FK8">_xll.EQNXTDZ($A$1,$B8,FK$1)</f>
        <v>169.06</v>
      </c>
      <c r="FL8" s="116" cm="1">
        <f t="array" ref="FL8">_xll.EQNXTDZ($A$1,$B8,FL$1)</f>
        <v>159.06</v>
      </c>
      <c r="FM8" s="116" cm="1">
        <f t="array" ref="FM8">_xll.EQNXTDZ($A$1,$B8,FM$1)</f>
        <v>184.45</v>
      </c>
      <c r="FN8" s="116" cm="1">
        <f t="array" ref="FN8">_xll.EQNXTDZ($A$1,$B8,FN$1)</f>
        <v>214.01</v>
      </c>
      <c r="FO8" s="116" cm="1">
        <f t="array" ref="FO8">_xll.EQNXTDZ($A$1,$B8,FO$1)</f>
        <v>221.7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55.575000000000003</v>
      </c>
      <c r="HQ8" s="116">
        <f>+MIN(G8:I8)</f>
        <v>54.5</v>
      </c>
      <c r="HR8" s="116">
        <f>+MIN(J8:L8)</f>
        <v>38.5</v>
      </c>
      <c r="HS8" s="116">
        <f>+MIN(M8:O8)</f>
        <v>24.25</v>
      </c>
      <c r="HT8" s="116">
        <f>+MIN(P8:R8)</f>
        <v>18.774999999999999</v>
      </c>
      <c r="HU8" s="116">
        <f>+MIN(S8:U8)</f>
        <v>21.074999999999999</v>
      </c>
      <c r="HV8" s="116">
        <f>+MIN(V8:X8)</f>
        <v>23.024999999999999</v>
      </c>
      <c r="HW8" s="116">
        <f>+MIN(Y8:AA8)</f>
        <v>26</v>
      </c>
      <c r="HX8" s="116">
        <f>+MIN(AB8:AD8)</f>
        <v>35.75</v>
      </c>
      <c r="HY8" s="116">
        <f>+MIN(AE8:AG8)</f>
        <v>37</v>
      </c>
      <c r="HZ8" s="116">
        <f>+MIN(AH8:AJ8)</f>
        <v>28.1</v>
      </c>
      <c r="IA8" s="116">
        <f>+MIN(AK8:AM8)</f>
        <v>25.5</v>
      </c>
      <c r="IB8" s="116">
        <f>+MIN(AN8:AP8)</f>
        <v>29.125</v>
      </c>
      <c r="IC8" s="116">
        <f>+MIN(AQ8:AS8)</f>
        <v>29.875</v>
      </c>
      <c r="ID8" s="116">
        <f>+MIN(AT8:AV8)</f>
        <v>17.824999999999999</v>
      </c>
      <c r="IE8" s="116">
        <f>+MIN(AW8:AY8)</f>
        <v>19.125</v>
      </c>
      <c r="IF8" s="116">
        <f>+MIN(AZ8:BB8)</f>
        <v>22.375</v>
      </c>
      <c r="IG8" s="116">
        <f>+MIN(BC8:BE8)</f>
        <v>23.75</v>
      </c>
      <c r="IH8" s="116">
        <f>+MIN(BF8:BH8)</f>
        <v>27.625</v>
      </c>
      <c r="II8" s="116">
        <f>+MIN(BI8:BK8)</f>
        <v>36.225000000000001</v>
      </c>
      <c r="IJ8" s="116">
        <f>+MIN(BL8:BN8)</f>
        <v>41.125</v>
      </c>
      <c r="IK8" s="116">
        <f>+MIN(BO8:BQ8)</f>
        <v>54.5</v>
      </c>
      <c r="IL8" s="116">
        <f>+MIN(BR8:BT8)</f>
        <v>56.774999999999999</v>
      </c>
      <c r="IM8" s="116">
        <f>+MIN(BU8:BW8)</f>
        <v>35.274999999999999</v>
      </c>
      <c r="IN8" s="116">
        <f>+MIN(BX8:BZ8)</f>
        <v>35</v>
      </c>
      <c r="IO8" s="116">
        <f>+MIN(CA8:CC8)</f>
        <v>33.700000000000003</v>
      </c>
      <c r="IP8" s="116">
        <f>+MIN(CD8:CF8)</f>
        <v>37.049999999999997</v>
      </c>
      <c r="IQ8" s="116">
        <f>+MIN(CG8:CI8)</f>
        <v>36.4</v>
      </c>
      <c r="IR8" s="116">
        <f>+MIN(CJ8:CL8)</f>
        <v>31.5</v>
      </c>
      <c r="IS8" s="116">
        <f>+MIN(CM8:CO8)</f>
        <v>35.049999999999997</v>
      </c>
      <c r="IT8" s="116">
        <f>+MIN(CP8:CR8)</f>
        <v>19.925000000000001</v>
      </c>
      <c r="IU8" s="116">
        <f>+MIN(CS8:CU8)</f>
        <v>21.9</v>
      </c>
      <c r="IV8" s="116">
        <f>+MIN(CV8:CX8)</f>
        <v>27.15</v>
      </c>
      <c r="IW8" s="116">
        <f>+MIN(CY8:DA8)</f>
        <v>29</v>
      </c>
      <c r="IX8" s="116">
        <f>+MIN(DB8:DD8)</f>
        <v>34.924999999999997</v>
      </c>
      <c r="IY8" s="116">
        <f>+MIN(DE8:DG8)</f>
        <v>35.299999999999997</v>
      </c>
      <c r="IZ8" s="116">
        <f>+MIN(DH8:DJ8)</f>
        <v>55.225000000000001</v>
      </c>
      <c r="JA8" s="116">
        <f>+MIN(DK8:DM8)</f>
        <v>46.75</v>
      </c>
      <c r="JB8" s="116">
        <f>+MIN(DN8:DP8)</f>
        <v>40</v>
      </c>
      <c r="JC8" s="116">
        <f>+MIN(DQ8:DS8)</f>
        <v>37.524999999999999</v>
      </c>
      <c r="JD8" s="116">
        <f>+MIN(DT8:DV8)</f>
        <v>38.424999999999997</v>
      </c>
      <c r="JE8" s="116">
        <f>+MIN(DW8:DY8)</f>
        <v>38.725000000000001</v>
      </c>
      <c r="JF8" s="116">
        <f>+MIN(DZ8:EB8)</f>
        <v>51.875</v>
      </c>
      <c r="JG8" s="116">
        <f>+MIN(EC8:EE8)</f>
        <v>73.174999999999997</v>
      </c>
      <c r="JH8" s="116">
        <f>+MIN(EF8:EH8)</f>
        <v>128.52500000000001</v>
      </c>
      <c r="JI8" s="116">
        <f>+MIN(EI8:EK8)</f>
        <v>164.27500000000001</v>
      </c>
      <c r="JJ8" s="116">
        <f>+MIN(EL8:EN8)</f>
        <v>189.97499999999999</v>
      </c>
      <c r="JK8" s="116">
        <f>MIN(EO8:EQ8)</f>
        <v>219.42500000000001</v>
      </c>
      <c r="JL8" s="116">
        <f>MIN(ER8:ET8)</f>
        <v>263.42500000000001</v>
      </c>
      <c r="JM8" s="116">
        <f>MIN(EU8:EW8)</f>
        <v>287.5</v>
      </c>
      <c r="JN8" s="116">
        <f>MIN(EX8:EZ8)</f>
        <v>217.65</v>
      </c>
      <c r="JO8" s="116">
        <f>MIN(FA8:FC8)</f>
        <v>199.62</v>
      </c>
      <c r="JP8" s="116">
        <f>MIN(FD8:FF8)</f>
        <v>196.02</v>
      </c>
      <c r="JQ8" s="116">
        <f>MIN(FG8:FI8)</f>
        <v>153</v>
      </c>
      <c r="JR8" s="116">
        <f>MIN(FJ8:FL8)</f>
        <v>154</v>
      </c>
      <c r="JS8" s="116">
        <f>MIN(FM8:FO8)</f>
        <v>184.45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66.25</v>
      </c>
      <c r="D9" s="116" cm="1">
        <f t="array" ref="D9">_xll.EQNXTDZ($A$1,$B9,D$1)</f>
        <v>59.924999999999997</v>
      </c>
      <c r="E9" s="116" cm="1">
        <f t="array" ref="E9">_xll.EQNXTDZ($A$1,$B9,E$1)</f>
        <v>58.95</v>
      </c>
      <c r="F9" s="116" cm="1">
        <f t="array" ref="F9">_xll.EQNXTDZ($A$1,$B9,F$1)</f>
        <v>59.4</v>
      </c>
      <c r="G9" s="116" cm="1">
        <f t="array" ref="G9">_xll.EQNXTDZ($A$1,$B9,G$1)</f>
        <v>57.024999999999999</v>
      </c>
      <c r="H9" s="116" cm="1">
        <f t="array" ref="H9">_xll.EQNXTDZ($A$1,$B9,H$1)</f>
        <v>65.95</v>
      </c>
      <c r="I9" s="116" cm="1">
        <f t="array" ref="I9">_xll.EQNXTDZ($A$1,$B9,I$1)</f>
        <v>64.275000000000006</v>
      </c>
      <c r="J9" s="116" cm="1">
        <f t="array" ref="J9">_xll.EQNXTDZ($A$1,$B9,J$1)</f>
        <v>54.274999999999999</v>
      </c>
      <c r="K9" s="116" cm="1">
        <f t="array" ref="K9">_xll.EQNXTDZ($A$1,$B9,K$1)</f>
        <v>44.625</v>
      </c>
      <c r="L9" s="116" cm="1">
        <f t="array" ref="L9">_xll.EQNXTDZ($A$1,$B9,L$1)</f>
        <v>41.05</v>
      </c>
      <c r="M9" s="116" cm="1">
        <f t="array" ref="M9">_xll.EQNXTDZ($A$1,$B9,M$1)</f>
        <v>39.700000000000003</v>
      </c>
      <c r="N9" s="116" cm="1">
        <f t="array" ref="N9">_xll.EQNXTDZ($A$1,$B9,N$1)</f>
        <v>35.875</v>
      </c>
      <c r="O9" s="116" cm="1">
        <f t="array" ref="O9">_xll.EQNXTDZ($A$1,$B9,O$1)</f>
        <v>28.75</v>
      </c>
      <c r="P9" s="116" cm="1">
        <f t="array" ref="P9">_xll.EQNXTDZ($A$1,$B9,P$1)</f>
        <v>21</v>
      </c>
      <c r="Q9" s="116" cm="1">
        <f t="array" ref="Q9">_xll.EQNXTDZ($A$1,$B9,Q$1)</f>
        <v>24.7</v>
      </c>
      <c r="R9" s="116" cm="1">
        <f t="array" ref="R9">_xll.EQNXTDZ($A$1,$B9,R$1)</f>
        <v>22.324999999999999</v>
      </c>
      <c r="S9" s="116" cm="1">
        <f t="array" ref="S9">_xll.EQNXTDZ($A$1,$B9,S$1)</f>
        <v>23.975000000000001</v>
      </c>
      <c r="T9" s="116" cm="1">
        <f t="array" ref="T9">_xll.EQNXTDZ($A$1,$B9,T$1)</f>
        <v>23.05</v>
      </c>
      <c r="U9" s="116" cm="1">
        <f t="array" ref="U9">_xll.EQNXTDZ($A$1,$B9,U$1)</f>
        <v>24.55</v>
      </c>
      <c r="V9" s="116" cm="1">
        <f t="array" ref="V9">_xll.EQNXTDZ($A$1,$B9,V$1)</f>
        <v>25.774999999999999</v>
      </c>
      <c r="W9" s="116" cm="1">
        <f t="array" ref="W9">_xll.EQNXTDZ($A$1,$B9,W$1)</f>
        <v>23.5</v>
      </c>
      <c r="X9" s="116" cm="1">
        <f t="array" ref="X9">_xll.EQNXTDZ($A$1,$B9,X$1)</f>
        <v>28.274999999999999</v>
      </c>
      <c r="Y9" s="116" cm="1">
        <f t="array" ref="Y9">_xll.EQNXTDZ($A$1,$B9,Y$1)</f>
        <v>27.95</v>
      </c>
      <c r="Z9" s="116" cm="1">
        <f t="array" ref="Z9">_xll.EQNXTDZ($A$1,$B9,Z$1)</f>
        <v>44.674999999999997</v>
      </c>
      <c r="AA9" s="116" cm="1">
        <f t="array" ref="AA9">_xll.EQNXTDZ($A$1,$B9,AA$1)</f>
        <v>41.674999999999997</v>
      </c>
      <c r="AB9" s="116" cm="1">
        <f t="array" ref="AB9">_xll.EQNXTDZ($A$1,$B9,AB$1)</f>
        <v>38.575000000000003</v>
      </c>
      <c r="AC9" s="116" cm="1">
        <f t="array" ref="AC9">_xll.EQNXTDZ($A$1,$B9,AC$1)</f>
        <v>38.75</v>
      </c>
      <c r="AD9" s="116" cm="1">
        <f t="array" ref="AD9">_xll.EQNXTDZ($A$1,$B9,AD$1)</f>
        <v>40.225000000000001</v>
      </c>
      <c r="AE9" s="116" cm="1">
        <f t="array" ref="AE9">_xll.EQNXTDZ($A$1,$B9,AE$1)</f>
        <v>38.85</v>
      </c>
      <c r="AF9" s="116" cm="1">
        <f t="array" ref="AF9">_xll.EQNXTDZ($A$1,$B9,AF$1)</f>
        <v>55.5</v>
      </c>
      <c r="AG9" s="116" cm="1">
        <f t="array" ref="AG9">_xll.EQNXTDZ($A$1,$B9,AG$1)</f>
        <v>46.65</v>
      </c>
      <c r="AH9" s="116" cm="1">
        <f t="array" ref="AH9">_xll.EQNXTDZ($A$1,$B9,AH$1)</f>
        <v>40.274999999999999</v>
      </c>
      <c r="AI9" s="116" cm="1">
        <f t="array" ref="AI9">_xll.EQNXTDZ($A$1,$B9,AI$1)</f>
        <v>39.024999999999999</v>
      </c>
      <c r="AJ9" s="116" cm="1">
        <f t="array" ref="AJ9">_xll.EQNXTDZ($A$1,$B9,AJ$1)</f>
        <v>32.875</v>
      </c>
      <c r="AK9" s="116" cm="1">
        <f t="array" ref="AK9">_xll.EQNXTDZ($A$1,$B9,AK$1)</f>
        <v>34.450000000000003</v>
      </c>
      <c r="AL9" s="116" cm="1">
        <f t="array" ref="AL9">_xll.EQNXTDZ($A$1,$B9,AL$1)</f>
        <v>30.725000000000001</v>
      </c>
      <c r="AM9" s="116" cm="1">
        <f t="array" ref="AM9">_xll.EQNXTDZ($A$1,$B9,AM$1)</f>
        <v>29.3</v>
      </c>
      <c r="AN9" s="116" cm="1">
        <f t="array" ref="AN9">_xll.EQNXTDZ($A$1,$B9,AN$1)</f>
        <v>38.174999999999997</v>
      </c>
      <c r="AO9" s="116" cm="1">
        <f t="array" ref="AO9">_xll.EQNXTDZ($A$1,$B9,AO$1)</f>
        <v>33.125</v>
      </c>
      <c r="AP9" s="116" cm="1">
        <f t="array" ref="AP9">_xll.EQNXTDZ($A$1,$B9,AP$1)</f>
        <v>31.925000000000001</v>
      </c>
      <c r="AQ9" s="116" cm="1">
        <f t="array" ref="AQ9">_xll.EQNXTDZ($A$1,$B9,AQ$1)</f>
        <v>32.424999999999997</v>
      </c>
      <c r="AR9" s="116" cm="1">
        <f t="array" ref="AR9">_xll.EQNXTDZ($A$1,$B9,AR$1)</f>
        <v>33.174999999999997</v>
      </c>
      <c r="AS9" s="116" cm="1">
        <f t="array" ref="AS9">_xll.EQNXTDZ($A$1,$B9,AS$1)</f>
        <v>31.324999999999999</v>
      </c>
      <c r="AT9" s="116" cm="1">
        <f t="array" ref="AT9">_xll.EQNXTDZ($A$1,$B9,AT$1)</f>
        <v>25.024999999999999</v>
      </c>
      <c r="AU9" s="116" cm="1">
        <f t="array" ref="AU9">_xll.EQNXTDZ($A$1,$B9,AU$1)</f>
        <v>17.975000000000001</v>
      </c>
      <c r="AV9" s="116" cm="1">
        <f t="array" ref="AV9">_xll.EQNXTDZ($A$1,$B9,AV$1)</f>
        <v>19.350000000000001</v>
      </c>
      <c r="AW9" s="116" cm="1">
        <f t="array" ref="AW9">_xll.EQNXTDZ($A$1,$B9,AW$1)</f>
        <v>21.4</v>
      </c>
      <c r="AX9" s="116" cm="1">
        <f t="array" ref="AX9">_xll.EQNXTDZ($A$1,$B9,AX$1)</f>
        <v>20.125</v>
      </c>
      <c r="AY9" s="116" cm="1">
        <f t="array" ref="AY9">_xll.EQNXTDZ($A$1,$B9,AY$1)</f>
        <v>26.6</v>
      </c>
      <c r="AZ9" s="116" cm="1">
        <f t="array" ref="AZ9">_xll.EQNXTDZ($A$1,$B9,AZ$1)</f>
        <v>25.574999999999999</v>
      </c>
      <c r="BA9" s="116" cm="1">
        <f t="array" ref="BA9">_xll.EQNXTDZ($A$1,$B9,BA$1)</f>
        <v>23.074999999999999</v>
      </c>
      <c r="BB9" s="116" cm="1">
        <f t="array" ref="BB9">_xll.EQNXTDZ($A$1,$B9,BB$1)</f>
        <v>27.425000000000001</v>
      </c>
      <c r="BC9" s="116" cm="1">
        <f t="array" ref="BC9">_xll.EQNXTDZ($A$1,$B9,BC$1)</f>
        <v>32.075000000000003</v>
      </c>
      <c r="BD9" s="116" cm="1">
        <f t="array" ref="BD9">_xll.EQNXTDZ($A$1,$B9,BD$1)</f>
        <v>27.725000000000001</v>
      </c>
      <c r="BE9" s="116" cm="1">
        <f t="array" ref="BE9">_xll.EQNXTDZ($A$1,$B9,BE$1)</f>
        <v>27.675000000000001</v>
      </c>
      <c r="BF9" s="116" cm="1">
        <f t="array" ref="BF9">_xll.EQNXTDZ($A$1,$B9,BF$1)</f>
        <v>28.925000000000001</v>
      </c>
      <c r="BG9" s="116" cm="1">
        <f t="array" ref="BG9">_xll.EQNXTDZ($A$1,$B9,BG$1)</f>
        <v>38.65</v>
      </c>
      <c r="BH9" s="116" cm="1">
        <f t="array" ref="BH9">_xll.EQNXTDZ($A$1,$B9,BH$1)</f>
        <v>41.7</v>
      </c>
      <c r="BI9" s="116" cm="1">
        <f t="array" ref="BI9">_xll.EQNXTDZ($A$1,$B9,BI$1)</f>
        <v>40.424999999999997</v>
      </c>
      <c r="BJ9" s="116" cm="1">
        <f t="array" ref="BJ9">_xll.EQNXTDZ($A$1,$B9,BJ$1)</f>
        <v>36.575000000000003</v>
      </c>
      <c r="BK9" s="116" cm="1">
        <f t="array" ref="BK9">_xll.EQNXTDZ($A$1,$B9,BK$1)</f>
        <v>42</v>
      </c>
      <c r="BL9" s="116" cm="1">
        <f t="array" ref="BL9">_xll.EQNXTDZ($A$1,$B9,BL$1)</f>
        <v>51.35</v>
      </c>
      <c r="BM9" s="116" cm="1">
        <f t="array" ref="BM9">_xll.EQNXTDZ($A$1,$B9,BM$1)</f>
        <v>48.524999999999999</v>
      </c>
      <c r="BN9" s="116" cm="1">
        <f t="array" ref="BN9">_xll.EQNXTDZ($A$1,$B9,BN$1)</f>
        <v>56.2</v>
      </c>
      <c r="BO9" s="116" cm="1">
        <f t="array" ref="BO9">_xll.EQNXTDZ($A$1,$B9,BO$1)</f>
        <v>62.4</v>
      </c>
      <c r="BP9" s="116" cm="1">
        <f t="array" ref="BP9">_xll.EQNXTDZ($A$1,$B9,BP$1)</f>
        <v>62.9</v>
      </c>
      <c r="BQ9" s="116" cm="1">
        <f t="array" ref="BQ9">_xll.EQNXTDZ($A$1,$B9,BQ$1)</f>
        <v>69.924999999999997</v>
      </c>
      <c r="BR9" s="116" cm="1">
        <f t="array" ref="BR9">_xll.EQNXTDZ($A$1,$B9,BR$1)</f>
        <v>74.525000000000006</v>
      </c>
      <c r="BS9" s="116" cm="1">
        <f t="array" ref="BS9">_xll.EQNXTDZ($A$1,$B9,BS$1)</f>
        <v>69.174999999999997</v>
      </c>
      <c r="BT9" s="116" cm="1">
        <f t="array" ref="BT9">_xll.EQNXTDZ($A$1,$B9,BT$1)</f>
        <v>59.375</v>
      </c>
      <c r="BU9" s="116" cm="1">
        <f t="array" ref="BU9">_xll.EQNXTDZ($A$1,$B9,BU$1)</f>
        <v>61.95</v>
      </c>
      <c r="BV9" s="116" cm="1">
        <f t="array" ref="BV9">_xll.EQNXTDZ($A$1,$B9,BV$1)</f>
        <v>51.575000000000003</v>
      </c>
      <c r="BW9" s="116" cm="1">
        <f t="array" ref="BW9">_xll.EQNXTDZ($A$1,$B9,BW$1)</f>
        <v>39.725000000000001</v>
      </c>
      <c r="BX9" s="116" cm="1">
        <f t="array" ref="BX9">_xll.EQNXTDZ($A$1,$B9,BX$1)</f>
        <v>44.2</v>
      </c>
      <c r="BY9" s="116" cm="1">
        <f t="array" ref="BY9">_xll.EQNXTDZ($A$1,$B9,BY$1)</f>
        <v>46.55</v>
      </c>
      <c r="BZ9" s="116" cm="1">
        <f t="array" ref="BZ9">_xll.EQNXTDZ($A$1,$B9,BZ$1)</f>
        <v>36.674999999999997</v>
      </c>
      <c r="CA9" s="116" cm="1">
        <f t="array" ref="CA9">_xll.EQNXTDZ($A$1,$B9,CA$1)</f>
        <v>42.575000000000003</v>
      </c>
      <c r="CB9" s="116" cm="1">
        <f t="array" ref="CB9">_xll.EQNXTDZ($A$1,$B9,CB$1)</f>
        <v>40.9</v>
      </c>
      <c r="CC9" s="116" cm="1">
        <f t="array" ref="CC9">_xll.EQNXTDZ($A$1,$B9,CC$1)</f>
        <v>42.424999999999997</v>
      </c>
      <c r="CD9" s="116" cm="1">
        <f t="array" ref="CD9">_xll.EQNXTDZ($A$1,$B9,CD$1)</f>
        <v>43.85</v>
      </c>
      <c r="CE9" s="116" cm="1">
        <f t="array" ref="CE9">_xll.EQNXTDZ($A$1,$B9,CE$1)</f>
        <v>40.700000000000003</v>
      </c>
      <c r="CF9" s="116" cm="1">
        <f t="array" ref="CF9">_xll.EQNXTDZ($A$1,$B9,CF$1)</f>
        <v>43.2</v>
      </c>
      <c r="CG9" s="116" cm="1">
        <f t="array" ref="CG9">_xll.EQNXTDZ($A$1,$B9,CG$1)</f>
        <v>40.549999999999997</v>
      </c>
      <c r="CH9" s="116" cm="1">
        <f t="array" ref="CH9">_xll.EQNXTDZ($A$1,$B9,CH$1)</f>
        <v>44.125</v>
      </c>
      <c r="CI9" s="116" cm="1">
        <f t="array" ref="CI9">_xll.EQNXTDZ($A$1,$B9,CI$1)</f>
        <v>41.625</v>
      </c>
      <c r="CJ9" s="116" cm="1">
        <f t="array" ref="CJ9">_xll.EQNXTDZ($A$1,$B9,CJ$1)</f>
        <v>33.725000000000001</v>
      </c>
      <c r="CK9" s="116" cm="1">
        <f t="array" ref="CK9">_xll.EQNXTDZ($A$1,$B9,CK$1)</f>
        <v>34.700000000000003</v>
      </c>
      <c r="CL9" s="116" cm="1">
        <f t="array" ref="CL9">_xll.EQNXTDZ($A$1,$B9,CL$1)</f>
        <v>42.875</v>
      </c>
      <c r="CM9" s="116" cm="1">
        <f t="array" ref="CM9">_xll.EQNXTDZ($A$1,$B9,CM$1)</f>
        <v>44.35</v>
      </c>
      <c r="CN9" s="116" cm="1">
        <f t="array" ref="CN9">_xll.EQNXTDZ($A$1,$B9,CN$1)</f>
        <v>40.299999999999997</v>
      </c>
      <c r="CO9" s="116" cm="1">
        <f t="array" ref="CO9">_xll.EQNXTDZ($A$1,$B9,CO$1)</f>
        <v>36.524999999999999</v>
      </c>
      <c r="CP9" s="116" cm="1">
        <f t="array" ref="CP9">_xll.EQNXTDZ($A$1,$B9,CP$1)</f>
        <v>45.024999999999999</v>
      </c>
      <c r="CQ9" s="116" cm="1">
        <f t="array" ref="CQ9">_xll.EQNXTDZ($A$1,$B9,CQ$1)</f>
        <v>38</v>
      </c>
      <c r="CR9" s="116" cm="1">
        <f t="array" ref="CR9">_xll.EQNXTDZ($A$1,$B9,CR$1)</f>
        <v>22.9</v>
      </c>
      <c r="CS9" s="116" cm="1">
        <f t="array" ref="CS9">_xll.EQNXTDZ($A$1,$B9,CS$1)</f>
        <v>27.9</v>
      </c>
      <c r="CT9" s="116" cm="1">
        <f t="array" ref="CT9">_xll.EQNXTDZ($A$1,$B9,CT$1)</f>
        <v>23.024999999999999</v>
      </c>
      <c r="CU9" s="116" cm="1">
        <f t="array" ref="CU9">_xll.EQNXTDZ($A$1,$B9,CU$1)</f>
        <v>28.95</v>
      </c>
      <c r="CV9" s="116" cm="1">
        <f t="array" ref="CV9">_xll.EQNXTDZ($A$1,$B9,CV$1)</f>
        <v>27.35</v>
      </c>
      <c r="CW9" s="116" cm="1">
        <f t="array" ref="CW9">_xll.EQNXTDZ($A$1,$B9,CW$1)</f>
        <v>31.15</v>
      </c>
      <c r="CX9" s="116" cm="1">
        <f t="array" ref="CX9">_xll.EQNXTDZ($A$1,$B9,CX$1)</f>
        <v>31.45</v>
      </c>
      <c r="CY9" s="116" cm="1">
        <f t="array" ref="CY9">_xll.EQNXTDZ($A$1,$B9,CY$1)</f>
        <v>30.125</v>
      </c>
      <c r="CZ9" s="116" cm="1">
        <f t="array" ref="CZ9">_xll.EQNXTDZ($A$1,$B9,CZ$1)</f>
        <v>34.875</v>
      </c>
      <c r="DA9" s="116" cm="1">
        <f t="array" ref="DA9">_xll.EQNXTDZ($A$1,$B9,DA$1)</f>
        <v>37.924999999999997</v>
      </c>
      <c r="DB9" s="116" cm="1">
        <f t="array" ref="DB9">_xll.EQNXTDZ($A$1,$B9,DB$1)</f>
        <v>35.424999999999997</v>
      </c>
      <c r="DC9" s="116" cm="1">
        <f t="array" ref="DC9">_xll.EQNXTDZ($A$1,$B9,DC$1)</f>
        <v>39.799999999999997</v>
      </c>
      <c r="DD9" s="116" cm="1">
        <f t="array" ref="DD9">_xll.EQNXTDZ($A$1,$B9,DD$1)</f>
        <v>37.075000000000003</v>
      </c>
      <c r="DE9" s="116" cm="1">
        <f t="array" ref="DE9">_xll.EQNXTDZ($A$1,$B9,DE$1)</f>
        <v>42.774999999999999</v>
      </c>
      <c r="DF9" s="116" cm="1">
        <f t="array" ref="DF9">_xll.EQNXTDZ($A$1,$B9,DF$1)</f>
        <v>53.924999999999997</v>
      </c>
      <c r="DG9" s="116" cm="1">
        <f t="array" ref="DG9">_xll.EQNXTDZ($A$1,$B9,DG$1)</f>
        <v>58.5</v>
      </c>
      <c r="DH9" s="116" cm="1">
        <f t="array" ref="DH9">_xll.EQNXTDZ($A$1,$B9,DH$1)</f>
        <v>69.55</v>
      </c>
      <c r="DI9" s="116" cm="1">
        <f t="array" ref="DI9">_xll.EQNXTDZ($A$1,$B9,DI$1)</f>
        <v>58.924999999999997</v>
      </c>
      <c r="DJ9" s="116" cm="1">
        <f t="array" ref="DJ9">_xll.EQNXTDZ($A$1,$B9,DJ$1)</f>
        <v>57.024999999999999</v>
      </c>
      <c r="DK9" s="116" cm="1">
        <f t="array" ref="DK9">_xll.EQNXTDZ($A$1,$B9,DK$1)</f>
        <v>58</v>
      </c>
      <c r="DL9" s="116" cm="1">
        <f t="array" ref="DL9">_xll.EQNXTDZ($A$1,$B9,DL$1)</f>
        <v>50.55</v>
      </c>
      <c r="DM9" s="116" cm="1">
        <f t="array" ref="DM9">_xll.EQNXTDZ($A$1,$B9,DM$1)</f>
        <v>49.424999999999997</v>
      </c>
      <c r="DN9" s="116" cm="1">
        <f t="array" ref="DN9">_xll.EQNXTDZ($A$1,$B9,DN$1)</f>
        <v>50.225000000000001</v>
      </c>
      <c r="DO9" s="116" cm="1">
        <f t="array" ref="DO9">_xll.EQNXTDZ($A$1,$B9,DO$1)</f>
        <v>43.424999999999997</v>
      </c>
      <c r="DP9" s="116" cm="1">
        <f t="array" ref="DP9">_xll.EQNXTDZ($A$1,$B9,DP$1)</f>
        <v>45.05</v>
      </c>
      <c r="DQ9" s="116" cm="1">
        <f t="array" ref="DQ9">_xll.EQNXTDZ($A$1,$B9,DQ$1)</f>
        <v>46.174999999999997</v>
      </c>
      <c r="DR9" s="116" cm="1">
        <f t="array" ref="DR9">_xll.EQNXTDZ($A$1,$B9,DR$1)</f>
        <v>43.424999999999997</v>
      </c>
      <c r="DS9" s="116" cm="1">
        <f t="array" ref="DS9">_xll.EQNXTDZ($A$1,$B9,DS$1)</f>
        <v>39.4</v>
      </c>
      <c r="DT9" s="116" cm="1">
        <f t="array" ref="DT9">_xll.EQNXTDZ($A$1,$B9,DT$1)</f>
        <v>42.95</v>
      </c>
      <c r="DU9" s="116" cm="1">
        <f t="array" ref="DU9">_xll.EQNXTDZ($A$1,$B9,DU$1)</f>
        <v>43.475000000000001</v>
      </c>
      <c r="DV9" s="116" cm="1">
        <f t="array" ref="DV9">_xll.EQNXTDZ($A$1,$B9,DV$1)</f>
        <v>41.25</v>
      </c>
      <c r="DW9" s="116" cm="1">
        <f t="array" ref="DW9">_xll.EQNXTDZ($A$1,$B9,DW$1)</f>
        <v>38.9</v>
      </c>
      <c r="DX9" s="116" cm="1">
        <f t="array" ref="DX9">_xll.EQNXTDZ($A$1,$B9,DX$1)</f>
        <v>46.75</v>
      </c>
      <c r="DY9" s="116" cm="1">
        <f t="array" ref="DY9">_xll.EQNXTDZ($A$1,$B9,DY$1)</f>
        <v>51.774999999999999</v>
      </c>
      <c r="DZ9" s="116" cm="1">
        <f t="array" ref="DZ9">_xll.EQNXTDZ($A$1,$B9,DZ$1)</f>
        <v>62.575000000000003</v>
      </c>
      <c r="EA9" s="116" cm="1">
        <f t="array" ref="EA9">_xll.EQNXTDZ($A$1,$B9,EA$1)</f>
        <v>75.075000000000003</v>
      </c>
      <c r="EB9" s="116" cm="1">
        <f t="array" ref="EB9">_xll.EQNXTDZ($A$1,$B9,EB$1)</f>
        <v>72.95</v>
      </c>
      <c r="EC9" s="116" cm="1">
        <f t="array" ref="EC9">_xll.EQNXTDZ($A$1,$B9,EC$1)</f>
        <v>81.775000000000006</v>
      </c>
      <c r="ED9" s="116" cm="1">
        <f t="array" ref="ED9">_xll.EQNXTDZ($A$1,$B9,ED$1)</f>
        <v>121.6</v>
      </c>
      <c r="EE9" s="116" cm="1">
        <f t="array" ref="EE9">_xll.EQNXTDZ($A$1,$B9,EE$1)</f>
        <v>127.95</v>
      </c>
      <c r="EF9" s="116" cm="1">
        <f t="array" ref="EF9">_xll.EQNXTDZ($A$1,$B9,EF$1)</f>
        <v>162.17500000000001</v>
      </c>
      <c r="EG9" s="116" cm="1">
        <f t="array" ref="EG9">_xll.EQNXTDZ($A$1,$B9,EG$1)</f>
        <v>175.1</v>
      </c>
      <c r="EH9" s="116" cm="1">
        <f t="array" ref="EH9">_xll.EQNXTDZ($A$1,$B9,EH$1)</f>
        <v>173.3</v>
      </c>
      <c r="EI9" s="116" cm="1">
        <f t="array" ref="EI9">_xll.EQNXTDZ($A$1,$B9,EI$1)</f>
        <v>221.45</v>
      </c>
      <c r="EJ9" s="116" cm="1">
        <f t="array" ref="EJ9">_xll.EQNXTDZ($A$1,$B9,EJ$1)</f>
        <v>232.32499999999999</v>
      </c>
      <c r="EK9" s="116" cm="1">
        <f t="array" ref="EK9">_xll.EQNXTDZ($A$1,$B9,EK$1)</f>
        <v>206.02500000000001</v>
      </c>
      <c r="EL9" s="116" cm="1">
        <f t="array" ref="EL9">_xll.EQNXTDZ($A$1,$B9,EL$1)</f>
        <v>260.89999999999998</v>
      </c>
      <c r="EM9" s="116" cm="1">
        <f t="array" ref="EM9">_xll.EQNXTDZ($A$1,$B9,EM$1)</f>
        <v>238.47499999999999</v>
      </c>
      <c r="EN9" s="116" cm="1">
        <f t="array" ref="EN9">_xll.EQNXTDZ($A$1,$B9,EN$1)</f>
        <v>216.35</v>
      </c>
      <c r="EO9" s="116" cm="1">
        <f t="array" ref="EO9">_xll.EQNXTDZ($A$1,$B9,EO$1)</f>
        <v>277.5</v>
      </c>
      <c r="EP9" s="116" cm="1">
        <f t="array" ref="EP9">_xll.EQNXTDZ($A$1,$B9,EP$1)</f>
        <v>268.89999999999998</v>
      </c>
      <c r="EQ9" s="116" cm="1">
        <f t="array" ref="EQ9">_xll.EQNXTDZ($A$1,$B9,EQ$1)</f>
        <v>271.92500000000001</v>
      </c>
      <c r="ER9" s="116" cm="1">
        <f t="array" ref="ER9">_xll.EQNXTDZ($A$1,$B9,ER$1)</f>
        <v>324.17500000000001</v>
      </c>
      <c r="ES9" s="116" cm="1">
        <f t="array" ref="ES9">_xll.EQNXTDZ($A$1,$B9,ES$1)</f>
        <v>340.32499999999999</v>
      </c>
      <c r="ET9" s="116" cm="1">
        <f t="array" ref="ET9">_xll.EQNXTDZ($A$1,$B9,ET$1)</f>
        <v>371.65</v>
      </c>
      <c r="EU9" s="116" cm="1">
        <f t="array" ref="EU9">_xll.EQNXTDZ($A$1,$B9,EU$1)</f>
        <v>316.5</v>
      </c>
      <c r="EV9" s="116" cm="1">
        <f t="array" ref="EV9">_xll.EQNXTDZ($A$1,$B9,EV$1)</f>
        <v>308.05</v>
      </c>
      <c r="EW9" s="116" cm="1">
        <f t="array" ref="EW9">_xll.EQNXTDZ($A$1,$B9,EW$1)</f>
        <v>291.39999999999998</v>
      </c>
      <c r="EX9" s="116" cm="1">
        <f t="array" ref="EX9">_xll.EQNXTDZ($A$1,$B9,EX$1)</f>
        <v>250.05</v>
      </c>
      <c r="EY9" s="116" cm="1">
        <f t="array" ref="EY9">_xll.EQNXTDZ($A$1,$B9,EY$1)</f>
        <v>246.45</v>
      </c>
      <c r="EZ9" s="116" cm="1">
        <f t="array" ref="EZ9">_xll.EQNXTDZ($A$1,$B9,EZ$1)</f>
        <v>270.08999999999997</v>
      </c>
      <c r="FA9" s="116" cm="1">
        <f t="array" ref="FA9">_xll.EQNXTDZ($A$1,$B9,FA$1)</f>
        <v>248</v>
      </c>
      <c r="FB9" s="116" cm="1">
        <f t="array" ref="FB9">_xll.EQNXTDZ($A$1,$B9,FB$1)</f>
        <v>211.9</v>
      </c>
      <c r="FC9" s="116" cm="1">
        <f t="array" ref="FC9">_xll.EQNXTDZ($A$1,$B9,FC$1)</f>
        <v>240.78</v>
      </c>
      <c r="FD9" s="116" cm="1">
        <f t="array" ref="FD9">_xll.EQNXTDZ($A$1,$B9,FD$1)</f>
        <v>210.43</v>
      </c>
      <c r="FE9" s="116" cm="1">
        <f t="array" ref="FE9">_xll.EQNXTDZ($A$1,$B9,FE$1)</f>
        <v>197.29</v>
      </c>
      <c r="FF9" s="116" cm="1">
        <f t="array" ref="FF9">_xll.EQNXTDZ($A$1,$B9,FF$1)</f>
        <v>202.82</v>
      </c>
      <c r="FG9" s="116" cm="1">
        <f t="array" ref="FG9">_xll.EQNXTDZ($A$1,$B9,FG$1)</f>
        <v>175.25</v>
      </c>
      <c r="FH9" s="116" cm="1">
        <f t="array" ref="FH9">_xll.EQNXTDZ($A$1,$B9,FH$1)</f>
        <v>162.77000000000001</v>
      </c>
      <c r="FI9" s="116" cm="1">
        <f t="array" ref="FI9">_xll.EQNXTDZ($A$1,$B9,FI$1)</f>
        <v>167.94</v>
      </c>
      <c r="FJ9" s="116" cm="1">
        <f t="array" ref="FJ9">_xll.EQNXTDZ($A$1,$B9,FJ$1)</f>
        <v>175.77</v>
      </c>
      <c r="FK9" s="116" cm="1">
        <f t="array" ref="FK9">_xll.EQNXTDZ($A$1,$B9,FK$1)</f>
        <v>185.37</v>
      </c>
      <c r="FL9" s="116" cm="1">
        <f t="array" ref="FL9">_xll.EQNXTDZ($A$1,$B9,FL$1)</f>
        <v>183.12</v>
      </c>
      <c r="FM9" s="116" cm="1">
        <f t="array" ref="FM9">_xll.EQNXTDZ($A$1,$B9,FM$1)</f>
        <v>222.75</v>
      </c>
      <c r="FN9" s="116" cm="1">
        <f t="array" ref="FN9">_xll.EQNXTDZ($A$1,$B9,FN$1)</f>
        <v>247.09</v>
      </c>
      <c r="FO9" s="116" cm="1">
        <f t="array" ref="FO9">_xll.EQNXTDZ($A$1,$B9,FO$1)</f>
        <v>247.91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59.4</v>
      </c>
      <c r="HQ9" s="116">
        <f>+I9</f>
        <v>64.275000000000006</v>
      </c>
      <c r="HR9" s="116">
        <f>+L9</f>
        <v>41.05</v>
      </c>
      <c r="HS9" s="116">
        <f>+O9</f>
        <v>28.75</v>
      </c>
      <c r="HT9" s="116">
        <f>+R9</f>
        <v>22.324999999999999</v>
      </c>
      <c r="HU9" s="116">
        <f>+U9</f>
        <v>24.55</v>
      </c>
      <c r="HV9" s="116">
        <f>+X9</f>
        <v>28.274999999999999</v>
      </c>
      <c r="HW9" s="116">
        <f>+AA9</f>
        <v>41.674999999999997</v>
      </c>
      <c r="HX9" s="116">
        <f>+AD9</f>
        <v>40.225000000000001</v>
      </c>
      <c r="HY9" s="116">
        <f>+AG9</f>
        <v>46.65</v>
      </c>
      <c r="HZ9" s="116">
        <f>+AJ9</f>
        <v>32.875</v>
      </c>
      <c r="IA9" s="116">
        <f>+AM9</f>
        <v>29.3</v>
      </c>
      <c r="IB9" s="116">
        <f>+AP9</f>
        <v>31.925000000000001</v>
      </c>
      <c r="IC9" s="116">
        <f>+AS9</f>
        <v>31.324999999999999</v>
      </c>
      <c r="ID9" s="116">
        <f>+AV9</f>
        <v>19.350000000000001</v>
      </c>
      <c r="IE9" s="116">
        <f>+AY9</f>
        <v>26.6</v>
      </c>
      <c r="IF9" s="116">
        <f>+BB9</f>
        <v>27.425000000000001</v>
      </c>
      <c r="IG9" s="116">
        <f>+BE9</f>
        <v>27.675000000000001</v>
      </c>
      <c r="IH9" s="116">
        <f>+BH9</f>
        <v>41.7</v>
      </c>
      <c r="II9" s="116">
        <f>+BK9</f>
        <v>42</v>
      </c>
      <c r="IJ9" s="116">
        <f>+BN9</f>
        <v>56.2</v>
      </c>
      <c r="IK9" s="116">
        <f>+BQ9</f>
        <v>69.924999999999997</v>
      </c>
      <c r="IL9" s="116">
        <f>+BT9</f>
        <v>59.375</v>
      </c>
      <c r="IM9" s="116">
        <f>+BW9</f>
        <v>39.725000000000001</v>
      </c>
      <c r="IN9" s="116">
        <f>+BZ9</f>
        <v>36.674999999999997</v>
      </c>
      <c r="IO9" s="116">
        <f>+CC9</f>
        <v>42.424999999999997</v>
      </c>
      <c r="IP9" s="116">
        <f>+CF9</f>
        <v>43.2</v>
      </c>
      <c r="IQ9" s="116">
        <f>+CI9</f>
        <v>41.625</v>
      </c>
      <c r="IR9" s="116">
        <f>+CL9</f>
        <v>42.875</v>
      </c>
      <c r="IS9" s="116">
        <f>+CO9</f>
        <v>36.524999999999999</v>
      </c>
      <c r="IT9" s="116">
        <f>+CR9</f>
        <v>22.9</v>
      </c>
      <c r="IU9" s="116">
        <f>+CU9</f>
        <v>28.95</v>
      </c>
      <c r="IV9" s="116">
        <f>+CX9</f>
        <v>31.45</v>
      </c>
      <c r="IW9" s="116">
        <f>+DA9</f>
        <v>37.924999999999997</v>
      </c>
      <c r="IX9" s="116">
        <f>+DD9</f>
        <v>37.075000000000003</v>
      </c>
      <c r="IY9" s="116">
        <f>+DG9</f>
        <v>58.5</v>
      </c>
      <c r="IZ9" s="116">
        <f>+DJ9</f>
        <v>57.024999999999999</v>
      </c>
      <c r="JA9" s="116">
        <f>+DM9</f>
        <v>49.424999999999997</v>
      </c>
      <c r="JB9" s="116">
        <f>+DP9</f>
        <v>45.05</v>
      </c>
      <c r="JC9" s="116">
        <f>+DS9</f>
        <v>39.4</v>
      </c>
      <c r="JD9" s="116">
        <f>+DV9</f>
        <v>41.25</v>
      </c>
      <c r="JE9" s="116">
        <f>+DY9</f>
        <v>51.774999999999999</v>
      </c>
      <c r="JF9" s="116">
        <f>+EB9</f>
        <v>72.95</v>
      </c>
      <c r="JG9" s="116">
        <f>+EE9</f>
        <v>127.95</v>
      </c>
      <c r="JH9" s="116">
        <f>+EH9</f>
        <v>173.3</v>
      </c>
      <c r="JI9" s="116">
        <f>+EK9</f>
        <v>206.02500000000001</v>
      </c>
      <c r="JJ9" s="116">
        <f>+EN9</f>
        <v>216.35</v>
      </c>
      <c r="JK9" s="116">
        <f>EQ9</f>
        <v>271.92500000000001</v>
      </c>
      <c r="JL9" s="116">
        <f>ET9</f>
        <v>371.65</v>
      </c>
      <c r="JM9" s="116">
        <f>EW9</f>
        <v>291.39999999999998</v>
      </c>
      <c r="JN9" s="116">
        <f>EZ9</f>
        <v>270.08999999999997</v>
      </c>
      <c r="JO9" s="116">
        <f>FC9</f>
        <v>240.78</v>
      </c>
      <c r="JP9" s="116">
        <f>FF9</f>
        <v>202.82</v>
      </c>
      <c r="JQ9" s="116">
        <f>FI9</f>
        <v>167.94</v>
      </c>
      <c r="JR9" s="116">
        <f>FL9</f>
        <v>183.12</v>
      </c>
      <c r="JS9" s="116">
        <f>FO9</f>
        <v>247.91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62.2</v>
      </c>
      <c r="D13" cm="1">
        <f t="array" ref="D13">_xll.EQNXTDZ($A$1,$B13,D$1)</f>
        <v>68</v>
      </c>
      <c r="E13" cm="1">
        <f t="array" ref="E13">_xll.EQNXTDZ($A$1,$B13,E$1)</f>
        <v>59.1</v>
      </c>
      <c r="F13" cm="1">
        <f t="array" ref="F13">_xll.EQNXTDZ($A$1,$B13,F$1)</f>
        <v>59.25</v>
      </c>
      <c r="G13" cm="1">
        <f t="array" ref="G13">_xll.EQNXTDZ($A$1,$B13,G$1)</f>
        <v>59.75</v>
      </c>
      <c r="H13" cm="1">
        <f t="array" ref="H13">_xll.EQNXTDZ($A$1,$B13,H$1)</f>
        <v>56.674999999999997</v>
      </c>
      <c r="I13" cm="1">
        <f t="array" ref="I13">_xll.EQNXTDZ($A$1,$B13,I$1)</f>
        <v>66.75</v>
      </c>
      <c r="J13" cm="1">
        <f t="array" ref="J13">_xll.EQNXTDZ($A$1,$B13,J$1)</f>
        <v>65</v>
      </c>
      <c r="K13" cm="1">
        <f t="array" ref="K13">_xll.EQNXTDZ($A$1,$B13,K$1)</f>
        <v>54.5</v>
      </c>
      <c r="L13" cm="1">
        <f t="array" ref="L13">_xll.EQNXTDZ($A$1,$B13,L$1)</f>
        <v>45</v>
      </c>
      <c r="M13" cm="1">
        <f t="array" ref="M13">_xll.EQNXTDZ($A$1,$B13,M$1)</f>
        <v>41</v>
      </c>
      <c r="N13" cm="1">
        <f t="array" ref="N13">_xll.EQNXTDZ($A$1,$B13,N$1)</f>
        <v>39.25</v>
      </c>
      <c r="O13" cm="1">
        <f t="array" ref="O13">_xll.EQNXTDZ($A$1,$B13,O$1)</f>
        <v>35.475000000000001</v>
      </c>
      <c r="P13" cm="1">
        <f t="array" ref="P13">_xll.EQNXTDZ($A$1,$B13,P$1)</f>
        <v>28.824999999999999</v>
      </c>
      <c r="Q13" cm="1">
        <f t="array" ref="Q13">_xll.EQNXTDZ($A$1,$B13,Q$1)</f>
        <v>21.45</v>
      </c>
      <c r="R13" cm="1">
        <f t="array" ref="R13">_xll.EQNXTDZ($A$1,$B13,R$1)</f>
        <v>24.675000000000001</v>
      </c>
      <c r="S13" cm="1">
        <f t="array" ref="S13">_xll.EQNXTDZ($A$1,$B13,S$1)</f>
        <v>22.25</v>
      </c>
      <c r="T13" cm="1">
        <f t="array" ref="T13">_xll.EQNXTDZ($A$1,$B13,T$1)</f>
        <v>23.925000000000001</v>
      </c>
      <c r="U13" cm="1">
        <f t="array" ref="U13">_xll.EQNXTDZ($A$1,$B13,U$1)</f>
        <v>23.475000000000001</v>
      </c>
      <c r="V13" cm="1">
        <f t="array" ref="V13">_xll.EQNXTDZ($A$1,$B13,V$1)</f>
        <v>24.75</v>
      </c>
      <c r="W13" cm="1">
        <f t="array" ref="W13">_xll.EQNXTDZ($A$1,$B13,W$1)</f>
        <v>26.175000000000001</v>
      </c>
      <c r="X13" cm="1">
        <f t="array" ref="X13">_xll.EQNXTDZ($A$1,$B13,X$1)</f>
        <v>23.85</v>
      </c>
      <c r="Y13" cm="1">
        <f t="array" ref="Y13">_xll.EQNXTDZ($A$1,$B13,Y$1)</f>
        <v>28.5</v>
      </c>
      <c r="Z13" cm="1">
        <f t="array" ref="Z13">_xll.EQNXTDZ($A$1,$B13,Z$1)</f>
        <v>28.25</v>
      </c>
      <c r="AA13" cm="1">
        <f t="array" ref="AA13">_xll.EQNXTDZ($A$1,$B13,AA$1)</f>
        <v>44.9</v>
      </c>
      <c r="AB13" cm="1">
        <f t="array" ref="AB13">_xll.EQNXTDZ($A$1,$B13,AB$1)</f>
        <v>41.924999999999997</v>
      </c>
      <c r="AC13" cm="1">
        <f t="array" ref="AC13">_xll.EQNXTDZ($A$1,$B13,AC$1)</f>
        <v>38.25</v>
      </c>
      <c r="AD13" cm="1">
        <f t="array" ref="AD13">_xll.EQNXTDZ($A$1,$B13,AD$1)</f>
        <v>38.5</v>
      </c>
      <c r="AE13" cm="1">
        <f t="array" ref="AE13">_xll.EQNXTDZ($A$1,$B13,AE$1)</f>
        <v>40.700000000000003</v>
      </c>
      <c r="AF13" cm="1">
        <f t="array" ref="AF13">_xll.EQNXTDZ($A$1,$B13,AF$1)</f>
        <v>39.450000000000003</v>
      </c>
      <c r="AG13" cm="1">
        <f t="array" ref="AG13">_xll.EQNXTDZ($A$1,$B13,AG$1)</f>
        <v>55</v>
      </c>
      <c r="AH13" cm="1">
        <f t="array" ref="AH13">_xll.EQNXTDZ($A$1,$B13,AH$1)</f>
        <v>46.674999999999997</v>
      </c>
      <c r="AI13" cm="1">
        <f t="array" ref="AI13">_xll.EQNXTDZ($A$1,$B13,AI$1)</f>
        <v>40.5</v>
      </c>
      <c r="AJ13" cm="1">
        <f t="array" ref="AJ13">_xll.EQNXTDZ($A$1,$B13,AJ$1)</f>
        <v>39.5</v>
      </c>
      <c r="AK13" cm="1">
        <f t="array" ref="AK13">_xll.EQNXTDZ($A$1,$B13,AK$1)</f>
        <v>33</v>
      </c>
      <c r="AL13" cm="1">
        <f t="array" ref="AL13">_xll.EQNXTDZ($A$1,$B13,AL$1)</f>
        <v>34.5</v>
      </c>
      <c r="AM13" cm="1">
        <f t="array" ref="AM13">_xll.EQNXTDZ($A$1,$B13,AM$1)</f>
        <v>30.725000000000001</v>
      </c>
      <c r="AN13" cm="1">
        <f t="array" ref="AN13">_xll.EQNXTDZ($A$1,$B13,AN$1)</f>
        <v>29.25</v>
      </c>
      <c r="AO13" cm="1">
        <f t="array" ref="AO13">_xll.EQNXTDZ($A$1,$B13,AO$1)</f>
        <v>38.375</v>
      </c>
      <c r="AP13" cm="1">
        <f t="array" ref="AP13">_xll.EQNXTDZ($A$1,$B13,AP$1)</f>
        <v>33</v>
      </c>
      <c r="AQ13" cm="1">
        <f t="array" ref="AQ13">_xll.EQNXTDZ($A$1,$B13,AQ$1)</f>
        <v>31.75</v>
      </c>
      <c r="AR13" cm="1">
        <f t="array" ref="AR13">_xll.EQNXTDZ($A$1,$B13,AR$1)</f>
        <v>32.9</v>
      </c>
      <c r="AS13" cm="1">
        <f t="array" ref="AS13">_xll.EQNXTDZ($A$1,$B13,AS$1)</f>
        <v>33.5</v>
      </c>
      <c r="AT13" cm="1">
        <f t="array" ref="AT13">_xll.EQNXTDZ($A$1,$B13,AT$1)</f>
        <v>31.25</v>
      </c>
      <c r="AU13" cm="1">
        <f t="array" ref="AU13">_xll.EQNXTDZ($A$1,$B13,AU$1)</f>
        <v>25.5</v>
      </c>
      <c r="AV13" cm="1">
        <f t="array" ref="AV13">_xll.EQNXTDZ($A$1,$B13,AV$1)</f>
        <v>18.100000000000001</v>
      </c>
      <c r="AW13" cm="1">
        <f t="array" ref="AW13">_xll.EQNXTDZ($A$1,$B13,AW$1)</f>
        <v>19.25</v>
      </c>
      <c r="AX13" cm="1">
        <f t="array" ref="AX13">_xll.EQNXTDZ($A$1,$B13,AX$1)</f>
        <v>21.35</v>
      </c>
      <c r="AY13" cm="1">
        <f t="array" ref="AY13">_xll.EQNXTDZ($A$1,$B13,AY$1)</f>
        <v>20.399999999999999</v>
      </c>
      <c r="AZ13" cm="1">
        <f t="array" ref="AZ13">_xll.EQNXTDZ($A$1,$B13,AZ$1)</f>
        <v>26.875</v>
      </c>
      <c r="BA13" cm="1">
        <f t="array" ref="BA13">_xll.EQNXTDZ($A$1,$B13,BA$1)</f>
        <v>25.774999999999999</v>
      </c>
      <c r="BB13" cm="1">
        <f t="array" ref="BB13">_xll.EQNXTDZ($A$1,$B13,BB$1)</f>
        <v>22.85</v>
      </c>
      <c r="BC13" cm="1">
        <f t="array" ref="BC13">_xll.EQNXTDZ($A$1,$B13,BC$1)</f>
        <v>27.7</v>
      </c>
      <c r="BD13" cm="1">
        <f t="array" ref="BD13">_xll.EQNXTDZ($A$1,$B13,BD$1)</f>
        <v>32.25</v>
      </c>
      <c r="BE13" cm="1">
        <f t="array" ref="BE13">_xll.EQNXTDZ($A$1,$B13,BE$1)</f>
        <v>27.9</v>
      </c>
      <c r="BF13" cm="1">
        <f t="array" ref="BF13">_xll.EQNXTDZ($A$1,$B13,BF$1)</f>
        <v>27.85</v>
      </c>
      <c r="BG13" cm="1">
        <f t="array" ref="BG13">_xll.EQNXTDZ($A$1,$B13,BG$1)</f>
        <v>28.975000000000001</v>
      </c>
      <c r="BH13" cm="1">
        <f t="array" ref="BH13">_xll.EQNXTDZ($A$1,$B13,BH$1)</f>
        <v>38.700000000000003</v>
      </c>
      <c r="BI13" cm="1">
        <f t="array" ref="BI13">_xll.EQNXTDZ($A$1,$B13,BI$1)</f>
        <v>41.6</v>
      </c>
      <c r="BJ13" cm="1">
        <f t="array" ref="BJ13">_xll.EQNXTDZ($A$1,$B13,BJ$1)</f>
        <v>40.75</v>
      </c>
      <c r="BK13" cm="1">
        <f t="array" ref="BK13">_xll.EQNXTDZ($A$1,$B13,BK$1)</f>
        <v>36.700000000000003</v>
      </c>
      <c r="BL13" cm="1">
        <f t="array" ref="BL13">_xll.EQNXTDZ($A$1,$B13,BL$1)</f>
        <v>42.7</v>
      </c>
      <c r="BM13" cm="1">
        <f t="array" ref="BM13">_xll.EQNXTDZ($A$1,$B13,BM$1)</f>
        <v>51.75</v>
      </c>
      <c r="BN13" cm="1">
        <f t="array" ref="BN13">_xll.EQNXTDZ($A$1,$B13,BN$1)</f>
        <v>49.1</v>
      </c>
      <c r="BO13" cm="1">
        <f t="array" ref="BO13">_xll.EQNXTDZ($A$1,$B13,BO$1)</f>
        <v>56.8</v>
      </c>
      <c r="BP13" cm="1">
        <f t="array" ref="BP13">_xll.EQNXTDZ($A$1,$B13,BP$1)</f>
        <v>62.5</v>
      </c>
      <c r="BQ13" cm="1">
        <f t="array" ref="BQ13">_xll.EQNXTDZ($A$1,$B13,BQ$1)</f>
        <v>62.5</v>
      </c>
      <c r="BR13" cm="1">
        <f t="array" ref="BR13">_xll.EQNXTDZ($A$1,$B13,BR$1)</f>
        <v>71</v>
      </c>
      <c r="BS13" cm="1">
        <f t="array" ref="BS13">_xll.EQNXTDZ($A$1,$B13,BS$1)</f>
        <v>74.7</v>
      </c>
      <c r="BT13" cm="1">
        <f t="array" ref="BT13">_xll.EQNXTDZ($A$1,$B13,BT$1)</f>
        <v>68.5</v>
      </c>
      <c r="BU13" cm="1">
        <f t="array" ref="BU13">_xll.EQNXTDZ($A$1,$B13,BU$1)</f>
        <v>60.4</v>
      </c>
      <c r="BV13" cm="1">
        <f t="array" ref="BV13">_xll.EQNXTDZ($A$1,$B13,BV$1)</f>
        <v>61.85</v>
      </c>
      <c r="BW13" cm="1">
        <f t="array" ref="BW13">_xll.EQNXTDZ($A$1,$B13,BW$1)</f>
        <v>51.5</v>
      </c>
      <c r="BX13" cm="1">
        <f t="array" ref="BX13">_xll.EQNXTDZ($A$1,$B13,BX$1)</f>
        <v>40.4</v>
      </c>
      <c r="BY13" cm="1">
        <f t="array" ref="BY13">_xll.EQNXTDZ($A$1,$B13,BY$1)</f>
        <v>44.5</v>
      </c>
      <c r="BZ13" cm="1">
        <f t="array" ref="BZ13">_xll.EQNXTDZ($A$1,$B13,BZ$1)</f>
        <v>46.975000000000001</v>
      </c>
      <c r="CA13" cm="1">
        <f t="array" ref="CA13">_xll.EQNXTDZ($A$1,$B13,CA$1)</f>
        <v>36.024999999999999</v>
      </c>
      <c r="CB13" cm="1">
        <f t="array" ref="CB13">_xll.EQNXTDZ($A$1,$B13,CB$1)</f>
        <v>42.524999999999999</v>
      </c>
      <c r="CC13" cm="1">
        <f t="array" ref="CC13">_xll.EQNXTDZ($A$1,$B13,CC$1)</f>
        <v>41.25</v>
      </c>
      <c r="CD13" cm="1">
        <f t="array" ref="CD13">_xll.EQNXTDZ($A$1,$B13,CD$1)</f>
        <v>42.475000000000001</v>
      </c>
      <c r="CE13" cm="1">
        <f t="array" ref="CE13">_xll.EQNXTDZ($A$1,$B13,CE$1)</f>
        <v>44.7</v>
      </c>
      <c r="CF13" cm="1">
        <f t="array" ref="CF13">_xll.EQNXTDZ($A$1,$B13,CF$1)</f>
        <v>41.35</v>
      </c>
      <c r="CG13" cm="1">
        <f t="array" ref="CG13">_xll.EQNXTDZ($A$1,$B13,CG$1)</f>
        <v>43.924999999999997</v>
      </c>
      <c r="CH13" cm="1">
        <f t="array" ref="CH13">_xll.EQNXTDZ($A$1,$B13,CH$1)</f>
        <v>40.825000000000003</v>
      </c>
      <c r="CI13" cm="1">
        <f t="array" ref="CI13">_xll.EQNXTDZ($A$1,$B13,CI$1)</f>
        <v>44.25</v>
      </c>
      <c r="CJ13" cm="1">
        <f t="array" ref="CJ13">_xll.EQNXTDZ($A$1,$B13,CJ$1)</f>
        <v>42.174999999999997</v>
      </c>
      <c r="CK13" cm="1">
        <f t="array" ref="CK13">_xll.EQNXTDZ($A$1,$B13,CK$1)</f>
        <v>33.65</v>
      </c>
      <c r="CL13" cm="1">
        <f t="array" ref="CL13">_xll.EQNXTDZ($A$1,$B13,CL$1)</f>
        <v>34.225000000000001</v>
      </c>
      <c r="CM13" cm="1">
        <f t="array" ref="CM13">_xll.EQNXTDZ($A$1,$B13,CM$1)</f>
        <v>42.9</v>
      </c>
      <c r="CN13" cm="1">
        <f t="array" ref="CN13">_xll.EQNXTDZ($A$1,$B13,CN$1)</f>
        <v>45.024999999999999</v>
      </c>
      <c r="CO13" cm="1">
        <f t="array" ref="CO13">_xll.EQNXTDZ($A$1,$B13,CO$1)</f>
        <v>40.35</v>
      </c>
      <c r="CP13" cm="1">
        <f t="array" ref="CP13">_xll.EQNXTDZ($A$1,$B13,CP$1)</f>
        <v>36.875</v>
      </c>
      <c r="CQ13" cm="1">
        <f t="array" ref="CQ13">_xll.EQNXTDZ($A$1,$B13,CQ$1)</f>
        <v>44.875</v>
      </c>
      <c r="CR13" cm="1">
        <f t="array" ref="CR13">_xll.EQNXTDZ($A$1,$B13,CR$1)</f>
        <v>39.424999999999997</v>
      </c>
      <c r="CS13" cm="1">
        <f t="array" ref="CS13">_xll.EQNXTDZ($A$1,$B13,CS$1)</f>
        <v>23.975000000000001</v>
      </c>
      <c r="CT13" cm="1">
        <f t="array" ref="CT13">_xll.EQNXTDZ($A$1,$B13,CT$1)</f>
        <v>27.125</v>
      </c>
      <c r="CU13" cm="1">
        <f t="array" ref="CU13">_xll.EQNXTDZ($A$1,$B13,CU$1)</f>
        <v>23.5</v>
      </c>
      <c r="CV13" cm="1">
        <f t="array" ref="CV13">_xll.EQNXTDZ($A$1,$B13,CV$1)</f>
        <v>29.05</v>
      </c>
      <c r="CW13" cm="1">
        <f t="array" ref="CW13">_xll.EQNXTDZ($A$1,$B13,CW$1)</f>
        <v>27.324999999999999</v>
      </c>
      <c r="CX13" cm="1">
        <f t="array" ref="CX13">_xll.EQNXTDZ($A$1,$B13,CX$1)</f>
        <v>31</v>
      </c>
      <c r="CY13" cm="1">
        <f t="array" ref="CY13">_xll.EQNXTDZ($A$1,$B13,CY$1)</f>
        <v>31.8</v>
      </c>
      <c r="CZ13" cm="1">
        <f t="array" ref="CZ13">_xll.EQNXTDZ($A$1,$B13,CZ$1)</f>
        <v>30.225000000000001</v>
      </c>
      <c r="DA13" cm="1">
        <f t="array" ref="DA13">_xll.EQNXTDZ($A$1,$B13,DA$1)</f>
        <v>35</v>
      </c>
      <c r="DB13" cm="1">
        <f t="array" ref="DB13">_xll.EQNXTDZ($A$1,$B13,DB$1)</f>
        <v>38.049999999999997</v>
      </c>
      <c r="DC13" cm="1">
        <f t="array" ref="DC13">_xll.EQNXTDZ($A$1,$B13,DC$1)</f>
        <v>34.674999999999997</v>
      </c>
      <c r="DD13" cm="1">
        <f t="array" ref="DD13">_xll.EQNXTDZ($A$1,$B13,DD$1)</f>
        <v>40.5</v>
      </c>
      <c r="DE13" cm="1">
        <f t="array" ref="DE13">_xll.EQNXTDZ($A$1,$B13,DE$1)</f>
        <v>37.4</v>
      </c>
      <c r="DF13" cm="1">
        <f t="array" ref="DF13">_xll.EQNXTDZ($A$1,$B13,DF$1)</f>
        <v>42.75</v>
      </c>
      <c r="DG13" cm="1">
        <f t="array" ref="DG13">_xll.EQNXTDZ($A$1,$B13,DG$1)</f>
        <v>55</v>
      </c>
      <c r="DH13" cm="1">
        <f t="array" ref="DH13">_xll.EQNXTDZ($A$1,$B13,DH$1)</f>
        <v>58.475000000000001</v>
      </c>
      <c r="DI13" cm="1">
        <f t="array" ref="DI13">_xll.EQNXTDZ($A$1,$B13,DI$1)</f>
        <v>70.3</v>
      </c>
      <c r="DJ13" cm="1">
        <f t="array" ref="DJ13">_xll.EQNXTDZ($A$1,$B13,DJ$1)</f>
        <v>59.85</v>
      </c>
      <c r="DK13" cm="1">
        <f t="array" ref="DK13">_xll.EQNXTDZ($A$1,$B13,DK$1)</f>
        <v>57.024999999999999</v>
      </c>
      <c r="DL13" cm="1">
        <f t="array" ref="DL13">_xll.EQNXTDZ($A$1,$B13,DL$1)</f>
        <v>58</v>
      </c>
      <c r="DM13" cm="1">
        <f t="array" ref="DM13">_xll.EQNXTDZ($A$1,$B13,DM$1)</f>
        <v>51.35</v>
      </c>
      <c r="DN13" cm="1">
        <f t="array" ref="DN13">_xll.EQNXTDZ($A$1,$B13,DN$1)</f>
        <v>49.55</v>
      </c>
      <c r="DO13" cm="1">
        <f t="array" ref="DO13">_xll.EQNXTDZ($A$1,$B13,DO$1)</f>
        <v>50.225000000000001</v>
      </c>
      <c r="DP13" cm="1">
        <f t="array" ref="DP13">_xll.EQNXTDZ($A$1,$B13,DP$1)</f>
        <v>43.375</v>
      </c>
      <c r="DQ13" cm="1">
        <f t="array" ref="DQ13">_xll.EQNXTDZ($A$1,$B13,DQ$1)</f>
        <v>45.95</v>
      </c>
      <c r="DR13" cm="1">
        <f t="array" ref="DR13">_xll.EQNXTDZ($A$1,$B13,DR$1)</f>
        <v>45.05</v>
      </c>
      <c r="DS13" cm="1">
        <f t="array" ref="DS13">_xll.EQNXTDZ($A$1,$B13,DS$1)</f>
        <v>43.85</v>
      </c>
      <c r="DT13" cm="1">
        <f t="array" ref="DT13">_xll.EQNXTDZ($A$1,$B13,DT$1)</f>
        <v>39.325000000000003</v>
      </c>
      <c r="DU13" cm="1">
        <f t="array" ref="DU13">_xll.EQNXTDZ($A$1,$B13,DU$1)</f>
        <v>43.375</v>
      </c>
      <c r="DV13" cm="1">
        <f t="array" ref="DV13">_xll.EQNXTDZ($A$1,$B13,DV$1)</f>
        <v>43.475000000000001</v>
      </c>
      <c r="DW13" cm="1">
        <f t="array" ref="DW13">_xll.EQNXTDZ($A$1,$B13,DW$1)</f>
        <v>40.424999999999997</v>
      </c>
      <c r="DX13" cm="1">
        <f t="array" ref="DX13">_xll.EQNXTDZ($A$1,$B13,DX$1)</f>
        <v>38.725000000000001</v>
      </c>
      <c r="DY13" cm="1">
        <f t="array" ref="DY13">_xll.EQNXTDZ($A$1,$B13,DY$1)</f>
        <v>47.475000000000001</v>
      </c>
      <c r="DZ13" cm="1">
        <f t="array" ref="DZ13">_xll.EQNXTDZ($A$1,$B13,DZ$1)</f>
        <v>52.225000000000001</v>
      </c>
      <c r="EA13" cm="1">
        <f t="array" ref="EA13">_xll.EQNXTDZ($A$1,$B13,EA$1)</f>
        <v>62.9</v>
      </c>
      <c r="EB13" cm="1">
        <f t="array" ref="EB13">_xll.EQNXTDZ($A$1,$B13,EB$1)</f>
        <v>75.25</v>
      </c>
      <c r="EC13" cm="1">
        <f t="array" ref="EC13">_xll.EQNXTDZ($A$1,$B13,EC$1)</f>
        <v>72.575000000000003</v>
      </c>
      <c r="ED13" cm="1">
        <f t="array" ref="ED13">_xll.EQNXTDZ($A$1,$B13,ED$1)</f>
        <v>81.025000000000006</v>
      </c>
      <c r="EE13" cm="1">
        <f t="array" ref="EE13">_xll.EQNXTDZ($A$1,$B13,EE$1)</f>
        <v>122.325</v>
      </c>
      <c r="EF13" cm="1">
        <f t="array" ref="EF13">_xll.EQNXTDZ($A$1,$B13,EF$1)</f>
        <v>128.625</v>
      </c>
      <c r="EG13" cm="1">
        <f t="array" ref="EG13">_xll.EQNXTDZ($A$1,$B13,EG$1)</f>
        <v>164.95</v>
      </c>
      <c r="EH13" cm="1">
        <f t="array" ref="EH13">_xll.EQNXTDZ($A$1,$B13,EH$1)</f>
        <v>176.75</v>
      </c>
      <c r="EI13" cm="1">
        <f t="array" ref="EI13">_xll.EQNXTDZ($A$1,$B13,EI$1)</f>
        <v>176.47499999999999</v>
      </c>
      <c r="EJ13" cm="1">
        <f t="array" ref="EJ13">_xll.EQNXTDZ($A$1,$B13,EJ$1)</f>
        <v>223.97499999999999</v>
      </c>
      <c r="EK13" cm="1">
        <f t="array" ref="EK13">_xll.EQNXTDZ($A$1,$B13,EK$1)</f>
        <v>231.72499999999999</v>
      </c>
      <c r="EL13" cm="1">
        <f t="array" ref="EL13">_xll.EQNXTDZ($A$1,$B13,EL$1)</f>
        <v>206</v>
      </c>
      <c r="EM13" cm="1">
        <f t="array" ref="EM13">_xll.EQNXTDZ($A$1,$B13,EM$1)</f>
        <v>263.375</v>
      </c>
      <c r="EN13" cm="1">
        <f t="array" ref="EN13">_xll.EQNXTDZ($A$1,$B13,EN$1)</f>
        <v>242.5</v>
      </c>
      <c r="EO13" cm="1">
        <f t="array" ref="EO13">_xll.EQNXTDZ($A$1,$B13,EO$1)</f>
        <v>220.2</v>
      </c>
      <c r="EP13" cm="1">
        <f t="array" ref="EP13">_xll.EQNXTDZ($A$1,$B13,EP$1)</f>
        <v>275.45</v>
      </c>
      <c r="EQ13" cm="1">
        <f t="array" ref="EQ13">_xll.EQNXTDZ($A$1,$B13,EQ$1)</f>
        <v>280.85000000000002</v>
      </c>
      <c r="ER13" cm="1">
        <f t="array" ref="ER13">_xll.EQNXTDZ($A$1,$B13,ER$1)</f>
        <v>275</v>
      </c>
      <c r="ES13" cm="1">
        <f t="array" ref="ES13">_xll.EQNXTDZ($A$1,$B13,ES$1)</f>
        <v>323.32499999999999</v>
      </c>
      <c r="ET13" cm="1">
        <f t="array" ref="ET13">_xll.EQNXTDZ($A$1,$B13,ET$1)</f>
        <v>345.5</v>
      </c>
      <c r="EU13" cm="1">
        <f t="array" ref="EU13">_xll.EQNXTDZ($A$1,$B13,EU$1)</f>
        <v>372</v>
      </c>
      <c r="EV13" cm="1">
        <f t="array" ref="EV13">_xll.EQNXTDZ($A$1,$B13,EV$1)</f>
        <v>322.89999999999998</v>
      </c>
      <c r="EW13" cm="1">
        <f t="array" ref="EW13">_xll.EQNXTDZ($A$1,$B13,EW$1)</f>
        <v>307.05</v>
      </c>
      <c r="EX13" cm="1">
        <f t="array" ref="EX13">_xll.EQNXTDZ($A$1,$B13,EX$1)</f>
        <v>288.05</v>
      </c>
      <c r="EY13" cm="1">
        <f t="array" ref="EY13">_xll.EQNXTDZ($A$1,$B13,EY$1)</f>
        <v>250.85</v>
      </c>
      <c r="EZ13" cm="1">
        <f t="array" ref="EZ13">_xll.EQNXTDZ($A$1,$B13,EZ$1)</f>
        <v>249.6</v>
      </c>
      <c r="FA13" cm="1">
        <f t="array" ref="FA13">_xll.EQNXTDZ($A$1,$B13,FA$1)</f>
        <v>271</v>
      </c>
      <c r="FB13" cm="1">
        <f t="array" ref="FB13">_xll.EQNXTDZ($A$1,$B13,FB$1)</f>
        <v>248.15</v>
      </c>
      <c r="FC13" cm="1">
        <f t="array" ref="FC13">_xll.EQNXTDZ($A$1,$B13,FC$1)</f>
        <v>211.6</v>
      </c>
      <c r="FD13" cm="1">
        <f t="array" ref="FD13">_xll.EQNXTDZ($A$1,$B13,FD$1)</f>
        <v>240.05</v>
      </c>
      <c r="FE13" cm="1">
        <f t="array" ref="FE13">_xll.EQNXTDZ($A$1,$B13,FE$1)</f>
        <v>210.05</v>
      </c>
      <c r="FF13" cm="1">
        <f t="array" ref="FF13">_xll.EQNXTDZ($A$1,$B13,FF$1)</f>
        <v>197.4</v>
      </c>
      <c r="FG13" cm="1">
        <f t="array" ref="FG13">_xll.EQNXTDZ($A$1,$B13,FG$1)</f>
        <v>202.65</v>
      </c>
      <c r="FH13" cm="1">
        <f t="array" ref="FH13">_xll.EQNXTDZ($A$1,$B13,FH$1)</f>
        <v>175.25</v>
      </c>
      <c r="FI13" cm="1">
        <f t="array" ref="FI13">_xll.EQNXTDZ($A$1,$B13,FI$1)</f>
        <v>163.05000000000001</v>
      </c>
      <c r="FJ13" cm="1">
        <f t="array" ref="FJ13">_xll.EQNXTDZ($A$1,$B13,FJ$1)</f>
        <v>168.1</v>
      </c>
      <c r="FK13" cm="1">
        <f t="array" ref="FK13">_xll.EQNXTDZ($A$1,$B13,FK$1)</f>
        <v>174.25</v>
      </c>
      <c r="FL13" cm="1">
        <f t="array" ref="FL13">_xll.EQNXTDZ($A$1,$B13,FL$1)</f>
        <v>170.8</v>
      </c>
      <c r="FM13" cm="1">
        <f t="array" ref="FM13">_xll.EQNXTDZ($A$1,$B13,FM$1)</f>
        <v>185.95</v>
      </c>
      <c r="FN13" cm="1">
        <f t="array" ref="FN13">_xll.EQNXTDZ($A$1,$B13,FN$1)</f>
        <v>224.65</v>
      </c>
      <c r="FO13" cm="1">
        <f t="array" ref="FO13">_xll.EQNXTDZ($A$1,$B13,FO$1)</f>
        <v>247.65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66.875</v>
      </c>
      <c r="D14" s="116" cm="1">
        <f t="array" ref="D14">_xll.EQNXTDZ($A$1,$B14,D$1)</f>
        <v>69.325000000000003</v>
      </c>
      <c r="E14" s="116" cm="1">
        <f t="array" ref="E14">_xll.EQNXTDZ($A$1,$B14,E$1)</f>
        <v>61.35</v>
      </c>
      <c r="F14" s="116" cm="1">
        <f t="array" ref="F14">_xll.EQNXTDZ($A$1,$B14,F$1)</f>
        <v>61.825000000000003</v>
      </c>
      <c r="G14" s="116" cm="1">
        <f t="array" ref="G14">_xll.EQNXTDZ($A$1,$B14,G$1)</f>
        <v>60.75</v>
      </c>
      <c r="H14" s="116" cm="1">
        <f t="array" ref="H14">_xll.EQNXTDZ($A$1,$B14,H$1)</f>
        <v>68.75</v>
      </c>
      <c r="I14" s="116" cm="1">
        <f t="array" ref="I14">_xll.EQNXTDZ($A$1,$B14,I$1)</f>
        <v>66.775000000000006</v>
      </c>
      <c r="J14" s="116" cm="1">
        <f t="array" ref="J14">_xll.EQNXTDZ($A$1,$B14,J$1)</f>
        <v>68.400000000000006</v>
      </c>
      <c r="K14" s="116" cm="1">
        <f t="array" ref="K14">_xll.EQNXTDZ($A$1,$B14,K$1)</f>
        <v>55.95</v>
      </c>
      <c r="L14" s="116" cm="1">
        <f t="array" ref="L14">_xll.EQNXTDZ($A$1,$B14,L$1)</f>
        <v>50.274999999999999</v>
      </c>
      <c r="M14" s="116" cm="1">
        <f t="array" ref="M14">_xll.EQNXTDZ($A$1,$B14,M$1)</f>
        <v>46.45</v>
      </c>
      <c r="N14" s="116" cm="1">
        <f t="array" ref="N14">_xll.EQNXTDZ($A$1,$B14,N$1)</f>
        <v>42.25</v>
      </c>
      <c r="O14" s="116" cm="1">
        <f t="array" ref="O14">_xll.EQNXTDZ($A$1,$B14,O$1)</f>
        <v>35.875</v>
      </c>
      <c r="P14" s="116" cm="1">
        <f t="array" ref="P14">_xll.EQNXTDZ($A$1,$B14,P$1)</f>
        <v>31.875</v>
      </c>
      <c r="Q14" s="116" cm="1">
        <f t="array" ref="Q14">_xll.EQNXTDZ($A$1,$B14,Q$1)</f>
        <v>25.925000000000001</v>
      </c>
      <c r="R14" s="116" cm="1">
        <f t="array" ref="R14">_xll.EQNXTDZ($A$1,$B14,R$1)</f>
        <v>27.725000000000001</v>
      </c>
      <c r="S14" s="116" cm="1">
        <f t="array" ref="S14">_xll.EQNXTDZ($A$1,$B14,S$1)</f>
        <v>25.175000000000001</v>
      </c>
      <c r="T14" s="116" cm="1">
        <f t="array" ref="T14">_xll.EQNXTDZ($A$1,$B14,T$1)</f>
        <v>26.75</v>
      </c>
      <c r="U14" s="116" cm="1">
        <f t="array" ref="U14">_xll.EQNXTDZ($A$1,$B14,U$1)</f>
        <v>27.074999999999999</v>
      </c>
      <c r="V14" s="116" cm="1">
        <f t="array" ref="V14">_xll.EQNXTDZ($A$1,$B14,V$1)</f>
        <v>31.65</v>
      </c>
      <c r="W14" s="116" cm="1">
        <f t="array" ref="W14">_xll.EQNXTDZ($A$1,$B14,W$1)</f>
        <v>26.95</v>
      </c>
      <c r="X14" s="116" cm="1">
        <f t="array" ref="X14">_xll.EQNXTDZ($A$1,$B14,X$1)</f>
        <v>28.8</v>
      </c>
      <c r="Y14" s="116" cm="1">
        <f t="array" ref="Y14">_xll.EQNXTDZ($A$1,$B14,Y$1)</f>
        <v>31.95</v>
      </c>
      <c r="Z14" s="116" cm="1">
        <f t="array" ref="Z14">_xll.EQNXTDZ($A$1,$B14,Z$1)</f>
        <v>46.3</v>
      </c>
      <c r="AA14" s="116" cm="1">
        <f t="array" ref="AA14">_xll.EQNXTDZ($A$1,$B14,AA$1)</f>
        <v>47.95</v>
      </c>
      <c r="AB14" s="116" cm="1">
        <f t="array" ref="AB14">_xll.EQNXTDZ($A$1,$B14,AB$1)</f>
        <v>44.2</v>
      </c>
      <c r="AC14" s="116" cm="1">
        <f t="array" ref="AC14">_xll.EQNXTDZ($A$1,$B14,AC$1)</f>
        <v>41.95</v>
      </c>
      <c r="AD14" s="116" cm="1">
        <f t="array" ref="AD14">_xll.EQNXTDZ($A$1,$B14,AD$1)</f>
        <v>49.174999999999997</v>
      </c>
      <c r="AE14" s="116" cm="1">
        <f t="array" ref="AE14">_xll.EQNXTDZ($A$1,$B14,AE$1)</f>
        <v>42.45</v>
      </c>
      <c r="AF14" s="116" cm="1">
        <f t="array" ref="AF14">_xll.EQNXTDZ($A$1,$B14,AF$1)</f>
        <v>57.325000000000003</v>
      </c>
      <c r="AG14" s="116" cm="1">
        <f t="array" ref="AG14">_xll.EQNXTDZ($A$1,$B14,AG$1)</f>
        <v>57.9</v>
      </c>
      <c r="AH14" s="116" cm="1">
        <f t="array" ref="AH14">_xll.EQNXTDZ($A$1,$B14,AH$1)</f>
        <v>48.6</v>
      </c>
      <c r="AI14" s="116" cm="1">
        <f t="array" ref="AI14">_xll.EQNXTDZ($A$1,$B14,AI$1)</f>
        <v>43.075000000000003</v>
      </c>
      <c r="AJ14" s="116" cm="1">
        <f t="array" ref="AJ14">_xll.EQNXTDZ($A$1,$B14,AJ$1)</f>
        <v>40.1</v>
      </c>
      <c r="AK14" s="116" cm="1">
        <f t="array" ref="AK14">_xll.EQNXTDZ($A$1,$B14,AK$1)</f>
        <v>36.375</v>
      </c>
      <c r="AL14" s="116" cm="1">
        <f t="array" ref="AL14">_xll.EQNXTDZ($A$1,$B14,AL$1)</f>
        <v>37.299999999999997</v>
      </c>
      <c r="AM14" s="116" cm="1">
        <f t="array" ref="AM14">_xll.EQNXTDZ($A$1,$B14,AM$1)</f>
        <v>31.274999999999999</v>
      </c>
      <c r="AN14" s="116" cm="1">
        <f t="array" ref="AN14">_xll.EQNXTDZ($A$1,$B14,AN$1)</f>
        <v>42.2</v>
      </c>
      <c r="AO14" s="116" cm="1">
        <f t="array" ref="AO14">_xll.EQNXTDZ($A$1,$B14,AO$1)</f>
        <v>42.7</v>
      </c>
      <c r="AP14" s="116" cm="1">
        <f t="array" ref="AP14">_xll.EQNXTDZ($A$1,$B14,AP$1)</f>
        <v>33.4</v>
      </c>
      <c r="AQ14" s="116" cm="1">
        <f t="array" ref="AQ14">_xll.EQNXTDZ($A$1,$B14,AQ$1)</f>
        <v>36.825000000000003</v>
      </c>
      <c r="AR14" s="116" cm="1">
        <f t="array" ref="AR14">_xll.EQNXTDZ($A$1,$B14,AR$1)</f>
        <v>34.075000000000003</v>
      </c>
      <c r="AS14" s="116" cm="1">
        <f t="array" ref="AS14">_xll.EQNXTDZ($A$1,$B14,AS$1)</f>
        <v>34.424999999999997</v>
      </c>
      <c r="AT14" s="116" cm="1">
        <f t="array" ref="AT14">_xll.EQNXTDZ($A$1,$B14,AT$1)</f>
        <v>32.825000000000003</v>
      </c>
      <c r="AU14" s="116" cm="1">
        <f t="array" ref="AU14">_xll.EQNXTDZ($A$1,$B14,AU$1)</f>
        <v>26.1</v>
      </c>
      <c r="AV14" s="116" cm="1">
        <f t="array" ref="AV14">_xll.EQNXTDZ($A$1,$B14,AV$1)</f>
        <v>22.25</v>
      </c>
      <c r="AW14" s="116" cm="1">
        <f t="array" ref="AW14">_xll.EQNXTDZ($A$1,$B14,AW$1)</f>
        <v>23.375</v>
      </c>
      <c r="AX14" s="116" cm="1">
        <f t="array" ref="AX14">_xll.EQNXTDZ($A$1,$B14,AX$1)</f>
        <v>21.625</v>
      </c>
      <c r="AY14" s="116" cm="1">
        <f t="array" ref="AY14">_xll.EQNXTDZ($A$1,$B14,AY$1)</f>
        <v>27.8</v>
      </c>
      <c r="AZ14" s="116" cm="1">
        <f t="array" ref="AZ14">_xll.EQNXTDZ($A$1,$B14,AZ$1)</f>
        <v>28.45</v>
      </c>
      <c r="BA14" s="116" cm="1">
        <f t="array" ref="BA14">_xll.EQNXTDZ($A$1,$B14,BA$1)</f>
        <v>26.25</v>
      </c>
      <c r="BB14" s="116" cm="1">
        <f t="array" ref="BB14">_xll.EQNXTDZ($A$1,$B14,BB$1)</f>
        <v>29.9</v>
      </c>
      <c r="BC14" s="116" cm="1">
        <f t="array" ref="BC14">_xll.EQNXTDZ($A$1,$B14,BC$1)</f>
        <v>33.799999999999997</v>
      </c>
      <c r="BD14" s="116" cm="1">
        <f t="array" ref="BD14">_xll.EQNXTDZ($A$1,$B14,BD$1)</f>
        <v>33.25</v>
      </c>
      <c r="BE14" s="116" cm="1">
        <f t="array" ref="BE14">_xll.EQNXTDZ($A$1,$B14,BE$1)</f>
        <v>30.9</v>
      </c>
      <c r="BF14" s="116" cm="1">
        <f t="array" ref="BF14">_xll.EQNXTDZ($A$1,$B14,BF$1)</f>
        <v>31.6</v>
      </c>
      <c r="BG14" s="116" cm="1">
        <f t="array" ref="BG14">_xll.EQNXTDZ($A$1,$B14,BG$1)</f>
        <v>39.6</v>
      </c>
      <c r="BH14" s="116" cm="1">
        <f t="array" ref="BH14">_xll.EQNXTDZ($A$1,$B14,BH$1)</f>
        <v>43.725000000000001</v>
      </c>
      <c r="BI14" s="116" cm="1">
        <f t="array" ref="BI14">_xll.EQNXTDZ($A$1,$B14,BI$1)</f>
        <v>43.1</v>
      </c>
      <c r="BJ14" s="116" cm="1">
        <f t="array" ref="BJ14">_xll.EQNXTDZ($A$1,$B14,BJ$1)</f>
        <v>41.475000000000001</v>
      </c>
      <c r="BK14" s="116" cm="1">
        <f t="array" ref="BK14">_xll.EQNXTDZ($A$1,$B14,BK$1)</f>
        <v>46.174999999999997</v>
      </c>
      <c r="BL14" s="116" cm="1">
        <f t="array" ref="BL14">_xll.EQNXTDZ($A$1,$B14,BL$1)</f>
        <v>51.924999999999997</v>
      </c>
      <c r="BM14" s="116" cm="1">
        <f t="array" ref="BM14">_xll.EQNXTDZ($A$1,$B14,BM$1)</f>
        <v>53.9</v>
      </c>
      <c r="BN14" s="116" cm="1">
        <f t="array" ref="BN14">_xll.EQNXTDZ($A$1,$B14,BN$1)</f>
        <v>61.45</v>
      </c>
      <c r="BO14" s="116" cm="1">
        <f t="array" ref="BO14">_xll.EQNXTDZ($A$1,$B14,BO$1)</f>
        <v>63.6</v>
      </c>
      <c r="BP14" s="116" cm="1">
        <f t="array" ref="BP14">_xll.EQNXTDZ($A$1,$B14,BP$1)</f>
        <v>66.8</v>
      </c>
      <c r="BQ14" s="116" cm="1">
        <f t="array" ref="BQ14">_xll.EQNXTDZ($A$1,$B14,BQ$1)</f>
        <v>71.900000000000006</v>
      </c>
      <c r="BR14" s="116" cm="1">
        <f t="array" ref="BR14">_xll.EQNXTDZ($A$1,$B14,BR$1)</f>
        <v>91</v>
      </c>
      <c r="BS14" s="116" cm="1">
        <f t="array" ref="BS14">_xll.EQNXTDZ($A$1,$B14,BS$1)</f>
        <v>78</v>
      </c>
      <c r="BT14" s="116" cm="1">
        <f t="array" ref="BT14">_xll.EQNXTDZ($A$1,$B14,BT$1)</f>
        <v>70.3</v>
      </c>
      <c r="BU14" s="116" cm="1">
        <f t="array" ref="BU14">_xll.EQNXTDZ($A$1,$B14,BU$1)</f>
        <v>68.349999999999994</v>
      </c>
      <c r="BV14" s="116" cm="1">
        <f t="array" ref="BV14">_xll.EQNXTDZ($A$1,$B14,BV$1)</f>
        <v>63.5</v>
      </c>
      <c r="BW14" s="116" cm="1">
        <f t="array" ref="BW14">_xll.EQNXTDZ($A$1,$B14,BW$1)</f>
        <v>51.95</v>
      </c>
      <c r="BX14" s="116" cm="1">
        <f t="array" ref="BX14">_xll.EQNXTDZ($A$1,$B14,BX$1)</f>
        <v>45.25</v>
      </c>
      <c r="BY14" s="116" cm="1">
        <f t="array" ref="BY14">_xll.EQNXTDZ($A$1,$B14,BY$1)</f>
        <v>47.825000000000003</v>
      </c>
      <c r="BZ14" s="116" cm="1">
        <f t="array" ref="BZ14">_xll.EQNXTDZ($A$1,$B14,BZ$1)</f>
        <v>51</v>
      </c>
      <c r="CA14" s="116" cm="1">
        <f t="array" ref="CA14">_xll.EQNXTDZ($A$1,$B14,CA$1)</f>
        <v>43.424999999999997</v>
      </c>
      <c r="CB14" s="116" cm="1">
        <f t="array" ref="CB14">_xll.EQNXTDZ($A$1,$B14,CB$1)</f>
        <v>45.274999999999999</v>
      </c>
      <c r="CC14" s="116" cm="1">
        <f t="array" ref="CC14">_xll.EQNXTDZ($A$1,$B14,CC$1)</f>
        <v>43.95</v>
      </c>
      <c r="CD14" s="116" cm="1">
        <f t="array" ref="CD14">_xll.EQNXTDZ($A$1,$B14,CD$1)</f>
        <v>45.075000000000003</v>
      </c>
      <c r="CE14" s="116" cm="1">
        <f t="array" ref="CE14">_xll.EQNXTDZ($A$1,$B14,CE$1)</f>
        <v>45</v>
      </c>
      <c r="CF14" s="116" cm="1">
        <f t="array" ref="CF14">_xll.EQNXTDZ($A$1,$B14,CF$1)</f>
        <v>48.625</v>
      </c>
      <c r="CG14" s="116" cm="1">
        <f t="array" ref="CG14">_xll.EQNXTDZ($A$1,$B14,CG$1)</f>
        <v>45.95</v>
      </c>
      <c r="CH14" s="116" cm="1">
        <f t="array" ref="CH14">_xll.EQNXTDZ($A$1,$B14,CH$1)</f>
        <v>46.35</v>
      </c>
      <c r="CI14" s="116" cm="1">
        <f t="array" ref="CI14">_xll.EQNXTDZ($A$1,$B14,CI$1)</f>
        <v>45.35</v>
      </c>
      <c r="CJ14" s="116" cm="1">
        <f t="array" ref="CJ14">_xll.EQNXTDZ($A$1,$B14,CJ$1)</f>
        <v>42.725000000000001</v>
      </c>
      <c r="CK14" s="116" cm="1">
        <f t="array" ref="CK14">_xll.EQNXTDZ($A$1,$B14,CK$1)</f>
        <v>36.549999999999997</v>
      </c>
      <c r="CL14" s="116" cm="1">
        <f t="array" ref="CL14">_xll.EQNXTDZ($A$1,$B14,CL$1)</f>
        <v>44.25</v>
      </c>
      <c r="CM14" s="116" cm="1">
        <f t="array" ref="CM14">_xll.EQNXTDZ($A$1,$B14,CM$1)</f>
        <v>45.6</v>
      </c>
      <c r="CN14" s="116" cm="1">
        <f t="array" ref="CN14">_xll.EQNXTDZ($A$1,$B14,CN$1)</f>
        <v>46.45</v>
      </c>
      <c r="CO14" s="116" cm="1">
        <f t="array" ref="CO14">_xll.EQNXTDZ($A$1,$B14,CO$1)</f>
        <v>40.674999999999997</v>
      </c>
      <c r="CP14" s="116" cm="1">
        <f t="array" ref="CP14">_xll.EQNXTDZ($A$1,$B14,CP$1)</f>
        <v>51.35</v>
      </c>
      <c r="CQ14" s="116" cm="1">
        <f t="array" ref="CQ14">_xll.EQNXTDZ($A$1,$B14,CQ$1)</f>
        <v>48</v>
      </c>
      <c r="CR14" s="116" cm="1">
        <f t="array" ref="CR14">_xll.EQNXTDZ($A$1,$B14,CR$1)</f>
        <v>42.75</v>
      </c>
      <c r="CS14" s="116" cm="1">
        <f t="array" ref="CS14">_xll.EQNXTDZ($A$1,$B14,CS$1)</f>
        <v>30.9</v>
      </c>
      <c r="CT14" s="116" cm="1">
        <f t="array" ref="CT14">_xll.EQNXTDZ($A$1,$B14,CT$1)</f>
        <v>27.475000000000001</v>
      </c>
      <c r="CU14" s="116" cm="1">
        <f t="array" ref="CU14">_xll.EQNXTDZ($A$1,$B14,CU$1)</f>
        <v>31.9</v>
      </c>
      <c r="CV14" s="116" cm="1">
        <f t="array" ref="CV14">_xll.EQNXTDZ($A$1,$B14,CV$1)</f>
        <v>32.875</v>
      </c>
      <c r="CW14" s="116" cm="1">
        <f t="array" ref="CW14">_xll.EQNXTDZ($A$1,$B14,CW$1)</f>
        <v>35.85</v>
      </c>
      <c r="CX14" s="116" cm="1">
        <f t="array" ref="CX14">_xll.EQNXTDZ($A$1,$B14,CX$1)</f>
        <v>37.450000000000003</v>
      </c>
      <c r="CY14" s="116" cm="1">
        <f t="array" ref="CY14">_xll.EQNXTDZ($A$1,$B14,CY$1)</f>
        <v>32.575000000000003</v>
      </c>
      <c r="CZ14" s="116" cm="1">
        <f t="array" ref="CZ14">_xll.EQNXTDZ($A$1,$B14,CZ$1)</f>
        <v>35.6</v>
      </c>
      <c r="DA14" s="116" cm="1">
        <f t="array" ref="DA14">_xll.EQNXTDZ($A$1,$B14,DA$1)</f>
        <v>40.950000000000003</v>
      </c>
      <c r="DB14" s="116" cm="1">
        <f t="array" ref="DB14">_xll.EQNXTDZ($A$1,$B14,DB$1)</f>
        <v>42.475000000000001</v>
      </c>
      <c r="DC14" s="116" cm="1">
        <f t="array" ref="DC14">_xll.EQNXTDZ($A$1,$B14,DC$1)</f>
        <v>42.2</v>
      </c>
      <c r="DD14" s="116" cm="1">
        <f t="array" ref="DD14">_xll.EQNXTDZ($A$1,$B14,DD$1)</f>
        <v>43.8</v>
      </c>
      <c r="DE14" s="116" cm="1">
        <f t="array" ref="DE14">_xll.EQNXTDZ($A$1,$B14,DE$1)</f>
        <v>43.8</v>
      </c>
      <c r="DF14" s="116" cm="1">
        <f t="array" ref="DF14">_xll.EQNXTDZ($A$1,$B14,DF$1)</f>
        <v>55.35</v>
      </c>
      <c r="DG14" s="116" cm="1">
        <f t="array" ref="DG14">_xll.EQNXTDZ($A$1,$B14,DG$1)</f>
        <v>59.85</v>
      </c>
      <c r="DH14" s="116" cm="1">
        <f t="array" ref="DH14">_xll.EQNXTDZ($A$1,$B14,DH$1)</f>
        <v>73.825000000000003</v>
      </c>
      <c r="DI14" s="116" cm="1">
        <f t="array" ref="DI14">_xll.EQNXTDZ($A$1,$B14,DI$1)</f>
        <v>72.349999999999994</v>
      </c>
      <c r="DJ14" s="116" cm="1">
        <f t="array" ref="DJ14">_xll.EQNXTDZ($A$1,$B14,DJ$1)</f>
        <v>62.3</v>
      </c>
      <c r="DK14" s="116" cm="1">
        <f t="array" ref="DK14">_xll.EQNXTDZ($A$1,$B14,DK$1)</f>
        <v>63.975000000000001</v>
      </c>
      <c r="DL14" s="116" cm="1">
        <f t="array" ref="DL14">_xll.EQNXTDZ($A$1,$B14,DL$1)</f>
        <v>58.6</v>
      </c>
      <c r="DM14" s="116" cm="1">
        <f t="array" ref="DM14">_xll.EQNXTDZ($A$1,$B14,DM$1)</f>
        <v>55.174999999999997</v>
      </c>
      <c r="DN14" s="116" cm="1">
        <f t="array" ref="DN14">_xll.EQNXTDZ($A$1,$B14,DN$1)</f>
        <v>59.674999999999997</v>
      </c>
      <c r="DO14" s="116" cm="1">
        <f t="array" ref="DO14">_xll.EQNXTDZ($A$1,$B14,DO$1)</f>
        <v>54.15</v>
      </c>
      <c r="DP14" s="116" cm="1">
        <f t="array" ref="DP14">_xll.EQNXTDZ($A$1,$B14,DP$1)</f>
        <v>49.35</v>
      </c>
      <c r="DQ14" s="116" cm="1">
        <f t="array" ref="DQ14">_xll.EQNXTDZ($A$1,$B14,DQ$1)</f>
        <v>51.1</v>
      </c>
      <c r="DR14" s="116" cm="1">
        <f t="array" ref="DR14">_xll.EQNXTDZ($A$1,$B14,DR$1)</f>
        <v>47.875</v>
      </c>
      <c r="DS14" s="116" cm="1">
        <f t="array" ref="DS14">_xll.EQNXTDZ($A$1,$B14,DS$1)</f>
        <v>45.274999999999999</v>
      </c>
      <c r="DT14" s="116" cm="1">
        <f t="array" ref="DT14">_xll.EQNXTDZ($A$1,$B14,DT$1)</f>
        <v>43.475000000000001</v>
      </c>
      <c r="DU14" s="116" cm="1">
        <f t="array" ref="DU14">_xll.EQNXTDZ($A$1,$B14,DU$1)</f>
        <v>46.55</v>
      </c>
      <c r="DV14" s="116" cm="1">
        <f t="array" ref="DV14">_xll.EQNXTDZ($A$1,$B14,DV$1)</f>
        <v>45.9</v>
      </c>
      <c r="DW14" s="116" cm="1">
        <f t="array" ref="DW14">_xll.EQNXTDZ($A$1,$B14,DW$1)</f>
        <v>43.6</v>
      </c>
      <c r="DX14" s="116" cm="1">
        <f t="array" ref="DX14">_xll.EQNXTDZ($A$1,$B14,DX$1)</f>
        <v>47.375</v>
      </c>
      <c r="DY14" s="116" cm="1">
        <f t="array" ref="DY14">_xll.EQNXTDZ($A$1,$B14,DY$1)</f>
        <v>53.9</v>
      </c>
      <c r="DZ14" s="116" cm="1">
        <f t="array" ref="DZ14">_xll.EQNXTDZ($A$1,$B14,DZ$1)</f>
        <v>62.95</v>
      </c>
      <c r="EA14" s="116" cm="1">
        <f t="array" ref="EA14">_xll.EQNXTDZ($A$1,$B14,EA$1)</f>
        <v>79.25</v>
      </c>
      <c r="EB14" s="116" cm="1">
        <f t="array" ref="EB14">_xll.EQNXTDZ($A$1,$B14,EB$1)</f>
        <v>89.825000000000003</v>
      </c>
      <c r="EC14" s="116" cm="1">
        <f t="array" ref="EC14">_xll.EQNXTDZ($A$1,$B14,EC$1)</f>
        <v>83.4</v>
      </c>
      <c r="ED14" s="116" cm="1">
        <f t="array" ref="ED14">_xll.EQNXTDZ($A$1,$B14,ED$1)</f>
        <v>124.5</v>
      </c>
      <c r="EE14" s="116" cm="1">
        <f t="array" ref="EE14">_xll.EQNXTDZ($A$1,$B14,EE$1)</f>
        <v>132.19999999999999</v>
      </c>
      <c r="EF14" s="116" cm="1">
        <f t="array" ref="EF14">_xll.EQNXTDZ($A$1,$B14,EF$1)</f>
        <v>192.47499999999999</v>
      </c>
      <c r="EG14" s="116" cm="1">
        <f t="array" ref="EG14">_xll.EQNXTDZ($A$1,$B14,EG$1)</f>
        <v>177.42500000000001</v>
      </c>
      <c r="EH14" s="116" cm="1">
        <f t="array" ref="EH14">_xll.EQNXTDZ($A$1,$B14,EH$1)</f>
        <v>195.47499999999999</v>
      </c>
      <c r="EI14" s="116" cm="1">
        <f t="array" ref="EI14">_xll.EQNXTDZ($A$1,$B14,EI$1)</f>
        <v>224</v>
      </c>
      <c r="EJ14" s="116" cm="1">
        <f t="array" ref="EJ14">_xll.EQNXTDZ($A$1,$B14,EJ$1)</f>
        <v>257.47500000000002</v>
      </c>
      <c r="EK14" s="116" cm="1">
        <f t="array" ref="EK14">_xll.EQNXTDZ($A$1,$B14,EK$1)</f>
        <v>242.47499999999999</v>
      </c>
      <c r="EL14" s="116" cm="1">
        <f t="array" ref="EL14">_xll.EQNXTDZ($A$1,$B14,EL$1)</f>
        <v>269.375</v>
      </c>
      <c r="EM14" s="116" cm="1">
        <f t="array" ref="EM14">_xll.EQNXTDZ($A$1,$B14,EM$1)</f>
        <v>279.14999999999998</v>
      </c>
      <c r="EN14" s="116" cm="1">
        <f t="array" ref="EN14">_xll.EQNXTDZ($A$1,$B14,EN$1)</f>
        <v>249.5</v>
      </c>
      <c r="EO14" s="116" cm="1">
        <f t="array" ref="EO14">_xll.EQNXTDZ($A$1,$B14,EO$1)</f>
        <v>287.57499999999999</v>
      </c>
      <c r="EP14" s="116" cm="1">
        <f t="array" ref="EP14">_xll.EQNXTDZ($A$1,$B14,EP$1)</f>
        <v>299.02499999999998</v>
      </c>
      <c r="EQ14" s="116" cm="1">
        <f t="array" ref="EQ14">_xll.EQNXTDZ($A$1,$B14,EQ$1)</f>
        <v>295.5</v>
      </c>
      <c r="ER14" s="116" cm="1">
        <f t="array" ref="ER14">_xll.EQNXTDZ($A$1,$B14,ER$1)</f>
        <v>327.17500000000001</v>
      </c>
      <c r="ES14" s="116" cm="1">
        <f t="array" ref="ES14">_xll.EQNXTDZ($A$1,$B14,ES$1)</f>
        <v>355.32499999999999</v>
      </c>
      <c r="ET14" s="116" cm="1">
        <f t="array" ref="ET14">_xll.EQNXTDZ($A$1,$B14,ET$1)</f>
        <v>380</v>
      </c>
      <c r="EU14" s="116" cm="1">
        <f t="array" ref="EU14">_xll.EQNXTDZ($A$1,$B14,EU$1)</f>
        <v>383.85</v>
      </c>
      <c r="EV14" s="116" cm="1">
        <f t="array" ref="EV14">_xll.EQNXTDZ($A$1,$B14,EV$1)</f>
        <v>337.2</v>
      </c>
      <c r="EW14" s="116" cm="1">
        <f t="array" ref="EW14">_xll.EQNXTDZ($A$1,$B14,EW$1)</f>
        <v>342.65</v>
      </c>
      <c r="EX14" s="116" cm="1">
        <f t="array" ref="EX14">_xll.EQNXTDZ($A$1,$B14,EX$1)</f>
        <v>288.35000000000002</v>
      </c>
      <c r="EY14" s="116" cm="1">
        <f t="array" ref="EY14">_xll.EQNXTDZ($A$1,$B14,EY$1)</f>
        <v>269.75</v>
      </c>
      <c r="EZ14" s="116" cm="1">
        <f t="array" ref="EZ14">_xll.EQNXTDZ($A$1,$B14,EZ$1)</f>
        <v>286.5</v>
      </c>
      <c r="FA14" s="116" cm="1">
        <f t="array" ref="FA14">_xll.EQNXTDZ($A$1,$B14,FA$1)</f>
        <v>277.39999999999998</v>
      </c>
      <c r="FB14" s="116" cm="1">
        <f t="array" ref="FB14">_xll.EQNXTDZ($A$1,$B14,FB$1)</f>
        <v>254.05</v>
      </c>
      <c r="FC14" s="116" cm="1">
        <f t="array" ref="FC14">_xll.EQNXTDZ($A$1,$B14,FC$1)</f>
        <v>260.2</v>
      </c>
      <c r="FD14" s="116" cm="1">
        <f t="array" ref="FD14">_xll.EQNXTDZ($A$1,$B14,FD$1)</f>
        <v>244.9</v>
      </c>
      <c r="FE14" s="116" cm="1">
        <f t="array" ref="FE14">_xll.EQNXTDZ($A$1,$B14,FE$1)</f>
        <v>215.75</v>
      </c>
      <c r="FF14" s="116" cm="1">
        <f t="array" ref="FF14">_xll.EQNXTDZ($A$1,$B14,FF$1)</f>
        <v>224.9</v>
      </c>
      <c r="FG14" s="116" cm="1">
        <f t="array" ref="FG14">_xll.EQNXTDZ($A$1,$B14,FG$1)</f>
        <v>213.5</v>
      </c>
      <c r="FH14" s="116" cm="1">
        <f t="array" ref="FH14">_xll.EQNXTDZ($A$1,$B14,FH$1)</f>
        <v>176</v>
      </c>
      <c r="FI14" s="116" cm="1">
        <f t="array" ref="FI14">_xll.EQNXTDZ($A$1,$B14,FI$1)</f>
        <v>171.25</v>
      </c>
      <c r="FJ14" s="116" cm="1">
        <f t="array" ref="FJ14">_xll.EQNXTDZ($A$1,$B14,FJ$1)</f>
        <v>194.9</v>
      </c>
      <c r="FK14" s="116" cm="1">
        <f t="array" ref="FK14">_xll.EQNXTDZ($A$1,$B14,FK$1)</f>
        <v>199</v>
      </c>
      <c r="FL14" s="116" cm="1">
        <f t="array" ref="FL14">_xll.EQNXTDZ($A$1,$B14,FL$1)</f>
        <v>211.15</v>
      </c>
      <c r="FM14" s="116" cm="1">
        <f t="array" ref="FM14">_xll.EQNXTDZ($A$1,$B14,FM$1)</f>
        <v>249.6</v>
      </c>
      <c r="FN14" s="116" cm="1">
        <f t="array" ref="FN14">_xll.EQNXTDZ($A$1,$B14,FN$1)</f>
        <v>251.45</v>
      </c>
      <c r="FO14" s="116" cm="1">
        <f t="array" ref="FO14">_xll.EQNXTDZ($A$1,$B14,FO$1)</f>
        <v>267.5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69.325000000000003</v>
      </c>
      <c r="HQ14" s="116">
        <f>+MAX(G14:I14)</f>
        <v>68.75</v>
      </c>
      <c r="HR14" s="116">
        <f>+MAX(J14:L14)</f>
        <v>68.400000000000006</v>
      </c>
      <c r="HS14" s="116">
        <f>+MAX(M14:O14)</f>
        <v>46.45</v>
      </c>
      <c r="HT14" s="116">
        <f>+MAX(P14:R14)</f>
        <v>31.875</v>
      </c>
      <c r="HU14" s="116">
        <f>+MAX(S14:U14)</f>
        <v>27.074999999999999</v>
      </c>
      <c r="HV14" s="116">
        <f>+MAX(V14:X14)</f>
        <v>31.65</v>
      </c>
      <c r="HW14" s="116">
        <f>+MAX(Y14:AA14)</f>
        <v>47.95</v>
      </c>
      <c r="HX14" s="116">
        <f>+MAX(AB14:AD14)</f>
        <v>49.174999999999997</v>
      </c>
      <c r="HY14" s="116">
        <f>+MAX(AE14:AG14)</f>
        <v>57.9</v>
      </c>
      <c r="HZ14" s="116">
        <f>+MAX(AH14:AJ14)</f>
        <v>48.6</v>
      </c>
      <c r="IA14" s="116">
        <f>+MAX(AK14:AM14)</f>
        <v>37.299999999999997</v>
      </c>
      <c r="IB14" s="116">
        <f>+MAX(AN14:AP14)</f>
        <v>42.7</v>
      </c>
      <c r="IC14" s="116">
        <f>+MAX(AQ14:AS14)</f>
        <v>36.825000000000003</v>
      </c>
      <c r="ID14" s="116">
        <f>+MAX(AT14:AV14)</f>
        <v>32.825000000000003</v>
      </c>
      <c r="IE14" s="116">
        <f>+MAX(AW14:AY14)</f>
        <v>27.8</v>
      </c>
      <c r="IF14" s="116">
        <f>+MAX(AZ14:BB14)</f>
        <v>29.9</v>
      </c>
      <c r="IG14" s="116">
        <f>+MAX(BC14:BE14)</f>
        <v>33.799999999999997</v>
      </c>
      <c r="IH14" s="116">
        <f>+MAX(BF14:BH14)</f>
        <v>43.725000000000001</v>
      </c>
      <c r="II14" s="116">
        <f>+MAX(BI14:BK14)</f>
        <v>46.174999999999997</v>
      </c>
      <c r="IJ14" s="116">
        <f>+MAX(BL14:BN14)</f>
        <v>61.45</v>
      </c>
      <c r="IK14" s="116">
        <f>+MAX(BO14:BQ14)</f>
        <v>71.900000000000006</v>
      </c>
      <c r="IL14" s="116">
        <f>+MAX(BR14:BT14)</f>
        <v>91</v>
      </c>
      <c r="IM14" s="116">
        <f>+MAX(BU14:BW14)</f>
        <v>68.349999999999994</v>
      </c>
      <c r="IN14" s="116">
        <f>+MAX(BX14:BZ14)</f>
        <v>51</v>
      </c>
      <c r="IO14" s="116">
        <f>+MAX(CA14:CC14)</f>
        <v>45.274999999999999</v>
      </c>
      <c r="IP14" s="116">
        <f>+MAX(CD14:CF14)</f>
        <v>48.625</v>
      </c>
      <c r="IQ14" s="116">
        <f>+MAX(CG14:CI14)</f>
        <v>46.35</v>
      </c>
      <c r="IR14" s="116">
        <f>+MAX(CJ14:CL14)</f>
        <v>44.25</v>
      </c>
      <c r="IS14" s="116">
        <f>+MAX(CM14:CO14)</f>
        <v>46.45</v>
      </c>
      <c r="IT14" s="116">
        <f>+MAX(CP14:CR14)</f>
        <v>51.35</v>
      </c>
      <c r="IU14" s="116">
        <f>+MAX(CS14:CU14)</f>
        <v>31.9</v>
      </c>
      <c r="IV14" s="116">
        <f>+MAX(CV14:CX14)</f>
        <v>37.450000000000003</v>
      </c>
      <c r="IW14" s="116">
        <f>+MAX(CY14:DA14)</f>
        <v>40.950000000000003</v>
      </c>
      <c r="IX14" s="116">
        <f>+MAX(DB14:DD14)</f>
        <v>43.8</v>
      </c>
      <c r="IY14" s="116">
        <f>+MAX(DE14:DG14)</f>
        <v>59.85</v>
      </c>
      <c r="IZ14" s="116">
        <f>+MAX(DH14:DJ14)</f>
        <v>73.825000000000003</v>
      </c>
      <c r="JA14" s="116">
        <f>+MAX(DK14:DM14)</f>
        <v>63.975000000000001</v>
      </c>
      <c r="JB14" s="116">
        <f>+MAX(DN14:DP14)</f>
        <v>59.674999999999997</v>
      </c>
      <c r="JC14" s="116">
        <f>+MAX(DQ14:DS14)</f>
        <v>51.1</v>
      </c>
      <c r="JD14" s="116">
        <f>+MAX(DT14:DV14)</f>
        <v>46.55</v>
      </c>
      <c r="JE14" s="116">
        <f>+MAX(DW14:DY14)</f>
        <v>53.9</v>
      </c>
      <c r="JF14" s="116">
        <f>+MAX(DZ14:EB14)</f>
        <v>89.825000000000003</v>
      </c>
      <c r="JG14" s="116">
        <f>+MAX(EC14:EE14)</f>
        <v>132.19999999999999</v>
      </c>
      <c r="JH14" s="116">
        <f>+MAX(EF14:EH14)</f>
        <v>195.47499999999999</v>
      </c>
      <c r="JI14" s="116">
        <f>+MAX(EI14:EK14)</f>
        <v>257.47500000000002</v>
      </c>
      <c r="JJ14" s="116">
        <f>+MAX(EL14:EN14)</f>
        <v>279.14999999999998</v>
      </c>
      <c r="JK14" s="116">
        <f>MAX(EO14:EQ14)</f>
        <v>299.02499999999998</v>
      </c>
      <c r="JL14" s="116">
        <f>MAX(ER14:ET14)</f>
        <v>380</v>
      </c>
      <c r="JM14" s="116">
        <f>MAX(EU14:EW14)</f>
        <v>383.85</v>
      </c>
      <c r="JN14" s="116">
        <f>MAX(EX14:EZ14)</f>
        <v>288.35000000000002</v>
      </c>
      <c r="JO14" s="116">
        <f>MAX(FA14:FC14)</f>
        <v>277.39999999999998</v>
      </c>
      <c r="JP14" s="116">
        <f>MAX(FD14:FF14)</f>
        <v>244.9</v>
      </c>
      <c r="JQ14" s="116">
        <f>MAX(FG14:FI14)</f>
        <v>213.5</v>
      </c>
      <c r="JR14" s="116">
        <f>MAX(FJ14:FL14)</f>
        <v>211.15</v>
      </c>
      <c r="JS14" s="116">
        <f>MAX(FM14:FO14)</f>
        <v>267.5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60.375</v>
      </c>
      <c r="D15" s="116" cm="1">
        <f t="array" ref="D15">_xll.EQNXTDZ($A$1,$B15,D$1)</f>
        <v>59.274999999999999</v>
      </c>
      <c r="E15" s="116" cm="1">
        <f t="array" ref="E15">_xll.EQNXTDZ($A$1,$B15,E$1)</f>
        <v>56.8</v>
      </c>
      <c r="F15" s="116" cm="1">
        <f t="array" ref="F15">_xll.EQNXTDZ($A$1,$B15,F$1)</f>
        <v>55.524999999999999</v>
      </c>
      <c r="G15" s="116" cm="1">
        <f t="array" ref="G15">_xll.EQNXTDZ($A$1,$B15,G$1)</f>
        <v>50.85</v>
      </c>
      <c r="H15" s="116" cm="1">
        <f t="array" ref="H15">_xll.EQNXTDZ($A$1,$B15,H$1)</f>
        <v>56.674999999999997</v>
      </c>
      <c r="I15" s="116" cm="1">
        <f t="array" ref="I15">_xll.EQNXTDZ($A$1,$B15,I$1)</f>
        <v>60.125</v>
      </c>
      <c r="J15" s="116" cm="1">
        <f t="array" ref="J15">_xll.EQNXTDZ($A$1,$B15,J$1)</f>
        <v>53.174999999999997</v>
      </c>
      <c r="K15" s="116" cm="1">
        <f t="array" ref="K15">_xll.EQNXTDZ($A$1,$B15,K$1)</f>
        <v>44</v>
      </c>
      <c r="L15" s="116" cm="1">
        <f t="array" ref="L15">_xll.EQNXTDZ($A$1,$B15,L$1)</f>
        <v>39</v>
      </c>
      <c r="M15" s="116" cm="1">
        <f t="array" ref="M15">_xll.EQNXTDZ($A$1,$B15,M$1)</f>
        <v>39.424999999999997</v>
      </c>
      <c r="N15" s="116" cm="1">
        <f t="array" ref="N15">_xll.EQNXTDZ($A$1,$B15,N$1)</f>
        <v>35.524999999999999</v>
      </c>
      <c r="O15" s="116" cm="1">
        <f t="array" ref="O15">_xll.EQNXTDZ($A$1,$B15,O$1)</f>
        <v>24.35</v>
      </c>
      <c r="P15" s="116" cm="1">
        <f t="array" ref="P15">_xll.EQNXTDZ($A$1,$B15,P$1)</f>
        <v>18.95</v>
      </c>
      <c r="Q15" s="116" cm="1">
        <f t="array" ref="Q15">_xll.EQNXTDZ($A$1,$B15,Q$1)</f>
        <v>19</v>
      </c>
      <c r="R15" s="116" cm="1">
        <f t="array" ref="R15">_xll.EQNXTDZ($A$1,$B15,R$1)</f>
        <v>21.65</v>
      </c>
      <c r="S15" s="116" cm="1">
        <f t="array" ref="S15">_xll.EQNXTDZ($A$1,$B15,S$1)</f>
        <v>21.35</v>
      </c>
      <c r="T15" s="116" cm="1">
        <f t="array" ref="T15">_xll.EQNXTDZ($A$1,$B15,T$1)</f>
        <v>21.75</v>
      </c>
      <c r="U15" s="116" cm="1">
        <f t="array" ref="U15">_xll.EQNXTDZ($A$1,$B15,U$1)</f>
        <v>22.5</v>
      </c>
      <c r="V15" s="116" cm="1">
        <f t="array" ref="V15">_xll.EQNXTDZ($A$1,$B15,V$1)</f>
        <v>24.625</v>
      </c>
      <c r="W15" s="116" cm="1">
        <f t="array" ref="W15">_xll.EQNXTDZ($A$1,$B15,W$1)</f>
        <v>23.125</v>
      </c>
      <c r="X15" s="116" cm="1">
        <f t="array" ref="X15">_xll.EQNXTDZ($A$1,$B15,X$1)</f>
        <v>23.15</v>
      </c>
      <c r="Y15" s="116" cm="1">
        <f t="array" ref="Y15">_xll.EQNXTDZ($A$1,$B15,Y$1)</f>
        <v>26.9</v>
      </c>
      <c r="Z15" s="116" cm="1">
        <f t="array" ref="Z15">_xll.EQNXTDZ($A$1,$B15,Z$1)</f>
        <v>26.55</v>
      </c>
      <c r="AA15" s="116" cm="1">
        <f t="array" ref="AA15">_xll.EQNXTDZ($A$1,$B15,AA$1)</f>
        <v>40.75</v>
      </c>
      <c r="AB15" s="116" cm="1">
        <f t="array" ref="AB15">_xll.EQNXTDZ($A$1,$B15,AB$1)</f>
        <v>35.85</v>
      </c>
      <c r="AC15" s="116" cm="1">
        <f t="array" ref="AC15">_xll.EQNXTDZ($A$1,$B15,AC$1)</f>
        <v>36</v>
      </c>
      <c r="AD15" s="116" cm="1">
        <f t="array" ref="AD15">_xll.EQNXTDZ($A$1,$B15,AD$1)</f>
        <v>37</v>
      </c>
      <c r="AE15" s="116" cm="1">
        <f t="array" ref="AE15">_xll.EQNXTDZ($A$1,$B15,AE$1)</f>
        <v>37.25</v>
      </c>
      <c r="AF15" s="116" cm="1">
        <f t="array" ref="AF15">_xll.EQNXTDZ($A$1,$B15,AF$1)</f>
        <v>38.9</v>
      </c>
      <c r="AG15" s="116" cm="1">
        <f t="array" ref="AG15">_xll.EQNXTDZ($A$1,$B15,AG$1)</f>
        <v>44.524999999999999</v>
      </c>
      <c r="AH15" s="116" cm="1">
        <f t="array" ref="AH15">_xll.EQNXTDZ($A$1,$B15,AH$1)</f>
        <v>40.049999999999997</v>
      </c>
      <c r="AI15" s="116" cm="1">
        <f t="array" ref="AI15">_xll.EQNXTDZ($A$1,$B15,AI$1)</f>
        <v>35.774999999999999</v>
      </c>
      <c r="AJ15" s="116" cm="1">
        <f t="array" ref="AJ15">_xll.EQNXTDZ($A$1,$B15,AJ$1)</f>
        <v>28.125</v>
      </c>
      <c r="AK15" s="116" cm="1">
        <f t="array" ref="AK15">_xll.EQNXTDZ($A$1,$B15,AK$1)</f>
        <v>30.774999999999999</v>
      </c>
      <c r="AL15" s="116" cm="1">
        <f t="array" ref="AL15">_xll.EQNXTDZ($A$1,$B15,AL$1)</f>
        <v>29.975000000000001</v>
      </c>
      <c r="AM15" s="116" cm="1">
        <f t="array" ref="AM15">_xll.EQNXTDZ($A$1,$B15,AM$1)</f>
        <v>25.55</v>
      </c>
      <c r="AN15" s="116" cm="1">
        <f t="array" ref="AN15">_xll.EQNXTDZ($A$1,$B15,AN$1)</f>
        <v>29.25</v>
      </c>
      <c r="AO15" s="116" cm="1">
        <f t="array" ref="AO15">_xll.EQNXTDZ($A$1,$B15,AO$1)</f>
        <v>30</v>
      </c>
      <c r="AP15" s="116" cm="1">
        <f t="array" ref="AP15">_xll.EQNXTDZ($A$1,$B15,AP$1)</f>
        <v>29.824999999999999</v>
      </c>
      <c r="AQ15" s="116" cm="1">
        <f t="array" ref="AQ15">_xll.EQNXTDZ($A$1,$B15,AQ$1)</f>
        <v>31.274999999999999</v>
      </c>
      <c r="AR15" s="116" cm="1">
        <f t="array" ref="AR15">_xll.EQNXTDZ($A$1,$B15,AR$1)</f>
        <v>30</v>
      </c>
      <c r="AS15" s="116" cm="1">
        <f t="array" ref="AS15">_xll.EQNXTDZ($A$1,$B15,AS$1)</f>
        <v>29.875</v>
      </c>
      <c r="AT15" s="116" cm="1">
        <f t="array" ref="AT15">_xll.EQNXTDZ($A$1,$B15,AT$1)</f>
        <v>23.925000000000001</v>
      </c>
      <c r="AU15" s="116" cm="1">
        <f t="array" ref="AU15">_xll.EQNXTDZ($A$1,$B15,AU$1)</f>
        <v>17.824999999999999</v>
      </c>
      <c r="AV15" s="116" cm="1">
        <f t="array" ref="AV15">_xll.EQNXTDZ($A$1,$B15,AV$1)</f>
        <v>18.100000000000001</v>
      </c>
      <c r="AW15" s="116" cm="1">
        <f t="array" ref="AW15">_xll.EQNXTDZ($A$1,$B15,AW$1)</f>
        <v>19.25</v>
      </c>
      <c r="AX15" s="116" cm="1">
        <f t="array" ref="AX15">_xll.EQNXTDZ($A$1,$B15,AX$1)</f>
        <v>19.5</v>
      </c>
      <c r="AY15" s="116" cm="1">
        <f t="array" ref="AY15">_xll.EQNXTDZ($A$1,$B15,AY$1)</f>
        <v>20.100000000000001</v>
      </c>
      <c r="AZ15" s="116" cm="1">
        <f t="array" ref="AZ15">_xll.EQNXTDZ($A$1,$B15,AZ$1)</f>
        <v>25.45</v>
      </c>
      <c r="BA15" s="116" cm="1">
        <f t="array" ref="BA15">_xll.EQNXTDZ($A$1,$B15,BA$1)</f>
        <v>22.9</v>
      </c>
      <c r="BB15" s="116" cm="1">
        <f t="array" ref="BB15">_xll.EQNXTDZ($A$1,$B15,BB$1)</f>
        <v>22.524999999999999</v>
      </c>
      <c r="BC15" s="116" cm="1">
        <f t="array" ref="BC15">_xll.EQNXTDZ($A$1,$B15,BC$1)</f>
        <v>27.6</v>
      </c>
      <c r="BD15" s="116" cm="1">
        <f t="array" ref="BD15">_xll.EQNXTDZ($A$1,$B15,BD$1)</f>
        <v>23.274999999999999</v>
      </c>
      <c r="BE15" s="116" cm="1">
        <f t="array" ref="BE15">_xll.EQNXTDZ($A$1,$B15,BE$1)</f>
        <v>26.55</v>
      </c>
      <c r="BF15" s="116" cm="1">
        <f t="array" ref="BF15">_xll.EQNXTDZ($A$1,$B15,BF$1)</f>
        <v>27.65</v>
      </c>
      <c r="BG15" s="116" cm="1">
        <f t="array" ref="BG15">_xll.EQNXTDZ($A$1,$B15,BG$1)</f>
        <v>28.9</v>
      </c>
      <c r="BH15" s="116" cm="1">
        <f t="array" ref="BH15">_xll.EQNXTDZ($A$1,$B15,BH$1)</f>
        <v>38.549999999999997</v>
      </c>
      <c r="BI15" s="116" cm="1">
        <f t="array" ref="BI15">_xll.EQNXTDZ($A$1,$B15,BI$1)</f>
        <v>39.375</v>
      </c>
      <c r="BJ15" s="116" cm="1">
        <f t="array" ref="BJ15">_xll.EQNXTDZ($A$1,$B15,BJ$1)</f>
        <v>36.25</v>
      </c>
      <c r="BK15" s="116" cm="1">
        <f t="array" ref="BK15">_xll.EQNXTDZ($A$1,$B15,BK$1)</f>
        <v>36.15</v>
      </c>
      <c r="BL15" s="116" cm="1">
        <f t="array" ref="BL15">_xll.EQNXTDZ($A$1,$B15,BL$1)</f>
        <v>41.1</v>
      </c>
      <c r="BM15" s="116" cm="1">
        <f t="array" ref="BM15">_xll.EQNXTDZ($A$1,$B15,BM$1)</f>
        <v>42.55</v>
      </c>
      <c r="BN15" s="116" cm="1">
        <f t="array" ref="BN15">_xll.EQNXTDZ($A$1,$B15,BN$1)</f>
        <v>47.9</v>
      </c>
      <c r="BO15" s="116" cm="1">
        <f t="array" ref="BO15">_xll.EQNXTDZ($A$1,$B15,BO$1)</f>
        <v>55.75</v>
      </c>
      <c r="BP15" s="116" cm="1">
        <f t="array" ref="BP15">_xll.EQNXTDZ($A$1,$B15,BP$1)</f>
        <v>55</v>
      </c>
      <c r="BQ15" s="116" cm="1">
        <f t="array" ref="BQ15">_xll.EQNXTDZ($A$1,$B15,BQ$1)</f>
        <v>54.35</v>
      </c>
      <c r="BR15" s="116" cm="1">
        <f t="array" ref="BR15">_xll.EQNXTDZ($A$1,$B15,BR$1)</f>
        <v>68.625</v>
      </c>
      <c r="BS15" s="116" cm="1">
        <f t="array" ref="BS15">_xll.EQNXTDZ($A$1,$B15,BS$1)</f>
        <v>57.8</v>
      </c>
      <c r="BT15" s="116" cm="1">
        <f t="array" ref="BT15">_xll.EQNXTDZ($A$1,$B15,BT$1)</f>
        <v>56.8</v>
      </c>
      <c r="BU15" s="116" cm="1">
        <f t="array" ref="BU15">_xll.EQNXTDZ($A$1,$B15,BU$1)</f>
        <v>60.125</v>
      </c>
      <c r="BV15" s="116" cm="1">
        <f t="array" ref="BV15">_xll.EQNXTDZ($A$1,$B15,BV$1)</f>
        <v>46.85</v>
      </c>
      <c r="BW15" s="116" cm="1">
        <f t="array" ref="BW15">_xll.EQNXTDZ($A$1,$B15,BW$1)</f>
        <v>34.125</v>
      </c>
      <c r="BX15" s="116" cm="1">
        <f t="array" ref="BX15">_xll.EQNXTDZ($A$1,$B15,BX$1)</f>
        <v>35</v>
      </c>
      <c r="BY15" s="116" cm="1">
        <f t="array" ref="BY15">_xll.EQNXTDZ($A$1,$B15,BY$1)</f>
        <v>38.549999999999997</v>
      </c>
      <c r="BZ15" s="116" cm="1">
        <f t="array" ref="BZ15">_xll.EQNXTDZ($A$1,$B15,BZ$1)</f>
        <v>35.774999999999999</v>
      </c>
      <c r="CA15" s="116" cm="1">
        <f t="array" ref="CA15">_xll.EQNXTDZ($A$1,$B15,CA$1)</f>
        <v>33.799999999999997</v>
      </c>
      <c r="CB15" s="116" cm="1">
        <f t="array" ref="CB15">_xll.EQNXTDZ($A$1,$B15,CB$1)</f>
        <v>39.625</v>
      </c>
      <c r="CC15" s="116" cm="1">
        <f t="array" ref="CC15">_xll.EQNXTDZ($A$1,$B15,CC$1)</f>
        <v>37.325000000000003</v>
      </c>
      <c r="CD15" s="116" cm="1">
        <f t="array" ref="CD15">_xll.EQNXTDZ($A$1,$B15,CD$1)</f>
        <v>37.424999999999997</v>
      </c>
      <c r="CE15" s="116" cm="1">
        <f t="array" ref="CE15">_xll.EQNXTDZ($A$1,$B15,CE$1)</f>
        <v>37.049999999999997</v>
      </c>
      <c r="CF15" s="116" cm="1">
        <f t="array" ref="CF15">_xll.EQNXTDZ($A$1,$B15,CF$1)</f>
        <v>41.174999999999997</v>
      </c>
      <c r="CG15" s="116" cm="1">
        <f t="array" ref="CG15">_xll.EQNXTDZ($A$1,$B15,CG$1)</f>
        <v>40.450000000000003</v>
      </c>
      <c r="CH15" s="116" cm="1">
        <f t="array" ref="CH15">_xll.EQNXTDZ($A$1,$B15,CH$1)</f>
        <v>36.15</v>
      </c>
      <c r="CI15" s="116" cm="1">
        <f t="array" ref="CI15">_xll.EQNXTDZ($A$1,$B15,CI$1)</f>
        <v>38.549999999999997</v>
      </c>
      <c r="CJ15" s="116" cm="1">
        <f t="array" ref="CJ15">_xll.EQNXTDZ($A$1,$B15,CJ$1)</f>
        <v>32.5</v>
      </c>
      <c r="CK15" s="116" cm="1">
        <f t="array" ref="CK15">_xll.EQNXTDZ($A$1,$B15,CK$1)</f>
        <v>31.55</v>
      </c>
      <c r="CL15" s="116" cm="1">
        <f t="array" ref="CL15">_xll.EQNXTDZ($A$1,$B15,CL$1)</f>
        <v>32.625</v>
      </c>
      <c r="CM15" s="116" cm="1">
        <f t="array" ref="CM15">_xll.EQNXTDZ($A$1,$B15,CM$1)</f>
        <v>38.625</v>
      </c>
      <c r="CN15" s="116" cm="1">
        <f t="array" ref="CN15">_xll.EQNXTDZ($A$1,$B15,CN$1)</f>
        <v>38.975000000000001</v>
      </c>
      <c r="CO15" s="116" cm="1">
        <f t="array" ref="CO15">_xll.EQNXTDZ($A$1,$B15,CO$1)</f>
        <v>35.075000000000003</v>
      </c>
      <c r="CP15" s="116" cm="1">
        <f t="array" ref="CP15">_xll.EQNXTDZ($A$1,$B15,CP$1)</f>
        <v>36.65</v>
      </c>
      <c r="CQ15" s="116" cm="1">
        <f t="array" ref="CQ15">_xll.EQNXTDZ($A$1,$B15,CQ$1)</f>
        <v>37.75</v>
      </c>
      <c r="CR15" s="116" cm="1">
        <f t="array" ref="CR15">_xll.EQNXTDZ($A$1,$B15,CR$1)</f>
        <v>20</v>
      </c>
      <c r="CS15" s="116" cm="1">
        <f t="array" ref="CS15">_xll.EQNXTDZ($A$1,$B15,CS$1)</f>
        <v>21.9</v>
      </c>
      <c r="CT15" s="116" cm="1">
        <f t="array" ref="CT15">_xll.EQNXTDZ($A$1,$B15,CT$1)</f>
        <v>22.75</v>
      </c>
      <c r="CU15" s="116" cm="1">
        <f t="array" ref="CU15">_xll.EQNXTDZ($A$1,$B15,CU$1)</f>
        <v>23.5</v>
      </c>
      <c r="CV15" s="116" cm="1">
        <f t="array" ref="CV15">_xll.EQNXTDZ($A$1,$B15,CV$1)</f>
        <v>27.274999999999999</v>
      </c>
      <c r="CW15" s="116" cm="1">
        <f t="array" ref="CW15">_xll.EQNXTDZ($A$1,$B15,CW$1)</f>
        <v>27.175000000000001</v>
      </c>
      <c r="CX15" s="116" cm="1">
        <f t="array" ref="CX15">_xll.EQNXTDZ($A$1,$B15,CX$1)</f>
        <v>30</v>
      </c>
      <c r="CY15" s="116" cm="1">
        <f t="array" ref="CY15">_xll.EQNXTDZ($A$1,$B15,CY$1)</f>
        <v>29.1</v>
      </c>
      <c r="CZ15" s="116" cm="1">
        <f t="array" ref="CZ15">_xll.EQNXTDZ($A$1,$B15,CZ$1)</f>
        <v>29.45</v>
      </c>
      <c r="DA15" s="116" cm="1">
        <f t="array" ref="DA15">_xll.EQNXTDZ($A$1,$B15,DA$1)</f>
        <v>33.725000000000001</v>
      </c>
      <c r="DB15" s="116" cm="1">
        <f t="array" ref="DB15">_xll.EQNXTDZ($A$1,$B15,DB$1)</f>
        <v>34.5</v>
      </c>
      <c r="DC15" s="116" cm="1">
        <f t="array" ref="DC15">_xll.EQNXTDZ($A$1,$B15,DC$1)</f>
        <v>34.375</v>
      </c>
      <c r="DD15" s="116" cm="1">
        <f t="array" ref="DD15">_xll.EQNXTDZ($A$1,$B15,DD$1)</f>
        <v>35.075000000000003</v>
      </c>
      <c r="DE15" s="116" cm="1">
        <f t="array" ref="DE15">_xll.EQNXTDZ($A$1,$B15,DE$1)</f>
        <v>35.325000000000003</v>
      </c>
      <c r="DF15" s="116" cm="1">
        <f t="array" ref="DF15">_xll.EQNXTDZ($A$1,$B15,DF$1)</f>
        <v>42.3</v>
      </c>
      <c r="DG15" s="116" cm="1">
        <f t="array" ref="DG15">_xll.EQNXTDZ($A$1,$B15,DG$1)</f>
        <v>49.8</v>
      </c>
      <c r="DH15" s="116" cm="1">
        <f t="array" ref="DH15">_xll.EQNXTDZ($A$1,$B15,DH$1)</f>
        <v>58.225000000000001</v>
      </c>
      <c r="DI15" s="116" cm="1">
        <f t="array" ref="DI15">_xll.EQNXTDZ($A$1,$B15,DI$1)</f>
        <v>57.825000000000003</v>
      </c>
      <c r="DJ15" s="116" cm="1">
        <f t="array" ref="DJ15">_xll.EQNXTDZ($A$1,$B15,DJ$1)</f>
        <v>55.15</v>
      </c>
      <c r="DK15" s="116" cm="1">
        <f t="array" ref="DK15">_xll.EQNXTDZ($A$1,$B15,DK$1)</f>
        <v>54.524999999999999</v>
      </c>
      <c r="DL15" s="116" cm="1">
        <f t="array" ref="DL15">_xll.EQNXTDZ($A$1,$B15,DL$1)</f>
        <v>48.174999999999997</v>
      </c>
      <c r="DM15" s="116" cm="1">
        <f t="array" ref="DM15">_xll.EQNXTDZ($A$1,$B15,DM$1)</f>
        <v>46.75</v>
      </c>
      <c r="DN15" s="116" cm="1">
        <f t="array" ref="DN15">_xll.EQNXTDZ($A$1,$B15,DN$1)</f>
        <v>49</v>
      </c>
      <c r="DO15" s="116" cm="1">
        <f t="array" ref="DO15">_xll.EQNXTDZ($A$1,$B15,DO$1)</f>
        <v>40.125</v>
      </c>
      <c r="DP15" s="116" cm="1">
        <f t="array" ref="DP15">_xll.EQNXTDZ($A$1,$B15,DP$1)</f>
        <v>42.075000000000003</v>
      </c>
      <c r="DQ15" s="116" cm="1">
        <f t="array" ref="DQ15">_xll.EQNXTDZ($A$1,$B15,DQ$1)</f>
        <v>45</v>
      </c>
      <c r="DR15" s="116" cm="1">
        <f t="array" ref="DR15">_xll.EQNXTDZ($A$1,$B15,DR$1)</f>
        <v>38.799999999999997</v>
      </c>
      <c r="DS15" s="116" cm="1">
        <f t="array" ref="DS15">_xll.EQNXTDZ($A$1,$B15,DS$1)</f>
        <v>37.549999999999997</v>
      </c>
      <c r="DT15" s="116" cm="1">
        <f t="array" ref="DT15">_xll.EQNXTDZ($A$1,$B15,DT$1)</f>
        <v>38.450000000000003</v>
      </c>
      <c r="DU15" s="116" cm="1">
        <f t="array" ref="DU15">_xll.EQNXTDZ($A$1,$B15,DU$1)</f>
        <v>40.549999999999997</v>
      </c>
      <c r="DV15" s="116" cm="1">
        <f t="array" ref="DV15">_xll.EQNXTDZ($A$1,$B15,DV$1)</f>
        <v>39.975000000000001</v>
      </c>
      <c r="DW15" s="116" cm="1">
        <f t="array" ref="DW15">_xll.EQNXTDZ($A$1,$B15,DW$1)</f>
        <v>38.700000000000003</v>
      </c>
      <c r="DX15" s="116" cm="1">
        <f t="array" ref="DX15">_xll.EQNXTDZ($A$1,$B15,DX$1)</f>
        <v>38.725000000000001</v>
      </c>
      <c r="DY15" s="116" cm="1">
        <f t="array" ref="DY15">_xll.EQNXTDZ($A$1,$B15,DY$1)</f>
        <v>44.125</v>
      </c>
      <c r="DZ15" s="116" cm="1">
        <f t="array" ref="DZ15">_xll.EQNXTDZ($A$1,$B15,DZ$1)</f>
        <v>51.9</v>
      </c>
      <c r="EA15" s="116" cm="1">
        <f t="array" ref="EA15">_xll.EQNXTDZ($A$1,$B15,EA$1)</f>
        <v>58.825000000000003</v>
      </c>
      <c r="EB15" s="116" cm="1">
        <f t="array" ref="EB15">_xll.EQNXTDZ($A$1,$B15,EB$1)</f>
        <v>67.8</v>
      </c>
      <c r="EC15" s="116" cm="1">
        <f t="array" ref="EC15">_xll.EQNXTDZ($A$1,$B15,EC$1)</f>
        <v>72.575000000000003</v>
      </c>
      <c r="ED15" s="116" cm="1">
        <f t="array" ref="ED15">_xll.EQNXTDZ($A$1,$B15,ED$1)</f>
        <v>77.599999999999994</v>
      </c>
      <c r="EE15" s="116" cm="1">
        <f t="array" ref="EE15">_xll.EQNXTDZ($A$1,$B15,EE$1)</f>
        <v>113.6</v>
      </c>
      <c r="EF15" s="116" cm="1">
        <f t="array" ref="EF15">_xll.EQNXTDZ($A$1,$B15,EF$1)</f>
        <v>128.6</v>
      </c>
      <c r="EG15" s="116" cm="1">
        <f t="array" ref="EG15">_xll.EQNXTDZ($A$1,$B15,EG$1)</f>
        <v>151.1</v>
      </c>
      <c r="EH15" s="116" cm="1">
        <f t="array" ref="EH15">_xll.EQNXTDZ($A$1,$B15,EH$1)</f>
        <v>156.07499999999999</v>
      </c>
      <c r="EI15" s="116" cm="1">
        <f t="array" ref="EI15">_xll.EQNXTDZ($A$1,$B15,EI$1)</f>
        <v>164.875</v>
      </c>
      <c r="EJ15" s="116" cm="1">
        <f t="array" ref="EJ15">_xll.EQNXTDZ($A$1,$B15,EJ$1)</f>
        <v>210.92500000000001</v>
      </c>
      <c r="EK15" s="116" cm="1">
        <f t="array" ref="EK15">_xll.EQNXTDZ($A$1,$B15,EK$1)</f>
        <v>202.3</v>
      </c>
      <c r="EL15" s="116" cm="1">
        <f t="array" ref="EL15">_xll.EQNXTDZ($A$1,$B15,EL$1)</f>
        <v>201.82499999999999</v>
      </c>
      <c r="EM15" s="116" cm="1">
        <f t="array" ref="EM15">_xll.EQNXTDZ($A$1,$B15,EM$1)</f>
        <v>232.5</v>
      </c>
      <c r="EN15" s="116" cm="1">
        <f t="array" ref="EN15">_xll.EQNXTDZ($A$1,$B15,EN$1)</f>
        <v>189.4</v>
      </c>
      <c r="EO15" s="116" cm="1">
        <f t="array" ref="EO15">_xll.EQNXTDZ($A$1,$B15,EO$1)</f>
        <v>220.02500000000001</v>
      </c>
      <c r="EP15" s="116" cm="1">
        <f t="array" ref="EP15">_xll.EQNXTDZ($A$1,$B15,EP$1)</f>
        <v>258</v>
      </c>
      <c r="EQ15" s="116" cm="1">
        <f t="array" ref="EQ15">_xll.EQNXTDZ($A$1,$B15,EQ$1)</f>
        <v>236.1</v>
      </c>
      <c r="ER15" s="116" cm="1">
        <f t="array" ref="ER15">_xll.EQNXTDZ($A$1,$B15,ER$1)</f>
        <v>263</v>
      </c>
      <c r="ES15" s="116" cm="1">
        <f t="array" ref="ES15">_xll.EQNXTDZ($A$1,$B15,ES$1)</f>
        <v>297.60000000000002</v>
      </c>
      <c r="ET15" s="116" cm="1">
        <f t="array" ref="ET15">_xll.EQNXTDZ($A$1,$B15,ET$1)</f>
        <v>332.25</v>
      </c>
      <c r="EU15" s="116" cm="1">
        <f t="array" ref="EU15">_xll.EQNXTDZ($A$1,$B15,EU$1)</f>
        <v>280.14999999999998</v>
      </c>
      <c r="EV15" s="116" cm="1">
        <f t="array" ref="EV15">_xll.EQNXTDZ($A$1,$B15,EV$1)</f>
        <v>287.3</v>
      </c>
      <c r="EW15" s="116" cm="1">
        <f t="array" ref="EW15">_xll.EQNXTDZ($A$1,$B15,EW$1)</f>
        <v>287.45</v>
      </c>
      <c r="EX15" s="116" cm="1">
        <f t="array" ref="EX15">_xll.EQNXTDZ($A$1,$B15,EX$1)</f>
        <v>217.65</v>
      </c>
      <c r="EY15" s="116" cm="1">
        <f t="array" ref="EY15">_xll.EQNXTDZ($A$1,$B15,EY$1)</f>
        <v>225</v>
      </c>
      <c r="EZ15" s="116" cm="1">
        <f t="array" ref="EZ15">_xll.EQNXTDZ($A$1,$B15,EZ$1)</f>
        <v>230.65</v>
      </c>
      <c r="FA15" s="116" cm="1">
        <f t="array" ref="FA15">_xll.EQNXTDZ($A$1,$B15,FA$1)</f>
        <v>210.85</v>
      </c>
      <c r="FB15" s="116" cm="1">
        <f t="array" ref="FB15">_xll.EQNXTDZ($A$1,$B15,FB$1)</f>
        <v>199.75</v>
      </c>
      <c r="FC15" s="116" cm="1">
        <f t="array" ref="FC15">_xll.EQNXTDZ($A$1,$B15,FC$1)</f>
        <v>210</v>
      </c>
      <c r="FD15" s="116" cm="1">
        <f t="array" ref="FD15">_xll.EQNXTDZ($A$1,$B15,FD$1)</f>
        <v>206.2</v>
      </c>
      <c r="FE15" s="116" cm="1">
        <f t="array" ref="FE15">_xll.EQNXTDZ($A$1,$B15,FE$1)</f>
        <v>196.1</v>
      </c>
      <c r="FF15" s="116" cm="1">
        <f t="array" ref="FF15">_xll.EQNXTDZ($A$1,$B15,FF$1)</f>
        <v>197.4</v>
      </c>
      <c r="FG15" s="116" cm="1">
        <f t="array" ref="FG15">_xll.EQNXTDZ($A$1,$B15,FG$1)</f>
        <v>175</v>
      </c>
      <c r="FH15" s="116" cm="1">
        <f t="array" ref="FH15">_xll.EQNXTDZ($A$1,$B15,FH$1)</f>
        <v>160.25</v>
      </c>
      <c r="FI15" s="116" cm="1">
        <f t="array" ref="FI15">_xll.EQNXTDZ($A$1,$B15,FI$1)</f>
        <v>153.19999999999999</v>
      </c>
      <c r="FJ15" s="116" cm="1">
        <f t="array" ref="FJ15">_xll.EQNXTDZ($A$1,$B15,FJ$1)</f>
        <v>154.1</v>
      </c>
      <c r="FK15" s="116" cm="1">
        <f t="array" ref="FK15">_xll.EQNXTDZ($A$1,$B15,FK$1)</f>
        <v>169.05</v>
      </c>
      <c r="FL15" s="116" cm="1">
        <f t="array" ref="FL15">_xll.EQNXTDZ($A$1,$B15,FL$1)</f>
        <v>159.05000000000001</v>
      </c>
      <c r="FM15" s="116" cm="1">
        <f t="array" ref="FM15">_xll.EQNXTDZ($A$1,$B15,FM$1)</f>
        <v>184.4</v>
      </c>
      <c r="FN15" s="116" cm="1">
        <f t="array" ref="FN15">_xll.EQNXTDZ($A$1,$B15,FN$1)</f>
        <v>214.1</v>
      </c>
      <c r="FO15" s="116" cm="1">
        <f t="array" ref="FO15">_xll.EQNXTDZ($A$1,$B15,FO$1)</f>
        <v>221.6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55.524999999999999</v>
      </c>
      <c r="HQ15" s="116">
        <f>+MIN(G15:I15)</f>
        <v>50.85</v>
      </c>
      <c r="HR15" s="116">
        <f>+MIN(J15:L15)</f>
        <v>39</v>
      </c>
      <c r="HS15" s="116">
        <f>+MIN(M15:O15)</f>
        <v>24.35</v>
      </c>
      <c r="HT15" s="116">
        <f>+MIN(P15:R15)</f>
        <v>18.95</v>
      </c>
      <c r="HU15" s="116">
        <f>+MIN(S15:U15)</f>
        <v>21.35</v>
      </c>
      <c r="HV15" s="116">
        <f>+MIN(V15:X15)</f>
        <v>23.125</v>
      </c>
      <c r="HW15" s="116">
        <f>+MIN(Y15:AA15)</f>
        <v>26.55</v>
      </c>
      <c r="HX15" s="116">
        <f>+MIN(AB15:AD15)</f>
        <v>35.85</v>
      </c>
      <c r="HY15" s="116">
        <f>+MIN(AE15:AG15)</f>
        <v>37.25</v>
      </c>
      <c r="HZ15" s="116">
        <f>+MIN(AH15:AJ15)</f>
        <v>28.125</v>
      </c>
      <c r="IA15" s="116">
        <f>+MIN(AK15:AM15)</f>
        <v>25.55</v>
      </c>
      <c r="IB15" s="116">
        <f>+MIN(AN15:AP15)</f>
        <v>29.25</v>
      </c>
      <c r="IC15" s="116">
        <f>+MIN(AQ15:AS15)</f>
        <v>29.875</v>
      </c>
      <c r="ID15" s="116">
        <f>+MIN(AT15:AV15)</f>
        <v>17.824999999999999</v>
      </c>
      <c r="IE15" s="116">
        <f>+MIN(AW15:AY15)</f>
        <v>19.25</v>
      </c>
      <c r="IF15" s="116">
        <f>+MIN(AZ15:BB15)</f>
        <v>22.524999999999999</v>
      </c>
      <c r="IG15" s="116">
        <f>+MIN(BC15:BE15)</f>
        <v>23.274999999999999</v>
      </c>
      <c r="IH15" s="116">
        <f>+MIN(BF15:BH15)</f>
        <v>27.65</v>
      </c>
      <c r="II15" s="116">
        <f>+MIN(BI15:BK15)</f>
        <v>36.15</v>
      </c>
      <c r="IJ15" s="116">
        <f>+MIN(BL15:BN15)</f>
        <v>41.1</v>
      </c>
      <c r="IK15" s="116">
        <f>+MIN(BO15:BQ15)</f>
        <v>54.35</v>
      </c>
      <c r="IL15" s="116">
        <f>+MIN(BR15:BT15)</f>
        <v>56.8</v>
      </c>
      <c r="IM15" s="116">
        <f>+MIN(BU15:BW15)</f>
        <v>34.125</v>
      </c>
      <c r="IN15" s="116">
        <f>+MIN(BX15:BZ15)</f>
        <v>35</v>
      </c>
      <c r="IO15" s="116">
        <f>+MIN(CA15:CC15)</f>
        <v>33.799999999999997</v>
      </c>
      <c r="IP15" s="116">
        <f>+MIN(CD15:CF15)</f>
        <v>37.049999999999997</v>
      </c>
      <c r="IQ15" s="116">
        <f>+MIN(CG15:CI15)</f>
        <v>36.15</v>
      </c>
      <c r="IR15" s="116">
        <f>+MIN(CJ15:CL15)</f>
        <v>31.55</v>
      </c>
      <c r="IS15" s="116">
        <f>+MIN(CM15:CO15)</f>
        <v>35.075000000000003</v>
      </c>
      <c r="IT15" s="116">
        <f>+MIN(CP15:CR15)</f>
        <v>20</v>
      </c>
      <c r="IU15" s="116">
        <f>+MIN(CS15:CU15)</f>
        <v>21.9</v>
      </c>
      <c r="IV15" s="116">
        <f>+MIN(CV15:CX15)</f>
        <v>27.175000000000001</v>
      </c>
      <c r="IW15" s="116">
        <f>+MIN(CY15:DA15)</f>
        <v>29.1</v>
      </c>
      <c r="IX15" s="116">
        <f>+MIN(DB15:DD15)</f>
        <v>34.375</v>
      </c>
      <c r="IY15" s="116">
        <f>+MIN(DE15:DG15)</f>
        <v>35.325000000000003</v>
      </c>
      <c r="IZ15" s="116">
        <f>+MIN(DH15:DJ15)</f>
        <v>55.15</v>
      </c>
      <c r="JA15" s="116">
        <f>+MIN(DK15:DM15)</f>
        <v>46.75</v>
      </c>
      <c r="JB15" s="116">
        <f>+MIN(DN15:DP15)</f>
        <v>40.125</v>
      </c>
      <c r="JC15" s="116">
        <f>+MIN(DQ15:DS15)</f>
        <v>37.549999999999997</v>
      </c>
      <c r="JD15" s="116">
        <f>+MIN(DT15:DV15)</f>
        <v>38.450000000000003</v>
      </c>
      <c r="JE15" s="116">
        <f>+MIN(DW15:DY15)</f>
        <v>38.700000000000003</v>
      </c>
      <c r="JF15" s="116">
        <f>+MIN(DZ15:EB15)</f>
        <v>51.9</v>
      </c>
      <c r="JG15" s="116">
        <f>+MIN(EC15:EE15)</f>
        <v>72.575000000000003</v>
      </c>
      <c r="JH15" s="116">
        <f>+MIN(EF15:EH15)</f>
        <v>128.6</v>
      </c>
      <c r="JI15" s="116">
        <f>+MIN(EI15:EK15)</f>
        <v>164.875</v>
      </c>
      <c r="JJ15" s="116">
        <f>+MIN(EL15:EN15)</f>
        <v>189.4</v>
      </c>
      <c r="JK15" s="116">
        <f>MIN(EO15:EQ15)</f>
        <v>220.02500000000001</v>
      </c>
      <c r="JL15" s="116">
        <f>MIN(ER15:ET15)</f>
        <v>263</v>
      </c>
      <c r="JM15" s="116">
        <f>MIN(EU15:EW15)</f>
        <v>280.14999999999998</v>
      </c>
      <c r="JN15" s="116">
        <f>MIN(EX15:EZ15)</f>
        <v>217.65</v>
      </c>
      <c r="JO15" s="116">
        <f>MIN(FA15:FC15)</f>
        <v>199.75</v>
      </c>
      <c r="JP15" s="116">
        <f>MIN(FD15:FF15)</f>
        <v>196.1</v>
      </c>
      <c r="JQ15" s="116">
        <f>MIN(FG15:FI15)</f>
        <v>153.19999999999999</v>
      </c>
      <c r="JR15" s="116">
        <f>MIN(FJ15:FL15)</f>
        <v>154.1</v>
      </c>
      <c r="JS15" s="116">
        <f>MIN(FM15:FO15)</f>
        <v>184.4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66.174999999999997</v>
      </c>
      <c r="D16" s="116" cm="1">
        <f t="array" ref="D16">_xll.EQNXTDZ($A$1,$B16,D$1)</f>
        <v>59.924999999999997</v>
      </c>
      <c r="E16" s="116" cm="1">
        <f t="array" ref="E16">_xll.EQNXTDZ($A$1,$B16,E$1)</f>
        <v>59.274999999999999</v>
      </c>
      <c r="F16" s="116" cm="1">
        <f t="array" ref="F16">_xll.EQNXTDZ($A$1,$B16,F$1)</f>
        <v>59.25</v>
      </c>
      <c r="G16" s="116" cm="1">
        <f t="array" ref="G16">_xll.EQNXTDZ($A$1,$B16,G$1)</f>
        <v>57</v>
      </c>
      <c r="H16" s="116" cm="1">
        <f t="array" ref="H16">_xll.EQNXTDZ($A$1,$B16,H$1)</f>
        <v>65.825000000000003</v>
      </c>
      <c r="I16" s="116" cm="1">
        <f t="array" ref="I16">_xll.EQNXTDZ($A$1,$B16,I$1)</f>
        <v>64.3</v>
      </c>
      <c r="J16" s="116" cm="1">
        <f t="array" ref="J16">_xll.EQNXTDZ($A$1,$B16,J$1)</f>
        <v>54.5</v>
      </c>
      <c r="K16" s="116" cm="1">
        <f t="array" ref="K16">_xll.EQNXTDZ($A$1,$B16,K$1)</f>
        <v>44.85</v>
      </c>
      <c r="L16" s="116" cm="1">
        <f t="array" ref="L16">_xll.EQNXTDZ($A$1,$B16,L$1)</f>
        <v>41.05</v>
      </c>
      <c r="M16" s="116" cm="1">
        <f t="array" ref="M16">_xll.EQNXTDZ($A$1,$B16,M$1)</f>
        <v>39.549999999999997</v>
      </c>
      <c r="N16" s="116" cm="1">
        <f t="array" ref="N16">_xll.EQNXTDZ($A$1,$B16,N$1)</f>
        <v>35.875</v>
      </c>
      <c r="O16" s="116" cm="1">
        <f t="array" ref="O16">_xll.EQNXTDZ($A$1,$B16,O$1)</f>
        <v>28.65</v>
      </c>
      <c r="P16" s="116" cm="1">
        <f t="array" ref="P16">_xll.EQNXTDZ($A$1,$B16,P$1)</f>
        <v>21.05</v>
      </c>
      <c r="Q16" s="116" cm="1">
        <f t="array" ref="Q16">_xll.EQNXTDZ($A$1,$B16,Q$1)</f>
        <v>24.675000000000001</v>
      </c>
      <c r="R16" s="116" cm="1">
        <f t="array" ref="R16">_xll.EQNXTDZ($A$1,$B16,R$1)</f>
        <v>22.175000000000001</v>
      </c>
      <c r="S16" s="116" cm="1">
        <f t="array" ref="S16">_xll.EQNXTDZ($A$1,$B16,S$1)</f>
        <v>23.925000000000001</v>
      </c>
      <c r="T16" s="116" cm="1">
        <f t="array" ref="T16">_xll.EQNXTDZ($A$1,$B16,T$1)</f>
        <v>23.05</v>
      </c>
      <c r="U16" s="116" cm="1">
        <f t="array" ref="U16">_xll.EQNXTDZ($A$1,$B16,U$1)</f>
        <v>24.524999999999999</v>
      </c>
      <c r="V16" s="116" cm="1">
        <f t="array" ref="V16">_xll.EQNXTDZ($A$1,$B16,V$1)</f>
        <v>25.85</v>
      </c>
      <c r="W16" s="116" cm="1">
        <f t="array" ref="W16">_xll.EQNXTDZ($A$1,$B16,W$1)</f>
        <v>23.574999999999999</v>
      </c>
      <c r="X16" s="116" cm="1">
        <f t="array" ref="X16">_xll.EQNXTDZ($A$1,$B16,X$1)</f>
        <v>28.3</v>
      </c>
      <c r="Y16" s="116" cm="1">
        <f t="array" ref="Y16">_xll.EQNXTDZ($A$1,$B16,Y$1)</f>
        <v>27.85</v>
      </c>
      <c r="Z16" s="116" cm="1">
        <f t="array" ref="Z16">_xll.EQNXTDZ($A$1,$B16,Z$1)</f>
        <v>44.75</v>
      </c>
      <c r="AA16" s="116" cm="1">
        <f t="array" ref="AA16">_xll.EQNXTDZ($A$1,$B16,AA$1)</f>
        <v>41.674999999999997</v>
      </c>
      <c r="AB16" s="116" cm="1">
        <f t="array" ref="AB16">_xll.EQNXTDZ($A$1,$B16,AB$1)</f>
        <v>38.625</v>
      </c>
      <c r="AC16" s="116" cm="1">
        <f t="array" ref="AC16">_xll.EQNXTDZ($A$1,$B16,AC$1)</f>
        <v>38.875</v>
      </c>
      <c r="AD16" s="116" cm="1">
        <f t="array" ref="AD16">_xll.EQNXTDZ($A$1,$B16,AD$1)</f>
        <v>40.35</v>
      </c>
      <c r="AE16" s="116" cm="1">
        <f t="array" ref="AE16">_xll.EQNXTDZ($A$1,$B16,AE$1)</f>
        <v>38.9</v>
      </c>
      <c r="AF16" s="116" cm="1">
        <f t="array" ref="AF16">_xll.EQNXTDZ($A$1,$B16,AF$1)</f>
        <v>55.35</v>
      </c>
      <c r="AG16" s="116" cm="1">
        <f t="array" ref="AG16">_xll.EQNXTDZ($A$1,$B16,AG$1)</f>
        <v>46.7</v>
      </c>
      <c r="AH16" s="116" cm="1">
        <f t="array" ref="AH16">_xll.EQNXTDZ($A$1,$B16,AH$1)</f>
        <v>40.299999999999997</v>
      </c>
      <c r="AI16" s="116" cm="1">
        <f t="array" ref="AI16">_xll.EQNXTDZ($A$1,$B16,AI$1)</f>
        <v>39.075000000000003</v>
      </c>
      <c r="AJ16" s="116" cm="1">
        <f t="array" ref="AJ16">_xll.EQNXTDZ($A$1,$B16,AJ$1)</f>
        <v>32.85</v>
      </c>
      <c r="AK16" s="116" cm="1">
        <f t="array" ref="AK16">_xll.EQNXTDZ($A$1,$B16,AK$1)</f>
        <v>34.475000000000001</v>
      </c>
      <c r="AL16" s="116" cm="1">
        <f t="array" ref="AL16">_xll.EQNXTDZ($A$1,$B16,AL$1)</f>
        <v>30.75</v>
      </c>
      <c r="AM16" s="116" cm="1">
        <f t="array" ref="AM16">_xll.EQNXTDZ($A$1,$B16,AM$1)</f>
        <v>29.3</v>
      </c>
      <c r="AN16" s="116" cm="1">
        <f t="array" ref="AN16">_xll.EQNXTDZ($A$1,$B16,AN$1)</f>
        <v>38.25</v>
      </c>
      <c r="AO16" s="116" cm="1">
        <f t="array" ref="AO16">_xll.EQNXTDZ($A$1,$B16,AO$1)</f>
        <v>33.225000000000001</v>
      </c>
      <c r="AP16" s="116" cm="1">
        <f t="array" ref="AP16">_xll.EQNXTDZ($A$1,$B16,AP$1)</f>
        <v>31.85</v>
      </c>
      <c r="AQ16" s="116" cm="1">
        <f t="array" ref="AQ16">_xll.EQNXTDZ($A$1,$B16,AQ$1)</f>
        <v>32.475000000000001</v>
      </c>
      <c r="AR16" s="116" cm="1">
        <f t="array" ref="AR16">_xll.EQNXTDZ($A$1,$B16,AR$1)</f>
        <v>33.200000000000003</v>
      </c>
      <c r="AS16" s="116" cm="1">
        <f t="array" ref="AS16">_xll.EQNXTDZ($A$1,$B16,AS$1)</f>
        <v>31.25</v>
      </c>
      <c r="AT16" s="116" cm="1">
        <f t="array" ref="AT16">_xll.EQNXTDZ($A$1,$B16,AT$1)</f>
        <v>25.05</v>
      </c>
      <c r="AU16" s="116" cm="1">
        <f t="array" ref="AU16">_xll.EQNXTDZ($A$1,$B16,AU$1)</f>
        <v>17.925000000000001</v>
      </c>
      <c r="AV16" s="116" cm="1">
        <f t="array" ref="AV16">_xll.EQNXTDZ($A$1,$B16,AV$1)</f>
        <v>19.274999999999999</v>
      </c>
      <c r="AW16" s="116" cm="1">
        <f t="array" ref="AW16">_xll.EQNXTDZ($A$1,$B16,AW$1)</f>
        <v>21.375</v>
      </c>
      <c r="AX16" s="116" cm="1">
        <f t="array" ref="AX16">_xll.EQNXTDZ($A$1,$B16,AX$1)</f>
        <v>20.225000000000001</v>
      </c>
      <c r="AY16" s="116" cm="1">
        <f t="array" ref="AY16">_xll.EQNXTDZ($A$1,$B16,AY$1)</f>
        <v>26.65</v>
      </c>
      <c r="AZ16" s="116" cm="1">
        <f t="array" ref="AZ16">_xll.EQNXTDZ($A$1,$B16,AZ$1)</f>
        <v>25.55</v>
      </c>
      <c r="BA16" s="116" cm="1">
        <f t="array" ref="BA16">_xll.EQNXTDZ($A$1,$B16,BA$1)</f>
        <v>23.024999999999999</v>
      </c>
      <c r="BB16" s="116" cm="1">
        <f t="array" ref="BB16">_xll.EQNXTDZ($A$1,$B16,BB$1)</f>
        <v>27.35</v>
      </c>
      <c r="BC16" s="116" cm="1">
        <f t="array" ref="BC16">_xll.EQNXTDZ($A$1,$B16,BC$1)</f>
        <v>32.125</v>
      </c>
      <c r="BD16" s="116" cm="1">
        <f t="array" ref="BD16">_xll.EQNXTDZ($A$1,$B16,BD$1)</f>
        <v>27.725000000000001</v>
      </c>
      <c r="BE16" s="116" cm="1">
        <f t="array" ref="BE16">_xll.EQNXTDZ($A$1,$B16,BE$1)</f>
        <v>27.6</v>
      </c>
      <c r="BF16" s="116" cm="1">
        <f t="array" ref="BF16">_xll.EQNXTDZ($A$1,$B16,BF$1)</f>
        <v>28.95</v>
      </c>
      <c r="BG16" s="116" cm="1">
        <f t="array" ref="BG16">_xll.EQNXTDZ($A$1,$B16,BG$1)</f>
        <v>38.575000000000003</v>
      </c>
      <c r="BH16" s="116" cm="1">
        <f t="array" ref="BH16">_xll.EQNXTDZ($A$1,$B16,BH$1)</f>
        <v>41.7</v>
      </c>
      <c r="BI16" s="116" cm="1">
        <f t="array" ref="BI16">_xll.EQNXTDZ($A$1,$B16,BI$1)</f>
        <v>40.5</v>
      </c>
      <c r="BJ16" s="116" cm="1">
        <f t="array" ref="BJ16">_xll.EQNXTDZ($A$1,$B16,BJ$1)</f>
        <v>36.65</v>
      </c>
      <c r="BK16" s="116" cm="1">
        <f t="array" ref="BK16">_xll.EQNXTDZ($A$1,$B16,BK$1)</f>
        <v>41.975000000000001</v>
      </c>
      <c r="BL16" s="116" cm="1">
        <f t="array" ref="BL16">_xll.EQNXTDZ($A$1,$B16,BL$1)</f>
        <v>51.25</v>
      </c>
      <c r="BM16" s="116" cm="1">
        <f t="array" ref="BM16">_xll.EQNXTDZ($A$1,$B16,BM$1)</f>
        <v>48.475000000000001</v>
      </c>
      <c r="BN16" s="116" cm="1">
        <f t="array" ref="BN16">_xll.EQNXTDZ($A$1,$B16,BN$1)</f>
        <v>56.3</v>
      </c>
      <c r="BO16" s="116" cm="1">
        <f t="array" ref="BO16">_xll.EQNXTDZ($A$1,$B16,BO$1)</f>
        <v>62.575000000000003</v>
      </c>
      <c r="BP16" s="116" cm="1">
        <f t="array" ref="BP16">_xll.EQNXTDZ($A$1,$B16,BP$1)</f>
        <v>62.75</v>
      </c>
      <c r="BQ16" s="116" cm="1">
        <f t="array" ref="BQ16">_xll.EQNXTDZ($A$1,$B16,BQ$1)</f>
        <v>70</v>
      </c>
      <c r="BR16" s="116" cm="1">
        <f t="array" ref="BR16">_xll.EQNXTDZ($A$1,$B16,BR$1)</f>
        <v>74.75</v>
      </c>
      <c r="BS16" s="116" cm="1">
        <f t="array" ref="BS16">_xll.EQNXTDZ($A$1,$B16,BS$1)</f>
        <v>69.099999999999994</v>
      </c>
      <c r="BT16" s="116" cm="1">
        <f t="array" ref="BT16">_xll.EQNXTDZ($A$1,$B16,BT$1)</f>
        <v>59.5</v>
      </c>
      <c r="BU16" s="116" cm="1">
        <f t="array" ref="BU16">_xll.EQNXTDZ($A$1,$B16,BU$1)</f>
        <v>61.75</v>
      </c>
      <c r="BV16" s="116" cm="1">
        <f t="array" ref="BV16">_xll.EQNXTDZ($A$1,$B16,BV$1)</f>
        <v>51.5</v>
      </c>
      <c r="BW16" s="116" cm="1">
        <f t="array" ref="BW16">_xll.EQNXTDZ($A$1,$B16,BW$1)</f>
        <v>39.700000000000003</v>
      </c>
      <c r="BX16" s="116" cm="1">
        <f t="array" ref="BX16">_xll.EQNXTDZ($A$1,$B16,BX$1)</f>
        <v>44.3</v>
      </c>
      <c r="BY16" s="116" cm="1">
        <f t="array" ref="BY16">_xll.EQNXTDZ($A$1,$B16,BY$1)</f>
        <v>46.55</v>
      </c>
      <c r="BZ16" s="116" cm="1">
        <f t="array" ref="BZ16">_xll.EQNXTDZ($A$1,$B16,BZ$1)</f>
        <v>36.4</v>
      </c>
      <c r="CA16" s="116" cm="1">
        <f t="array" ref="CA16">_xll.EQNXTDZ($A$1,$B16,CA$1)</f>
        <v>42.5</v>
      </c>
      <c r="CB16" s="116" cm="1">
        <f t="array" ref="CB16">_xll.EQNXTDZ($A$1,$B16,CB$1)</f>
        <v>40.924999999999997</v>
      </c>
      <c r="CC16" s="116" cm="1">
        <f t="array" ref="CC16">_xll.EQNXTDZ($A$1,$B16,CC$1)</f>
        <v>42.35</v>
      </c>
      <c r="CD16" s="116" cm="1">
        <f t="array" ref="CD16">_xll.EQNXTDZ($A$1,$B16,CD$1)</f>
        <v>43.95</v>
      </c>
      <c r="CE16" s="116" cm="1">
        <f t="array" ref="CE16">_xll.EQNXTDZ($A$1,$B16,CE$1)</f>
        <v>40.700000000000003</v>
      </c>
      <c r="CF16" s="116" cm="1">
        <f t="array" ref="CF16">_xll.EQNXTDZ($A$1,$B16,CF$1)</f>
        <v>43.274999999999999</v>
      </c>
      <c r="CG16" s="116" cm="1">
        <f t="array" ref="CG16">_xll.EQNXTDZ($A$1,$B16,CG$1)</f>
        <v>40.700000000000003</v>
      </c>
      <c r="CH16" s="116" cm="1">
        <f t="array" ref="CH16">_xll.EQNXTDZ($A$1,$B16,CH$1)</f>
        <v>43.9</v>
      </c>
      <c r="CI16" s="116" cm="1">
        <f t="array" ref="CI16">_xll.EQNXTDZ($A$1,$B16,CI$1)</f>
        <v>41.625</v>
      </c>
      <c r="CJ16" s="116" cm="1">
        <f t="array" ref="CJ16">_xll.EQNXTDZ($A$1,$B16,CJ$1)</f>
        <v>33.700000000000003</v>
      </c>
      <c r="CK16" s="116" cm="1">
        <f t="array" ref="CK16">_xll.EQNXTDZ($A$1,$B16,CK$1)</f>
        <v>34.700000000000003</v>
      </c>
      <c r="CL16" s="116" cm="1">
        <f t="array" ref="CL16">_xll.EQNXTDZ($A$1,$B16,CL$1)</f>
        <v>42.8</v>
      </c>
      <c r="CM16" s="116" cm="1">
        <f t="array" ref="CM16">_xll.EQNXTDZ($A$1,$B16,CM$1)</f>
        <v>44.325000000000003</v>
      </c>
      <c r="CN16" s="116" cm="1">
        <f t="array" ref="CN16">_xll.EQNXTDZ($A$1,$B16,CN$1)</f>
        <v>40.299999999999997</v>
      </c>
      <c r="CO16" s="116" cm="1">
        <f t="array" ref="CO16">_xll.EQNXTDZ($A$1,$B16,CO$1)</f>
        <v>36.549999999999997</v>
      </c>
      <c r="CP16" s="116" cm="1">
        <f t="array" ref="CP16">_xll.EQNXTDZ($A$1,$B16,CP$1)</f>
        <v>45.024999999999999</v>
      </c>
      <c r="CQ16" s="116" cm="1">
        <f t="array" ref="CQ16">_xll.EQNXTDZ($A$1,$B16,CQ$1)</f>
        <v>38.024999999999999</v>
      </c>
      <c r="CR16" s="116" cm="1">
        <f t="array" ref="CR16">_xll.EQNXTDZ($A$1,$B16,CR$1)</f>
        <v>22.9</v>
      </c>
      <c r="CS16" s="116" cm="1">
        <f t="array" ref="CS16">_xll.EQNXTDZ($A$1,$B16,CS$1)</f>
        <v>27.95</v>
      </c>
      <c r="CT16" s="116" cm="1">
        <f t="array" ref="CT16">_xll.EQNXTDZ($A$1,$B16,CT$1)</f>
        <v>22.975000000000001</v>
      </c>
      <c r="CU16" s="116" cm="1">
        <f t="array" ref="CU16">_xll.EQNXTDZ($A$1,$B16,CU$1)</f>
        <v>28.95</v>
      </c>
      <c r="CV16" s="116" cm="1">
        <f t="array" ref="CV16">_xll.EQNXTDZ($A$1,$B16,CV$1)</f>
        <v>27.375</v>
      </c>
      <c r="CW16" s="116" cm="1">
        <f t="array" ref="CW16">_xll.EQNXTDZ($A$1,$B16,CW$1)</f>
        <v>31.2</v>
      </c>
      <c r="CX16" s="116" cm="1">
        <f t="array" ref="CX16">_xll.EQNXTDZ($A$1,$B16,CX$1)</f>
        <v>31.475000000000001</v>
      </c>
      <c r="CY16" s="116" cm="1">
        <f t="array" ref="CY16">_xll.EQNXTDZ($A$1,$B16,CY$1)</f>
        <v>30.1</v>
      </c>
      <c r="CZ16" s="116" cm="1">
        <f t="array" ref="CZ16">_xll.EQNXTDZ($A$1,$B16,CZ$1)</f>
        <v>34.875</v>
      </c>
      <c r="DA16" s="116" cm="1">
        <f t="array" ref="DA16">_xll.EQNXTDZ($A$1,$B16,DA$1)</f>
        <v>37.924999999999997</v>
      </c>
      <c r="DB16" s="116" cm="1">
        <f t="array" ref="DB16">_xll.EQNXTDZ($A$1,$B16,DB$1)</f>
        <v>35.524999999999999</v>
      </c>
      <c r="DC16" s="116" cm="1">
        <f t="array" ref="DC16">_xll.EQNXTDZ($A$1,$B16,DC$1)</f>
        <v>39.774999999999999</v>
      </c>
      <c r="DD16" s="116" cm="1">
        <f t="array" ref="DD16">_xll.EQNXTDZ($A$1,$B16,DD$1)</f>
        <v>37.075000000000003</v>
      </c>
      <c r="DE16" s="116" cm="1">
        <f t="array" ref="DE16">_xll.EQNXTDZ($A$1,$B16,DE$1)</f>
        <v>42.75</v>
      </c>
      <c r="DF16" s="116" cm="1">
        <f t="array" ref="DF16">_xll.EQNXTDZ($A$1,$B16,DF$1)</f>
        <v>53.975000000000001</v>
      </c>
      <c r="DG16" s="116" cm="1">
        <f t="array" ref="DG16">_xll.EQNXTDZ($A$1,$B16,DG$1)</f>
        <v>58.475000000000001</v>
      </c>
      <c r="DH16" s="116" cm="1">
        <f t="array" ref="DH16">_xll.EQNXTDZ($A$1,$B16,DH$1)</f>
        <v>69.5</v>
      </c>
      <c r="DI16" s="116" cm="1">
        <f t="array" ref="DI16">_xll.EQNXTDZ($A$1,$B16,DI$1)</f>
        <v>58.975000000000001</v>
      </c>
      <c r="DJ16" s="116" cm="1">
        <f t="array" ref="DJ16">_xll.EQNXTDZ($A$1,$B16,DJ$1)</f>
        <v>57.024999999999999</v>
      </c>
      <c r="DK16" s="116" cm="1">
        <f t="array" ref="DK16">_xll.EQNXTDZ($A$1,$B16,DK$1)</f>
        <v>58.05</v>
      </c>
      <c r="DL16" s="116" cm="1">
        <f t="array" ref="DL16">_xll.EQNXTDZ($A$1,$B16,DL$1)</f>
        <v>50.575000000000003</v>
      </c>
      <c r="DM16" s="116" cm="1">
        <f t="array" ref="DM16">_xll.EQNXTDZ($A$1,$B16,DM$1)</f>
        <v>49.45</v>
      </c>
      <c r="DN16" s="116" cm="1">
        <f t="array" ref="DN16">_xll.EQNXTDZ($A$1,$B16,DN$1)</f>
        <v>50.225000000000001</v>
      </c>
      <c r="DO16" s="116" cm="1">
        <f t="array" ref="DO16">_xll.EQNXTDZ($A$1,$B16,DO$1)</f>
        <v>43.4</v>
      </c>
      <c r="DP16" s="116" cm="1">
        <f t="array" ref="DP16">_xll.EQNXTDZ($A$1,$B16,DP$1)</f>
        <v>45.024999999999999</v>
      </c>
      <c r="DQ16" s="116" cm="1">
        <f t="array" ref="DQ16">_xll.EQNXTDZ($A$1,$B16,DQ$1)</f>
        <v>46.2</v>
      </c>
      <c r="DR16" s="116" cm="1">
        <f t="array" ref="DR16">_xll.EQNXTDZ($A$1,$B16,DR$1)</f>
        <v>43.475000000000001</v>
      </c>
      <c r="DS16" s="116" cm="1">
        <f t="array" ref="DS16">_xll.EQNXTDZ($A$1,$B16,DS$1)</f>
        <v>39.375</v>
      </c>
      <c r="DT16" s="116" cm="1">
        <f t="array" ref="DT16">_xll.EQNXTDZ($A$1,$B16,DT$1)</f>
        <v>42.924999999999997</v>
      </c>
      <c r="DU16" s="116" cm="1">
        <f t="array" ref="DU16">_xll.EQNXTDZ($A$1,$B16,DU$1)</f>
        <v>43.45</v>
      </c>
      <c r="DV16" s="116" cm="1">
        <f t="array" ref="DV16">_xll.EQNXTDZ($A$1,$B16,DV$1)</f>
        <v>41.274999999999999</v>
      </c>
      <c r="DW16" s="116" cm="1">
        <f t="array" ref="DW16">_xll.EQNXTDZ($A$1,$B16,DW$1)</f>
        <v>38.950000000000003</v>
      </c>
      <c r="DX16" s="116" cm="1">
        <f t="array" ref="DX16">_xll.EQNXTDZ($A$1,$B16,DX$1)</f>
        <v>46.65</v>
      </c>
      <c r="DY16" s="116" cm="1">
        <f t="array" ref="DY16">_xll.EQNXTDZ($A$1,$B16,DY$1)</f>
        <v>51.8</v>
      </c>
      <c r="DZ16" s="116" cm="1">
        <f t="array" ref="DZ16">_xll.EQNXTDZ($A$1,$B16,DZ$1)</f>
        <v>62.524999999999999</v>
      </c>
      <c r="EA16" s="116" cm="1">
        <f t="array" ref="EA16">_xll.EQNXTDZ($A$1,$B16,EA$1)</f>
        <v>75.05</v>
      </c>
      <c r="EB16" s="116" cm="1">
        <f t="array" ref="EB16">_xll.EQNXTDZ($A$1,$B16,EB$1)</f>
        <v>72.775000000000006</v>
      </c>
      <c r="EC16" s="116" cm="1">
        <f t="array" ref="EC16">_xll.EQNXTDZ($A$1,$B16,EC$1)</f>
        <v>81.599999999999994</v>
      </c>
      <c r="ED16" s="116" cm="1">
        <f t="array" ref="ED16">_xll.EQNXTDZ($A$1,$B16,ED$1)</f>
        <v>121.575</v>
      </c>
      <c r="EE16" s="116" cm="1">
        <f t="array" ref="EE16">_xll.EQNXTDZ($A$1,$B16,EE$1)</f>
        <v>127.77500000000001</v>
      </c>
      <c r="EF16" s="116" cm="1">
        <f t="array" ref="EF16">_xll.EQNXTDZ($A$1,$B16,EF$1)</f>
        <v>162.15</v>
      </c>
      <c r="EG16" s="116" cm="1">
        <f t="array" ref="EG16">_xll.EQNXTDZ($A$1,$B16,EG$1)</f>
        <v>175.4</v>
      </c>
      <c r="EH16" s="116" cm="1">
        <f t="array" ref="EH16">_xll.EQNXTDZ($A$1,$B16,EH$1)</f>
        <v>173.25</v>
      </c>
      <c r="EI16" s="116" cm="1">
        <f t="array" ref="EI16">_xll.EQNXTDZ($A$1,$B16,EI$1)</f>
        <v>221.57499999999999</v>
      </c>
      <c r="EJ16" s="116" cm="1">
        <f t="array" ref="EJ16">_xll.EQNXTDZ($A$1,$B16,EJ$1)</f>
        <v>228.97499999999999</v>
      </c>
      <c r="EK16" s="116" cm="1">
        <f t="array" ref="EK16">_xll.EQNXTDZ($A$1,$B16,EK$1)</f>
        <v>206</v>
      </c>
      <c r="EL16" s="116" cm="1">
        <f t="array" ref="EL16">_xll.EQNXTDZ($A$1,$B16,EL$1)</f>
        <v>260.625</v>
      </c>
      <c r="EM16" s="116" cm="1">
        <f t="array" ref="EM16">_xll.EQNXTDZ($A$1,$B16,EM$1)</f>
        <v>238.95</v>
      </c>
      <c r="EN16" s="116" cm="1">
        <f t="array" ref="EN16">_xll.EQNXTDZ($A$1,$B16,EN$1)</f>
        <v>216.05</v>
      </c>
      <c r="EO16" s="116" cm="1">
        <f t="array" ref="EO16">_xll.EQNXTDZ($A$1,$B16,EO$1)</f>
        <v>277.5</v>
      </c>
      <c r="EP16" s="116" cm="1">
        <f t="array" ref="EP16">_xll.EQNXTDZ($A$1,$B16,EP$1)</f>
        <v>268.77499999999998</v>
      </c>
      <c r="EQ16" s="116" cm="1">
        <f t="array" ref="EQ16">_xll.EQNXTDZ($A$1,$B16,EQ$1)</f>
        <v>271.72500000000002</v>
      </c>
      <c r="ER16" s="116" cm="1">
        <f t="array" ref="ER16">_xll.EQNXTDZ($A$1,$B16,ER$1)</f>
        <v>323.89999999999998</v>
      </c>
      <c r="ES16" s="116" cm="1">
        <f t="array" ref="ES16">_xll.EQNXTDZ($A$1,$B16,ES$1)</f>
        <v>339.125</v>
      </c>
      <c r="ET16" s="116" cm="1">
        <f t="array" ref="ET16">_xll.EQNXTDZ($A$1,$B16,ET$1)</f>
        <v>371.75</v>
      </c>
      <c r="EU16" s="116" cm="1">
        <f t="array" ref="EU16">_xll.EQNXTDZ($A$1,$B16,EU$1)</f>
        <v>316.45</v>
      </c>
      <c r="EV16" s="116" cm="1">
        <f t="array" ref="EV16">_xll.EQNXTDZ($A$1,$B16,EV$1)</f>
        <v>308.14999999999998</v>
      </c>
      <c r="EW16" s="116" cm="1">
        <f t="array" ref="EW16">_xll.EQNXTDZ($A$1,$B16,EW$1)</f>
        <v>291.25</v>
      </c>
      <c r="EX16" s="116" cm="1">
        <f t="array" ref="EX16">_xll.EQNXTDZ($A$1,$B16,EX$1)</f>
        <v>250.1</v>
      </c>
      <c r="EY16" s="116" cm="1">
        <f t="array" ref="EY16">_xll.EQNXTDZ($A$1,$B16,EY$1)</f>
        <v>246.2</v>
      </c>
      <c r="EZ16" s="116" cm="1">
        <f t="array" ref="EZ16">_xll.EQNXTDZ($A$1,$B16,EZ$1)</f>
        <v>270.10000000000002</v>
      </c>
      <c r="FA16" s="116" cm="1">
        <f t="array" ref="FA16">_xll.EQNXTDZ($A$1,$B16,FA$1)</f>
        <v>248.1</v>
      </c>
      <c r="FB16" s="116" cm="1">
        <f t="array" ref="FB16">_xll.EQNXTDZ($A$1,$B16,FB$1)</f>
        <v>211.65</v>
      </c>
      <c r="FC16" s="116" cm="1">
        <f t="array" ref="FC16">_xll.EQNXTDZ($A$1,$B16,FC$1)</f>
        <v>240.75</v>
      </c>
      <c r="FD16" s="116" cm="1">
        <f t="array" ref="FD16">_xll.EQNXTDZ($A$1,$B16,FD$1)</f>
        <v>210.4</v>
      </c>
      <c r="FE16" s="116" cm="1">
        <f t="array" ref="FE16">_xll.EQNXTDZ($A$1,$B16,FE$1)</f>
        <v>197.25</v>
      </c>
      <c r="FF16" s="116" cm="1">
        <f t="array" ref="FF16">_xll.EQNXTDZ($A$1,$B16,FF$1)</f>
        <v>202.6</v>
      </c>
      <c r="FG16" s="116" cm="1">
        <f t="array" ref="FG16">_xll.EQNXTDZ($A$1,$B16,FG$1)</f>
        <v>175.3</v>
      </c>
      <c r="FH16" s="116" cm="1">
        <f t="array" ref="FH16">_xll.EQNXTDZ($A$1,$B16,FH$1)</f>
        <v>162.75</v>
      </c>
      <c r="FI16" s="116" cm="1">
        <f t="array" ref="FI16">_xll.EQNXTDZ($A$1,$B16,FI$1)</f>
        <v>168</v>
      </c>
      <c r="FJ16" s="116" cm="1">
        <f t="array" ref="FJ16">_xll.EQNXTDZ($A$1,$B16,FJ$1)</f>
        <v>175.85</v>
      </c>
      <c r="FK16" s="116" cm="1">
        <f t="array" ref="FK16">_xll.EQNXTDZ($A$1,$B16,FK$1)</f>
        <v>184.95</v>
      </c>
      <c r="FL16" s="116" cm="1">
        <f t="array" ref="FL16">_xll.EQNXTDZ($A$1,$B16,FL$1)</f>
        <v>183.25</v>
      </c>
      <c r="FM16" s="116" cm="1">
        <f t="array" ref="FM16">_xll.EQNXTDZ($A$1,$B16,FM$1)</f>
        <v>222.7</v>
      </c>
      <c r="FN16" s="116" cm="1">
        <f t="array" ref="FN16">_xll.EQNXTDZ($A$1,$B16,FN$1)</f>
        <v>246.95</v>
      </c>
      <c r="FO16" s="116" cm="1">
        <f t="array" ref="FO16">_xll.EQNXTDZ($A$1,$B16,FO$1)</f>
        <v>247.8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59.25</v>
      </c>
      <c r="HQ16" s="116">
        <f>+I16</f>
        <v>64.3</v>
      </c>
      <c r="HR16" s="116">
        <f>+L16</f>
        <v>41.05</v>
      </c>
      <c r="HS16" s="116">
        <f>+O16</f>
        <v>28.65</v>
      </c>
      <c r="HT16" s="116">
        <f>+R16</f>
        <v>22.175000000000001</v>
      </c>
      <c r="HU16" s="116">
        <f>+U16</f>
        <v>24.524999999999999</v>
      </c>
      <c r="HV16" s="116">
        <f>+X16</f>
        <v>28.3</v>
      </c>
      <c r="HW16" s="116">
        <f>+AA16</f>
        <v>41.674999999999997</v>
      </c>
      <c r="HX16" s="116">
        <f>+AD16</f>
        <v>40.35</v>
      </c>
      <c r="HY16" s="116">
        <f>+AG16</f>
        <v>46.7</v>
      </c>
      <c r="HZ16" s="116">
        <f>+AJ16</f>
        <v>32.85</v>
      </c>
      <c r="IA16" s="116">
        <f>+AM16</f>
        <v>29.3</v>
      </c>
      <c r="IB16" s="116">
        <f>+AP16</f>
        <v>31.85</v>
      </c>
      <c r="IC16" s="116">
        <f>+AS16</f>
        <v>31.25</v>
      </c>
      <c r="ID16" s="116">
        <f>+AV16</f>
        <v>19.274999999999999</v>
      </c>
      <c r="IE16" s="116">
        <f>+AY16</f>
        <v>26.65</v>
      </c>
      <c r="IF16" s="116">
        <f>+BB16</f>
        <v>27.35</v>
      </c>
      <c r="IG16" s="116">
        <f>+BE16</f>
        <v>27.6</v>
      </c>
      <c r="IH16" s="116">
        <f>+BH16</f>
        <v>41.7</v>
      </c>
      <c r="II16" s="116">
        <f>+BK16</f>
        <v>41.975000000000001</v>
      </c>
      <c r="IJ16" s="116">
        <f>+BN16</f>
        <v>56.3</v>
      </c>
      <c r="IK16" s="116">
        <f>+BQ16</f>
        <v>70</v>
      </c>
      <c r="IL16" s="116">
        <f>+BT16</f>
        <v>59.5</v>
      </c>
      <c r="IM16" s="116">
        <f>+BW16</f>
        <v>39.700000000000003</v>
      </c>
      <c r="IN16" s="116">
        <f>+BZ16</f>
        <v>36.4</v>
      </c>
      <c r="IO16" s="116">
        <f>+CC16</f>
        <v>42.35</v>
      </c>
      <c r="IP16" s="116">
        <f>+CF16</f>
        <v>43.274999999999999</v>
      </c>
      <c r="IQ16" s="116">
        <f>+CI16</f>
        <v>41.625</v>
      </c>
      <c r="IR16" s="116">
        <f>+CL16</f>
        <v>42.8</v>
      </c>
      <c r="IS16" s="116">
        <f>+CO16</f>
        <v>36.549999999999997</v>
      </c>
      <c r="IT16" s="116">
        <f>+CR16</f>
        <v>22.9</v>
      </c>
      <c r="IU16" s="116">
        <f>+CU16</f>
        <v>28.95</v>
      </c>
      <c r="IV16" s="116">
        <f>+CX16</f>
        <v>31.475000000000001</v>
      </c>
      <c r="IW16" s="116">
        <f>+DA16</f>
        <v>37.924999999999997</v>
      </c>
      <c r="IX16" s="116">
        <f>+DD16</f>
        <v>37.075000000000003</v>
      </c>
      <c r="IY16" s="116">
        <f>+DG16</f>
        <v>58.475000000000001</v>
      </c>
      <c r="IZ16" s="116">
        <f>+DJ16</f>
        <v>57.024999999999999</v>
      </c>
      <c r="JA16" s="116">
        <f>+DM16</f>
        <v>49.45</v>
      </c>
      <c r="JB16" s="116">
        <f>+DP16</f>
        <v>45.024999999999999</v>
      </c>
      <c r="JC16" s="116">
        <f>+DS16</f>
        <v>39.375</v>
      </c>
      <c r="JD16" s="116">
        <f>+DV16</f>
        <v>41.274999999999999</v>
      </c>
      <c r="JE16" s="116">
        <f>+DY16</f>
        <v>51.8</v>
      </c>
      <c r="JF16" s="116">
        <f>+EB16</f>
        <v>72.775000000000006</v>
      </c>
      <c r="JG16" s="116">
        <f>+EE16</f>
        <v>127.77500000000001</v>
      </c>
      <c r="JH16" s="116">
        <f>+EH16</f>
        <v>173.25</v>
      </c>
      <c r="JI16" s="116">
        <f>+EK16</f>
        <v>206</v>
      </c>
      <c r="JJ16" s="116">
        <f>+EN16</f>
        <v>216.05</v>
      </c>
      <c r="JK16" s="116">
        <f>EQ16</f>
        <v>271.72500000000002</v>
      </c>
      <c r="JL16" s="116">
        <f>ET16</f>
        <v>371.75</v>
      </c>
      <c r="JM16" s="116">
        <f>EW16</f>
        <v>291.25</v>
      </c>
      <c r="JN16" s="116">
        <f>EZ16</f>
        <v>270.10000000000002</v>
      </c>
      <c r="JO16" s="116">
        <f>FC16</f>
        <v>240.75</v>
      </c>
      <c r="JP16" s="116">
        <f>FF16</f>
        <v>202.6</v>
      </c>
      <c r="JQ16" s="116">
        <f>FI16</f>
        <v>168</v>
      </c>
      <c r="JR16" s="116">
        <f>FL16</f>
        <v>183.25</v>
      </c>
      <c r="JS16" s="116">
        <f>FO16</f>
        <v>247.8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69.325000000000003</v>
      </c>
      <c r="HQ19" s="116">
        <f t="shared" ref="HQ19:JI21" si="1">+IF(HQ14=0,HQ7,HQ14)</f>
        <v>68.75</v>
      </c>
      <c r="HR19" s="116">
        <f t="shared" si="1"/>
        <v>68.400000000000006</v>
      </c>
      <c r="HS19" s="116">
        <f t="shared" si="1"/>
        <v>46.45</v>
      </c>
      <c r="HT19" s="116">
        <f t="shared" si="1"/>
        <v>31.875</v>
      </c>
      <c r="HU19" s="116">
        <f t="shared" si="1"/>
        <v>27.074999999999999</v>
      </c>
      <c r="HV19" s="116">
        <f t="shared" si="1"/>
        <v>31.65</v>
      </c>
      <c r="HW19" s="116">
        <f t="shared" si="1"/>
        <v>47.95</v>
      </c>
      <c r="HX19" s="116">
        <f t="shared" si="1"/>
        <v>49.174999999999997</v>
      </c>
      <c r="HY19" s="116">
        <f t="shared" si="1"/>
        <v>57.9</v>
      </c>
      <c r="HZ19" s="116">
        <f t="shared" si="1"/>
        <v>48.6</v>
      </c>
      <c r="IA19" s="116">
        <f t="shared" si="1"/>
        <v>37.299999999999997</v>
      </c>
      <c r="IB19" s="116">
        <f t="shared" si="1"/>
        <v>42.7</v>
      </c>
      <c r="IC19" s="116">
        <f t="shared" si="1"/>
        <v>36.825000000000003</v>
      </c>
      <c r="ID19" s="116">
        <f t="shared" si="1"/>
        <v>32.825000000000003</v>
      </c>
      <c r="IE19" s="116">
        <f t="shared" si="1"/>
        <v>27.8</v>
      </c>
      <c r="IF19" s="116">
        <f t="shared" si="1"/>
        <v>29.9</v>
      </c>
      <c r="IG19" s="116">
        <f t="shared" si="1"/>
        <v>33.799999999999997</v>
      </c>
      <c r="IH19" s="116">
        <f t="shared" si="1"/>
        <v>43.725000000000001</v>
      </c>
      <c r="II19" s="116">
        <f t="shared" si="1"/>
        <v>46.174999999999997</v>
      </c>
      <c r="IJ19" s="116">
        <f t="shared" si="1"/>
        <v>61.45</v>
      </c>
      <c r="IK19" s="116">
        <f t="shared" si="1"/>
        <v>71.900000000000006</v>
      </c>
      <c r="IL19" s="116">
        <f t="shared" si="1"/>
        <v>91</v>
      </c>
      <c r="IM19" s="116">
        <f t="shared" si="1"/>
        <v>68.349999999999994</v>
      </c>
      <c r="IN19" s="116">
        <f t="shared" si="1"/>
        <v>51</v>
      </c>
      <c r="IO19" s="116">
        <f t="shared" si="1"/>
        <v>45.274999999999999</v>
      </c>
      <c r="IP19" s="116">
        <f t="shared" si="1"/>
        <v>48.625</v>
      </c>
      <c r="IQ19" s="116">
        <f t="shared" si="1"/>
        <v>46.35</v>
      </c>
      <c r="IR19" s="116">
        <f t="shared" si="1"/>
        <v>44.25</v>
      </c>
      <c r="IS19" s="116">
        <f t="shared" si="1"/>
        <v>46.45</v>
      </c>
      <c r="IT19" s="116">
        <f t="shared" si="1"/>
        <v>51.35</v>
      </c>
      <c r="IU19" s="116">
        <f t="shared" si="1"/>
        <v>31.9</v>
      </c>
      <c r="IV19" s="116">
        <f t="shared" si="1"/>
        <v>37.450000000000003</v>
      </c>
      <c r="IW19" s="116">
        <f t="shared" si="1"/>
        <v>40.950000000000003</v>
      </c>
      <c r="IX19" s="116">
        <f t="shared" si="1"/>
        <v>43.8</v>
      </c>
      <c r="IY19" s="116">
        <f t="shared" si="1"/>
        <v>59.85</v>
      </c>
      <c r="IZ19" s="116">
        <f t="shared" si="1"/>
        <v>73.825000000000003</v>
      </c>
      <c r="JA19" s="116">
        <f t="shared" si="1"/>
        <v>63.975000000000001</v>
      </c>
      <c r="JB19" s="116">
        <f t="shared" si="1"/>
        <v>59.674999999999997</v>
      </c>
      <c r="JC19" s="116">
        <f t="shared" si="1"/>
        <v>51.1</v>
      </c>
      <c r="JD19" s="116">
        <f t="shared" si="1"/>
        <v>46.55</v>
      </c>
      <c r="JE19" s="116">
        <f t="shared" si="1"/>
        <v>53.9</v>
      </c>
      <c r="JF19" s="116">
        <f t="shared" si="1"/>
        <v>89.825000000000003</v>
      </c>
      <c r="JG19" s="116">
        <f t="shared" si="1"/>
        <v>132.19999999999999</v>
      </c>
      <c r="JH19" s="116">
        <f t="shared" si="1"/>
        <v>195.47499999999999</v>
      </c>
      <c r="JI19" s="116">
        <f t="shared" si="1"/>
        <v>257.47500000000002</v>
      </c>
      <c r="JJ19" s="116">
        <f t="shared" ref="JJ19:JJ21" si="2">+IF(JJ14=0,JJ7,JJ14)</f>
        <v>279.14999999999998</v>
      </c>
      <c r="JK19" s="116">
        <f t="shared" ref="JK19" si="3">+IF(JK14=0,JK7,JK14)</f>
        <v>299.02499999999998</v>
      </c>
      <c r="JL19" s="116">
        <f t="shared" ref="JL19:JM19" si="4">+IF(JL14=0,JL7,JL14)</f>
        <v>380</v>
      </c>
      <c r="JM19" s="116">
        <f t="shared" si="4"/>
        <v>383.85</v>
      </c>
      <c r="JN19" s="116">
        <f t="shared" ref="JN19:JO19" si="5">+IF(JN14=0,JN7,JN14)</f>
        <v>288.35000000000002</v>
      </c>
      <c r="JO19" s="116">
        <f t="shared" si="5"/>
        <v>277.39999999999998</v>
      </c>
      <c r="JP19" s="116">
        <f t="shared" ref="JP19" si="6">+IF(JP14=0,JP7,JP14)</f>
        <v>244.9</v>
      </c>
      <c r="JQ19" s="116">
        <f t="shared" ref="JQ19:KH19" si="7">+IF(JQ14=0,JQ7,JQ14)</f>
        <v>213.5</v>
      </c>
      <c r="JR19" s="116">
        <f t="shared" si="7"/>
        <v>211.15</v>
      </c>
      <c r="JS19" s="116">
        <f t="shared" si="7"/>
        <v>267.5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55.524999999999999</v>
      </c>
      <c r="HQ20" s="116">
        <f t="shared" si="8"/>
        <v>50.85</v>
      </c>
      <c r="HR20" s="116">
        <f t="shared" si="8"/>
        <v>39</v>
      </c>
      <c r="HS20" s="116">
        <f t="shared" si="8"/>
        <v>24.35</v>
      </c>
      <c r="HT20" s="116">
        <f t="shared" si="8"/>
        <v>18.95</v>
      </c>
      <c r="HU20" s="116">
        <f t="shared" si="8"/>
        <v>21.35</v>
      </c>
      <c r="HV20" s="116">
        <f t="shared" si="8"/>
        <v>23.125</v>
      </c>
      <c r="HW20" s="116">
        <f t="shared" si="8"/>
        <v>26.55</v>
      </c>
      <c r="HX20" s="116">
        <f t="shared" si="8"/>
        <v>35.85</v>
      </c>
      <c r="HY20" s="116">
        <f t="shared" si="8"/>
        <v>37.25</v>
      </c>
      <c r="HZ20" s="116">
        <f t="shared" si="8"/>
        <v>28.125</v>
      </c>
      <c r="IA20" s="116">
        <f t="shared" si="8"/>
        <v>25.55</v>
      </c>
      <c r="IB20" s="116">
        <f t="shared" si="8"/>
        <v>29.25</v>
      </c>
      <c r="IC20" s="116">
        <f t="shared" si="8"/>
        <v>29.875</v>
      </c>
      <c r="ID20" s="116">
        <f t="shared" si="8"/>
        <v>17.824999999999999</v>
      </c>
      <c r="IE20" s="116">
        <f t="shared" si="8"/>
        <v>19.25</v>
      </c>
      <c r="IF20" s="116">
        <f t="shared" si="1"/>
        <v>22.524999999999999</v>
      </c>
      <c r="IG20" s="116">
        <f t="shared" si="1"/>
        <v>23.274999999999999</v>
      </c>
      <c r="IH20" s="116">
        <f t="shared" si="1"/>
        <v>27.65</v>
      </c>
      <c r="II20" s="116">
        <f t="shared" si="1"/>
        <v>36.15</v>
      </c>
      <c r="IJ20" s="116">
        <f t="shared" si="1"/>
        <v>41.1</v>
      </c>
      <c r="IK20" s="116">
        <f t="shared" si="1"/>
        <v>54.35</v>
      </c>
      <c r="IL20" s="116">
        <f t="shared" si="1"/>
        <v>56.8</v>
      </c>
      <c r="IM20" s="116">
        <f t="shared" si="1"/>
        <v>34.125</v>
      </c>
      <c r="IN20" s="116">
        <f t="shared" si="1"/>
        <v>35</v>
      </c>
      <c r="IO20" s="116">
        <f t="shared" si="1"/>
        <v>33.799999999999997</v>
      </c>
      <c r="IP20" s="116">
        <f t="shared" si="1"/>
        <v>37.049999999999997</v>
      </c>
      <c r="IQ20" s="116">
        <f t="shared" si="1"/>
        <v>36.15</v>
      </c>
      <c r="IR20" s="116">
        <f t="shared" si="1"/>
        <v>31.55</v>
      </c>
      <c r="IS20" s="116">
        <f t="shared" si="1"/>
        <v>35.075000000000003</v>
      </c>
      <c r="IT20" s="116">
        <f t="shared" si="1"/>
        <v>20</v>
      </c>
      <c r="IU20" s="116">
        <f t="shared" si="1"/>
        <v>21.9</v>
      </c>
      <c r="IV20" s="116">
        <f t="shared" si="1"/>
        <v>27.175000000000001</v>
      </c>
      <c r="IW20" s="116">
        <f t="shared" si="1"/>
        <v>29.1</v>
      </c>
      <c r="IX20" s="116">
        <f t="shared" si="1"/>
        <v>34.375</v>
      </c>
      <c r="IY20" s="116">
        <f t="shared" si="1"/>
        <v>35.325000000000003</v>
      </c>
      <c r="IZ20" s="116">
        <f t="shared" si="1"/>
        <v>55.15</v>
      </c>
      <c r="JA20" s="116">
        <f t="shared" si="1"/>
        <v>46.75</v>
      </c>
      <c r="JB20" s="116">
        <f t="shared" si="1"/>
        <v>40.125</v>
      </c>
      <c r="JC20" s="116">
        <f t="shared" si="1"/>
        <v>37.549999999999997</v>
      </c>
      <c r="JD20" s="116">
        <f t="shared" si="1"/>
        <v>38.450000000000003</v>
      </c>
      <c r="JE20" s="116">
        <f t="shared" si="1"/>
        <v>38.700000000000003</v>
      </c>
      <c r="JF20" s="116">
        <f t="shared" si="1"/>
        <v>51.9</v>
      </c>
      <c r="JG20" s="116">
        <f t="shared" si="1"/>
        <v>72.575000000000003</v>
      </c>
      <c r="JH20" s="116">
        <f t="shared" si="1"/>
        <v>128.6</v>
      </c>
      <c r="JI20" s="116">
        <f t="shared" si="1"/>
        <v>164.875</v>
      </c>
      <c r="JJ20" s="116">
        <f t="shared" si="2"/>
        <v>189.4</v>
      </c>
      <c r="JK20" s="116">
        <f t="shared" ref="JK20" si="9">+IF(JK15=0,JK8,JK15)</f>
        <v>220.02500000000001</v>
      </c>
      <c r="JL20" s="116">
        <f t="shared" ref="JL20:JM20" si="10">+IF(JL15=0,JL8,JL15)</f>
        <v>263</v>
      </c>
      <c r="JM20" s="116">
        <f t="shared" si="10"/>
        <v>280.14999999999998</v>
      </c>
      <c r="JN20" s="116">
        <f t="shared" ref="JN20:JO20" si="11">+IF(JN15=0,JN8,JN15)</f>
        <v>217.65</v>
      </c>
      <c r="JO20" s="116">
        <f t="shared" si="11"/>
        <v>199.75</v>
      </c>
      <c r="JP20" s="116">
        <f t="shared" ref="JP20" si="12">+IF(JP15=0,JP8,JP15)</f>
        <v>196.1</v>
      </c>
      <c r="JQ20" s="116">
        <f t="shared" ref="JQ20:KH20" si="13">+IF(JQ15=0,JQ8,JQ15)</f>
        <v>153.19999999999999</v>
      </c>
      <c r="JR20" s="116">
        <f t="shared" si="13"/>
        <v>154.1</v>
      </c>
      <c r="JS20" s="116">
        <f t="shared" si="13"/>
        <v>184.4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59.25</v>
      </c>
      <c r="HQ21" s="116">
        <f t="shared" si="1"/>
        <v>64.3</v>
      </c>
      <c r="HR21" s="116">
        <f t="shared" si="1"/>
        <v>41.05</v>
      </c>
      <c r="HS21" s="116">
        <f t="shared" si="1"/>
        <v>28.65</v>
      </c>
      <c r="HT21" s="116">
        <f t="shared" si="1"/>
        <v>22.175000000000001</v>
      </c>
      <c r="HU21" s="116">
        <f t="shared" si="1"/>
        <v>24.524999999999999</v>
      </c>
      <c r="HV21" s="116">
        <f t="shared" si="1"/>
        <v>28.3</v>
      </c>
      <c r="HW21" s="116">
        <f t="shared" si="1"/>
        <v>41.674999999999997</v>
      </c>
      <c r="HX21" s="116">
        <f t="shared" si="1"/>
        <v>40.35</v>
      </c>
      <c r="HY21" s="116">
        <f t="shared" si="1"/>
        <v>46.7</v>
      </c>
      <c r="HZ21" s="116">
        <f t="shared" si="1"/>
        <v>32.85</v>
      </c>
      <c r="IA21" s="116">
        <f t="shared" si="1"/>
        <v>29.3</v>
      </c>
      <c r="IB21" s="116">
        <f t="shared" si="1"/>
        <v>31.85</v>
      </c>
      <c r="IC21" s="116">
        <f t="shared" si="1"/>
        <v>31.25</v>
      </c>
      <c r="ID21" s="116">
        <f t="shared" si="1"/>
        <v>19.274999999999999</v>
      </c>
      <c r="IE21" s="116">
        <f t="shared" si="1"/>
        <v>26.65</v>
      </c>
      <c r="IF21" s="116">
        <f t="shared" si="1"/>
        <v>27.35</v>
      </c>
      <c r="IG21" s="116">
        <f t="shared" si="1"/>
        <v>27.6</v>
      </c>
      <c r="IH21" s="116">
        <f t="shared" si="1"/>
        <v>41.7</v>
      </c>
      <c r="II21" s="116">
        <f t="shared" si="1"/>
        <v>41.975000000000001</v>
      </c>
      <c r="IJ21" s="116">
        <f t="shared" si="1"/>
        <v>56.3</v>
      </c>
      <c r="IK21" s="116">
        <f t="shared" si="1"/>
        <v>70</v>
      </c>
      <c r="IL21" s="116">
        <f t="shared" si="1"/>
        <v>59.5</v>
      </c>
      <c r="IM21" s="116">
        <f t="shared" si="1"/>
        <v>39.700000000000003</v>
      </c>
      <c r="IN21" s="116">
        <f t="shared" si="1"/>
        <v>36.4</v>
      </c>
      <c r="IO21" s="116">
        <f t="shared" si="1"/>
        <v>42.35</v>
      </c>
      <c r="IP21" s="116">
        <f t="shared" si="1"/>
        <v>43.274999999999999</v>
      </c>
      <c r="IQ21" s="116">
        <f t="shared" si="1"/>
        <v>41.625</v>
      </c>
      <c r="IR21" s="116">
        <f t="shared" si="1"/>
        <v>42.8</v>
      </c>
      <c r="IS21" s="116">
        <f t="shared" si="1"/>
        <v>36.549999999999997</v>
      </c>
      <c r="IT21" s="116">
        <f t="shared" si="1"/>
        <v>22.9</v>
      </c>
      <c r="IU21" s="116">
        <f t="shared" si="1"/>
        <v>28.95</v>
      </c>
      <c r="IV21" s="116">
        <f t="shared" si="1"/>
        <v>31.475000000000001</v>
      </c>
      <c r="IW21" s="116">
        <f t="shared" si="1"/>
        <v>37.924999999999997</v>
      </c>
      <c r="IX21" s="116">
        <f t="shared" si="1"/>
        <v>37.075000000000003</v>
      </c>
      <c r="IY21" s="116">
        <f t="shared" si="1"/>
        <v>58.475000000000001</v>
      </c>
      <c r="IZ21" s="116">
        <f t="shared" si="1"/>
        <v>57.024999999999999</v>
      </c>
      <c r="JA21" s="116">
        <f t="shared" si="1"/>
        <v>49.45</v>
      </c>
      <c r="JB21" s="116">
        <f t="shared" si="1"/>
        <v>45.024999999999999</v>
      </c>
      <c r="JC21" s="116">
        <f t="shared" si="1"/>
        <v>39.375</v>
      </c>
      <c r="JD21" s="116">
        <f t="shared" si="1"/>
        <v>41.274999999999999</v>
      </c>
      <c r="JE21" s="116">
        <f t="shared" si="1"/>
        <v>51.8</v>
      </c>
      <c r="JF21" s="116">
        <f t="shared" si="1"/>
        <v>72.775000000000006</v>
      </c>
      <c r="JG21" s="116">
        <f t="shared" si="1"/>
        <v>127.77500000000001</v>
      </c>
      <c r="JH21" s="116">
        <f t="shared" si="1"/>
        <v>173.25</v>
      </c>
      <c r="JI21" s="116">
        <f t="shared" si="1"/>
        <v>206</v>
      </c>
      <c r="JJ21" s="116">
        <f t="shared" si="2"/>
        <v>216.05</v>
      </c>
      <c r="JK21" s="116">
        <f t="shared" ref="JK21" si="14">+IF(JK16=0,JK9,JK16)</f>
        <v>271.72500000000002</v>
      </c>
      <c r="JL21" s="116">
        <f t="shared" ref="JL21:JM21" si="15">+IF(JL16=0,JL9,JL16)</f>
        <v>371.75</v>
      </c>
      <c r="JM21" s="116">
        <f t="shared" si="15"/>
        <v>291.25</v>
      </c>
      <c r="JN21" s="116">
        <f t="shared" ref="JN21:JO21" si="16">+IF(JN16=0,JN9,JN16)</f>
        <v>270.10000000000002</v>
      </c>
      <c r="JO21" s="116">
        <f t="shared" si="16"/>
        <v>240.75</v>
      </c>
      <c r="JP21" s="116">
        <f t="shared" ref="JP21" si="17">+IF(JP16=0,JP9,JP16)</f>
        <v>202.6</v>
      </c>
      <c r="JQ21" s="116">
        <f t="shared" ref="JQ21:KH21" si="18">+IF(JQ16=0,JQ9,JQ16)</f>
        <v>168</v>
      </c>
      <c r="JR21" s="116">
        <f t="shared" si="18"/>
        <v>183.25</v>
      </c>
      <c r="JS21" s="116">
        <f t="shared" si="18"/>
        <v>247.8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100378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276223521</v>
      </c>
      <c r="D6" cm="1">
        <f t="array" ref="D6">_xll.EQNXTDZ($A$1,$B6,D$1)</f>
        <v>276227521</v>
      </c>
      <c r="E6" cm="1">
        <f t="array" ref="E6">_xll.EQNXTDZ($A$1,$B6,E$1)</f>
        <v>276223521</v>
      </c>
      <c r="F6" cm="1">
        <f t="array" ref="F6">_xll.EQNXTDZ($A$1,$B6,F$1)</f>
        <v>276223521</v>
      </c>
      <c r="G6" cm="1">
        <f t="array" ref="G6">_xll.EQNXTDZ($A$1,$B6,G$1)</f>
        <v>276223521</v>
      </c>
      <c r="H6" cm="1">
        <f t="array" ref="H6">_xll.EQNXTDZ($A$1,$B6,H$1)</f>
        <v>276223521</v>
      </c>
      <c r="I6" cm="1">
        <f t="array" ref="I6">_xll.EQNXTDZ($A$1,$B6,I$1)</f>
        <v>276223521</v>
      </c>
      <c r="J6" cm="1">
        <f t="array" ref="J6">_xll.EQNXTDZ($A$1,$B6,J$1)</f>
        <v>276223521</v>
      </c>
      <c r="K6" cm="1">
        <f t="array" ref="K6">_xll.EQNXTDZ($A$1,$B6,K$1)</f>
        <v>276223521</v>
      </c>
      <c r="L6" cm="1">
        <f t="array" ref="L6">_xll.EQNXTDZ($A$1,$B6,L$1)</f>
        <v>276223521</v>
      </c>
      <c r="M6" cm="1">
        <f t="array" ref="M6">_xll.EQNXTDZ($A$1,$B6,M$1)</f>
        <v>276223521</v>
      </c>
      <c r="N6" cm="1">
        <f t="array" ref="N6">_xll.EQNXTDZ($A$1,$B6,N$1)</f>
        <v>290031935</v>
      </c>
      <c r="O6" cm="1">
        <f t="array" ref="O6">_xll.EQNXTDZ($A$1,$B6,O$1)</f>
        <v>304530631</v>
      </c>
      <c r="P6" cm="1">
        <f t="array" ref="P6">_xll.EQNXTDZ($A$1,$B6,P$1)</f>
        <v>304530631</v>
      </c>
      <c r="Q6" cm="1">
        <f t="array" ref="Q6">_xll.EQNXTDZ($A$1,$B6,Q$1)</f>
        <v>304530631</v>
      </c>
      <c r="R6" cm="1">
        <f t="array" ref="R6">_xll.EQNXTDZ($A$1,$B6,R$1)</f>
        <v>304530631</v>
      </c>
      <c r="S6" cm="1">
        <f t="array" ref="S6">_xll.EQNXTDZ($A$1,$B6,S$1)</f>
        <v>319754117</v>
      </c>
      <c r="T6" cm="1">
        <f t="array" ref="T6">_xll.EQNXTDZ($A$1,$B6,T$1)</f>
        <v>319754117</v>
      </c>
      <c r="U6" cm="1">
        <f t="array" ref="U6">_xll.EQNXTDZ($A$1,$B6,U$1)</f>
        <v>319754117</v>
      </c>
      <c r="V6" cm="1">
        <f t="array" ref="V6">_xll.EQNXTDZ($A$1,$B6,V$1)</f>
        <v>319754117</v>
      </c>
      <c r="W6" cm="1">
        <f t="array" ref="W6">_xll.EQNXTDZ($A$1,$B6,W$1)</f>
        <v>319754117</v>
      </c>
      <c r="X6" cm="1">
        <f t="array" ref="X6">_xll.EQNXTDZ($A$1,$B6,X$1)</f>
        <v>319754117</v>
      </c>
      <c r="Y6" cm="1">
        <f t="array" ref="Y6">_xll.EQNXTDZ($A$1,$B6,Y$1)</f>
        <v>319754117</v>
      </c>
      <c r="Z6" cm="1">
        <f t="array" ref="Z6">_xll.EQNXTDZ($A$1,$B6,Z$1)</f>
        <v>319754117</v>
      </c>
      <c r="AA6" cm="1">
        <f t="array" ref="AA6">_xll.EQNXTDZ($A$1,$B6,AA$1)</f>
        <v>319754117</v>
      </c>
      <c r="AB6" cm="1">
        <f t="array" ref="AB6">_xll.EQNXTDZ($A$1,$B6,AB$1)</f>
        <v>319754117</v>
      </c>
      <c r="AC6" cm="1">
        <f t="array" ref="AC6">_xll.EQNXTDZ($A$1,$B6,AC$1)</f>
        <v>319754117</v>
      </c>
      <c r="AD6" cm="1">
        <f t="array" ref="AD6">_xll.EQNXTDZ($A$1,$B6,AD$1)</f>
        <v>319754117</v>
      </c>
      <c r="AE6" cm="1">
        <f t="array" ref="AE6">_xll.EQNXTDZ($A$1,$B6,AE$1)</f>
        <v>319754117</v>
      </c>
      <c r="AF6" cm="1">
        <f t="array" ref="AF6">_xll.EQNXTDZ($A$1,$B6,AF$1)</f>
        <v>319754117</v>
      </c>
      <c r="AG6" cm="1">
        <f t="array" ref="AG6">_xll.EQNXTDZ($A$1,$B6,AG$1)</f>
        <v>319754117</v>
      </c>
      <c r="AH6" cm="1">
        <f t="array" ref="AH6">_xll.EQNXTDZ($A$1,$B6,AH$1)</f>
        <v>319754117</v>
      </c>
      <c r="AI6" cm="1">
        <f t="array" ref="AI6">_xll.EQNXTDZ($A$1,$B6,AI$1)</f>
        <v>319754117</v>
      </c>
      <c r="AJ6" cm="1">
        <f t="array" ref="AJ6">_xll.EQNXTDZ($A$1,$B6,AJ$1)</f>
        <v>319754117</v>
      </c>
      <c r="AK6" cm="1">
        <f t="array" ref="AK6">_xll.EQNXTDZ($A$1,$B6,AK$1)</f>
        <v>319754117</v>
      </c>
      <c r="AL6" cm="1">
        <f t="array" ref="AL6">_xll.EQNXTDZ($A$1,$B6,AL$1)</f>
        <v>319754117</v>
      </c>
      <c r="AM6" cm="1">
        <f t="array" ref="AM6">_xll.EQNXTDZ($A$1,$B6,AM$1)</f>
        <v>319754117</v>
      </c>
      <c r="AN6" cm="1">
        <f t="array" ref="AN6">_xll.EQNXTDZ($A$1,$B6,AN$1)</f>
        <v>319754117</v>
      </c>
      <c r="AO6" cm="1">
        <f t="array" ref="AO6">_xll.EQNXTDZ($A$1,$B6,AO$1)</f>
        <v>319754117</v>
      </c>
      <c r="AP6" cm="1">
        <f t="array" ref="AP6">_xll.EQNXTDZ($A$1,$B6,AP$1)</f>
        <v>319754117</v>
      </c>
      <c r="AQ6" cm="1">
        <f t="array" ref="AQ6">_xll.EQNXTDZ($A$1,$B6,AQ$1)</f>
        <v>319754117</v>
      </c>
      <c r="AR6" cm="1">
        <f t="array" ref="AR6">_xll.EQNXTDZ($A$1,$B6,AR$1)</f>
        <v>319754117</v>
      </c>
      <c r="AS6" cm="1">
        <f t="array" ref="AS6">_xll.EQNXTDZ($A$1,$B6,AS$1)</f>
        <v>319754117</v>
      </c>
      <c r="AT6" cm="1">
        <f t="array" ref="AT6">_xll.EQNXTDZ($A$1,$B6,AT$1)</f>
        <v>319754117</v>
      </c>
      <c r="AU6" cm="1">
        <f t="array" ref="AU6">_xll.EQNXTDZ($A$1,$B6,AU$1)</f>
        <v>319754117</v>
      </c>
      <c r="AV6" cm="1">
        <f t="array" ref="AV6">_xll.EQNXTDZ($A$1,$B6,AV$1)</f>
        <v>319754117</v>
      </c>
      <c r="AW6" cm="1">
        <f t="array" ref="AW6">_xll.EQNXTDZ($A$1,$B6,AW$1)</f>
        <v>319754117</v>
      </c>
      <c r="AX6" cm="1">
        <f t="array" ref="AX6">_xll.EQNXTDZ($A$1,$B6,AX$1)</f>
        <v>319754117</v>
      </c>
      <c r="AY6" cm="1">
        <f t="array" ref="AY6">_xll.EQNXTDZ($A$1,$B6,AY$1)</f>
        <v>319754117</v>
      </c>
    </row>
    <row r="7" spans="1:51" x14ac:dyDescent="0.25">
      <c r="B7" t="s">
        <v>429</v>
      </c>
      <c r="C7" s="100">
        <f>+C6/10^7</f>
        <v>27.622352100000001</v>
      </c>
      <c r="D7" s="100">
        <f t="shared" ref="D7:X7" si="0">+D6/10^7</f>
        <v>27.6227521</v>
      </c>
      <c r="E7" s="100">
        <f t="shared" si="0"/>
        <v>27.622352100000001</v>
      </c>
      <c r="F7" s="100">
        <f t="shared" si="0"/>
        <v>27.622352100000001</v>
      </c>
      <c r="G7" s="100">
        <f t="shared" si="0"/>
        <v>27.622352100000001</v>
      </c>
      <c r="H7" s="100">
        <f t="shared" si="0"/>
        <v>27.622352100000001</v>
      </c>
      <c r="I7" s="100">
        <f t="shared" si="0"/>
        <v>27.622352100000001</v>
      </c>
      <c r="J7" s="100">
        <f t="shared" si="0"/>
        <v>27.622352100000001</v>
      </c>
      <c r="K7" s="100">
        <f t="shared" si="0"/>
        <v>27.622352100000001</v>
      </c>
      <c r="L7" s="100">
        <f t="shared" si="0"/>
        <v>27.622352100000001</v>
      </c>
      <c r="M7" s="100">
        <f t="shared" si="0"/>
        <v>27.622352100000001</v>
      </c>
      <c r="N7" s="100">
        <f t="shared" si="0"/>
        <v>29.003193499999998</v>
      </c>
      <c r="O7" s="100">
        <f t="shared" si="0"/>
        <v>30.453063100000001</v>
      </c>
      <c r="P7" s="100">
        <f t="shared" si="0"/>
        <v>30.453063100000001</v>
      </c>
      <c r="Q7" s="100">
        <f t="shared" si="0"/>
        <v>30.453063100000001</v>
      </c>
      <c r="R7" s="100">
        <f t="shared" si="0"/>
        <v>30.453063100000001</v>
      </c>
      <c r="S7" s="100">
        <f t="shared" si="0"/>
        <v>31.975411699999999</v>
      </c>
      <c r="T7" s="100">
        <f t="shared" si="0"/>
        <v>31.975411699999999</v>
      </c>
      <c r="U7" s="100">
        <f t="shared" si="0"/>
        <v>31.975411699999999</v>
      </c>
      <c r="V7" s="100">
        <f t="shared" si="0"/>
        <v>31.975411699999999</v>
      </c>
      <c r="W7" s="100">
        <f t="shared" si="0"/>
        <v>31.975411699999999</v>
      </c>
      <c r="X7" s="100">
        <f t="shared" si="0"/>
        <v>31.975411699999999</v>
      </c>
      <c r="Y7" s="100">
        <f t="shared" ref="Y7:AS7" si="1">+Y6/10^7</f>
        <v>31.975411699999999</v>
      </c>
      <c r="Z7" s="100">
        <f t="shared" si="1"/>
        <v>31.975411699999999</v>
      </c>
      <c r="AA7" s="100">
        <f t="shared" si="1"/>
        <v>31.975411699999999</v>
      </c>
      <c r="AB7" s="100">
        <f t="shared" si="1"/>
        <v>31.975411699999999</v>
      </c>
      <c r="AC7" s="100">
        <f t="shared" si="1"/>
        <v>31.975411699999999</v>
      </c>
      <c r="AD7" s="100">
        <f t="shared" si="1"/>
        <v>31.975411699999999</v>
      </c>
      <c r="AE7" s="100">
        <f t="shared" si="1"/>
        <v>31.975411699999999</v>
      </c>
      <c r="AF7" s="100">
        <f t="shared" si="1"/>
        <v>31.975411699999999</v>
      </c>
      <c r="AG7" s="100">
        <f t="shared" si="1"/>
        <v>31.975411699999999</v>
      </c>
      <c r="AH7" s="100">
        <f t="shared" si="1"/>
        <v>31.975411699999999</v>
      </c>
      <c r="AI7" s="100">
        <f t="shared" si="1"/>
        <v>31.975411699999999</v>
      </c>
      <c r="AJ7" s="100">
        <f t="shared" si="1"/>
        <v>31.975411699999999</v>
      </c>
      <c r="AK7" s="100">
        <f t="shared" si="1"/>
        <v>31.975411699999999</v>
      </c>
      <c r="AL7" s="100">
        <f t="shared" si="1"/>
        <v>31.975411699999999</v>
      </c>
      <c r="AM7" s="100">
        <f t="shared" si="1"/>
        <v>31.975411699999999</v>
      </c>
      <c r="AN7" s="100">
        <f t="shared" si="1"/>
        <v>31.975411699999999</v>
      </c>
      <c r="AO7" s="100">
        <f t="shared" si="1"/>
        <v>31.975411699999999</v>
      </c>
      <c r="AP7" s="100">
        <f t="shared" si="1"/>
        <v>31.975411699999999</v>
      </c>
      <c r="AQ7" s="100">
        <f t="shared" si="1"/>
        <v>31.975411699999999</v>
      </c>
      <c r="AR7" s="100">
        <f t="shared" si="1"/>
        <v>31.975411699999999</v>
      </c>
      <c r="AS7" s="100">
        <f t="shared" si="1"/>
        <v>31.975411699999999</v>
      </c>
      <c r="AT7" s="100">
        <f t="shared" ref="AT7:AX7" si="2">+AT6/10^7</f>
        <v>31.975411699999999</v>
      </c>
      <c r="AU7" s="100">
        <f t="shared" si="2"/>
        <v>31.975411699999999</v>
      </c>
      <c r="AV7" s="100">
        <f t="shared" si="2"/>
        <v>31.975411699999999</v>
      </c>
      <c r="AW7" s="100">
        <f t="shared" si="2"/>
        <v>31.975411699999999</v>
      </c>
      <c r="AX7" s="100">
        <f t="shared" si="2"/>
        <v>31.975411699999999</v>
      </c>
      <c r="AY7" s="100">
        <f t="shared" ref="AY7" si="3">+AY6/10^7</f>
        <v>31.975411699999999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100378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518</v>
      </c>
      <c r="C3" s="171" t="s">
        <v>517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517</v>
      </c>
      <c r="N3" s="172" t="s">
        <v>518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42005</v>
      </c>
      <c r="B4" s="116">
        <v>47.924999999999997</v>
      </c>
      <c r="C4" s="116">
        <v>47.125</v>
      </c>
      <c r="D4" s="116">
        <v>45.85</v>
      </c>
      <c r="E4" s="116">
        <v>46.674999999999997</v>
      </c>
      <c r="F4" s="116">
        <v>94.25</v>
      </c>
      <c r="G4">
        <v>426831</v>
      </c>
      <c r="H4" s="116"/>
      <c r="I4" s="116"/>
      <c r="L4" s="169">
        <v>42005</v>
      </c>
      <c r="M4" s="116">
        <v>47</v>
      </c>
      <c r="N4" s="116">
        <v>47.924999999999997</v>
      </c>
      <c r="O4" s="116">
        <v>45.774999999999999</v>
      </c>
      <c r="P4" s="116">
        <v>46.5</v>
      </c>
      <c r="Q4" s="116">
        <v>94</v>
      </c>
      <c r="R4">
        <v>1780714</v>
      </c>
    </row>
    <row r="5" spans="1:18" x14ac:dyDescent="0.25">
      <c r="A5" s="169">
        <v>42006</v>
      </c>
      <c r="B5" s="116">
        <v>48.424999999999997</v>
      </c>
      <c r="C5" s="116">
        <v>47.55</v>
      </c>
      <c r="D5" s="116">
        <v>46.65</v>
      </c>
      <c r="E5" s="116">
        <v>46.65</v>
      </c>
      <c r="F5" s="116">
        <v>95.1</v>
      </c>
      <c r="G5">
        <v>661400</v>
      </c>
      <c r="H5" s="116"/>
      <c r="I5" s="116"/>
      <c r="L5" s="169">
        <v>42006</v>
      </c>
      <c r="M5" s="116">
        <v>47.55</v>
      </c>
      <c r="N5" s="116">
        <v>48.4</v>
      </c>
      <c r="O5" s="116">
        <v>47.05</v>
      </c>
      <c r="P5" s="116">
        <v>47.35</v>
      </c>
      <c r="Q5" s="116">
        <v>95.1</v>
      </c>
      <c r="R5">
        <v>1857096</v>
      </c>
    </row>
    <row r="6" spans="1:18" x14ac:dyDescent="0.25">
      <c r="A6" s="169">
        <v>42009</v>
      </c>
      <c r="B6" s="116">
        <v>48.6</v>
      </c>
      <c r="C6" s="116">
        <v>46.575000000000003</v>
      </c>
      <c r="D6" s="116">
        <v>46.4</v>
      </c>
      <c r="E6" s="116">
        <v>47.75</v>
      </c>
      <c r="F6" s="116">
        <v>93.15</v>
      </c>
      <c r="G6">
        <v>478076</v>
      </c>
      <c r="H6" s="116"/>
      <c r="I6" s="116"/>
      <c r="L6" s="169">
        <v>42009</v>
      </c>
      <c r="M6" s="116">
        <v>46.475000000000001</v>
      </c>
      <c r="N6" s="116">
        <v>48.6</v>
      </c>
      <c r="O6" s="116">
        <v>46.3</v>
      </c>
      <c r="P6" s="116">
        <v>47.5</v>
      </c>
      <c r="Q6" s="116">
        <v>92.95</v>
      </c>
      <c r="R6">
        <v>2489709</v>
      </c>
    </row>
    <row r="7" spans="1:18" x14ac:dyDescent="0.25">
      <c r="A7" s="169">
        <v>42010</v>
      </c>
      <c r="B7" s="116">
        <v>46.225000000000001</v>
      </c>
      <c r="C7" s="116">
        <v>44.5</v>
      </c>
      <c r="D7" s="116">
        <v>44.274999999999999</v>
      </c>
      <c r="E7" s="116">
        <v>46.225000000000001</v>
      </c>
      <c r="F7" s="116">
        <v>89</v>
      </c>
      <c r="G7">
        <v>424046</v>
      </c>
      <c r="H7" s="116"/>
      <c r="I7" s="116"/>
      <c r="L7" s="169">
        <v>42010</v>
      </c>
      <c r="M7" s="116">
        <v>44.35</v>
      </c>
      <c r="N7" s="116">
        <v>46.225000000000001</v>
      </c>
      <c r="O7" s="116">
        <v>44.1</v>
      </c>
      <c r="P7" s="116">
        <v>46.225000000000001</v>
      </c>
      <c r="Q7" s="116">
        <v>88.7</v>
      </c>
      <c r="R7">
        <v>1287116</v>
      </c>
    </row>
    <row r="8" spans="1:18" x14ac:dyDescent="0.25">
      <c r="A8" s="169">
        <v>42011</v>
      </c>
      <c r="B8" s="116">
        <v>45.325000000000003</v>
      </c>
      <c r="C8" s="116">
        <v>43.325000000000003</v>
      </c>
      <c r="D8" s="116">
        <v>43.1</v>
      </c>
      <c r="E8" s="116">
        <v>45.325000000000003</v>
      </c>
      <c r="F8" s="116">
        <v>86.65</v>
      </c>
      <c r="G8">
        <v>469501</v>
      </c>
      <c r="H8" s="116"/>
      <c r="I8" s="116"/>
      <c r="L8" s="169">
        <v>42011</v>
      </c>
      <c r="M8" s="116">
        <v>43.3</v>
      </c>
      <c r="N8" s="116">
        <v>44.774999999999999</v>
      </c>
      <c r="O8" s="116">
        <v>43.024999999999999</v>
      </c>
      <c r="P8" s="116">
        <v>44.725000000000001</v>
      </c>
      <c r="Q8" s="116">
        <v>86.6</v>
      </c>
      <c r="R8">
        <v>1109173</v>
      </c>
    </row>
    <row r="9" spans="1:18" x14ac:dyDescent="0.25">
      <c r="A9" s="169">
        <v>42012</v>
      </c>
      <c r="B9" s="116">
        <v>45.25</v>
      </c>
      <c r="C9" s="116">
        <v>44.6</v>
      </c>
      <c r="D9" s="116">
        <v>43.625</v>
      </c>
      <c r="E9" s="116">
        <v>43.625</v>
      </c>
      <c r="F9" s="116">
        <v>89.2</v>
      </c>
      <c r="G9">
        <v>510437</v>
      </c>
      <c r="H9" s="116"/>
      <c r="I9" s="116"/>
      <c r="L9" s="169">
        <v>42012</v>
      </c>
      <c r="M9" s="116">
        <v>44.674999999999997</v>
      </c>
      <c r="N9" s="116">
        <v>45.2</v>
      </c>
      <c r="O9" s="116">
        <v>43.674999999999997</v>
      </c>
      <c r="P9" s="116">
        <v>43.75</v>
      </c>
      <c r="Q9" s="116">
        <v>89.35</v>
      </c>
      <c r="R9">
        <v>1274220</v>
      </c>
    </row>
    <row r="10" spans="1:18" x14ac:dyDescent="0.25">
      <c r="A10" s="169">
        <v>42013</v>
      </c>
      <c r="B10" s="116">
        <v>45.9</v>
      </c>
      <c r="C10" s="116">
        <v>44.375</v>
      </c>
      <c r="D10" s="116">
        <v>43.725000000000001</v>
      </c>
      <c r="E10" s="116">
        <v>44.875</v>
      </c>
      <c r="F10" s="116">
        <v>88.75</v>
      </c>
      <c r="G10">
        <v>495601</v>
      </c>
      <c r="H10" s="116"/>
      <c r="I10" s="116"/>
      <c r="L10" s="169">
        <v>42013</v>
      </c>
      <c r="M10" s="116">
        <v>44.424999999999997</v>
      </c>
      <c r="N10" s="116">
        <v>45.875</v>
      </c>
      <c r="O10" s="116">
        <v>43.625</v>
      </c>
      <c r="P10" s="116">
        <v>45.05</v>
      </c>
      <c r="Q10" s="116">
        <v>88.85</v>
      </c>
      <c r="R10">
        <v>1738097</v>
      </c>
    </row>
    <row r="11" spans="1:18" x14ac:dyDescent="0.25">
      <c r="A11" s="169">
        <v>42016</v>
      </c>
      <c r="B11" s="116">
        <v>45.075000000000003</v>
      </c>
      <c r="C11" s="116">
        <v>44.274999999999999</v>
      </c>
      <c r="D11" s="116">
        <v>44.05</v>
      </c>
      <c r="E11" s="116">
        <v>44.6</v>
      </c>
      <c r="F11" s="116">
        <v>88.55</v>
      </c>
      <c r="G11">
        <v>331060</v>
      </c>
      <c r="H11" s="116"/>
      <c r="I11" s="116"/>
      <c r="L11" s="169">
        <v>42016</v>
      </c>
      <c r="M11" s="116">
        <v>44.3</v>
      </c>
      <c r="N11" s="116">
        <v>45</v>
      </c>
      <c r="O11" s="116">
        <v>43.95</v>
      </c>
      <c r="P11" s="116">
        <v>44.65</v>
      </c>
      <c r="Q11" s="116">
        <v>88.6</v>
      </c>
      <c r="R11">
        <v>1014250</v>
      </c>
    </row>
    <row r="12" spans="1:18" x14ac:dyDescent="0.25">
      <c r="A12" s="169">
        <v>42017</v>
      </c>
      <c r="B12" s="116">
        <v>44.75</v>
      </c>
      <c r="C12" s="116">
        <v>43.174999999999997</v>
      </c>
      <c r="D12" s="116">
        <v>43</v>
      </c>
      <c r="E12" s="116">
        <v>44.5</v>
      </c>
      <c r="F12" s="116">
        <v>86.35</v>
      </c>
      <c r="G12">
        <v>300521</v>
      </c>
      <c r="H12" s="116"/>
      <c r="I12" s="116"/>
      <c r="L12" s="169">
        <v>42017</v>
      </c>
      <c r="M12" s="116">
        <v>43.174999999999997</v>
      </c>
      <c r="N12" s="116">
        <v>44.725000000000001</v>
      </c>
      <c r="O12" s="116">
        <v>43.024999999999999</v>
      </c>
      <c r="P12" s="116">
        <v>44.35</v>
      </c>
      <c r="Q12" s="116">
        <v>86.35</v>
      </c>
      <c r="R12">
        <v>683656</v>
      </c>
    </row>
    <row r="13" spans="1:18" x14ac:dyDescent="0.25">
      <c r="A13" s="169">
        <v>42018</v>
      </c>
      <c r="B13" s="116">
        <v>43.424999999999997</v>
      </c>
      <c r="C13" s="116">
        <v>41.475000000000001</v>
      </c>
      <c r="D13" s="116">
        <v>41.174999999999997</v>
      </c>
      <c r="E13" s="116">
        <v>43.424999999999997</v>
      </c>
      <c r="F13" s="116">
        <v>82.95</v>
      </c>
      <c r="G13">
        <v>455501</v>
      </c>
      <c r="H13" s="116"/>
      <c r="I13" s="116"/>
      <c r="L13" s="169">
        <v>42018</v>
      </c>
      <c r="M13" s="116">
        <v>41.45</v>
      </c>
      <c r="N13" s="116">
        <v>43.424999999999997</v>
      </c>
      <c r="O13" s="116">
        <v>41.125</v>
      </c>
      <c r="P13" s="116">
        <v>43.1</v>
      </c>
      <c r="Q13" s="116">
        <v>82.9</v>
      </c>
      <c r="R13">
        <v>941180</v>
      </c>
    </row>
    <row r="14" spans="1:18" x14ac:dyDescent="0.25">
      <c r="A14" s="169">
        <v>42019</v>
      </c>
      <c r="B14" s="116">
        <v>42.55</v>
      </c>
      <c r="C14" s="116">
        <v>41.575000000000003</v>
      </c>
      <c r="D14" s="116">
        <v>41.25</v>
      </c>
      <c r="E14" s="116">
        <v>41.75</v>
      </c>
      <c r="F14" s="116">
        <v>83.15</v>
      </c>
      <c r="G14">
        <v>323199</v>
      </c>
      <c r="H14" s="116"/>
      <c r="I14" s="116"/>
      <c r="L14" s="169">
        <v>42019</v>
      </c>
      <c r="M14" s="116">
        <v>41.625</v>
      </c>
      <c r="N14" s="116">
        <v>42.475000000000001</v>
      </c>
      <c r="O14" s="116">
        <v>41.3</v>
      </c>
      <c r="P14" s="116">
        <v>42.05</v>
      </c>
      <c r="Q14" s="116">
        <v>83.25</v>
      </c>
      <c r="R14">
        <v>914616</v>
      </c>
    </row>
    <row r="15" spans="1:18" x14ac:dyDescent="0.25">
      <c r="A15" s="169">
        <v>42020</v>
      </c>
      <c r="B15" s="116">
        <v>43.35</v>
      </c>
      <c r="C15" s="116">
        <v>42.1</v>
      </c>
      <c r="D15" s="116">
        <v>41.375</v>
      </c>
      <c r="E15" s="116">
        <v>41.5</v>
      </c>
      <c r="F15" s="116">
        <v>84.2</v>
      </c>
      <c r="G15">
        <v>581785</v>
      </c>
      <c r="H15" s="116"/>
      <c r="I15" s="116"/>
      <c r="L15" s="169">
        <v>42020</v>
      </c>
      <c r="M15" s="116">
        <v>42.1</v>
      </c>
      <c r="N15" s="116">
        <v>43.4</v>
      </c>
      <c r="O15" s="116">
        <v>41.35</v>
      </c>
      <c r="P15" s="116">
        <v>41.55</v>
      </c>
      <c r="Q15" s="116">
        <v>84.2</v>
      </c>
      <c r="R15">
        <v>1455966</v>
      </c>
    </row>
    <row r="16" spans="1:18" x14ac:dyDescent="0.25">
      <c r="A16" s="169">
        <v>42023</v>
      </c>
      <c r="B16" s="116">
        <v>43.65</v>
      </c>
      <c r="C16" s="116">
        <v>42.55</v>
      </c>
      <c r="D16" s="116">
        <v>42.3</v>
      </c>
      <c r="E16" s="116">
        <v>42.725000000000001</v>
      </c>
      <c r="F16" s="116">
        <v>85.1</v>
      </c>
      <c r="G16">
        <v>466327</v>
      </c>
      <c r="H16" s="116"/>
      <c r="I16" s="116"/>
      <c r="L16" s="169">
        <v>42023</v>
      </c>
      <c r="M16" s="116">
        <v>42.5</v>
      </c>
      <c r="N16" s="116">
        <v>43.7</v>
      </c>
      <c r="O16" s="116">
        <v>42.225000000000001</v>
      </c>
      <c r="P16" s="116">
        <v>42.424999999999997</v>
      </c>
      <c r="Q16" s="116">
        <v>85</v>
      </c>
      <c r="R16">
        <v>1864975</v>
      </c>
    </row>
    <row r="17" spans="1:18" x14ac:dyDescent="0.25">
      <c r="A17" s="169">
        <v>42024</v>
      </c>
      <c r="B17" s="116">
        <v>45.325000000000003</v>
      </c>
      <c r="C17" s="116">
        <v>44.325000000000003</v>
      </c>
      <c r="D17" s="116">
        <v>42.35</v>
      </c>
      <c r="E17" s="116">
        <v>42.9</v>
      </c>
      <c r="F17" s="116">
        <v>88.65</v>
      </c>
      <c r="G17">
        <v>1415014</v>
      </c>
      <c r="H17" s="116"/>
      <c r="I17" s="116"/>
      <c r="L17" s="169">
        <v>42024</v>
      </c>
      <c r="M17" s="116">
        <v>44.375</v>
      </c>
      <c r="N17" s="116">
        <v>45.4</v>
      </c>
      <c r="O17" s="116">
        <v>42.35</v>
      </c>
      <c r="P17" s="116">
        <v>42.774999999999999</v>
      </c>
      <c r="Q17" s="116">
        <v>88.75</v>
      </c>
      <c r="R17">
        <v>5103168</v>
      </c>
    </row>
    <row r="18" spans="1:18" x14ac:dyDescent="0.25">
      <c r="A18" s="169">
        <v>42025</v>
      </c>
      <c r="B18" s="116">
        <v>46.4</v>
      </c>
      <c r="C18" s="116">
        <v>42.95</v>
      </c>
      <c r="D18" s="116">
        <v>42.75</v>
      </c>
      <c r="E18" s="116">
        <v>45.5</v>
      </c>
      <c r="F18" s="116">
        <v>85.9</v>
      </c>
      <c r="G18">
        <v>1130287</v>
      </c>
      <c r="H18" s="116"/>
      <c r="I18" s="116"/>
      <c r="L18" s="169">
        <v>42025</v>
      </c>
      <c r="M18" s="116">
        <v>42.975000000000001</v>
      </c>
      <c r="N18" s="116">
        <v>46.4</v>
      </c>
      <c r="O18" s="116">
        <v>42.75</v>
      </c>
      <c r="P18" s="116">
        <v>45.6</v>
      </c>
      <c r="Q18" s="116">
        <v>85.95</v>
      </c>
      <c r="R18">
        <v>3314106</v>
      </c>
    </row>
    <row r="19" spans="1:18" x14ac:dyDescent="0.25">
      <c r="A19" s="169">
        <v>42026</v>
      </c>
      <c r="B19" s="116">
        <v>43.4</v>
      </c>
      <c r="C19" s="116">
        <v>41.8</v>
      </c>
      <c r="D19" s="116">
        <v>41.65</v>
      </c>
      <c r="E19" s="116">
        <v>43.225000000000001</v>
      </c>
      <c r="F19" s="116">
        <v>83.6</v>
      </c>
      <c r="G19">
        <v>418170</v>
      </c>
      <c r="H19" s="116"/>
      <c r="I19" s="116"/>
      <c r="L19" s="169">
        <v>42026</v>
      </c>
      <c r="M19" s="116">
        <v>41.85</v>
      </c>
      <c r="N19" s="116">
        <v>43.375</v>
      </c>
      <c r="O19" s="116">
        <v>41.674999999999997</v>
      </c>
      <c r="P19" s="116">
        <v>43.05</v>
      </c>
      <c r="Q19" s="116">
        <v>83.7</v>
      </c>
      <c r="R19">
        <v>1067156</v>
      </c>
    </row>
    <row r="20" spans="1:18" x14ac:dyDescent="0.25">
      <c r="A20" s="169">
        <v>42027</v>
      </c>
      <c r="B20" s="116">
        <v>43.45</v>
      </c>
      <c r="C20" s="116">
        <v>42.3</v>
      </c>
      <c r="D20" s="116">
        <v>41.875</v>
      </c>
      <c r="E20" s="116">
        <v>42.1</v>
      </c>
      <c r="F20" s="116">
        <v>84.6</v>
      </c>
      <c r="G20">
        <v>496617</v>
      </c>
      <c r="H20" s="116"/>
      <c r="I20" s="116"/>
      <c r="L20" s="169">
        <v>42027</v>
      </c>
      <c r="M20" s="116">
        <v>42.35</v>
      </c>
      <c r="N20" s="116">
        <v>43.375</v>
      </c>
      <c r="O20" s="116">
        <v>41.85</v>
      </c>
      <c r="P20" s="116">
        <v>42.225000000000001</v>
      </c>
      <c r="Q20" s="116">
        <v>84.7</v>
      </c>
      <c r="R20">
        <v>1189273</v>
      </c>
    </row>
    <row r="21" spans="1:18" x14ac:dyDescent="0.25">
      <c r="A21" s="169">
        <v>42031</v>
      </c>
      <c r="B21" s="116">
        <v>43.3</v>
      </c>
      <c r="C21" s="116">
        <v>42.524999999999999</v>
      </c>
      <c r="D21" s="116">
        <v>42.25</v>
      </c>
      <c r="E21" s="116">
        <v>42.625</v>
      </c>
      <c r="F21" s="116">
        <v>85.05</v>
      </c>
      <c r="G21">
        <v>321238</v>
      </c>
      <c r="H21" s="116"/>
      <c r="I21" s="116"/>
      <c r="L21" s="169">
        <v>42031</v>
      </c>
      <c r="M21" s="116">
        <v>42.625</v>
      </c>
      <c r="N21" s="116">
        <v>43.3</v>
      </c>
      <c r="O21" s="116">
        <v>42.2</v>
      </c>
      <c r="P21" s="116">
        <v>42.725000000000001</v>
      </c>
      <c r="Q21" s="116">
        <v>85.25</v>
      </c>
      <c r="R21">
        <v>840603</v>
      </c>
    </row>
    <row r="22" spans="1:18" x14ac:dyDescent="0.25">
      <c r="A22" s="169">
        <v>42032</v>
      </c>
      <c r="B22" s="116">
        <v>42.75</v>
      </c>
      <c r="C22" s="116">
        <v>40.950000000000003</v>
      </c>
      <c r="D22" s="116">
        <v>40.75</v>
      </c>
      <c r="E22" s="116">
        <v>42.725000000000001</v>
      </c>
      <c r="F22" s="116">
        <v>81.900000000000006</v>
      </c>
      <c r="G22">
        <v>406849</v>
      </c>
      <c r="H22" s="116"/>
      <c r="I22" s="116"/>
      <c r="L22" s="169">
        <v>42032</v>
      </c>
      <c r="M22" s="116">
        <v>41</v>
      </c>
      <c r="N22" s="116">
        <v>42.7</v>
      </c>
      <c r="O22" s="116">
        <v>40.75</v>
      </c>
      <c r="P22" s="116">
        <v>42.674999999999997</v>
      </c>
      <c r="Q22" s="116">
        <v>82</v>
      </c>
      <c r="R22">
        <v>977180</v>
      </c>
    </row>
    <row r="23" spans="1:18" x14ac:dyDescent="0.25">
      <c r="A23" s="169">
        <v>42033</v>
      </c>
      <c r="B23" s="116">
        <v>41.8</v>
      </c>
      <c r="C23" s="116">
        <v>40.924999999999997</v>
      </c>
      <c r="D23" s="116">
        <v>40.674999999999997</v>
      </c>
      <c r="E23" s="116">
        <v>41.274999999999999</v>
      </c>
      <c r="F23" s="116">
        <v>81.849999999999994</v>
      </c>
      <c r="G23">
        <v>295967</v>
      </c>
      <c r="H23" s="116"/>
      <c r="I23" s="116"/>
      <c r="L23" s="169">
        <v>42033</v>
      </c>
      <c r="M23" s="116">
        <v>40.9</v>
      </c>
      <c r="N23" s="116">
        <v>41.8</v>
      </c>
      <c r="O23" s="116">
        <v>40.700000000000003</v>
      </c>
      <c r="P23" s="116">
        <v>41.174999999999997</v>
      </c>
      <c r="Q23" s="116">
        <v>81.8</v>
      </c>
      <c r="R23">
        <v>595981</v>
      </c>
    </row>
    <row r="24" spans="1:18" x14ac:dyDescent="0.25">
      <c r="A24" s="169">
        <v>42034</v>
      </c>
      <c r="B24" s="116">
        <v>41.75</v>
      </c>
      <c r="C24" s="116">
        <v>40.299999999999997</v>
      </c>
      <c r="D24" s="116">
        <v>40.049999999999997</v>
      </c>
      <c r="E24" s="116">
        <v>41.15</v>
      </c>
      <c r="F24" s="116">
        <v>80.599999999999994</v>
      </c>
      <c r="G24">
        <v>350996</v>
      </c>
      <c r="H24" s="116"/>
      <c r="I24" s="116"/>
      <c r="L24" s="169">
        <v>42034</v>
      </c>
      <c r="M24" s="116">
        <v>40.274999999999999</v>
      </c>
      <c r="N24" s="116">
        <v>41.75</v>
      </c>
      <c r="O24" s="116">
        <v>40.075000000000003</v>
      </c>
      <c r="P24" s="116">
        <v>41.15</v>
      </c>
      <c r="Q24" s="116">
        <v>80.55</v>
      </c>
      <c r="R24">
        <v>861590</v>
      </c>
    </row>
    <row r="25" spans="1:18" x14ac:dyDescent="0.25">
      <c r="A25" s="169">
        <v>42037</v>
      </c>
      <c r="B25" s="116">
        <v>41.5</v>
      </c>
      <c r="C25" s="116">
        <v>40.700000000000003</v>
      </c>
      <c r="D25" s="116">
        <v>40.049999999999997</v>
      </c>
      <c r="E25" s="116">
        <v>40.5</v>
      </c>
      <c r="F25" s="116">
        <v>81.400000000000006</v>
      </c>
      <c r="G25">
        <v>411186</v>
      </c>
      <c r="H25" s="116"/>
      <c r="I25" s="116"/>
      <c r="L25" s="169">
        <v>42037</v>
      </c>
      <c r="M25" s="116">
        <v>40.65</v>
      </c>
      <c r="N25" s="116">
        <v>41.35</v>
      </c>
      <c r="O25" s="116">
        <v>39.9</v>
      </c>
      <c r="P25" s="116">
        <v>40.424999999999997</v>
      </c>
      <c r="Q25" s="116">
        <v>81.3</v>
      </c>
      <c r="R25">
        <v>818096</v>
      </c>
    </row>
    <row r="26" spans="1:18" x14ac:dyDescent="0.25">
      <c r="A26" s="169">
        <v>42038</v>
      </c>
      <c r="B26" s="116">
        <v>41.075000000000003</v>
      </c>
      <c r="C26" s="116">
        <v>40.1</v>
      </c>
      <c r="D26" s="116">
        <v>39.950000000000003</v>
      </c>
      <c r="E26" s="116">
        <v>40.75</v>
      </c>
      <c r="F26" s="116">
        <v>80.2</v>
      </c>
      <c r="G26">
        <v>305755</v>
      </c>
      <c r="H26" s="116"/>
      <c r="I26" s="116"/>
      <c r="L26" s="169">
        <v>42038</v>
      </c>
      <c r="M26" s="116">
        <v>40.15</v>
      </c>
      <c r="N26" s="116">
        <v>41.1</v>
      </c>
      <c r="O26" s="116">
        <v>40.024999999999999</v>
      </c>
      <c r="P26" s="116">
        <v>40.825000000000003</v>
      </c>
      <c r="Q26" s="116">
        <v>80.3</v>
      </c>
      <c r="R26">
        <v>537820</v>
      </c>
    </row>
    <row r="27" spans="1:18" x14ac:dyDescent="0.25">
      <c r="A27" s="169">
        <v>42039</v>
      </c>
      <c r="B27" s="116">
        <v>42.674999999999997</v>
      </c>
      <c r="C27" s="116">
        <v>41.274999999999999</v>
      </c>
      <c r="D27" s="116">
        <v>40.299999999999997</v>
      </c>
      <c r="E27" s="116">
        <v>40.450000000000003</v>
      </c>
      <c r="F27" s="116">
        <v>82.55</v>
      </c>
      <c r="G27">
        <v>862626</v>
      </c>
      <c r="H27" s="116"/>
      <c r="I27" s="116"/>
      <c r="L27" s="169">
        <v>42039</v>
      </c>
      <c r="M27" s="116">
        <v>41.274999999999999</v>
      </c>
      <c r="N27" s="116">
        <v>42.65</v>
      </c>
      <c r="O27" s="116">
        <v>40.299999999999997</v>
      </c>
      <c r="P27" s="116">
        <v>40.450000000000003</v>
      </c>
      <c r="Q27" s="116">
        <v>82.55</v>
      </c>
      <c r="R27">
        <v>2188345</v>
      </c>
    </row>
    <row r="28" spans="1:18" x14ac:dyDescent="0.25">
      <c r="A28" s="169">
        <v>42040</v>
      </c>
      <c r="B28" s="116">
        <v>41.65</v>
      </c>
      <c r="C28" s="116">
        <v>39.575000000000003</v>
      </c>
      <c r="D28" s="116">
        <v>39.299999999999997</v>
      </c>
      <c r="E28" s="116">
        <v>41.424999999999997</v>
      </c>
      <c r="F28" s="116">
        <v>79.150000000000006</v>
      </c>
      <c r="G28">
        <v>285049</v>
      </c>
      <c r="H28" s="116"/>
      <c r="I28" s="116"/>
      <c r="L28" s="169">
        <v>42040</v>
      </c>
      <c r="M28" s="116">
        <v>39.549999999999997</v>
      </c>
      <c r="N28" s="116">
        <v>41.65</v>
      </c>
      <c r="O28" s="116">
        <v>39.1</v>
      </c>
      <c r="P28" s="116">
        <v>41.424999999999997</v>
      </c>
      <c r="Q28" s="116">
        <v>79.099999999999994</v>
      </c>
      <c r="R28">
        <v>805186</v>
      </c>
    </row>
    <row r="29" spans="1:18" x14ac:dyDescent="0.25">
      <c r="A29" s="169">
        <v>42041</v>
      </c>
      <c r="B29" s="116">
        <v>40.15</v>
      </c>
      <c r="C29" s="116">
        <v>38.75</v>
      </c>
      <c r="D29" s="116">
        <v>38.549999999999997</v>
      </c>
      <c r="E29" s="116">
        <v>39.5</v>
      </c>
      <c r="F29" s="116">
        <v>77.5</v>
      </c>
      <c r="G29">
        <v>264777</v>
      </c>
      <c r="H29" s="116"/>
      <c r="I29" s="116"/>
      <c r="L29" s="169">
        <v>42041</v>
      </c>
      <c r="M29" s="116">
        <v>38.700000000000003</v>
      </c>
      <c r="N29" s="116">
        <v>40.200000000000003</v>
      </c>
      <c r="O29" s="116">
        <v>38.524999999999999</v>
      </c>
      <c r="P29" s="116">
        <v>39.5</v>
      </c>
      <c r="Q29" s="116">
        <v>77.400000000000006</v>
      </c>
      <c r="R29">
        <v>691181</v>
      </c>
    </row>
    <row r="30" spans="1:18" x14ac:dyDescent="0.25">
      <c r="A30" s="169">
        <v>42044</v>
      </c>
      <c r="B30" s="116">
        <v>39.375</v>
      </c>
      <c r="C30" s="116">
        <v>37.625</v>
      </c>
      <c r="D30" s="116">
        <v>37.274999999999999</v>
      </c>
      <c r="E30" s="116">
        <v>38.65</v>
      </c>
      <c r="F30" s="116">
        <v>75.25</v>
      </c>
      <c r="G30">
        <v>331785</v>
      </c>
      <c r="H30" s="116"/>
      <c r="I30" s="116"/>
      <c r="L30" s="169">
        <v>42044</v>
      </c>
      <c r="M30" s="116">
        <v>37.575000000000003</v>
      </c>
      <c r="N30" s="116">
        <v>39.35</v>
      </c>
      <c r="O30" s="116">
        <v>37.325000000000003</v>
      </c>
      <c r="P30" s="116">
        <v>38.5</v>
      </c>
      <c r="Q30" s="116">
        <v>75.150000000000006</v>
      </c>
      <c r="R30">
        <v>835568</v>
      </c>
    </row>
    <row r="31" spans="1:18" x14ac:dyDescent="0.25">
      <c r="A31" s="169">
        <v>42045</v>
      </c>
      <c r="B31" s="116">
        <v>38.325000000000003</v>
      </c>
      <c r="C31" s="116">
        <v>36.549999999999997</v>
      </c>
      <c r="D31" s="116">
        <v>35.774999999999999</v>
      </c>
      <c r="E31" s="116">
        <v>37.5</v>
      </c>
      <c r="F31" s="116">
        <v>73.099999999999994</v>
      </c>
      <c r="G31">
        <v>536688</v>
      </c>
      <c r="H31" s="116"/>
      <c r="I31" s="116"/>
      <c r="L31" s="169">
        <v>42045</v>
      </c>
      <c r="M31" s="116">
        <v>36.524999999999999</v>
      </c>
      <c r="N31" s="116">
        <v>38.299999999999997</v>
      </c>
      <c r="O31" s="116">
        <v>35.700000000000003</v>
      </c>
      <c r="P31" s="116">
        <v>37.174999999999997</v>
      </c>
      <c r="Q31" s="116">
        <v>73.05</v>
      </c>
      <c r="R31">
        <v>1057006</v>
      </c>
    </row>
    <row r="32" spans="1:18" x14ac:dyDescent="0.25">
      <c r="A32" s="169">
        <v>42046</v>
      </c>
      <c r="B32" s="116">
        <v>40.549999999999997</v>
      </c>
      <c r="C32" s="116">
        <v>39.700000000000003</v>
      </c>
      <c r="D32" s="116">
        <v>36.799999999999997</v>
      </c>
      <c r="E32" s="116">
        <v>36.799999999999997</v>
      </c>
      <c r="F32" s="116">
        <v>79.400000000000006</v>
      </c>
      <c r="G32">
        <v>1081529</v>
      </c>
      <c r="H32" s="116"/>
      <c r="I32" s="116"/>
      <c r="L32" s="169">
        <v>42046</v>
      </c>
      <c r="M32" s="116">
        <v>39.6</v>
      </c>
      <c r="N32" s="116">
        <v>40.450000000000003</v>
      </c>
      <c r="O32" s="116">
        <v>36.75</v>
      </c>
      <c r="P32" s="116">
        <v>36.75</v>
      </c>
      <c r="Q32" s="116">
        <v>79.2</v>
      </c>
      <c r="R32">
        <v>1982099</v>
      </c>
    </row>
    <row r="33" spans="1:18" x14ac:dyDescent="0.25">
      <c r="A33" s="169">
        <v>42047</v>
      </c>
      <c r="B33" s="116">
        <v>40.700000000000003</v>
      </c>
      <c r="C33" s="116">
        <v>39.75</v>
      </c>
      <c r="D33" s="116">
        <v>38.975000000000001</v>
      </c>
      <c r="E33" s="116">
        <v>39.85</v>
      </c>
      <c r="F33" s="116">
        <v>79.5</v>
      </c>
      <c r="G33">
        <v>488574</v>
      </c>
      <c r="H33" s="116"/>
      <c r="I33" s="116"/>
      <c r="L33" s="169">
        <v>42047</v>
      </c>
      <c r="M33" s="116">
        <v>39.725000000000001</v>
      </c>
      <c r="N33" s="116">
        <v>40.700000000000003</v>
      </c>
      <c r="O33" s="116">
        <v>38.950000000000003</v>
      </c>
      <c r="P33" s="116">
        <v>39.825000000000003</v>
      </c>
      <c r="Q33" s="116">
        <v>79.45</v>
      </c>
      <c r="R33">
        <v>1347875</v>
      </c>
    </row>
    <row r="34" spans="1:18" x14ac:dyDescent="0.25">
      <c r="A34" s="169">
        <v>42048</v>
      </c>
      <c r="B34" s="116">
        <v>40.375</v>
      </c>
      <c r="C34" s="116">
        <v>39.1</v>
      </c>
      <c r="D34" s="116">
        <v>38.85</v>
      </c>
      <c r="E34" s="116">
        <v>39.924999999999997</v>
      </c>
      <c r="F34" s="116">
        <v>78.2</v>
      </c>
      <c r="G34">
        <v>214290</v>
      </c>
      <c r="H34" s="116"/>
      <c r="I34" s="116"/>
      <c r="L34" s="169">
        <v>42048</v>
      </c>
      <c r="M34" s="116">
        <v>39.075000000000003</v>
      </c>
      <c r="N34" s="116">
        <v>40.375</v>
      </c>
      <c r="O34" s="116">
        <v>38.799999999999997</v>
      </c>
      <c r="P34" s="116">
        <v>39.75</v>
      </c>
      <c r="Q34" s="116">
        <v>78.150000000000006</v>
      </c>
      <c r="R34">
        <v>618869</v>
      </c>
    </row>
    <row r="35" spans="1:18" x14ac:dyDescent="0.25">
      <c r="A35" s="169">
        <v>42051</v>
      </c>
      <c r="B35" s="116">
        <v>39.450000000000003</v>
      </c>
      <c r="C35" s="116">
        <v>38.200000000000003</v>
      </c>
      <c r="D35" s="116">
        <v>38</v>
      </c>
      <c r="E35" s="116">
        <v>39</v>
      </c>
      <c r="F35" s="116">
        <v>76.400000000000006</v>
      </c>
      <c r="G35">
        <v>279004</v>
      </c>
      <c r="H35" s="116"/>
      <c r="I35" s="116"/>
      <c r="L35" s="169">
        <v>42051</v>
      </c>
      <c r="M35" s="116">
        <v>38.200000000000003</v>
      </c>
      <c r="N35" s="116">
        <v>39.450000000000003</v>
      </c>
      <c r="O35" s="116">
        <v>38.1</v>
      </c>
      <c r="P35" s="116">
        <v>39.125</v>
      </c>
      <c r="Q35" s="116">
        <v>76.400000000000006</v>
      </c>
      <c r="R35">
        <v>631164</v>
      </c>
    </row>
    <row r="36" spans="1:18" x14ac:dyDescent="0.25">
      <c r="A36" s="169">
        <v>42053</v>
      </c>
      <c r="B36" s="116">
        <v>39.274999999999999</v>
      </c>
      <c r="C36" s="116">
        <v>38.65</v>
      </c>
      <c r="D36" s="116">
        <v>38.075000000000003</v>
      </c>
      <c r="E36" s="116">
        <v>38.35</v>
      </c>
      <c r="F36" s="116">
        <v>77.3</v>
      </c>
      <c r="G36">
        <v>284041</v>
      </c>
      <c r="H36" s="116"/>
      <c r="I36" s="116"/>
      <c r="L36" s="169">
        <v>42053</v>
      </c>
      <c r="M36" s="116">
        <v>38.625</v>
      </c>
      <c r="N36" s="116">
        <v>39.299999999999997</v>
      </c>
      <c r="O36" s="116">
        <v>38.075000000000003</v>
      </c>
      <c r="P36" s="116">
        <v>38.375</v>
      </c>
      <c r="Q36" s="116">
        <v>77.25</v>
      </c>
      <c r="R36">
        <v>790234</v>
      </c>
    </row>
    <row r="37" spans="1:18" x14ac:dyDescent="0.25">
      <c r="A37" s="169">
        <v>42054</v>
      </c>
      <c r="B37" s="116">
        <v>42.25</v>
      </c>
      <c r="C37" s="116">
        <v>41.7</v>
      </c>
      <c r="D37" s="116">
        <v>38.375</v>
      </c>
      <c r="E37" s="116">
        <v>38.975000000000001</v>
      </c>
      <c r="F37" s="116">
        <v>83.4</v>
      </c>
      <c r="G37">
        <v>1505561</v>
      </c>
      <c r="H37" s="116"/>
      <c r="I37" s="116"/>
      <c r="L37" s="169">
        <v>42054</v>
      </c>
      <c r="M37" s="116">
        <v>41.475000000000001</v>
      </c>
      <c r="N37" s="116">
        <v>42.3</v>
      </c>
      <c r="O37" s="116">
        <v>38.35</v>
      </c>
      <c r="P37" s="116">
        <v>38.799999999999997</v>
      </c>
      <c r="Q37" s="116">
        <v>82.95</v>
      </c>
      <c r="R37">
        <v>4482899</v>
      </c>
    </row>
    <row r="38" spans="1:18" x14ac:dyDescent="0.25">
      <c r="A38" s="169">
        <v>42055</v>
      </c>
      <c r="B38" s="116">
        <v>43.075000000000003</v>
      </c>
      <c r="C38" s="116">
        <v>42.325000000000003</v>
      </c>
      <c r="D38" s="116">
        <v>39.75</v>
      </c>
      <c r="E38" s="116">
        <v>41.7</v>
      </c>
      <c r="F38" s="116">
        <v>84.65</v>
      </c>
      <c r="G38">
        <v>880379</v>
      </c>
      <c r="H38" s="116"/>
      <c r="I38" s="116"/>
      <c r="L38" s="169">
        <v>42055</v>
      </c>
      <c r="M38" s="116">
        <v>42.35</v>
      </c>
      <c r="N38" s="116">
        <v>43.075000000000003</v>
      </c>
      <c r="O38" s="116">
        <v>39.825000000000003</v>
      </c>
      <c r="P38" s="116">
        <v>41.5</v>
      </c>
      <c r="Q38" s="116">
        <v>84.7</v>
      </c>
      <c r="R38">
        <v>2839815</v>
      </c>
    </row>
    <row r="39" spans="1:18" x14ac:dyDescent="0.25">
      <c r="A39" s="169">
        <v>42058</v>
      </c>
      <c r="B39" s="116">
        <v>42.524999999999999</v>
      </c>
      <c r="C39" s="116">
        <v>39.875</v>
      </c>
      <c r="D39" s="116">
        <v>39.475000000000001</v>
      </c>
      <c r="E39" s="116">
        <v>42.475000000000001</v>
      </c>
      <c r="F39" s="116">
        <v>79.75</v>
      </c>
      <c r="G39">
        <v>503730</v>
      </c>
      <c r="H39" s="116"/>
      <c r="I39" s="116"/>
      <c r="L39" s="169">
        <v>42058</v>
      </c>
      <c r="M39" s="116">
        <v>39.825000000000003</v>
      </c>
      <c r="N39" s="116">
        <v>42.45</v>
      </c>
      <c r="O39" s="116">
        <v>39.4</v>
      </c>
      <c r="P39" s="116">
        <v>42.35</v>
      </c>
      <c r="Q39" s="116">
        <v>79.650000000000006</v>
      </c>
      <c r="R39">
        <v>1294937</v>
      </c>
    </row>
    <row r="40" spans="1:18" x14ac:dyDescent="0.25">
      <c r="A40" s="169">
        <v>42059</v>
      </c>
      <c r="B40" s="116">
        <v>39.950000000000003</v>
      </c>
      <c r="C40" s="116">
        <v>38.975000000000001</v>
      </c>
      <c r="D40" s="116">
        <v>38.700000000000003</v>
      </c>
      <c r="E40" s="116">
        <v>39.950000000000003</v>
      </c>
      <c r="F40" s="116">
        <v>77.95</v>
      </c>
      <c r="G40">
        <v>195731</v>
      </c>
      <c r="H40" s="116"/>
      <c r="I40" s="116"/>
      <c r="L40" s="169">
        <v>42059</v>
      </c>
      <c r="M40" s="116">
        <v>38.950000000000003</v>
      </c>
      <c r="N40" s="116">
        <v>39.825000000000003</v>
      </c>
      <c r="O40" s="116">
        <v>38.700000000000003</v>
      </c>
      <c r="P40" s="116">
        <v>39.825000000000003</v>
      </c>
      <c r="Q40" s="116">
        <v>77.900000000000006</v>
      </c>
      <c r="R40">
        <v>657562</v>
      </c>
    </row>
    <row r="41" spans="1:18" x14ac:dyDescent="0.25">
      <c r="A41" s="169">
        <v>42060</v>
      </c>
      <c r="B41" s="116">
        <v>39.774999999999999</v>
      </c>
      <c r="C41" s="116">
        <v>38.450000000000003</v>
      </c>
      <c r="D41" s="116">
        <v>38.25</v>
      </c>
      <c r="E41" s="116">
        <v>39.325000000000003</v>
      </c>
      <c r="F41" s="116">
        <v>76.900000000000006</v>
      </c>
      <c r="G41">
        <v>271859</v>
      </c>
      <c r="H41" s="116"/>
      <c r="I41" s="116"/>
      <c r="L41" s="169">
        <v>42060</v>
      </c>
      <c r="M41" s="116">
        <v>38.4</v>
      </c>
      <c r="N41" s="116">
        <v>39.75</v>
      </c>
      <c r="O41" s="116">
        <v>38.274999999999999</v>
      </c>
      <c r="P41" s="116">
        <v>39.174999999999997</v>
      </c>
      <c r="Q41" s="116">
        <v>76.8</v>
      </c>
      <c r="R41">
        <v>572617</v>
      </c>
    </row>
    <row r="42" spans="1:18" x14ac:dyDescent="0.25">
      <c r="A42" s="169">
        <v>42061</v>
      </c>
      <c r="B42" s="116">
        <v>38.700000000000003</v>
      </c>
      <c r="C42" s="116">
        <v>37.799999999999997</v>
      </c>
      <c r="D42" s="116">
        <v>37.6</v>
      </c>
      <c r="E42" s="116">
        <v>38.65</v>
      </c>
      <c r="F42" s="116">
        <v>75.599999999999994</v>
      </c>
      <c r="G42">
        <v>217308</v>
      </c>
      <c r="H42" s="116"/>
      <c r="I42" s="116"/>
      <c r="L42" s="169">
        <v>42061</v>
      </c>
      <c r="M42" s="116">
        <v>37.75</v>
      </c>
      <c r="N42" s="116">
        <v>38.625</v>
      </c>
      <c r="O42" s="116">
        <v>37.5</v>
      </c>
      <c r="P42" s="116">
        <v>38.625</v>
      </c>
      <c r="Q42" s="116">
        <v>75.5</v>
      </c>
      <c r="R42">
        <v>533409</v>
      </c>
    </row>
    <row r="43" spans="1:18" x14ac:dyDescent="0.25">
      <c r="A43" s="169">
        <v>42062</v>
      </c>
      <c r="B43" s="116">
        <v>39.65</v>
      </c>
      <c r="C43" s="116">
        <v>38.975000000000001</v>
      </c>
      <c r="D43" s="116">
        <v>37.9</v>
      </c>
      <c r="E43" s="116">
        <v>38</v>
      </c>
      <c r="F43" s="116">
        <v>77.95</v>
      </c>
      <c r="G43">
        <v>361393</v>
      </c>
      <c r="H43" s="116"/>
      <c r="I43" s="116"/>
      <c r="L43" s="169">
        <v>42062</v>
      </c>
      <c r="M43" s="116">
        <v>38.950000000000003</v>
      </c>
      <c r="N43" s="116">
        <v>39.700000000000003</v>
      </c>
      <c r="O43" s="116">
        <v>37.85</v>
      </c>
      <c r="P43" s="116">
        <v>37.950000000000003</v>
      </c>
      <c r="Q43" s="116">
        <v>77.900000000000006</v>
      </c>
      <c r="R43">
        <v>871746</v>
      </c>
    </row>
    <row r="44" spans="1:18" x14ac:dyDescent="0.25">
      <c r="A44" s="169">
        <v>42063</v>
      </c>
      <c r="B44" s="116">
        <v>40.6</v>
      </c>
      <c r="C44" s="116">
        <v>39.075000000000003</v>
      </c>
      <c r="D44" s="116">
        <v>38.524999999999999</v>
      </c>
      <c r="E44" s="116">
        <v>39</v>
      </c>
      <c r="F44" s="116">
        <v>78.150000000000006</v>
      </c>
      <c r="G44">
        <v>449790</v>
      </c>
      <c r="H44" s="116"/>
      <c r="I44" s="116"/>
      <c r="L44" s="169">
        <v>42063</v>
      </c>
      <c r="M44" s="116">
        <v>39.024999999999999</v>
      </c>
      <c r="N44" s="116">
        <v>40.700000000000003</v>
      </c>
      <c r="O44" s="116">
        <v>38.475000000000001</v>
      </c>
      <c r="P44" s="116">
        <v>39.35</v>
      </c>
      <c r="Q44" s="116">
        <v>78.05</v>
      </c>
      <c r="R44">
        <v>1044183</v>
      </c>
    </row>
    <row r="45" spans="1:18" x14ac:dyDescent="0.25">
      <c r="A45" s="169">
        <v>42065</v>
      </c>
      <c r="B45" s="116">
        <v>40.1</v>
      </c>
      <c r="C45" s="116">
        <v>38.700000000000003</v>
      </c>
      <c r="D45" s="116">
        <v>38.450000000000003</v>
      </c>
      <c r="E45" s="116">
        <v>39.5</v>
      </c>
      <c r="F45" s="116">
        <v>77.400000000000006</v>
      </c>
      <c r="G45">
        <v>210543</v>
      </c>
      <c r="H45" s="116"/>
      <c r="I45" s="116"/>
      <c r="L45" s="169">
        <v>42065</v>
      </c>
      <c r="M45" s="116">
        <v>38.65</v>
      </c>
      <c r="N45" s="116">
        <v>40.125</v>
      </c>
      <c r="O45" s="116">
        <v>38.35</v>
      </c>
      <c r="P45" s="116">
        <v>39.5</v>
      </c>
      <c r="Q45" s="116">
        <v>77.3</v>
      </c>
      <c r="R45">
        <v>606405</v>
      </c>
    </row>
    <row r="46" spans="1:18" x14ac:dyDescent="0.25">
      <c r="A46" s="169">
        <v>42066</v>
      </c>
      <c r="B46" s="116">
        <v>39.950000000000003</v>
      </c>
      <c r="C46" s="116">
        <v>38.975000000000001</v>
      </c>
      <c r="D46" s="116">
        <v>38.524999999999999</v>
      </c>
      <c r="E46" s="116">
        <v>38.774999999999999</v>
      </c>
      <c r="F46" s="116">
        <v>77.95</v>
      </c>
      <c r="G46">
        <v>449175</v>
      </c>
      <c r="H46" s="116"/>
      <c r="I46" s="116"/>
      <c r="L46" s="169">
        <v>42066</v>
      </c>
      <c r="M46" s="116">
        <v>38.924999999999997</v>
      </c>
      <c r="N46" s="116">
        <v>39.9</v>
      </c>
      <c r="O46" s="116">
        <v>38.475000000000001</v>
      </c>
      <c r="P46" s="116">
        <v>38.799999999999997</v>
      </c>
      <c r="Q46" s="116">
        <v>77.849999999999994</v>
      </c>
      <c r="R46">
        <v>1185137</v>
      </c>
    </row>
    <row r="47" spans="1:18" x14ac:dyDescent="0.25">
      <c r="A47" s="169">
        <v>42067</v>
      </c>
      <c r="B47" s="116">
        <v>39.575000000000003</v>
      </c>
      <c r="C47" s="116">
        <v>38.075000000000003</v>
      </c>
      <c r="D47" s="116">
        <v>37.799999999999997</v>
      </c>
      <c r="E47" s="116">
        <v>39.1</v>
      </c>
      <c r="F47" s="116">
        <v>76.150000000000006</v>
      </c>
      <c r="G47">
        <v>313018</v>
      </c>
      <c r="H47" s="116"/>
      <c r="I47" s="116"/>
      <c r="L47" s="169">
        <v>42067</v>
      </c>
      <c r="M47" s="116">
        <v>38.049999999999997</v>
      </c>
      <c r="N47" s="116">
        <v>39.625</v>
      </c>
      <c r="O47" s="116">
        <v>37.75</v>
      </c>
      <c r="P47" s="116">
        <v>39.299999999999997</v>
      </c>
      <c r="Q47" s="116">
        <v>76.099999999999994</v>
      </c>
      <c r="R47">
        <v>803416</v>
      </c>
    </row>
    <row r="48" spans="1:18" x14ac:dyDescent="0.25">
      <c r="A48" s="169">
        <v>42068</v>
      </c>
      <c r="B48" s="116">
        <v>38.75</v>
      </c>
      <c r="C48" s="116">
        <v>37.65</v>
      </c>
      <c r="D48" s="116">
        <v>37.299999999999997</v>
      </c>
      <c r="E48" s="116">
        <v>38.325000000000003</v>
      </c>
      <c r="F48" s="116">
        <v>75.3</v>
      </c>
      <c r="G48">
        <v>354587</v>
      </c>
      <c r="H48" s="116"/>
      <c r="I48" s="116"/>
      <c r="L48" s="169">
        <v>42068</v>
      </c>
      <c r="M48" s="116">
        <v>37.625</v>
      </c>
      <c r="N48" s="116">
        <v>38.799999999999997</v>
      </c>
      <c r="O48" s="116">
        <v>37.25</v>
      </c>
      <c r="P48" s="116">
        <v>38.35</v>
      </c>
      <c r="Q48" s="116">
        <v>75.25</v>
      </c>
      <c r="R48">
        <v>887949</v>
      </c>
    </row>
    <row r="49" spans="1:18" x14ac:dyDescent="0.25">
      <c r="A49" s="169">
        <v>42072</v>
      </c>
      <c r="B49" s="116">
        <v>39.35</v>
      </c>
      <c r="C49" s="116">
        <v>37.4</v>
      </c>
      <c r="D49" s="116">
        <v>37.200000000000003</v>
      </c>
      <c r="E49" s="116">
        <v>37.700000000000003</v>
      </c>
      <c r="F49" s="116">
        <v>74.8</v>
      </c>
      <c r="G49">
        <v>660185</v>
      </c>
      <c r="H49" s="116"/>
      <c r="I49" s="116"/>
      <c r="L49" s="169">
        <v>42072</v>
      </c>
      <c r="M49" s="116">
        <v>37.475000000000001</v>
      </c>
      <c r="N49" s="116">
        <v>39.35</v>
      </c>
      <c r="O49" s="116">
        <v>37.25</v>
      </c>
      <c r="P49" s="116">
        <v>37.325000000000003</v>
      </c>
      <c r="Q49" s="116">
        <v>74.95</v>
      </c>
      <c r="R49">
        <v>1261218</v>
      </c>
    </row>
    <row r="50" spans="1:18" x14ac:dyDescent="0.25">
      <c r="A50" s="169">
        <v>42073</v>
      </c>
      <c r="B50" s="116">
        <v>38.274999999999999</v>
      </c>
      <c r="C50" s="116">
        <v>36.875</v>
      </c>
      <c r="D50" s="116">
        <v>36.625</v>
      </c>
      <c r="E50" s="116">
        <v>37.75</v>
      </c>
      <c r="F50" s="116">
        <v>73.75</v>
      </c>
      <c r="G50">
        <v>361182</v>
      </c>
      <c r="H50" s="116"/>
      <c r="I50" s="116"/>
      <c r="L50" s="169">
        <v>42073</v>
      </c>
      <c r="M50" s="116">
        <v>36.875</v>
      </c>
      <c r="N50" s="116">
        <v>38.225000000000001</v>
      </c>
      <c r="O50" s="116">
        <v>36.575000000000003</v>
      </c>
      <c r="P50" s="116">
        <v>37.700000000000003</v>
      </c>
      <c r="Q50" s="116">
        <v>73.75</v>
      </c>
      <c r="R50">
        <v>819499</v>
      </c>
    </row>
    <row r="51" spans="1:18" x14ac:dyDescent="0.25">
      <c r="A51" s="169">
        <v>42074</v>
      </c>
      <c r="B51" s="116">
        <v>37.424999999999997</v>
      </c>
      <c r="C51" s="116">
        <v>35.725000000000001</v>
      </c>
      <c r="D51" s="116">
        <v>35.549999999999997</v>
      </c>
      <c r="E51" s="116">
        <v>37.049999999999997</v>
      </c>
      <c r="F51" s="116">
        <v>71.45</v>
      </c>
      <c r="G51">
        <v>687646</v>
      </c>
      <c r="H51" s="116"/>
      <c r="I51" s="116"/>
      <c r="L51" s="169">
        <v>42074</v>
      </c>
      <c r="M51" s="116">
        <v>35.825000000000003</v>
      </c>
      <c r="N51" s="116">
        <v>37.4</v>
      </c>
      <c r="O51" s="116">
        <v>35.700000000000003</v>
      </c>
      <c r="P51" s="116">
        <v>37</v>
      </c>
      <c r="Q51" s="116">
        <v>71.650000000000006</v>
      </c>
      <c r="R51">
        <v>1115716</v>
      </c>
    </row>
    <row r="52" spans="1:18" x14ac:dyDescent="0.25">
      <c r="A52" s="169">
        <v>42075</v>
      </c>
      <c r="B52" s="116">
        <v>36.85</v>
      </c>
      <c r="C52" s="116">
        <v>36.325000000000003</v>
      </c>
      <c r="D52" s="116">
        <v>35.975000000000001</v>
      </c>
      <c r="E52" s="116">
        <v>36.075000000000003</v>
      </c>
      <c r="F52" s="116">
        <v>72.650000000000006</v>
      </c>
      <c r="G52">
        <v>190400</v>
      </c>
      <c r="H52" s="116"/>
      <c r="I52" s="116"/>
      <c r="L52" s="169">
        <v>42075</v>
      </c>
      <c r="M52" s="116">
        <v>36.274999999999999</v>
      </c>
      <c r="N52" s="116">
        <v>36.825000000000003</v>
      </c>
      <c r="O52" s="116">
        <v>36</v>
      </c>
      <c r="P52" s="116">
        <v>36.125</v>
      </c>
      <c r="Q52" s="116">
        <v>72.55</v>
      </c>
      <c r="R52">
        <v>577060</v>
      </c>
    </row>
    <row r="53" spans="1:18" x14ac:dyDescent="0.25">
      <c r="A53" s="169">
        <v>42076</v>
      </c>
      <c r="B53" s="116">
        <v>36.75</v>
      </c>
      <c r="C53" s="116">
        <v>35</v>
      </c>
      <c r="D53" s="116">
        <v>34.825000000000003</v>
      </c>
      <c r="E53" s="116">
        <v>36.700000000000003</v>
      </c>
      <c r="F53" s="116">
        <v>70</v>
      </c>
      <c r="G53">
        <v>424774</v>
      </c>
      <c r="H53" s="116"/>
      <c r="I53" s="116"/>
      <c r="L53" s="169">
        <v>42076</v>
      </c>
      <c r="M53" s="116">
        <v>34.950000000000003</v>
      </c>
      <c r="N53" s="116">
        <v>36.85</v>
      </c>
      <c r="O53" s="116">
        <v>34.799999999999997</v>
      </c>
      <c r="P53" s="116">
        <v>36.700000000000003</v>
      </c>
      <c r="Q53" s="116">
        <v>69.900000000000006</v>
      </c>
      <c r="R53">
        <v>715239</v>
      </c>
    </row>
    <row r="54" spans="1:18" x14ac:dyDescent="0.25">
      <c r="A54" s="169">
        <v>42079</v>
      </c>
      <c r="B54" s="116">
        <v>35.200000000000003</v>
      </c>
      <c r="C54" s="116">
        <v>34.299999999999997</v>
      </c>
      <c r="D54" s="116">
        <v>34.075000000000003</v>
      </c>
      <c r="E54" s="116">
        <v>35.200000000000003</v>
      </c>
      <c r="F54" s="116">
        <v>68.599999999999994</v>
      </c>
      <c r="G54">
        <v>279913</v>
      </c>
      <c r="H54" s="116"/>
      <c r="I54" s="116"/>
      <c r="L54" s="169">
        <v>42079</v>
      </c>
      <c r="M54" s="116">
        <v>34.225000000000001</v>
      </c>
      <c r="N54" s="116">
        <v>35.125</v>
      </c>
      <c r="O54" s="116">
        <v>34.049999999999997</v>
      </c>
      <c r="P54" s="116">
        <v>34.975000000000001</v>
      </c>
      <c r="Q54" s="116">
        <v>68.45</v>
      </c>
      <c r="R54">
        <v>634769</v>
      </c>
    </row>
    <row r="55" spans="1:18" x14ac:dyDescent="0.25">
      <c r="A55" s="169">
        <v>42080</v>
      </c>
      <c r="B55" s="116">
        <v>34.950000000000003</v>
      </c>
      <c r="C55" s="116">
        <v>33.549999999999997</v>
      </c>
      <c r="D55" s="116">
        <v>33.200000000000003</v>
      </c>
      <c r="E55" s="116">
        <v>34.75</v>
      </c>
      <c r="F55" s="116">
        <v>67.099999999999994</v>
      </c>
      <c r="G55">
        <v>528319</v>
      </c>
      <c r="H55" s="116"/>
      <c r="I55" s="116"/>
      <c r="L55" s="169">
        <v>42080</v>
      </c>
      <c r="M55" s="116">
        <v>33.625</v>
      </c>
      <c r="N55" s="116">
        <v>34.9</v>
      </c>
      <c r="O55" s="116">
        <v>33.25</v>
      </c>
      <c r="P55" s="116">
        <v>34.5</v>
      </c>
      <c r="Q55" s="116">
        <v>67.25</v>
      </c>
      <c r="R55">
        <v>739275</v>
      </c>
    </row>
    <row r="56" spans="1:18" x14ac:dyDescent="0.25">
      <c r="A56" s="169">
        <v>42081</v>
      </c>
      <c r="B56" s="116">
        <v>34.125</v>
      </c>
      <c r="C56" s="116">
        <v>33.725000000000001</v>
      </c>
      <c r="D56" s="116">
        <v>33.5</v>
      </c>
      <c r="E56" s="116">
        <v>33.825000000000003</v>
      </c>
      <c r="F56" s="116">
        <v>67.45</v>
      </c>
      <c r="G56">
        <v>278264</v>
      </c>
      <c r="H56" s="116"/>
      <c r="I56" s="116"/>
      <c r="L56" s="169">
        <v>42081</v>
      </c>
      <c r="M56" s="116">
        <v>33.725000000000001</v>
      </c>
      <c r="N56" s="116">
        <v>34.1</v>
      </c>
      <c r="O56" s="116">
        <v>33.450000000000003</v>
      </c>
      <c r="P56" s="116">
        <v>33.75</v>
      </c>
      <c r="Q56" s="116">
        <v>67.45</v>
      </c>
      <c r="R56">
        <v>736233</v>
      </c>
    </row>
    <row r="57" spans="1:18" x14ac:dyDescent="0.25">
      <c r="A57" s="169">
        <v>42082</v>
      </c>
      <c r="B57" s="116">
        <v>34.475000000000001</v>
      </c>
      <c r="C57" s="116">
        <v>32.6</v>
      </c>
      <c r="D57" s="116">
        <v>32.5</v>
      </c>
      <c r="E57" s="116">
        <v>34.125</v>
      </c>
      <c r="F57" s="116">
        <v>65.2</v>
      </c>
      <c r="G57">
        <v>381673</v>
      </c>
      <c r="H57" s="116"/>
      <c r="I57" s="116"/>
      <c r="L57" s="169">
        <v>42082</v>
      </c>
      <c r="M57" s="116">
        <v>32.625</v>
      </c>
      <c r="N57" s="116">
        <v>34.5</v>
      </c>
      <c r="O57" s="116">
        <v>32.450000000000003</v>
      </c>
      <c r="P57" s="116">
        <v>34.024999999999999</v>
      </c>
      <c r="Q57" s="116">
        <v>65.25</v>
      </c>
      <c r="R57">
        <v>544885</v>
      </c>
    </row>
    <row r="58" spans="1:18" x14ac:dyDescent="0.25">
      <c r="A58" s="169">
        <v>42083</v>
      </c>
      <c r="B58" s="116">
        <v>32.575000000000003</v>
      </c>
      <c r="C58" s="116">
        <v>30.475000000000001</v>
      </c>
      <c r="D58" s="116">
        <v>30.324999999999999</v>
      </c>
      <c r="E58" s="116">
        <v>32.475000000000001</v>
      </c>
      <c r="F58" s="116">
        <v>60.95</v>
      </c>
      <c r="G58">
        <v>495053</v>
      </c>
      <c r="H58" s="116"/>
      <c r="I58" s="116"/>
      <c r="L58" s="169">
        <v>42083</v>
      </c>
      <c r="M58" s="116">
        <v>30.425000000000001</v>
      </c>
      <c r="N58" s="116">
        <v>32.674999999999997</v>
      </c>
      <c r="O58" s="116">
        <v>30.175000000000001</v>
      </c>
      <c r="P58" s="116">
        <v>32.65</v>
      </c>
      <c r="Q58" s="116">
        <v>60.85</v>
      </c>
      <c r="R58">
        <v>1297946</v>
      </c>
    </row>
    <row r="59" spans="1:18" x14ac:dyDescent="0.25">
      <c r="A59" s="169">
        <v>42086</v>
      </c>
      <c r="B59" s="116">
        <v>31</v>
      </c>
      <c r="C59" s="116">
        <v>29.85</v>
      </c>
      <c r="D59" s="116">
        <v>29.274999999999999</v>
      </c>
      <c r="E59" s="116">
        <v>30.5</v>
      </c>
      <c r="F59" s="116">
        <v>59.7</v>
      </c>
      <c r="G59">
        <v>483629</v>
      </c>
      <c r="H59" s="116"/>
      <c r="I59" s="116"/>
      <c r="L59" s="169">
        <v>42086</v>
      </c>
      <c r="M59" s="116">
        <v>29.95</v>
      </c>
      <c r="N59" s="116">
        <v>31.1</v>
      </c>
      <c r="O59" s="116">
        <v>29.225000000000001</v>
      </c>
      <c r="P59" s="116">
        <v>30.5</v>
      </c>
      <c r="Q59" s="116">
        <v>59.9</v>
      </c>
      <c r="R59">
        <v>1197865</v>
      </c>
    </row>
    <row r="60" spans="1:18" x14ac:dyDescent="0.25">
      <c r="A60" s="169">
        <v>42087</v>
      </c>
      <c r="B60" s="116">
        <v>30.95</v>
      </c>
      <c r="C60" s="116">
        <v>29.6</v>
      </c>
      <c r="D60" s="116">
        <v>29.25</v>
      </c>
      <c r="E60" s="116">
        <v>29.9</v>
      </c>
      <c r="F60" s="116">
        <v>59.2</v>
      </c>
      <c r="G60">
        <v>554465</v>
      </c>
      <c r="H60" s="116"/>
      <c r="I60" s="116"/>
      <c r="L60" s="169">
        <v>42087</v>
      </c>
      <c r="M60" s="116">
        <v>29.65</v>
      </c>
      <c r="N60" s="116">
        <v>31</v>
      </c>
      <c r="O60" s="116">
        <v>29.175000000000001</v>
      </c>
      <c r="P60" s="116">
        <v>29.774999999999999</v>
      </c>
      <c r="Q60" s="116">
        <v>59.3</v>
      </c>
      <c r="R60">
        <v>870893</v>
      </c>
    </row>
    <row r="61" spans="1:18" x14ac:dyDescent="0.25">
      <c r="A61" s="169">
        <v>42088</v>
      </c>
      <c r="B61" s="116">
        <v>30.125</v>
      </c>
      <c r="C61" s="116">
        <v>28.925000000000001</v>
      </c>
      <c r="D61" s="116">
        <v>28.8</v>
      </c>
      <c r="E61" s="116">
        <v>29.925000000000001</v>
      </c>
      <c r="F61" s="116">
        <v>57.85</v>
      </c>
      <c r="G61">
        <v>231527</v>
      </c>
      <c r="H61" s="116"/>
      <c r="I61" s="116"/>
      <c r="L61" s="169">
        <v>42088</v>
      </c>
      <c r="M61" s="116">
        <v>28.9</v>
      </c>
      <c r="N61" s="116">
        <v>30.1</v>
      </c>
      <c r="O61" s="116">
        <v>28.725000000000001</v>
      </c>
      <c r="P61" s="116">
        <v>29.85</v>
      </c>
      <c r="Q61" s="116">
        <v>57.8</v>
      </c>
      <c r="R61">
        <v>648551</v>
      </c>
    </row>
    <row r="62" spans="1:18" x14ac:dyDescent="0.25">
      <c r="A62" s="169">
        <v>42089</v>
      </c>
      <c r="B62" s="116">
        <v>29.25</v>
      </c>
      <c r="C62" s="116">
        <v>28.475000000000001</v>
      </c>
      <c r="D62" s="116">
        <v>28.125</v>
      </c>
      <c r="E62" s="116">
        <v>28.475000000000001</v>
      </c>
      <c r="F62" s="116">
        <v>56.95</v>
      </c>
      <c r="G62">
        <v>246565</v>
      </c>
      <c r="H62" s="116"/>
      <c r="I62" s="116"/>
      <c r="L62" s="169">
        <v>42089</v>
      </c>
      <c r="M62" s="116">
        <v>28.425000000000001</v>
      </c>
      <c r="N62" s="116">
        <v>29.4</v>
      </c>
      <c r="O62" s="116">
        <v>28.225000000000001</v>
      </c>
      <c r="P62" s="116">
        <v>28.5</v>
      </c>
      <c r="Q62" s="116">
        <v>56.85</v>
      </c>
      <c r="R62">
        <v>689836</v>
      </c>
    </row>
    <row r="63" spans="1:18" x14ac:dyDescent="0.25">
      <c r="A63" s="169">
        <v>42090</v>
      </c>
      <c r="B63" s="116">
        <v>29.9</v>
      </c>
      <c r="C63" s="116">
        <v>29.475000000000001</v>
      </c>
      <c r="D63" s="116">
        <v>28.125</v>
      </c>
      <c r="E63" s="116">
        <v>28.774999999999999</v>
      </c>
      <c r="F63" s="116">
        <v>58.95</v>
      </c>
      <c r="G63">
        <v>412102</v>
      </c>
      <c r="H63" s="116"/>
      <c r="I63" s="116"/>
      <c r="L63" s="169">
        <v>42090</v>
      </c>
      <c r="M63" s="116">
        <v>29.475000000000001</v>
      </c>
      <c r="N63" s="116">
        <v>29.9</v>
      </c>
      <c r="O63" s="116">
        <v>28.1</v>
      </c>
      <c r="P63" s="116">
        <v>28.7</v>
      </c>
      <c r="Q63" s="116">
        <v>58.95</v>
      </c>
      <c r="R63">
        <v>962010</v>
      </c>
    </row>
    <row r="64" spans="1:18" x14ac:dyDescent="0.25">
      <c r="A64" s="169">
        <v>42093</v>
      </c>
      <c r="B64" s="116">
        <v>33.200000000000003</v>
      </c>
      <c r="C64" s="116">
        <v>32.85</v>
      </c>
      <c r="D64" s="116">
        <v>29.9</v>
      </c>
      <c r="E64" s="116">
        <v>29.9</v>
      </c>
      <c r="F64" s="116">
        <v>65.7</v>
      </c>
      <c r="G64">
        <v>679792</v>
      </c>
      <c r="H64" s="116"/>
      <c r="I64" s="116"/>
      <c r="L64" s="169">
        <v>42093</v>
      </c>
      <c r="M64" s="116">
        <v>32.825000000000003</v>
      </c>
      <c r="N64" s="116">
        <v>33.15</v>
      </c>
      <c r="O64" s="116">
        <v>29.85</v>
      </c>
      <c r="P64" s="116">
        <v>29.85</v>
      </c>
      <c r="Q64" s="116">
        <v>65.650000000000006</v>
      </c>
      <c r="R64">
        <v>1634867</v>
      </c>
    </row>
    <row r="65" spans="1:18" x14ac:dyDescent="0.25">
      <c r="A65" s="169">
        <v>42094</v>
      </c>
      <c r="B65" s="116">
        <v>33.85</v>
      </c>
      <c r="C65" s="116">
        <v>32.85</v>
      </c>
      <c r="D65" s="116">
        <v>32.450000000000003</v>
      </c>
      <c r="E65" s="116">
        <v>33.774999999999999</v>
      </c>
      <c r="F65" s="116">
        <v>65.7</v>
      </c>
      <c r="G65">
        <v>417808</v>
      </c>
      <c r="H65" s="116"/>
      <c r="I65" s="116"/>
      <c r="L65" s="169">
        <v>42094</v>
      </c>
      <c r="M65" s="116">
        <v>32.875</v>
      </c>
      <c r="N65" s="116">
        <v>33.85</v>
      </c>
      <c r="O65" s="116">
        <v>32.450000000000003</v>
      </c>
      <c r="P65" s="116">
        <v>33</v>
      </c>
      <c r="Q65" s="116">
        <v>65.75</v>
      </c>
      <c r="R65">
        <v>1004498</v>
      </c>
    </row>
    <row r="66" spans="1:18" x14ac:dyDescent="0.25">
      <c r="A66" s="169">
        <v>42095</v>
      </c>
      <c r="B66" s="116">
        <v>35.725000000000001</v>
      </c>
      <c r="C66" s="116">
        <v>34.674999999999997</v>
      </c>
      <c r="D66" s="116">
        <v>32.825000000000003</v>
      </c>
      <c r="E66" s="116">
        <v>33</v>
      </c>
      <c r="F66" s="116">
        <v>69.349999999999994</v>
      </c>
      <c r="G66">
        <v>652235</v>
      </c>
      <c r="H66" s="116"/>
      <c r="I66" s="116"/>
      <c r="L66" s="169">
        <v>42095</v>
      </c>
      <c r="M66" s="116">
        <v>34.75</v>
      </c>
      <c r="N66" s="116">
        <v>35.700000000000003</v>
      </c>
      <c r="O66" s="116">
        <v>32.75</v>
      </c>
      <c r="P66" s="116">
        <v>32.875</v>
      </c>
      <c r="Q66" s="116">
        <v>69.5</v>
      </c>
      <c r="R66">
        <v>1693575</v>
      </c>
    </row>
    <row r="67" spans="1:18" x14ac:dyDescent="0.25">
      <c r="A67" s="169">
        <v>42100</v>
      </c>
      <c r="B67" s="116">
        <v>35.200000000000003</v>
      </c>
      <c r="C67" s="116">
        <v>34.174999999999997</v>
      </c>
      <c r="D67" s="116">
        <v>34</v>
      </c>
      <c r="E67" s="116">
        <v>34.975000000000001</v>
      </c>
      <c r="F67" s="116">
        <v>68.349999999999994</v>
      </c>
      <c r="G67">
        <v>201633</v>
      </c>
      <c r="H67" s="116"/>
      <c r="I67" s="116"/>
      <c r="L67" s="169">
        <v>42100</v>
      </c>
      <c r="M67" s="116">
        <v>34.174999999999997</v>
      </c>
      <c r="N67" s="116">
        <v>35.15</v>
      </c>
      <c r="O67" s="116">
        <v>34</v>
      </c>
      <c r="P67" s="116">
        <v>34.9</v>
      </c>
      <c r="Q67" s="116">
        <v>68.349999999999994</v>
      </c>
      <c r="R67">
        <v>507526</v>
      </c>
    </row>
    <row r="68" spans="1:18" x14ac:dyDescent="0.25">
      <c r="A68" s="169">
        <v>42101</v>
      </c>
      <c r="B68" s="116">
        <v>35.674999999999997</v>
      </c>
      <c r="C68" s="116">
        <v>35.274999999999999</v>
      </c>
      <c r="D68" s="116">
        <v>34.200000000000003</v>
      </c>
      <c r="E68" s="116">
        <v>34.4</v>
      </c>
      <c r="F68" s="116">
        <v>70.55</v>
      </c>
      <c r="G68">
        <v>465935</v>
      </c>
      <c r="H68" s="116"/>
      <c r="I68" s="116"/>
      <c r="L68" s="169">
        <v>42101</v>
      </c>
      <c r="M68" s="116">
        <v>35.25</v>
      </c>
      <c r="N68" s="116">
        <v>35.65</v>
      </c>
      <c r="O68" s="116">
        <v>34.174999999999997</v>
      </c>
      <c r="P68" s="116">
        <v>34.299999999999997</v>
      </c>
      <c r="Q68" s="116">
        <v>70.5</v>
      </c>
      <c r="R68">
        <v>1106504</v>
      </c>
    </row>
    <row r="69" spans="1:18" x14ac:dyDescent="0.25">
      <c r="A69" s="169">
        <v>42102</v>
      </c>
      <c r="B69" s="116">
        <v>36.375</v>
      </c>
      <c r="C69" s="116">
        <v>35.125</v>
      </c>
      <c r="D69" s="116">
        <v>34.774999999999999</v>
      </c>
      <c r="E69" s="116">
        <v>35.5</v>
      </c>
      <c r="F69" s="116">
        <v>70.25</v>
      </c>
      <c r="G69">
        <v>338369</v>
      </c>
      <c r="H69" s="116"/>
      <c r="I69" s="116"/>
      <c r="L69" s="169">
        <v>42102</v>
      </c>
      <c r="M69" s="116">
        <v>35.125</v>
      </c>
      <c r="N69" s="116">
        <v>36.299999999999997</v>
      </c>
      <c r="O69" s="116">
        <v>34.799999999999997</v>
      </c>
      <c r="P69" s="116">
        <v>35.524999999999999</v>
      </c>
      <c r="Q69" s="116">
        <v>70.25</v>
      </c>
      <c r="R69">
        <v>886756</v>
      </c>
    </row>
    <row r="70" spans="1:18" x14ac:dyDescent="0.25">
      <c r="A70" s="169">
        <v>42103</v>
      </c>
      <c r="B70" s="116">
        <v>35.424999999999997</v>
      </c>
      <c r="C70" s="116">
        <v>34.674999999999997</v>
      </c>
      <c r="D70" s="116">
        <v>34.424999999999997</v>
      </c>
      <c r="E70" s="116">
        <v>34.799999999999997</v>
      </c>
      <c r="F70" s="116">
        <v>69.349999999999994</v>
      </c>
      <c r="G70">
        <v>243508</v>
      </c>
      <c r="H70" s="116"/>
      <c r="I70" s="116"/>
      <c r="L70" s="169">
        <v>42103</v>
      </c>
      <c r="M70" s="116">
        <v>34.774999999999999</v>
      </c>
      <c r="N70" s="116">
        <v>35.450000000000003</v>
      </c>
      <c r="O70" s="116">
        <v>34.450000000000003</v>
      </c>
      <c r="P70" s="116">
        <v>35.35</v>
      </c>
      <c r="Q70" s="116">
        <v>69.55</v>
      </c>
      <c r="R70">
        <v>524306</v>
      </c>
    </row>
    <row r="71" spans="1:18" x14ac:dyDescent="0.25">
      <c r="A71" s="169">
        <v>42104</v>
      </c>
      <c r="B71" s="116">
        <v>35.325000000000003</v>
      </c>
      <c r="C71" s="116">
        <v>34.6</v>
      </c>
      <c r="D71" s="116">
        <v>34.424999999999997</v>
      </c>
      <c r="E71" s="116">
        <v>34.825000000000003</v>
      </c>
      <c r="F71" s="116">
        <v>69.2</v>
      </c>
      <c r="G71">
        <v>242102</v>
      </c>
      <c r="H71" s="116"/>
      <c r="I71" s="116"/>
      <c r="L71" s="169">
        <v>42104</v>
      </c>
      <c r="M71" s="116">
        <v>34.575000000000003</v>
      </c>
      <c r="N71" s="116">
        <v>35.274999999999999</v>
      </c>
      <c r="O71" s="116">
        <v>34.299999999999997</v>
      </c>
      <c r="P71" s="116">
        <v>34.924999999999997</v>
      </c>
      <c r="Q71" s="116">
        <v>69.150000000000006</v>
      </c>
      <c r="R71">
        <v>659165</v>
      </c>
    </row>
    <row r="72" spans="1:18" x14ac:dyDescent="0.25">
      <c r="A72" s="169">
        <v>42107</v>
      </c>
      <c r="B72" s="116">
        <v>35.200000000000003</v>
      </c>
      <c r="C72" s="116">
        <v>34.325000000000003</v>
      </c>
      <c r="D72" s="116">
        <v>34.225000000000001</v>
      </c>
      <c r="E72" s="116">
        <v>34.549999999999997</v>
      </c>
      <c r="F72" s="116">
        <v>68.650000000000006</v>
      </c>
      <c r="G72">
        <v>273547</v>
      </c>
      <c r="H72" s="116"/>
      <c r="I72" s="116"/>
      <c r="L72" s="169">
        <v>42107</v>
      </c>
      <c r="M72" s="116">
        <v>34.35</v>
      </c>
      <c r="N72" s="116">
        <v>35.15</v>
      </c>
      <c r="O72" s="116">
        <v>34.174999999999997</v>
      </c>
      <c r="P72" s="116">
        <v>34.625</v>
      </c>
      <c r="Q72" s="116">
        <v>68.7</v>
      </c>
      <c r="R72">
        <v>717044</v>
      </c>
    </row>
    <row r="73" spans="1:18" x14ac:dyDescent="0.25">
      <c r="A73" s="169">
        <v>42109</v>
      </c>
      <c r="B73" s="116">
        <v>35.375</v>
      </c>
      <c r="C73" s="116">
        <v>33.475000000000001</v>
      </c>
      <c r="D73" s="116">
        <v>33.15</v>
      </c>
      <c r="E73" s="116">
        <v>35.375</v>
      </c>
      <c r="F73" s="116">
        <v>66.95</v>
      </c>
      <c r="G73">
        <v>283102</v>
      </c>
      <c r="H73" s="116"/>
      <c r="I73" s="116"/>
      <c r="L73" s="169">
        <v>42109</v>
      </c>
      <c r="M73" s="116">
        <v>33.6</v>
      </c>
      <c r="N73" s="116">
        <v>34.700000000000003</v>
      </c>
      <c r="O73" s="116">
        <v>33.35</v>
      </c>
      <c r="P73" s="116">
        <v>34.5</v>
      </c>
      <c r="Q73" s="116">
        <v>67.2</v>
      </c>
      <c r="R73">
        <v>717678</v>
      </c>
    </row>
    <row r="74" spans="1:18" x14ac:dyDescent="0.25">
      <c r="A74" s="169">
        <v>42110</v>
      </c>
      <c r="B74" s="116">
        <v>33.774999999999999</v>
      </c>
      <c r="C74" s="116">
        <v>33.075000000000003</v>
      </c>
      <c r="D74" s="116">
        <v>32.6</v>
      </c>
      <c r="E74" s="116">
        <v>33.549999999999997</v>
      </c>
      <c r="F74" s="116">
        <v>66.150000000000006</v>
      </c>
      <c r="G74">
        <v>764539</v>
      </c>
      <c r="H74" s="116"/>
      <c r="I74" s="116"/>
      <c r="L74" s="169">
        <v>42110</v>
      </c>
      <c r="M74" s="116">
        <v>33.125</v>
      </c>
      <c r="N74" s="116">
        <v>33.799999999999997</v>
      </c>
      <c r="O74" s="116">
        <v>32.5</v>
      </c>
      <c r="P74" s="116">
        <v>33.25</v>
      </c>
      <c r="Q74" s="116">
        <v>66.25</v>
      </c>
      <c r="R74">
        <v>601596</v>
      </c>
    </row>
    <row r="75" spans="1:18" x14ac:dyDescent="0.25">
      <c r="A75" s="169">
        <v>42111</v>
      </c>
      <c r="B75" s="116">
        <v>34.225000000000001</v>
      </c>
      <c r="C75" s="116">
        <v>33.024999999999999</v>
      </c>
      <c r="D75" s="116">
        <v>32.799999999999997</v>
      </c>
      <c r="E75" s="116">
        <v>33.674999999999997</v>
      </c>
      <c r="F75" s="116">
        <v>66.05</v>
      </c>
      <c r="G75">
        <v>306071</v>
      </c>
      <c r="H75" s="116"/>
      <c r="I75" s="116"/>
      <c r="L75" s="169">
        <v>42111</v>
      </c>
      <c r="M75" s="116">
        <v>33.024999999999999</v>
      </c>
      <c r="N75" s="116">
        <v>34.200000000000003</v>
      </c>
      <c r="O75" s="116">
        <v>32.799999999999997</v>
      </c>
      <c r="P75" s="116">
        <v>33.524999999999999</v>
      </c>
      <c r="Q75" s="116">
        <v>66.05</v>
      </c>
      <c r="R75">
        <v>904585</v>
      </c>
    </row>
    <row r="76" spans="1:18" x14ac:dyDescent="0.25">
      <c r="A76" s="169">
        <v>42114</v>
      </c>
      <c r="B76" s="116">
        <v>33.225000000000001</v>
      </c>
      <c r="C76" s="116">
        <v>32.125</v>
      </c>
      <c r="D76" s="116">
        <v>31.65</v>
      </c>
      <c r="E76" s="116">
        <v>33.15</v>
      </c>
      <c r="F76" s="116">
        <v>64.25</v>
      </c>
      <c r="G76">
        <v>161333</v>
      </c>
      <c r="H76" s="116"/>
      <c r="I76" s="116"/>
      <c r="L76" s="169">
        <v>42114</v>
      </c>
      <c r="M76" s="116">
        <v>32.200000000000003</v>
      </c>
      <c r="N76" s="116">
        <v>33.174999999999997</v>
      </c>
      <c r="O76" s="116">
        <v>31.574999999999999</v>
      </c>
      <c r="P76" s="116">
        <v>33.125</v>
      </c>
      <c r="Q76" s="116">
        <v>64.400000000000006</v>
      </c>
      <c r="R76">
        <v>486334</v>
      </c>
    </row>
    <row r="77" spans="1:18" x14ac:dyDescent="0.25">
      <c r="A77" s="169">
        <v>42115</v>
      </c>
      <c r="B77" s="116">
        <v>33.625</v>
      </c>
      <c r="C77" s="116">
        <v>32.9</v>
      </c>
      <c r="D77" s="116">
        <v>31.725000000000001</v>
      </c>
      <c r="E77" s="116">
        <v>32.375</v>
      </c>
      <c r="F77" s="116">
        <v>65.8</v>
      </c>
      <c r="G77">
        <v>415810</v>
      </c>
      <c r="H77" s="116"/>
      <c r="I77" s="116"/>
      <c r="L77" s="169">
        <v>42115</v>
      </c>
      <c r="M77" s="116">
        <v>33.024999999999999</v>
      </c>
      <c r="N77" s="116">
        <v>33.700000000000003</v>
      </c>
      <c r="O77" s="116">
        <v>31.65</v>
      </c>
      <c r="P77" s="116">
        <v>32.25</v>
      </c>
      <c r="Q77" s="116">
        <v>66.05</v>
      </c>
      <c r="R77">
        <v>994481</v>
      </c>
    </row>
    <row r="78" spans="1:18" x14ac:dyDescent="0.25">
      <c r="A78" s="169">
        <v>42116</v>
      </c>
      <c r="B78" s="116">
        <v>33.625</v>
      </c>
      <c r="C78" s="116">
        <v>33</v>
      </c>
      <c r="D78" s="116">
        <v>32.125</v>
      </c>
      <c r="E78" s="116">
        <v>32.799999999999997</v>
      </c>
      <c r="F78" s="116">
        <v>66</v>
      </c>
      <c r="G78">
        <v>238136</v>
      </c>
      <c r="H78" s="116"/>
      <c r="I78" s="116"/>
      <c r="L78" s="169">
        <v>42116</v>
      </c>
      <c r="M78" s="116">
        <v>32.975000000000001</v>
      </c>
      <c r="N78" s="116">
        <v>33.65</v>
      </c>
      <c r="O78" s="116">
        <v>32</v>
      </c>
      <c r="P78" s="116">
        <v>33.200000000000003</v>
      </c>
      <c r="Q78" s="116">
        <v>65.95</v>
      </c>
      <c r="R78">
        <v>655698</v>
      </c>
    </row>
    <row r="79" spans="1:18" x14ac:dyDescent="0.25">
      <c r="A79" s="169">
        <v>42117</v>
      </c>
      <c r="B79" s="116">
        <v>33.875</v>
      </c>
      <c r="C79" s="116">
        <v>33.225000000000001</v>
      </c>
      <c r="D79" s="116">
        <v>32.950000000000003</v>
      </c>
      <c r="E79" s="116">
        <v>33.450000000000003</v>
      </c>
      <c r="F79" s="116">
        <v>66.45</v>
      </c>
      <c r="G79">
        <v>175114</v>
      </c>
      <c r="H79" s="116"/>
      <c r="I79" s="116"/>
      <c r="L79" s="169">
        <v>42117</v>
      </c>
      <c r="M79" s="116">
        <v>33.274999999999999</v>
      </c>
      <c r="N79" s="116">
        <v>33.924999999999997</v>
      </c>
      <c r="O79" s="116">
        <v>32.799999999999997</v>
      </c>
      <c r="P79" s="116">
        <v>33.35</v>
      </c>
      <c r="Q79" s="116">
        <v>66.55</v>
      </c>
      <c r="R79">
        <v>498854</v>
      </c>
    </row>
    <row r="80" spans="1:18" x14ac:dyDescent="0.25">
      <c r="A80" s="169">
        <v>42118</v>
      </c>
      <c r="B80" s="116">
        <v>33.424999999999997</v>
      </c>
      <c r="C80" s="116">
        <v>32.15</v>
      </c>
      <c r="D80" s="116">
        <v>31.75</v>
      </c>
      <c r="E80" s="116">
        <v>33.375</v>
      </c>
      <c r="F80" s="116">
        <v>64.3</v>
      </c>
      <c r="G80">
        <v>141659</v>
      </c>
      <c r="H80" s="116"/>
      <c r="I80" s="116"/>
      <c r="L80" s="169">
        <v>42118</v>
      </c>
      <c r="M80" s="116">
        <v>32.200000000000003</v>
      </c>
      <c r="N80" s="116">
        <v>33.375</v>
      </c>
      <c r="O80" s="116">
        <v>31.75</v>
      </c>
      <c r="P80" s="116">
        <v>33.35</v>
      </c>
      <c r="Q80" s="116">
        <v>64.400000000000006</v>
      </c>
      <c r="R80">
        <v>465770</v>
      </c>
    </row>
    <row r="81" spans="1:18" x14ac:dyDescent="0.25">
      <c r="A81" s="169">
        <v>42121</v>
      </c>
      <c r="B81" s="116">
        <v>32.424999999999997</v>
      </c>
      <c r="C81" s="116">
        <v>31.1</v>
      </c>
      <c r="D81" s="116">
        <v>30.875</v>
      </c>
      <c r="E81" s="116">
        <v>32.25</v>
      </c>
      <c r="F81" s="116">
        <v>62.2</v>
      </c>
      <c r="G81">
        <v>185028</v>
      </c>
      <c r="H81" s="116"/>
      <c r="I81" s="116"/>
      <c r="L81" s="169">
        <v>42121</v>
      </c>
      <c r="M81" s="116">
        <v>31.225000000000001</v>
      </c>
      <c r="N81" s="116">
        <v>32.4</v>
      </c>
      <c r="O81" s="116">
        <v>30.85</v>
      </c>
      <c r="P81" s="116">
        <v>32.4</v>
      </c>
      <c r="Q81" s="116">
        <v>62.45</v>
      </c>
      <c r="R81">
        <v>466210</v>
      </c>
    </row>
    <row r="82" spans="1:18" x14ac:dyDescent="0.25">
      <c r="A82" s="169">
        <v>42122</v>
      </c>
      <c r="B82" s="116">
        <v>32.299999999999997</v>
      </c>
      <c r="C82" s="116">
        <v>31.925000000000001</v>
      </c>
      <c r="D82" s="116">
        <v>30.774999999999999</v>
      </c>
      <c r="E82" s="116">
        <v>31.15</v>
      </c>
      <c r="F82" s="116">
        <v>63.85</v>
      </c>
      <c r="G82">
        <v>293789</v>
      </c>
      <c r="H82" s="116"/>
      <c r="I82" s="116"/>
      <c r="L82" s="169">
        <v>42122</v>
      </c>
      <c r="M82" s="116">
        <v>32</v>
      </c>
      <c r="N82" s="116">
        <v>32.25</v>
      </c>
      <c r="O82" s="116">
        <v>30.5</v>
      </c>
      <c r="P82" s="116">
        <v>31.225000000000001</v>
      </c>
      <c r="Q82" s="116">
        <v>64</v>
      </c>
      <c r="R82">
        <v>565652</v>
      </c>
    </row>
    <row r="83" spans="1:18" x14ac:dyDescent="0.25">
      <c r="A83" s="169">
        <v>42123</v>
      </c>
      <c r="B83" s="116">
        <v>34.35</v>
      </c>
      <c r="C83" s="116">
        <v>33.65</v>
      </c>
      <c r="D83" s="116">
        <v>32.125</v>
      </c>
      <c r="E83" s="116">
        <v>32.125</v>
      </c>
      <c r="F83" s="116">
        <v>67.3</v>
      </c>
      <c r="G83">
        <v>423781</v>
      </c>
      <c r="H83" s="116"/>
      <c r="I83" s="116"/>
      <c r="L83" s="169">
        <v>42123</v>
      </c>
      <c r="M83" s="116">
        <v>33.65</v>
      </c>
      <c r="N83" s="116">
        <v>34.375</v>
      </c>
      <c r="O83" s="116">
        <v>32.1</v>
      </c>
      <c r="P83" s="116">
        <v>32.15</v>
      </c>
      <c r="Q83" s="116">
        <v>67.3</v>
      </c>
      <c r="R83">
        <v>940201</v>
      </c>
    </row>
    <row r="84" spans="1:18" x14ac:dyDescent="0.25">
      <c r="A84" s="169">
        <v>42124</v>
      </c>
      <c r="B84" s="116">
        <v>35.700000000000003</v>
      </c>
      <c r="C84" s="116">
        <v>34.475000000000001</v>
      </c>
      <c r="D84" s="116">
        <v>33.575000000000003</v>
      </c>
      <c r="E84" s="116">
        <v>33.725000000000001</v>
      </c>
      <c r="F84" s="116">
        <v>68.95</v>
      </c>
      <c r="G84">
        <v>595135</v>
      </c>
      <c r="H84" s="116"/>
      <c r="I84" s="116"/>
      <c r="L84" s="169">
        <v>42124</v>
      </c>
      <c r="M84" s="116">
        <v>34.450000000000003</v>
      </c>
      <c r="N84" s="116">
        <v>35.725000000000001</v>
      </c>
      <c r="O84" s="116">
        <v>33.5</v>
      </c>
      <c r="P84" s="116">
        <v>33.524999999999999</v>
      </c>
      <c r="Q84" s="116">
        <v>68.900000000000006</v>
      </c>
      <c r="R84">
        <v>1154983</v>
      </c>
    </row>
    <row r="85" spans="1:18" x14ac:dyDescent="0.25">
      <c r="A85" s="169">
        <v>42128</v>
      </c>
      <c r="B85" s="116">
        <v>36.700000000000003</v>
      </c>
      <c r="C85" s="116">
        <v>36.200000000000003</v>
      </c>
      <c r="D85" s="116">
        <v>34.5</v>
      </c>
      <c r="E85" s="116">
        <v>34.5</v>
      </c>
      <c r="F85" s="116">
        <v>72.400000000000006</v>
      </c>
      <c r="G85">
        <v>501464</v>
      </c>
      <c r="H85" s="116"/>
      <c r="I85" s="116"/>
      <c r="L85" s="169">
        <v>42128</v>
      </c>
      <c r="M85" s="116">
        <v>36.15</v>
      </c>
      <c r="N85" s="116">
        <v>36.75</v>
      </c>
      <c r="O85" s="116">
        <v>34.625</v>
      </c>
      <c r="P85" s="116">
        <v>34.625</v>
      </c>
      <c r="Q85" s="116">
        <v>72.3</v>
      </c>
      <c r="R85">
        <v>1233619</v>
      </c>
    </row>
    <row r="86" spans="1:18" x14ac:dyDescent="0.25">
      <c r="A86" s="169">
        <v>42129</v>
      </c>
      <c r="B86" s="116">
        <v>36.424999999999997</v>
      </c>
      <c r="C86" s="116">
        <v>35.799999999999997</v>
      </c>
      <c r="D86" s="116">
        <v>34.725000000000001</v>
      </c>
      <c r="E86" s="116">
        <v>36.299999999999997</v>
      </c>
      <c r="F86" s="116">
        <v>71.599999999999994</v>
      </c>
      <c r="G86">
        <v>312599</v>
      </c>
      <c r="H86" s="116"/>
      <c r="I86" s="116"/>
      <c r="L86" s="169">
        <v>42129</v>
      </c>
      <c r="M86" s="116">
        <v>35.75</v>
      </c>
      <c r="N86" s="116">
        <v>36.450000000000003</v>
      </c>
      <c r="O86" s="116">
        <v>34.75</v>
      </c>
      <c r="P86" s="116">
        <v>36.1</v>
      </c>
      <c r="Q86" s="116">
        <v>71.5</v>
      </c>
      <c r="R86">
        <v>701017</v>
      </c>
    </row>
    <row r="87" spans="1:18" x14ac:dyDescent="0.25">
      <c r="A87" s="169">
        <v>42130</v>
      </c>
      <c r="B87" s="116">
        <v>37.299999999999997</v>
      </c>
      <c r="C87" s="116">
        <v>35.85</v>
      </c>
      <c r="D87" s="116">
        <v>35.450000000000003</v>
      </c>
      <c r="E87" s="116">
        <v>36</v>
      </c>
      <c r="F87" s="116">
        <v>71.7</v>
      </c>
      <c r="G87">
        <v>721270</v>
      </c>
      <c r="H87" s="116"/>
      <c r="I87" s="116"/>
      <c r="L87" s="169">
        <v>42130</v>
      </c>
      <c r="M87" s="116">
        <v>35.825000000000003</v>
      </c>
      <c r="N87" s="116">
        <v>37.325000000000003</v>
      </c>
      <c r="O87" s="116">
        <v>35.450000000000003</v>
      </c>
      <c r="P87" s="116">
        <v>35.924999999999997</v>
      </c>
      <c r="Q87" s="116">
        <v>71.650000000000006</v>
      </c>
      <c r="R87">
        <v>1623753</v>
      </c>
    </row>
    <row r="88" spans="1:18" x14ac:dyDescent="0.25">
      <c r="A88" s="169">
        <v>42131</v>
      </c>
      <c r="B88" s="116">
        <v>35.799999999999997</v>
      </c>
      <c r="C88" s="116">
        <v>34.924999999999997</v>
      </c>
      <c r="D88" s="116">
        <v>33.625</v>
      </c>
      <c r="E88" s="116">
        <v>35.475000000000001</v>
      </c>
      <c r="F88" s="116">
        <v>69.849999999999994</v>
      </c>
      <c r="G88">
        <v>622124</v>
      </c>
      <c r="H88" s="116"/>
      <c r="I88" s="116"/>
      <c r="L88" s="169">
        <v>42131</v>
      </c>
      <c r="M88" s="116">
        <v>34.875</v>
      </c>
      <c r="N88" s="116">
        <v>35.825000000000003</v>
      </c>
      <c r="O88" s="116">
        <v>33.575000000000003</v>
      </c>
      <c r="P88" s="116">
        <v>35.4</v>
      </c>
      <c r="Q88" s="116">
        <v>69.75</v>
      </c>
      <c r="R88">
        <v>2108473</v>
      </c>
    </row>
    <row r="89" spans="1:18" x14ac:dyDescent="0.25">
      <c r="A89" s="169">
        <v>42132</v>
      </c>
      <c r="B89" s="116">
        <v>35.85</v>
      </c>
      <c r="C89" s="116">
        <v>33.200000000000003</v>
      </c>
      <c r="D89" s="116">
        <v>32.774999999999999</v>
      </c>
      <c r="E89" s="116">
        <v>35.549999999999997</v>
      </c>
      <c r="F89" s="116">
        <v>66.400000000000006</v>
      </c>
      <c r="G89">
        <v>698921</v>
      </c>
      <c r="H89" s="116"/>
      <c r="I89" s="116"/>
      <c r="L89" s="169">
        <v>42132</v>
      </c>
      <c r="M89" s="116">
        <v>33.25</v>
      </c>
      <c r="N89" s="116">
        <v>35.9</v>
      </c>
      <c r="O89" s="116">
        <v>32.549999999999997</v>
      </c>
      <c r="P89" s="116">
        <v>35.75</v>
      </c>
      <c r="Q89" s="116">
        <v>66.5</v>
      </c>
      <c r="R89">
        <v>1842564</v>
      </c>
    </row>
    <row r="90" spans="1:18" x14ac:dyDescent="0.25">
      <c r="A90" s="169">
        <v>42135</v>
      </c>
      <c r="B90" s="116">
        <v>34.200000000000003</v>
      </c>
      <c r="C90" s="116">
        <v>33.475000000000001</v>
      </c>
      <c r="D90" s="116">
        <v>33.35</v>
      </c>
      <c r="E90" s="116">
        <v>33.825000000000003</v>
      </c>
      <c r="F90" s="116">
        <v>66.95</v>
      </c>
      <c r="G90">
        <v>250065</v>
      </c>
      <c r="H90" s="116"/>
      <c r="I90" s="116"/>
      <c r="L90" s="169">
        <v>42135</v>
      </c>
      <c r="M90" s="116">
        <v>33.5</v>
      </c>
      <c r="N90" s="116">
        <v>34.174999999999997</v>
      </c>
      <c r="O90" s="116">
        <v>33.325000000000003</v>
      </c>
      <c r="P90" s="116">
        <v>33.700000000000003</v>
      </c>
      <c r="Q90" s="116">
        <v>67</v>
      </c>
      <c r="R90">
        <v>753653</v>
      </c>
    </row>
    <row r="91" spans="1:18" x14ac:dyDescent="0.25">
      <c r="A91" s="169">
        <v>42136</v>
      </c>
      <c r="B91" s="116">
        <v>33.475000000000001</v>
      </c>
      <c r="C91" s="116">
        <v>32.15</v>
      </c>
      <c r="D91" s="116">
        <v>31.9</v>
      </c>
      <c r="E91" s="116">
        <v>33.049999999999997</v>
      </c>
      <c r="F91" s="116">
        <v>64.3</v>
      </c>
      <c r="G91">
        <v>206223</v>
      </c>
      <c r="H91" s="116"/>
      <c r="I91" s="116"/>
      <c r="L91" s="169">
        <v>42136</v>
      </c>
      <c r="M91" s="116">
        <v>32.15</v>
      </c>
      <c r="N91" s="116">
        <v>33.6</v>
      </c>
      <c r="O91" s="116">
        <v>31.875</v>
      </c>
      <c r="P91" s="116">
        <v>33.6</v>
      </c>
      <c r="Q91" s="116">
        <v>64.3</v>
      </c>
      <c r="R91">
        <v>511937</v>
      </c>
    </row>
    <row r="92" spans="1:18" x14ac:dyDescent="0.25">
      <c r="A92" s="169">
        <v>42137</v>
      </c>
      <c r="B92" s="116">
        <v>32.825000000000003</v>
      </c>
      <c r="C92" s="116">
        <v>32.200000000000003</v>
      </c>
      <c r="D92" s="116">
        <v>31.524999999999999</v>
      </c>
      <c r="E92" s="116">
        <v>32.4</v>
      </c>
      <c r="F92" s="116">
        <v>64.400000000000006</v>
      </c>
      <c r="G92">
        <v>211345</v>
      </c>
      <c r="H92" s="116"/>
      <c r="I92" s="116"/>
      <c r="L92" s="169">
        <v>42137</v>
      </c>
      <c r="M92" s="116">
        <v>32.15</v>
      </c>
      <c r="N92" s="116">
        <v>32.85</v>
      </c>
      <c r="O92" s="116">
        <v>31.425000000000001</v>
      </c>
      <c r="P92" s="116">
        <v>32.475000000000001</v>
      </c>
      <c r="Q92" s="116">
        <v>64.3</v>
      </c>
      <c r="R92">
        <v>596688</v>
      </c>
    </row>
    <row r="93" spans="1:18" x14ac:dyDescent="0.25">
      <c r="A93" s="169">
        <v>42138</v>
      </c>
      <c r="B93" s="116">
        <v>32.700000000000003</v>
      </c>
      <c r="C93" s="116">
        <v>32.450000000000003</v>
      </c>
      <c r="D93" s="116">
        <v>31.75</v>
      </c>
      <c r="E93" s="116">
        <v>32.1</v>
      </c>
      <c r="F93" s="116">
        <v>64.900000000000006</v>
      </c>
      <c r="G93">
        <v>209487</v>
      </c>
      <c r="H93" s="116"/>
      <c r="I93" s="116"/>
      <c r="L93" s="169">
        <v>42138</v>
      </c>
      <c r="M93" s="116">
        <v>32.35</v>
      </c>
      <c r="N93" s="116">
        <v>32.674999999999997</v>
      </c>
      <c r="O93" s="116">
        <v>31.55</v>
      </c>
      <c r="P93" s="116">
        <v>32.15</v>
      </c>
      <c r="Q93" s="116">
        <v>64.7</v>
      </c>
      <c r="R93">
        <v>481923</v>
      </c>
    </row>
    <row r="94" spans="1:18" x14ac:dyDescent="0.25">
      <c r="A94" s="169">
        <v>42139</v>
      </c>
      <c r="B94" s="116">
        <v>32.6</v>
      </c>
      <c r="C94" s="116">
        <v>31.9</v>
      </c>
      <c r="D94" s="116">
        <v>31.8</v>
      </c>
      <c r="E94" s="116">
        <v>32.524999999999999</v>
      </c>
      <c r="F94" s="116">
        <v>63.8</v>
      </c>
      <c r="G94">
        <v>138111</v>
      </c>
      <c r="H94" s="116"/>
      <c r="I94" s="116"/>
      <c r="L94" s="169">
        <v>42139</v>
      </c>
      <c r="M94" s="116">
        <v>31.925000000000001</v>
      </c>
      <c r="N94" s="116">
        <v>32.6</v>
      </c>
      <c r="O94" s="116">
        <v>31.824999999999999</v>
      </c>
      <c r="P94" s="116">
        <v>32.475000000000001</v>
      </c>
      <c r="Q94" s="116">
        <v>63.85</v>
      </c>
      <c r="R94">
        <v>428535</v>
      </c>
    </row>
    <row r="95" spans="1:18" x14ac:dyDescent="0.25">
      <c r="A95" s="169">
        <v>42142</v>
      </c>
      <c r="B95" s="116">
        <v>32.65</v>
      </c>
      <c r="C95" s="116">
        <v>31.95</v>
      </c>
      <c r="D95" s="116">
        <v>31.7</v>
      </c>
      <c r="E95" s="116">
        <v>32.075000000000003</v>
      </c>
      <c r="F95" s="116">
        <v>63.9</v>
      </c>
      <c r="G95">
        <v>197491</v>
      </c>
      <c r="H95" s="116"/>
      <c r="I95" s="116"/>
      <c r="L95" s="169">
        <v>42142</v>
      </c>
      <c r="M95" s="116">
        <v>31.975000000000001</v>
      </c>
      <c r="N95" s="116">
        <v>32.65</v>
      </c>
      <c r="O95" s="116">
        <v>31.7</v>
      </c>
      <c r="P95" s="116">
        <v>32.024999999999999</v>
      </c>
      <c r="Q95" s="116">
        <v>63.95</v>
      </c>
      <c r="R95">
        <v>471684</v>
      </c>
    </row>
    <row r="96" spans="1:18" x14ac:dyDescent="0.25">
      <c r="A96" s="169">
        <v>42143</v>
      </c>
      <c r="B96" s="116">
        <v>32.575000000000003</v>
      </c>
      <c r="C96" s="116">
        <v>31.824999999999999</v>
      </c>
      <c r="D96" s="116">
        <v>31.7</v>
      </c>
      <c r="E96" s="116">
        <v>31.95</v>
      </c>
      <c r="F96" s="116">
        <v>63.65</v>
      </c>
      <c r="G96">
        <v>169283</v>
      </c>
      <c r="H96" s="116"/>
      <c r="I96" s="116"/>
      <c r="L96" s="169">
        <v>42143</v>
      </c>
      <c r="M96" s="116">
        <v>31.875</v>
      </c>
      <c r="N96" s="116">
        <v>32.549999999999997</v>
      </c>
      <c r="O96" s="116">
        <v>31.75</v>
      </c>
      <c r="P96" s="116">
        <v>32</v>
      </c>
      <c r="Q96" s="116">
        <v>63.75</v>
      </c>
      <c r="R96">
        <v>424391</v>
      </c>
    </row>
    <row r="97" spans="1:18" x14ac:dyDescent="0.25">
      <c r="A97" s="169">
        <v>42144</v>
      </c>
      <c r="B97" s="116">
        <v>32.200000000000003</v>
      </c>
      <c r="C97" s="116">
        <v>31.524999999999999</v>
      </c>
      <c r="D97" s="116">
        <v>31.35</v>
      </c>
      <c r="E97" s="116">
        <v>31.975000000000001</v>
      </c>
      <c r="F97" s="116">
        <v>63.05</v>
      </c>
      <c r="G97">
        <v>149030</v>
      </c>
      <c r="H97" s="116"/>
      <c r="I97" s="116"/>
      <c r="L97" s="169">
        <v>42144</v>
      </c>
      <c r="M97" s="116">
        <v>31.524999999999999</v>
      </c>
      <c r="N97" s="116">
        <v>32.15</v>
      </c>
      <c r="O97" s="116">
        <v>31.3</v>
      </c>
      <c r="P97" s="116">
        <v>31.975000000000001</v>
      </c>
      <c r="Q97" s="116">
        <v>63.05</v>
      </c>
      <c r="R97">
        <v>300459</v>
      </c>
    </row>
    <row r="98" spans="1:18" x14ac:dyDescent="0.25">
      <c r="A98" s="169">
        <v>42145</v>
      </c>
      <c r="B98" s="116">
        <v>31.625</v>
      </c>
      <c r="C98" s="116">
        <v>30.95</v>
      </c>
      <c r="D98" s="116">
        <v>30.875</v>
      </c>
      <c r="E98" s="116">
        <v>31.5</v>
      </c>
      <c r="F98" s="116">
        <v>61.9</v>
      </c>
      <c r="G98">
        <v>139130</v>
      </c>
      <c r="H98" s="116"/>
      <c r="I98" s="116"/>
      <c r="L98" s="169">
        <v>42145</v>
      </c>
      <c r="M98" s="116">
        <v>30.925000000000001</v>
      </c>
      <c r="N98" s="116">
        <v>31.65</v>
      </c>
      <c r="O98" s="116">
        <v>30.824999999999999</v>
      </c>
      <c r="P98" s="116">
        <v>31.625</v>
      </c>
      <c r="Q98" s="116">
        <v>61.85</v>
      </c>
      <c r="R98">
        <v>353429</v>
      </c>
    </row>
    <row r="99" spans="1:18" x14ac:dyDescent="0.25">
      <c r="A99" s="169">
        <v>42146</v>
      </c>
      <c r="B99" s="116">
        <v>31.675000000000001</v>
      </c>
      <c r="C99" s="116">
        <v>30.725000000000001</v>
      </c>
      <c r="D99" s="116">
        <v>30.55</v>
      </c>
      <c r="E99" s="116">
        <v>31.15</v>
      </c>
      <c r="F99" s="116">
        <v>61.45</v>
      </c>
      <c r="G99">
        <v>286214</v>
      </c>
      <c r="H99" s="116"/>
      <c r="I99" s="116"/>
      <c r="L99" s="169">
        <v>42146</v>
      </c>
      <c r="M99" s="116">
        <v>30.7</v>
      </c>
      <c r="N99" s="116">
        <v>31.725000000000001</v>
      </c>
      <c r="O99" s="116">
        <v>30.6</v>
      </c>
      <c r="P99" s="116">
        <v>30.95</v>
      </c>
      <c r="Q99" s="116">
        <v>61.4</v>
      </c>
      <c r="R99">
        <v>646821</v>
      </c>
    </row>
    <row r="100" spans="1:18" x14ac:dyDescent="0.25">
      <c r="A100" s="169">
        <v>42149</v>
      </c>
      <c r="B100" s="116">
        <v>30.7</v>
      </c>
      <c r="C100" s="116">
        <v>30.4</v>
      </c>
      <c r="D100" s="116">
        <v>30.2</v>
      </c>
      <c r="E100" s="116">
        <v>30.65</v>
      </c>
      <c r="F100" s="116">
        <v>60.8</v>
      </c>
      <c r="G100">
        <v>143128</v>
      </c>
      <c r="H100" s="116"/>
      <c r="I100" s="116"/>
      <c r="L100" s="169">
        <v>42149</v>
      </c>
      <c r="M100" s="116">
        <v>30.375</v>
      </c>
      <c r="N100" s="116">
        <v>30.774999999999999</v>
      </c>
      <c r="O100" s="116">
        <v>30.125</v>
      </c>
      <c r="P100" s="116">
        <v>30.774999999999999</v>
      </c>
      <c r="Q100" s="116">
        <v>60.75</v>
      </c>
      <c r="R100">
        <v>317209</v>
      </c>
    </row>
    <row r="101" spans="1:18" x14ac:dyDescent="0.25">
      <c r="A101" s="169">
        <v>42150</v>
      </c>
      <c r="B101" s="116">
        <v>30.925000000000001</v>
      </c>
      <c r="C101" s="116">
        <v>30.45</v>
      </c>
      <c r="D101" s="116">
        <v>30.3</v>
      </c>
      <c r="E101" s="116">
        <v>30.45</v>
      </c>
      <c r="F101" s="116">
        <v>60.9</v>
      </c>
      <c r="G101">
        <v>88039</v>
      </c>
      <c r="H101" s="116"/>
      <c r="I101" s="116"/>
      <c r="L101" s="169">
        <v>42150</v>
      </c>
      <c r="M101" s="116">
        <v>30.4</v>
      </c>
      <c r="N101" s="116">
        <v>31</v>
      </c>
      <c r="O101" s="116">
        <v>30.25</v>
      </c>
      <c r="P101" s="116">
        <v>30.5</v>
      </c>
      <c r="Q101" s="116">
        <v>60.8</v>
      </c>
      <c r="R101">
        <v>265715</v>
      </c>
    </row>
    <row r="102" spans="1:18" x14ac:dyDescent="0.25">
      <c r="A102" s="169">
        <v>42151</v>
      </c>
      <c r="B102" s="116">
        <v>30.75</v>
      </c>
      <c r="C102" s="116">
        <v>30.475000000000001</v>
      </c>
      <c r="D102" s="116">
        <v>29.975000000000001</v>
      </c>
      <c r="E102" s="116">
        <v>30.2</v>
      </c>
      <c r="F102" s="116">
        <v>60.95</v>
      </c>
      <c r="G102">
        <v>90005</v>
      </c>
      <c r="H102" s="116"/>
      <c r="I102" s="116"/>
      <c r="L102" s="169">
        <v>42151</v>
      </c>
      <c r="M102" s="116">
        <v>30.475000000000001</v>
      </c>
      <c r="N102" s="116">
        <v>30.75</v>
      </c>
      <c r="O102" s="116">
        <v>29.9</v>
      </c>
      <c r="P102" s="116">
        <v>30.25</v>
      </c>
      <c r="Q102" s="116">
        <v>60.95</v>
      </c>
      <c r="R102">
        <v>261705</v>
      </c>
    </row>
    <row r="103" spans="1:18" x14ac:dyDescent="0.25">
      <c r="A103" s="169">
        <v>42152</v>
      </c>
      <c r="B103" s="116">
        <v>31</v>
      </c>
      <c r="C103" s="116">
        <v>30.675000000000001</v>
      </c>
      <c r="D103" s="116">
        <v>30.074999999999999</v>
      </c>
      <c r="E103" s="116">
        <v>30.5</v>
      </c>
      <c r="F103" s="116">
        <v>61.35</v>
      </c>
      <c r="G103">
        <v>129965</v>
      </c>
      <c r="H103" s="116"/>
      <c r="I103" s="116"/>
      <c r="L103" s="169">
        <v>42152</v>
      </c>
      <c r="M103" s="116">
        <v>30.824999999999999</v>
      </c>
      <c r="N103" s="116">
        <v>31.05</v>
      </c>
      <c r="O103" s="116">
        <v>30.05</v>
      </c>
      <c r="P103" s="116">
        <v>30.6</v>
      </c>
      <c r="Q103" s="116">
        <v>61.65</v>
      </c>
      <c r="R103">
        <v>370324</v>
      </c>
    </row>
    <row r="104" spans="1:18" x14ac:dyDescent="0.25">
      <c r="A104" s="169">
        <v>42153</v>
      </c>
      <c r="B104" s="116">
        <v>31.45</v>
      </c>
      <c r="C104" s="116">
        <v>30.75</v>
      </c>
      <c r="D104" s="116">
        <v>30.574999999999999</v>
      </c>
      <c r="E104" s="116">
        <v>30.824999999999999</v>
      </c>
      <c r="F104" s="116">
        <v>61.5</v>
      </c>
      <c r="G104">
        <v>139321</v>
      </c>
      <c r="H104" s="116"/>
      <c r="I104" s="116"/>
      <c r="L104" s="169">
        <v>42153</v>
      </c>
      <c r="M104" s="116">
        <v>30.725000000000001</v>
      </c>
      <c r="N104" s="116">
        <v>31.45</v>
      </c>
      <c r="O104" s="116">
        <v>30.55</v>
      </c>
      <c r="P104" s="116">
        <v>30.824999999999999</v>
      </c>
      <c r="Q104" s="116">
        <v>61.45</v>
      </c>
      <c r="R104">
        <v>485628</v>
      </c>
    </row>
    <row r="105" spans="1:18" x14ac:dyDescent="0.25">
      <c r="A105" s="169">
        <v>42156</v>
      </c>
      <c r="B105" s="116">
        <v>30.85</v>
      </c>
      <c r="C105" s="116">
        <v>30.324999999999999</v>
      </c>
      <c r="D105" s="116">
        <v>30.225000000000001</v>
      </c>
      <c r="E105" s="116">
        <v>30.725000000000001</v>
      </c>
      <c r="F105" s="116">
        <v>60.65</v>
      </c>
      <c r="G105">
        <v>92936</v>
      </c>
      <c r="H105" s="116"/>
      <c r="I105" s="116"/>
      <c r="L105" s="169">
        <v>42156</v>
      </c>
      <c r="M105" s="116">
        <v>30.375</v>
      </c>
      <c r="N105" s="116">
        <v>30.875</v>
      </c>
      <c r="O105" s="116">
        <v>30.2</v>
      </c>
      <c r="P105" s="116">
        <v>30.8</v>
      </c>
      <c r="Q105" s="116">
        <v>60.75</v>
      </c>
      <c r="R105">
        <v>268376</v>
      </c>
    </row>
    <row r="106" spans="1:18" x14ac:dyDescent="0.25">
      <c r="A106" s="169">
        <v>42157</v>
      </c>
      <c r="B106" s="116">
        <v>30.6</v>
      </c>
      <c r="C106" s="116">
        <v>29.9</v>
      </c>
      <c r="D106" s="116">
        <v>29.65</v>
      </c>
      <c r="E106" s="116">
        <v>30.475000000000001</v>
      </c>
      <c r="F106" s="116">
        <v>59.8</v>
      </c>
      <c r="G106">
        <v>95677</v>
      </c>
      <c r="H106" s="116"/>
      <c r="I106" s="116"/>
      <c r="L106" s="169">
        <v>42157</v>
      </c>
      <c r="M106" s="116">
        <v>29.9</v>
      </c>
      <c r="N106" s="116">
        <v>30.65</v>
      </c>
      <c r="O106" s="116">
        <v>29.55</v>
      </c>
      <c r="P106" s="116">
        <v>30.45</v>
      </c>
      <c r="Q106" s="116">
        <v>59.8</v>
      </c>
      <c r="R106">
        <v>281146</v>
      </c>
    </row>
    <row r="107" spans="1:18" x14ac:dyDescent="0.25">
      <c r="A107" s="169">
        <v>42158</v>
      </c>
      <c r="B107" s="116">
        <v>30.05</v>
      </c>
      <c r="C107" s="116">
        <v>28.8</v>
      </c>
      <c r="D107" s="116">
        <v>27</v>
      </c>
      <c r="E107" s="116">
        <v>30.024999999999999</v>
      </c>
      <c r="F107" s="116">
        <v>57.6</v>
      </c>
      <c r="G107">
        <v>291501</v>
      </c>
      <c r="H107" s="116"/>
      <c r="I107" s="116"/>
      <c r="L107" s="169">
        <v>42158</v>
      </c>
      <c r="M107" s="116">
        <v>28.824999999999999</v>
      </c>
      <c r="N107" s="116">
        <v>30.05</v>
      </c>
      <c r="O107" s="116">
        <v>26.875</v>
      </c>
      <c r="P107" s="116">
        <v>29.975000000000001</v>
      </c>
      <c r="Q107" s="116">
        <v>57.65</v>
      </c>
      <c r="R107">
        <v>768615</v>
      </c>
    </row>
    <row r="108" spans="1:18" x14ac:dyDescent="0.25">
      <c r="A108" s="169">
        <v>42159</v>
      </c>
      <c r="B108" s="116">
        <v>29.324999999999999</v>
      </c>
      <c r="C108" s="116">
        <v>28.3</v>
      </c>
      <c r="D108" s="116">
        <v>27.75</v>
      </c>
      <c r="E108" s="116">
        <v>29.25</v>
      </c>
      <c r="F108" s="116">
        <v>56.6</v>
      </c>
      <c r="G108">
        <v>148146</v>
      </c>
      <c r="H108" s="116"/>
      <c r="I108" s="116"/>
      <c r="L108" s="169">
        <v>42159</v>
      </c>
      <c r="M108" s="116">
        <v>28.274999999999999</v>
      </c>
      <c r="N108" s="116">
        <v>29.45</v>
      </c>
      <c r="O108" s="116">
        <v>27.75</v>
      </c>
      <c r="P108" s="116">
        <v>29.125</v>
      </c>
      <c r="Q108" s="116">
        <v>56.55</v>
      </c>
      <c r="R108">
        <v>320821</v>
      </c>
    </row>
    <row r="109" spans="1:18" x14ac:dyDescent="0.25">
      <c r="A109" s="169">
        <v>42160</v>
      </c>
      <c r="B109" s="116">
        <v>28.7</v>
      </c>
      <c r="C109" s="116">
        <v>27.925000000000001</v>
      </c>
      <c r="D109" s="116">
        <v>27.725000000000001</v>
      </c>
      <c r="E109" s="116">
        <v>28.2</v>
      </c>
      <c r="F109" s="116">
        <v>55.85</v>
      </c>
      <c r="G109">
        <v>173925</v>
      </c>
      <c r="H109" s="116"/>
      <c r="I109" s="116"/>
      <c r="L109" s="169">
        <v>42160</v>
      </c>
      <c r="M109" s="116">
        <v>27.95</v>
      </c>
      <c r="N109" s="116">
        <v>28.7</v>
      </c>
      <c r="O109" s="116">
        <v>27.75</v>
      </c>
      <c r="P109" s="116">
        <v>28.35</v>
      </c>
      <c r="Q109" s="116">
        <v>55.9</v>
      </c>
      <c r="R109">
        <v>372061</v>
      </c>
    </row>
    <row r="110" spans="1:18" x14ac:dyDescent="0.25">
      <c r="A110" s="169">
        <v>42163</v>
      </c>
      <c r="B110" s="116">
        <v>28.35</v>
      </c>
      <c r="C110" s="116">
        <v>27.475000000000001</v>
      </c>
      <c r="D110" s="116">
        <v>27.324999999999999</v>
      </c>
      <c r="E110" s="116">
        <v>28.1</v>
      </c>
      <c r="F110" s="116">
        <v>54.95</v>
      </c>
      <c r="G110">
        <v>110615</v>
      </c>
      <c r="H110" s="116"/>
      <c r="I110" s="116"/>
      <c r="L110" s="169">
        <v>42163</v>
      </c>
      <c r="M110" s="116">
        <v>27.475000000000001</v>
      </c>
      <c r="N110" s="116">
        <v>28.35</v>
      </c>
      <c r="O110" s="116">
        <v>27.35</v>
      </c>
      <c r="P110" s="116">
        <v>28.074999999999999</v>
      </c>
      <c r="Q110" s="116">
        <v>54.95</v>
      </c>
      <c r="R110">
        <v>266747</v>
      </c>
    </row>
    <row r="111" spans="1:18" x14ac:dyDescent="0.25">
      <c r="A111" s="169">
        <v>42164</v>
      </c>
      <c r="B111" s="116">
        <v>27.7</v>
      </c>
      <c r="C111" s="116">
        <v>26.7</v>
      </c>
      <c r="D111" s="116">
        <v>26.5</v>
      </c>
      <c r="E111" s="116">
        <v>27.25</v>
      </c>
      <c r="F111" s="116">
        <v>53.4</v>
      </c>
      <c r="G111">
        <v>131367</v>
      </c>
      <c r="H111" s="116"/>
      <c r="I111" s="116"/>
      <c r="L111" s="169">
        <v>42164</v>
      </c>
      <c r="M111" s="116">
        <v>26.675000000000001</v>
      </c>
      <c r="N111" s="116">
        <v>27.774999999999999</v>
      </c>
      <c r="O111" s="116">
        <v>26.25</v>
      </c>
      <c r="P111" s="116">
        <v>27.45</v>
      </c>
      <c r="Q111" s="116">
        <v>53.35</v>
      </c>
      <c r="R111">
        <v>504728</v>
      </c>
    </row>
    <row r="112" spans="1:18" x14ac:dyDescent="0.25">
      <c r="A112" s="169">
        <v>42165</v>
      </c>
      <c r="B112" s="116">
        <v>27.45</v>
      </c>
      <c r="C112" s="116">
        <v>26.9</v>
      </c>
      <c r="D112" s="116">
        <v>26.3</v>
      </c>
      <c r="E112" s="116">
        <v>26.7</v>
      </c>
      <c r="F112" s="116">
        <v>53.8</v>
      </c>
      <c r="G112">
        <v>119902</v>
      </c>
      <c r="H112" s="116"/>
      <c r="I112" s="116"/>
      <c r="L112" s="169">
        <v>42165</v>
      </c>
      <c r="M112" s="116">
        <v>26.925000000000001</v>
      </c>
      <c r="N112" s="116">
        <v>27.45</v>
      </c>
      <c r="O112" s="116">
        <v>26.274999999999999</v>
      </c>
      <c r="P112" s="116">
        <v>26.675000000000001</v>
      </c>
      <c r="Q112" s="116">
        <v>53.85</v>
      </c>
      <c r="R112">
        <v>341595</v>
      </c>
    </row>
    <row r="113" spans="1:18" x14ac:dyDescent="0.25">
      <c r="A113" s="169">
        <v>42166</v>
      </c>
      <c r="B113" s="116">
        <v>27.675000000000001</v>
      </c>
      <c r="C113" s="116">
        <v>26.4</v>
      </c>
      <c r="D113" s="116">
        <v>26.274999999999999</v>
      </c>
      <c r="E113" s="116">
        <v>27.2</v>
      </c>
      <c r="F113" s="116">
        <v>52.8</v>
      </c>
      <c r="G113">
        <v>205922</v>
      </c>
      <c r="H113" s="116"/>
      <c r="I113" s="116"/>
      <c r="L113" s="169">
        <v>42166</v>
      </c>
      <c r="M113" s="116">
        <v>26.45</v>
      </c>
      <c r="N113" s="116">
        <v>27.675000000000001</v>
      </c>
      <c r="O113" s="116">
        <v>26.25</v>
      </c>
      <c r="P113" s="116">
        <v>27.125</v>
      </c>
      <c r="Q113" s="116">
        <v>52.9</v>
      </c>
      <c r="R113">
        <v>487666</v>
      </c>
    </row>
    <row r="114" spans="1:18" x14ac:dyDescent="0.25">
      <c r="A114" s="169">
        <v>42167</v>
      </c>
      <c r="B114" s="116">
        <v>26.6</v>
      </c>
      <c r="C114" s="116">
        <v>25.824999999999999</v>
      </c>
      <c r="D114" s="116">
        <v>25.55</v>
      </c>
      <c r="E114" s="116">
        <v>26</v>
      </c>
      <c r="F114" s="116">
        <v>51.65</v>
      </c>
      <c r="G114">
        <v>134711</v>
      </c>
      <c r="H114" s="116"/>
      <c r="I114" s="116"/>
      <c r="L114" s="169">
        <v>42167</v>
      </c>
      <c r="M114" s="116">
        <v>25.824999999999999</v>
      </c>
      <c r="N114" s="116">
        <v>26.75</v>
      </c>
      <c r="O114" s="116">
        <v>25.5</v>
      </c>
      <c r="P114" s="116">
        <v>26.324999999999999</v>
      </c>
      <c r="Q114" s="116">
        <v>51.65</v>
      </c>
      <c r="R114">
        <v>376749</v>
      </c>
    </row>
    <row r="115" spans="1:18" x14ac:dyDescent="0.25">
      <c r="A115" s="169">
        <v>42170</v>
      </c>
      <c r="B115" s="116">
        <v>26.375</v>
      </c>
      <c r="C115" s="116">
        <v>25.8</v>
      </c>
      <c r="D115" s="116">
        <v>25.6</v>
      </c>
      <c r="E115" s="116">
        <v>26</v>
      </c>
      <c r="F115" s="116">
        <v>51.6</v>
      </c>
      <c r="G115">
        <v>151205</v>
      </c>
      <c r="H115" s="116"/>
      <c r="I115" s="116"/>
      <c r="L115" s="169">
        <v>42170</v>
      </c>
      <c r="M115" s="116">
        <v>25.774999999999999</v>
      </c>
      <c r="N115" s="116">
        <v>26.4</v>
      </c>
      <c r="O115" s="116">
        <v>25.55</v>
      </c>
      <c r="P115" s="116">
        <v>25.95</v>
      </c>
      <c r="Q115" s="116">
        <v>51.55</v>
      </c>
      <c r="R115">
        <v>394943</v>
      </c>
    </row>
    <row r="116" spans="1:18" x14ac:dyDescent="0.25">
      <c r="A116" s="169">
        <v>42171</v>
      </c>
      <c r="B116" s="116">
        <v>29.3</v>
      </c>
      <c r="C116" s="116">
        <v>28.375</v>
      </c>
      <c r="D116" s="116">
        <v>26.6</v>
      </c>
      <c r="E116" s="116">
        <v>26.9</v>
      </c>
      <c r="F116" s="116">
        <v>56.75</v>
      </c>
      <c r="G116">
        <v>1353537</v>
      </c>
      <c r="H116" s="116"/>
      <c r="I116" s="116"/>
      <c r="L116" s="169">
        <v>42171</v>
      </c>
      <c r="M116" s="116">
        <v>28.4</v>
      </c>
      <c r="N116" s="116">
        <v>29.25</v>
      </c>
      <c r="O116" s="116">
        <v>26.574999999999999</v>
      </c>
      <c r="P116" s="116">
        <v>26.925000000000001</v>
      </c>
      <c r="Q116" s="116">
        <v>56.8</v>
      </c>
      <c r="R116">
        <v>4688056</v>
      </c>
    </row>
    <row r="117" spans="1:18" x14ac:dyDescent="0.25">
      <c r="A117" s="169">
        <v>42172</v>
      </c>
      <c r="B117" s="116">
        <v>29.7</v>
      </c>
      <c r="C117" s="116">
        <v>28.574999999999999</v>
      </c>
      <c r="D117" s="116">
        <v>28.1</v>
      </c>
      <c r="E117" s="116">
        <v>28.55</v>
      </c>
      <c r="F117" s="116">
        <v>57.15</v>
      </c>
      <c r="G117">
        <v>656450</v>
      </c>
      <c r="H117" s="116"/>
      <c r="I117" s="116"/>
      <c r="L117" s="169">
        <v>42172</v>
      </c>
      <c r="M117" s="116">
        <v>28.55</v>
      </c>
      <c r="N117" s="116">
        <v>29.7</v>
      </c>
      <c r="O117" s="116">
        <v>28</v>
      </c>
      <c r="P117" s="116">
        <v>28.625</v>
      </c>
      <c r="Q117" s="116">
        <v>57.1</v>
      </c>
      <c r="R117">
        <v>1785935</v>
      </c>
    </row>
    <row r="118" spans="1:18" x14ac:dyDescent="0.25">
      <c r="A118" s="169">
        <v>42173</v>
      </c>
      <c r="B118" s="116">
        <v>28.85</v>
      </c>
      <c r="C118" s="116">
        <v>28.15</v>
      </c>
      <c r="D118" s="116">
        <v>28.05</v>
      </c>
      <c r="E118" s="116">
        <v>28.4</v>
      </c>
      <c r="F118" s="116">
        <v>56.3</v>
      </c>
      <c r="G118">
        <v>293529</v>
      </c>
      <c r="H118" s="116"/>
      <c r="I118" s="116"/>
      <c r="L118" s="169">
        <v>42173</v>
      </c>
      <c r="M118" s="116">
        <v>28.225000000000001</v>
      </c>
      <c r="N118" s="116">
        <v>28.85</v>
      </c>
      <c r="O118" s="116">
        <v>28</v>
      </c>
      <c r="P118" s="116">
        <v>28.35</v>
      </c>
      <c r="Q118" s="116">
        <v>56.45</v>
      </c>
      <c r="R118">
        <v>655976</v>
      </c>
    </row>
    <row r="119" spans="1:18" x14ac:dyDescent="0.25">
      <c r="A119" s="169">
        <v>42174</v>
      </c>
      <c r="B119" s="116">
        <v>28.7</v>
      </c>
      <c r="C119" s="116">
        <v>28</v>
      </c>
      <c r="D119" s="116">
        <v>27.65</v>
      </c>
      <c r="E119" s="116">
        <v>28.45</v>
      </c>
      <c r="F119" s="116">
        <v>56</v>
      </c>
      <c r="G119">
        <v>151963</v>
      </c>
      <c r="H119" s="116"/>
      <c r="I119" s="116"/>
      <c r="L119" s="169">
        <v>42174</v>
      </c>
      <c r="M119" s="116">
        <v>28</v>
      </c>
      <c r="N119" s="116">
        <v>28.7</v>
      </c>
      <c r="O119" s="116">
        <v>27.625</v>
      </c>
      <c r="P119" s="116">
        <v>28.3</v>
      </c>
      <c r="Q119" s="116">
        <v>56</v>
      </c>
      <c r="R119">
        <v>398230</v>
      </c>
    </row>
    <row r="120" spans="1:18" x14ac:dyDescent="0.25">
      <c r="A120" s="169">
        <v>42177</v>
      </c>
      <c r="B120" s="116">
        <v>29.15</v>
      </c>
      <c r="C120" s="116">
        <v>28.875</v>
      </c>
      <c r="D120" s="116">
        <v>27.824999999999999</v>
      </c>
      <c r="E120" s="116">
        <v>28.15</v>
      </c>
      <c r="F120" s="116">
        <v>57.75</v>
      </c>
      <c r="G120">
        <v>282715</v>
      </c>
      <c r="H120" s="116"/>
      <c r="I120" s="116"/>
      <c r="L120" s="169">
        <v>42177</v>
      </c>
      <c r="M120" s="116">
        <v>28.925000000000001</v>
      </c>
      <c r="N120" s="116">
        <v>29.15</v>
      </c>
      <c r="O120" s="116">
        <v>27.8</v>
      </c>
      <c r="P120" s="116">
        <v>28.15</v>
      </c>
      <c r="Q120" s="116">
        <v>57.85</v>
      </c>
      <c r="R120">
        <v>677967</v>
      </c>
    </row>
    <row r="121" spans="1:18" x14ac:dyDescent="0.25">
      <c r="A121" s="169">
        <v>42178</v>
      </c>
      <c r="B121" s="116">
        <v>30.4</v>
      </c>
      <c r="C121" s="116">
        <v>29.375</v>
      </c>
      <c r="D121" s="116">
        <v>28.625</v>
      </c>
      <c r="E121" s="116">
        <v>29</v>
      </c>
      <c r="F121" s="116">
        <v>58.75</v>
      </c>
      <c r="G121">
        <v>398249</v>
      </c>
      <c r="H121" s="116"/>
      <c r="I121" s="116"/>
      <c r="L121" s="169">
        <v>42178</v>
      </c>
      <c r="M121" s="116">
        <v>29.45</v>
      </c>
      <c r="N121" s="116">
        <v>30.4</v>
      </c>
      <c r="O121" s="116">
        <v>28.574999999999999</v>
      </c>
      <c r="P121" s="116">
        <v>29</v>
      </c>
      <c r="Q121" s="116">
        <v>58.9</v>
      </c>
      <c r="R121">
        <v>1059740</v>
      </c>
    </row>
    <row r="122" spans="1:18" x14ac:dyDescent="0.25">
      <c r="A122" s="169">
        <v>42179</v>
      </c>
      <c r="B122" s="116">
        <v>30.975000000000001</v>
      </c>
      <c r="C122" s="116">
        <v>29.875</v>
      </c>
      <c r="D122" s="116">
        <v>29.05</v>
      </c>
      <c r="E122" s="116">
        <v>29.05</v>
      </c>
      <c r="F122" s="116">
        <v>59.75</v>
      </c>
      <c r="G122">
        <v>509724</v>
      </c>
      <c r="H122" s="116"/>
      <c r="I122" s="116"/>
      <c r="L122" s="169">
        <v>42179</v>
      </c>
      <c r="M122" s="116">
        <v>29.975000000000001</v>
      </c>
      <c r="N122" s="116">
        <v>30.975000000000001</v>
      </c>
      <c r="O122" s="116">
        <v>29.225000000000001</v>
      </c>
      <c r="P122" s="116">
        <v>29.5</v>
      </c>
      <c r="Q122" s="116">
        <v>59.95</v>
      </c>
      <c r="R122">
        <v>1455461</v>
      </c>
    </row>
    <row r="123" spans="1:18" x14ac:dyDescent="0.25">
      <c r="A123" s="169">
        <v>42180</v>
      </c>
      <c r="B123" s="116">
        <v>31.274999999999999</v>
      </c>
      <c r="C123" s="116">
        <v>30.274999999999999</v>
      </c>
      <c r="D123" s="116">
        <v>30.024999999999999</v>
      </c>
      <c r="E123" s="116">
        <v>30.25</v>
      </c>
      <c r="F123" s="116">
        <v>60.55</v>
      </c>
      <c r="G123">
        <v>532710</v>
      </c>
      <c r="H123" s="116"/>
      <c r="I123" s="116"/>
      <c r="L123" s="169">
        <v>42180</v>
      </c>
      <c r="M123" s="116">
        <v>30.375</v>
      </c>
      <c r="N123" s="116">
        <v>31.324999999999999</v>
      </c>
      <c r="O123" s="116">
        <v>30.05</v>
      </c>
      <c r="P123" s="116">
        <v>30.175000000000001</v>
      </c>
      <c r="Q123" s="116">
        <v>60.75</v>
      </c>
      <c r="R123">
        <v>1122720</v>
      </c>
    </row>
    <row r="124" spans="1:18" x14ac:dyDescent="0.25">
      <c r="A124" s="169">
        <v>42181</v>
      </c>
      <c r="B124" s="116">
        <v>30.85</v>
      </c>
      <c r="C124" s="116">
        <v>29.975000000000001</v>
      </c>
      <c r="D124" s="116">
        <v>29.675000000000001</v>
      </c>
      <c r="E124" s="116">
        <v>30.274999999999999</v>
      </c>
      <c r="F124" s="116">
        <v>59.95</v>
      </c>
      <c r="G124">
        <v>263510</v>
      </c>
      <c r="H124" s="116"/>
      <c r="I124" s="116"/>
      <c r="L124" s="169">
        <v>42181</v>
      </c>
      <c r="M124" s="116">
        <v>29.925000000000001</v>
      </c>
      <c r="N124" s="116">
        <v>30.824999999999999</v>
      </c>
      <c r="O124" s="116">
        <v>29.675000000000001</v>
      </c>
      <c r="P124" s="116">
        <v>30.375</v>
      </c>
      <c r="Q124" s="116">
        <v>59.85</v>
      </c>
      <c r="R124">
        <v>581718</v>
      </c>
    </row>
    <row r="125" spans="1:18" x14ac:dyDescent="0.25">
      <c r="A125" s="169">
        <v>42184</v>
      </c>
      <c r="B125" s="116">
        <v>28.95</v>
      </c>
      <c r="C125" s="116">
        <v>28.6</v>
      </c>
      <c r="D125" s="116">
        <v>28.274999999999999</v>
      </c>
      <c r="E125" s="116">
        <v>28.95</v>
      </c>
      <c r="F125" s="116">
        <v>57.2</v>
      </c>
      <c r="G125">
        <v>215321</v>
      </c>
      <c r="H125" s="116"/>
      <c r="I125" s="116"/>
      <c r="L125" s="169">
        <v>42184</v>
      </c>
      <c r="M125" s="116">
        <v>28.625</v>
      </c>
      <c r="N125" s="116">
        <v>29.05</v>
      </c>
      <c r="O125" s="116">
        <v>28.225000000000001</v>
      </c>
      <c r="P125" s="116">
        <v>29.05</v>
      </c>
      <c r="Q125" s="116">
        <v>57.25</v>
      </c>
      <c r="R125">
        <v>462907</v>
      </c>
    </row>
    <row r="126" spans="1:18" x14ac:dyDescent="0.25">
      <c r="A126" s="169">
        <v>42185</v>
      </c>
      <c r="B126" s="116">
        <v>29.725000000000001</v>
      </c>
      <c r="C126" s="116">
        <v>29.3</v>
      </c>
      <c r="D126" s="116">
        <v>28.6</v>
      </c>
      <c r="E126" s="116">
        <v>28.6</v>
      </c>
      <c r="F126" s="116">
        <v>58.6</v>
      </c>
      <c r="G126">
        <v>211915</v>
      </c>
      <c r="H126" s="116"/>
      <c r="I126" s="116"/>
      <c r="L126" s="169">
        <v>42185</v>
      </c>
      <c r="M126" s="116">
        <v>29.3</v>
      </c>
      <c r="N126" s="116">
        <v>29.725000000000001</v>
      </c>
      <c r="O126" s="116">
        <v>28.6</v>
      </c>
      <c r="P126" s="116">
        <v>28.6</v>
      </c>
      <c r="Q126" s="116">
        <v>58.6</v>
      </c>
      <c r="R126">
        <v>576798</v>
      </c>
    </row>
    <row r="127" spans="1:18" x14ac:dyDescent="0.25">
      <c r="A127" s="169">
        <v>42186</v>
      </c>
      <c r="B127" s="116">
        <v>30.875</v>
      </c>
      <c r="C127" s="116">
        <v>30.524999999999999</v>
      </c>
      <c r="D127" s="116">
        <v>29.25</v>
      </c>
      <c r="E127" s="116">
        <v>29.25</v>
      </c>
      <c r="F127" s="116">
        <v>61.05</v>
      </c>
      <c r="G127">
        <v>658698</v>
      </c>
      <c r="H127" s="116"/>
      <c r="I127" s="116"/>
      <c r="L127" s="169">
        <v>42186</v>
      </c>
      <c r="M127" s="116">
        <v>30.574999999999999</v>
      </c>
      <c r="N127" s="116">
        <v>30.875</v>
      </c>
      <c r="O127" s="116">
        <v>29.125</v>
      </c>
      <c r="P127" s="116">
        <v>29.3</v>
      </c>
      <c r="Q127" s="116">
        <v>61.15</v>
      </c>
      <c r="R127">
        <v>931186</v>
      </c>
    </row>
    <row r="128" spans="1:18" x14ac:dyDescent="0.25">
      <c r="A128" s="169">
        <v>42187</v>
      </c>
      <c r="B128" s="116">
        <v>31.4</v>
      </c>
      <c r="C128" s="116">
        <v>31.1</v>
      </c>
      <c r="D128" s="116">
        <v>30.425000000000001</v>
      </c>
      <c r="E128" s="116">
        <v>30.75</v>
      </c>
      <c r="F128" s="116">
        <v>62.2</v>
      </c>
      <c r="G128">
        <v>300622</v>
      </c>
      <c r="H128" s="116"/>
      <c r="I128" s="116"/>
      <c r="L128" s="169">
        <v>42187</v>
      </c>
      <c r="M128" s="116">
        <v>31.1</v>
      </c>
      <c r="N128" s="116">
        <v>31.375</v>
      </c>
      <c r="O128" s="116">
        <v>30.3</v>
      </c>
      <c r="P128" s="116">
        <v>30.774999999999999</v>
      </c>
      <c r="Q128" s="116">
        <v>62.2</v>
      </c>
      <c r="R128">
        <v>753052</v>
      </c>
    </row>
    <row r="129" spans="1:18" x14ac:dyDescent="0.25">
      <c r="A129" s="169">
        <v>42188</v>
      </c>
      <c r="B129" s="116">
        <v>31.475000000000001</v>
      </c>
      <c r="C129" s="116">
        <v>31.1</v>
      </c>
      <c r="D129" s="116">
        <v>30.6</v>
      </c>
      <c r="E129" s="116">
        <v>31.175000000000001</v>
      </c>
      <c r="F129" s="116">
        <v>62.2</v>
      </c>
      <c r="G129">
        <v>243456</v>
      </c>
      <c r="H129" s="116"/>
      <c r="I129" s="116"/>
      <c r="L129" s="169">
        <v>42188</v>
      </c>
      <c r="M129" s="116">
        <v>31.1</v>
      </c>
      <c r="N129" s="116">
        <v>31.55</v>
      </c>
      <c r="O129" s="116">
        <v>30.5</v>
      </c>
      <c r="P129" s="116">
        <v>30.875</v>
      </c>
      <c r="Q129" s="116">
        <v>62.2</v>
      </c>
      <c r="R129">
        <v>522442</v>
      </c>
    </row>
    <row r="130" spans="1:18" x14ac:dyDescent="0.25">
      <c r="A130" s="169">
        <v>42191</v>
      </c>
      <c r="B130" s="116">
        <v>31.65</v>
      </c>
      <c r="C130" s="116">
        <v>31.4</v>
      </c>
      <c r="D130" s="116">
        <v>30.35</v>
      </c>
      <c r="E130" s="116">
        <v>30.5</v>
      </c>
      <c r="F130" s="116">
        <v>62.8</v>
      </c>
      <c r="G130">
        <v>247747</v>
      </c>
      <c r="H130" s="116"/>
      <c r="I130" s="116"/>
      <c r="L130" s="169">
        <v>42191</v>
      </c>
      <c r="M130" s="116">
        <v>31.375</v>
      </c>
      <c r="N130" s="116">
        <v>31.65</v>
      </c>
      <c r="O130" s="116">
        <v>30.3</v>
      </c>
      <c r="P130" s="116">
        <v>30.65</v>
      </c>
      <c r="Q130" s="116">
        <v>62.75</v>
      </c>
      <c r="R130">
        <v>539728</v>
      </c>
    </row>
    <row r="131" spans="1:18" x14ac:dyDescent="0.25">
      <c r="A131" s="169">
        <v>42192</v>
      </c>
      <c r="B131" s="116">
        <v>33.125</v>
      </c>
      <c r="C131" s="116">
        <v>32.1</v>
      </c>
      <c r="D131" s="116">
        <v>31.5</v>
      </c>
      <c r="E131" s="116">
        <v>31.5</v>
      </c>
      <c r="F131" s="116">
        <v>64.2</v>
      </c>
      <c r="G131">
        <v>430282</v>
      </c>
      <c r="H131" s="116"/>
      <c r="I131" s="116"/>
      <c r="L131" s="169">
        <v>42192</v>
      </c>
      <c r="M131" s="116">
        <v>32.1</v>
      </c>
      <c r="N131" s="116">
        <v>33.1</v>
      </c>
      <c r="O131" s="116">
        <v>31.5</v>
      </c>
      <c r="P131" s="116">
        <v>31.65</v>
      </c>
      <c r="Q131" s="116">
        <v>64.2</v>
      </c>
      <c r="R131">
        <v>1011515</v>
      </c>
    </row>
    <row r="132" spans="1:18" x14ac:dyDescent="0.25">
      <c r="A132" s="169">
        <v>42193</v>
      </c>
      <c r="B132" s="116">
        <v>34.799999999999997</v>
      </c>
      <c r="C132" s="116">
        <v>33.049999999999997</v>
      </c>
      <c r="D132" s="116">
        <v>31.425000000000001</v>
      </c>
      <c r="E132" s="116">
        <v>32</v>
      </c>
      <c r="F132" s="116">
        <v>66.099999999999994</v>
      </c>
      <c r="G132">
        <v>981480</v>
      </c>
      <c r="H132" s="116"/>
      <c r="I132" s="116"/>
      <c r="L132" s="169">
        <v>42193</v>
      </c>
      <c r="M132" s="116">
        <v>33.075000000000003</v>
      </c>
      <c r="N132" s="116">
        <v>34.85</v>
      </c>
      <c r="O132" s="116">
        <v>31.4</v>
      </c>
      <c r="P132" s="116">
        <v>32</v>
      </c>
      <c r="Q132" s="116">
        <v>66.150000000000006</v>
      </c>
      <c r="R132">
        <v>2827570</v>
      </c>
    </row>
    <row r="133" spans="1:18" x14ac:dyDescent="0.25">
      <c r="A133" s="169">
        <v>42194</v>
      </c>
      <c r="B133" s="116">
        <v>34.65</v>
      </c>
      <c r="C133" s="116">
        <v>33.65</v>
      </c>
      <c r="D133" s="116">
        <v>33.15</v>
      </c>
      <c r="E133" s="116">
        <v>33.299999999999997</v>
      </c>
      <c r="F133" s="116">
        <v>67.3</v>
      </c>
      <c r="G133">
        <v>421743</v>
      </c>
      <c r="H133" s="116"/>
      <c r="I133" s="116"/>
      <c r="L133" s="169">
        <v>42194</v>
      </c>
      <c r="M133" s="116">
        <v>33.625</v>
      </c>
      <c r="N133" s="116">
        <v>34.700000000000003</v>
      </c>
      <c r="O133" s="116">
        <v>33.024999999999999</v>
      </c>
      <c r="P133" s="116">
        <v>33.024999999999999</v>
      </c>
      <c r="Q133" s="116">
        <v>67.25</v>
      </c>
      <c r="R133">
        <v>1302425</v>
      </c>
    </row>
    <row r="134" spans="1:18" x14ac:dyDescent="0.25">
      <c r="A134" s="169">
        <v>42195</v>
      </c>
      <c r="B134" s="116">
        <v>35.4</v>
      </c>
      <c r="C134" s="116">
        <v>34.200000000000003</v>
      </c>
      <c r="D134" s="116">
        <v>33.65</v>
      </c>
      <c r="E134" s="116">
        <v>33.825000000000003</v>
      </c>
      <c r="F134" s="116">
        <v>68.400000000000006</v>
      </c>
      <c r="G134">
        <v>572836</v>
      </c>
      <c r="H134" s="116"/>
      <c r="I134" s="116"/>
      <c r="L134" s="169">
        <v>42195</v>
      </c>
      <c r="M134" s="116">
        <v>34.225000000000001</v>
      </c>
      <c r="N134" s="116">
        <v>35.4</v>
      </c>
      <c r="O134" s="116">
        <v>33.674999999999997</v>
      </c>
      <c r="P134" s="116">
        <v>33.85</v>
      </c>
      <c r="Q134" s="116">
        <v>68.45</v>
      </c>
      <c r="R134">
        <v>1234345</v>
      </c>
    </row>
    <row r="135" spans="1:18" x14ac:dyDescent="0.25">
      <c r="A135" s="169">
        <v>42198</v>
      </c>
      <c r="B135" s="116">
        <v>34.625</v>
      </c>
      <c r="C135" s="116">
        <v>33.75</v>
      </c>
      <c r="D135" s="116">
        <v>33.299999999999997</v>
      </c>
      <c r="E135" s="116">
        <v>34.4</v>
      </c>
      <c r="F135" s="116">
        <v>67.5</v>
      </c>
      <c r="G135">
        <v>312067</v>
      </c>
      <c r="H135" s="116"/>
      <c r="I135" s="116"/>
      <c r="L135" s="169">
        <v>42198</v>
      </c>
      <c r="M135" s="116">
        <v>33.75</v>
      </c>
      <c r="N135" s="116">
        <v>34.700000000000003</v>
      </c>
      <c r="O135" s="116">
        <v>33.25</v>
      </c>
      <c r="P135" s="116">
        <v>34.375</v>
      </c>
      <c r="Q135" s="116">
        <v>67.5</v>
      </c>
      <c r="R135">
        <v>506563</v>
      </c>
    </row>
    <row r="136" spans="1:18" x14ac:dyDescent="0.25">
      <c r="A136" s="169">
        <v>42199</v>
      </c>
      <c r="B136" s="116">
        <v>34.549999999999997</v>
      </c>
      <c r="C136" s="116">
        <v>34.225000000000001</v>
      </c>
      <c r="D136" s="116">
        <v>33.299999999999997</v>
      </c>
      <c r="E136" s="116">
        <v>33.9</v>
      </c>
      <c r="F136" s="116">
        <v>68.45</v>
      </c>
      <c r="G136">
        <v>281945</v>
      </c>
      <c r="H136" s="116"/>
      <c r="I136" s="116"/>
      <c r="L136" s="169">
        <v>42199</v>
      </c>
      <c r="M136" s="116">
        <v>34.274999999999999</v>
      </c>
      <c r="N136" s="116">
        <v>34.575000000000003</v>
      </c>
      <c r="O136" s="116">
        <v>33.325000000000003</v>
      </c>
      <c r="P136" s="116">
        <v>33.825000000000003</v>
      </c>
      <c r="Q136" s="116">
        <v>68.55</v>
      </c>
      <c r="R136">
        <v>833019</v>
      </c>
    </row>
    <row r="137" spans="1:18" x14ac:dyDescent="0.25">
      <c r="A137" s="169">
        <v>42200</v>
      </c>
      <c r="B137" s="116">
        <v>34.725000000000001</v>
      </c>
      <c r="C137" s="116">
        <v>33.575000000000003</v>
      </c>
      <c r="D137" s="116">
        <v>33.524999999999999</v>
      </c>
      <c r="E137" s="116">
        <v>34.35</v>
      </c>
      <c r="F137" s="116">
        <v>67.150000000000006</v>
      </c>
      <c r="G137">
        <v>215860</v>
      </c>
      <c r="H137" s="116"/>
      <c r="I137" s="116"/>
      <c r="L137" s="169">
        <v>42200</v>
      </c>
      <c r="M137" s="116">
        <v>33.674999999999997</v>
      </c>
      <c r="N137" s="116">
        <v>34.725000000000001</v>
      </c>
      <c r="O137" s="116">
        <v>33.549999999999997</v>
      </c>
      <c r="P137" s="116">
        <v>34.5</v>
      </c>
      <c r="Q137" s="116">
        <v>67.349999999999994</v>
      </c>
      <c r="R137">
        <v>613068</v>
      </c>
    </row>
    <row r="138" spans="1:18" x14ac:dyDescent="0.25">
      <c r="A138" s="169">
        <v>42201</v>
      </c>
      <c r="B138" s="116">
        <v>34</v>
      </c>
      <c r="C138" s="116">
        <v>33.274999999999999</v>
      </c>
      <c r="D138" s="116">
        <v>33.075000000000003</v>
      </c>
      <c r="E138" s="116">
        <v>33.825000000000003</v>
      </c>
      <c r="F138" s="116">
        <v>66.55</v>
      </c>
      <c r="G138">
        <v>180728</v>
      </c>
      <c r="H138" s="116"/>
      <c r="I138" s="116"/>
      <c r="L138" s="169">
        <v>42201</v>
      </c>
      <c r="M138" s="116">
        <v>33.200000000000003</v>
      </c>
      <c r="N138" s="116">
        <v>34</v>
      </c>
      <c r="O138" s="116">
        <v>33.075000000000003</v>
      </c>
      <c r="P138" s="116">
        <v>33.85</v>
      </c>
      <c r="Q138" s="116">
        <v>66.400000000000006</v>
      </c>
      <c r="R138">
        <v>444006</v>
      </c>
    </row>
    <row r="139" spans="1:18" x14ac:dyDescent="0.25">
      <c r="A139" s="169">
        <v>42202</v>
      </c>
      <c r="B139" s="116">
        <v>33.424999999999997</v>
      </c>
      <c r="C139" s="116">
        <v>32.1</v>
      </c>
      <c r="D139" s="116">
        <v>32</v>
      </c>
      <c r="E139" s="116">
        <v>33.375</v>
      </c>
      <c r="F139" s="116">
        <v>64.2</v>
      </c>
      <c r="G139">
        <v>270323</v>
      </c>
      <c r="H139" s="116"/>
      <c r="I139" s="116"/>
      <c r="L139" s="169">
        <v>42202</v>
      </c>
      <c r="M139" s="116">
        <v>32.049999999999997</v>
      </c>
      <c r="N139" s="116">
        <v>33.424999999999997</v>
      </c>
      <c r="O139" s="116">
        <v>31.875</v>
      </c>
      <c r="P139" s="116">
        <v>33.299999999999997</v>
      </c>
      <c r="Q139" s="116">
        <v>64.099999999999994</v>
      </c>
      <c r="R139">
        <v>655015</v>
      </c>
    </row>
    <row r="140" spans="1:18" x14ac:dyDescent="0.25">
      <c r="A140" s="169">
        <v>42205</v>
      </c>
      <c r="B140" s="116">
        <v>33.25</v>
      </c>
      <c r="C140" s="116">
        <v>33</v>
      </c>
      <c r="D140" s="116">
        <v>31.45</v>
      </c>
      <c r="E140" s="116">
        <v>32.174999999999997</v>
      </c>
      <c r="F140" s="116">
        <v>66</v>
      </c>
      <c r="G140">
        <v>338808</v>
      </c>
      <c r="H140" s="116"/>
      <c r="I140" s="116"/>
      <c r="L140" s="169">
        <v>42205</v>
      </c>
      <c r="M140" s="116">
        <v>33</v>
      </c>
      <c r="N140" s="116">
        <v>33.25</v>
      </c>
      <c r="O140" s="116">
        <v>31.3</v>
      </c>
      <c r="P140" s="116">
        <v>32.1</v>
      </c>
      <c r="Q140" s="116">
        <v>66</v>
      </c>
      <c r="R140">
        <v>860097</v>
      </c>
    </row>
    <row r="141" spans="1:18" x14ac:dyDescent="0.25">
      <c r="A141" s="169">
        <v>42206</v>
      </c>
      <c r="B141" s="116">
        <v>33.299999999999997</v>
      </c>
      <c r="C141" s="116">
        <v>31.85</v>
      </c>
      <c r="D141" s="116">
        <v>31.625</v>
      </c>
      <c r="E141" s="116">
        <v>33</v>
      </c>
      <c r="F141" s="116">
        <v>63.7</v>
      </c>
      <c r="G141">
        <v>167863</v>
      </c>
      <c r="H141" s="116"/>
      <c r="I141" s="116"/>
      <c r="L141" s="169">
        <v>42206</v>
      </c>
      <c r="M141" s="116">
        <v>31.925000000000001</v>
      </c>
      <c r="N141" s="116">
        <v>33.25</v>
      </c>
      <c r="O141" s="116">
        <v>31.675000000000001</v>
      </c>
      <c r="P141" s="116">
        <v>33.125</v>
      </c>
      <c r="Q141" s="116">
        <v>63.85</v>
      </c>
      <c r="R141">
        <v>464170</v>
      </c>
    </row>
    <row r="142" spans="1:18" x14ac:dyDescent="0.25">
      <c r="A142" s="169">
        <v>42207</v>
      </c>
      <c r="B142" s="116">
        <v>33.4</v>
      </c>
      <c r="C142" s="116">
        <v>33.024999999999999</v>
      </c>
      <c r="D142" s="116">
        <v>31.675000000000001</v>
      </c>
      <c r="E142" s="116">
        <v>31.975000000000001</v>
      </c>
      <c r="F142" s="116">
        <v>66.05</v>
      </c>
      <c r="G142">
        <v>231603</v>
      </c>
      <c r="H142" s="116"/>
      <c r="I142" s="116"/>
      <c r="L142" s="169">
        <v>42207</v>
      </c>
      <c r="M142" s="116">
        <v>33.1</v>
      </c>
      <c r="N142" s="116">
        <v>33.5</v>
      </c>
      <c r="O142" s="116">
        <v>31.65</v>
      </c>
      <c r="P142" s="116">
        <v>31.85</v>
      </c>
      <c r="Q142" s="116">
        <v>66.2</v>
      </c>
      <c r="R142">
        <v>675026</v>
      </c>
    </row>
    <row r="143" spans="1:18" x14ac:dyDescent="0.25">
      <c r="A143" s="169">
        <v>42208</v>
      </c>
      <c r="B143" s="116">
        <v>34.075000000000003</v>
      </c>
      <c r="C143" s="116">
        <v>33.5</v>
      </c>
      <c r="D143" s="116">
        <v>33</v>
      </c>
      <c r="E143" s="116">
        <v>33.200000000000003</v>
      </c>
      <c r="F143" s="116">
        <v>67</v>
      </c>
      <c r="G143">
        <v>339422</v>
      </c>
      <c r="H143" s="116"/>
      <c r="I143" s="116"/>
      <c r="L143" s="169">
        <v>42208</v>
      </c>
      <c r="M143" s="116">
        <v>33.5</v>
      </c>
      <c r="N143" s="116">
        <v>34.15</v>
      </c>
      <c r="O143" s="116">
        <v>33.049999999999997</v>
      </c>
      <c r="P143" s="116">
        <v>33.450000000000003</v>
      </c>
      <c r="Q143" s="116">
        <v>67</v>
      </c>
      <c r="R143">
        <v>821017</v>
      </c>
    </row>
    <row r="144" spans="1:18" x14ac:dyDescent="0.25">
      <c r="A144" s="169">
        <v>42209</v>
      </c>
      <c r="B144" s="116">
        <v>33.950000000000003</v>
      </c>
      <c r="C144" s="116">
        <v>32.774999999999999</v>
      </c>
      <c r="D144" s="116">
        <v>32.549999999999997</v>
      </c>
      <c r="E144" s="116">
        <v>33.75</v>
      </c>
      <c r="F144" s="116">
        <v>65.55</v>
      </c>
      <c r="G144">
        <v>209942</v>
      </c>
      <c r="H144" s="116"/>
      <c r="I144" s="116"/>
      <c r="L144" s="169">
        <v>42209</v>
      </c>
      <c r="M144" s="116">
        <v>32.799999999999997</v>
      </c>
      <c r="N144" s="116">
        <v>33.950000000000003</v>
      </c>
      <c r="O144" s="116">
        <v>32.549999999999997</v>
      </c>
      <c r="P144" s="116">
        <v>33.700000000000003</v>
      </c>
      <c r="Q144" s="116">
        <v>65.599999999999994</v>
      </c>
      <c r="R144">
        <v>612252</v>
      </c>
    </row>
    <row r="145" spans="1:18" x14ac:dyDescent="0.25">
      <c r="A145" s="169">
        <v>42212</v>
      </c>
      <c r="B145" s="116">
        <v>39.325000000000003</v>
      </c>
      <c r="C145" s="116">
        <v>39.25</v>
      </c>
      <c r="D145" s="116">
        <v>32.075000000000003</v>
      </c>
      <c r="E145" s="116">
        <v>32.5</v>
      </c>
      <c r="F145" s="116">
        <v>78.5</v>
      </c>
      <c r="G145">
        <v>4802463</v>
      </c>
      <c r="H145" s="116"/>
      <c r="I145" s="116"/>
      <c r="L145" s="169">
        <v>42212</v>
      </c>
      <c r="M145" s="116">
        <v>39.274999999999999</v>
      </c>
      <c r="N145" s="116">
        <v>39.35</v>
      </c>
      <c r="O145" s="116">
        <v>32.1</v>
      </c>
      <c r="P145" s="116">
        <v>32.5</v>
      </c>
      <c r="Q145" s="116">
        <v>78.55</v>
      </c>
      <c r="R145">
        <v>14050419</v>
      </c>
    </row>
    <row r="146" spans="1:18" x14ac:dyDescent="0.25">
      <c r="A146" s="169">
        <v>42213</v>
      </c>
      <c r="B146" s="116">
        <v>41.15</v>
      </c>
      <c r="C146" s="116">
        <v>40.299999999999997</v>
      </c>
      <c r="D146" s="116">
        <v>39.1</v>
      </c>
      <c r="E146" s="116">
        <v>40.25</v>
      </c>
      <c r="F146" s="116">
        <v>80.599999999999994</v>
      </c>
      <c r="G146">
        <v>1882489</v>
      </c>
      <c r="H146" s="116"/>
      <c r="I146" s="116"/>
      <c r="L146" s="169">
        <v>42213</v>
      </c>
      <c r="M146" s="116">
        <v>40.299999999999997</v>
      </c>
      <c r="N146" s="116">
        <v>41.2</v>
      </c>
      <c r="O146" s="116">
        <v>39.075000000000003</v>
      </c>
      <c r="P146" s="116">
        <v>40.15</v>
      </c>
      <c r="Q146" s="116">
        <v>80.599999999999994</v>
      </c>
      <c r="R146">
        <v>7315819</v>
      </c>
    </row>
    <row r="147" spans="1:18" x14ac:dyDescent="0.25">
      <c r="A147" s="169">
        <v>42214</v>
      </c>
      <c r="B147" s="116">
        <v>42.2</v>
      </c>
      <c r="C147" s="116">
        <v>38</v>
      </c>
      <c r="D147" s="116">
        <v>37.5</v>
      </c>
      <c r="E147" s="116">
        <v>41</v>
      </c>
      <c r="F147" s="116">
        <v>76</v>
      </c>
      <c r="G147">
        <v>1396406</v>
      </c>
      <c r="H147" s="116"/>
      <c r="I147" s="116"/>
      <c r="L147" s="169">
        <v>42214</v>
      </c>
      <c r="M147" s="116">
        <v>37.825000000000003</v>
      </c>
      <c r="N147" s="116">
        <v>42.2</v>
      </c>
      <c r="O147" s="116">
        <v>37.325000000000003</v>
      </c>
      <c r="P147" s="116">
        <v>40.700000000000003</v>
      </c>
      <c r="Q147" s="116">
        <v>75.650000000000006</v>
      </c>
      <c r="R147">
        <v>4492441</v>
      </c>
    </row>
    <row r="148" spans="1:18" x14ac:dyDescent="0.25">
      <c r="A148" s="169">
        <v>42215</v>
      </c>
      <c r="B148" s="116">
        <v>39.6</v>
      </c>
      <c r="C148" s="116">
        <v>38.325000000000003</v>
      </c>
      <c r="D148" s="116">
        <v>38.15</v>
      </c>
      <c r="E148" s="116">
        <v>38.9</v>
      </c>
      <c r="F148" s="116">
        <v>76.650000000000006</v>
      </c>
      <c r="G148">
        <v>448287</v>
      </c>
      <c r="H148" s="116"/>
      <c r="I148" s="116"/>
      <c r="L148" s="169">
        <v>42215</v>
      </c>
      <c r="M148" s="116">
        <v>38.4</v>
      </c>
      <c r="N148" s="116">
        <v>39.6</v>
      </c>
      <c r="O148" s="116">
        <v>38.1</v>
      </c>
      <c r="P148" s="116">
        <v>38.125</v>
      </c>
      <c r="Q148" s="116">
        <v>76.8</v>
      </c>
      <c r="R148">
        <v>1334763</v>
      </c>
    </row>
    <row r="149" spans="1:18" x14ac:dyDescent="0.25">
      <c r="A149" s="169">
        <v>42216</v>
      </c>
      <c r="B149" s="116">
        <v>39.6</v>
      </c>
      <c r="C149" s="116">
        <v>38.25</v>
      </c>
      <c r="D149" s="116">
        <v>38.075000000000003</v>
      </c>
      <c r="E149" s="116">
        <v>38.674999999999997</v>
      </c>
      <c r="F149" s="116">
        <v>76.5</v>
      </c>
      <c r="G149">
        <v>442696</v>
      </c>
      <c r="H149" s="116"/>
      <c r="I149" s="116"/>
      <c r="L149" s="169">
        <v>42216</v>
      </c>
      <c r="M149" s="116">
        <v>38.174999999999997</v>
      </c>
      <c r="N149" s="116">
        <v>39.625</v>
      </c>
      <c r="O149" s="116">
        <v>38.049999999999997</v>
      </c>
      <c r="P149" s="116">
        <v>38.575000000000003</v>
      </c>
      <c r="Q149" s="116">
        <v>76.349999999999994</v>
      </c>
      <c r="R149">
        <v>1473557</v>
      </c>
    </row>
    <row r="150" spans="1:18" x14ac:dyDescent="0.25">
      <c r="A150" s="169">
        <v>42219</v>
      </c>
      <c r="B150" s="116">
        <v>40.75</v>
      </c>
      <c r="C150" s="116">
        <v>40.174999999999997</v>
      </c>
      <c r="D150" s="116">
        <v>37.825000000000003</v>
      </c>
      <c r="E150" s="116">
        <v>38.375</v>
      </c>
      <c r="F150" s="116">
        <v>80.349999999999994</v>
      </c>
      <c r="G150">
        <v>1036849</v>
      </c>
      <c r="H150" s="116"/>
      <c r="I150" s="116"/>
      <c r="L150" s="169">
        <v>42219</v>
      </c>
      <c r="M150" s="116">
        <v>40.174999999999997</v>
      </c>
      <c r="N150" s="116">
        <v>40.700000000000003</v>
      </c>
      <c r="O150" s="116">
        <v>37.799999999999997</v>
      </c>
      <c r="P150" s="116">
        <v>38.35</v>
      </c>
      <c r="Q150" s="116">
        <v>80.349999999999994</v>
      </c>
      <c r="R150">
        <v>2200099</v>
      </c>
    </row>
    <row r="151" spans="1:18" x14ac:dyDescent="0.25">
      <c r="A151" s="169">
        <v>42220</v>
      </c>
      <c r="B151" s="116">
        <v>42.7</v>
      </c>
      <c r="C151" s="116">
        <v>41.875</v>
      </c>
      <c r="D151" s="116">
        <v>39.5</v>
      </c>
      <c r="E151" s="116">
        <v>40.5</v>
      </c>
      <c r="F151" s="116">
        <v>83.75</v>
      </c>
      <c r="G151">
        <v>1819548</v>
      </c>
      <c r="H151" s="116"/>
      <c r="I151" s="116"/>
      <c r="L151" s="169">
        <v>42220</v>
      </c>
      <c r="M151" s="116">
        <v>41.875</v>
      </c>
      <c r="N151" s="116">
        <v>42.7</v>
      </c>
      <c r="O151" s="116">
        <v>39.424999999999997</v>
      </c>
      <c r="P151" s="116">
        <v>40.375</v>
      </c>
      <c r="Q151" s="116">
        <v>83.75</v>
      </c>
      <c r="R151">
        <v>3813803</v>
      </c>
    </row>
    <row r="152" spans="1:18" x14ac:dyDescent="0.25">
      <c r="A152" s="169">
        <v>42221</v>
      </c>
      <c r="B152" s="116">
        <v>42.575000000000003</v>
      </c>
      <c r="C152" s="116">
        <v>40.875</v>
      </c>
      <c r="D152" s="116">
        <v>40.5</v>
      </c>
      <c r="E152" s="116">
        <v>42.125</v>
      </c>
      <c r="F152" s="116">
        <v>81.75</v>
      </c>
      <c r="G152">
        <v>577587</v>
      </c>
      <c r="H152" s="116"/>
      <c r="I152" s="116"/>
      <c r="L152" s="169">
        <v>42221</v>
      </c>
      <c r="M152" s="116">
        <v>40.975000000000001</v>
      </c>
      <c r="N152" s="116">
        <v>42.6</v>
      </c>
      <c r="O152" s="116">
        <v>40.549999999999997</v>
      </c>
      <c r="P152" s="116">
        <v>42.174999999999997</v>
      </c>
      <c r="Q152" s="116">
        <v>81.95</v>
      </c>
      <c r="R152">
        <v>1707890</v>
      </c>
    </row>
    <row r="153" spans="1:18" x14ac:dyDescent="0.25">
      <c r="A153" s="169">
        <v>42222</v>
      </c>
      <c r="B153" s="116">
        <v>41.45</v>
      </c>
      <c r="C153" s="116">
        <v>40.25</v>
      </c>
      <c r="D153" s="116">
        <v>40.1</v>
      </c>
      <c r="E153" s="116">
        <v>41.25</v>
      </c>
      <c r="F153" s="116">
        <v>80.5</v>
      </c>
      <c r="G153">
        <v>286339</v>
      </c>
      <c r="H153" s="116"/>
      <c r="I153" s="116"/>
      <c r="L153" s="169">
        <v>42222</v>
      </c>
      <c r="M153" s="116">
        <v>40.299999999999997</v>
      </c>
      <c r="N153" s="116">
        <v>41.45</v>
      </c>
      <c r="O153" s="116">
        <v>40.1</v>
      </c>
      <c r="P153" s="116">
        <v>41.15</v>
      </c>
      <c r="Q153" s="116">
        <v>80.599999999999994</v>
      </c>
      <c r="R153">
        <v>818440</v>
      </c>
    </row>
    <row r="154" spans="1:18" x14ac:dyDescent="0.25">
      <c r="A154" s="169">
        <v>42223</v>
      </c>
      <c r="B154" s="116">
        <v>41.7</v>
      </c>
      <c r="C154" s="116">
        <v>40.674999999999997</v>
      </c>
      <c r="D154" s="116">
        <v>40.024999999999999</v>
      </c>
      <c r="E154" s="116">
        <v>40.1</v>
      </c>
      <c r="F154" s="116">
        <v>81.349999999999994</v>
      </c>
      <c r="G154">
        <v>478175</v>
      </c>
      <c r="H154" s="116"/>
      <c r="I154" s="116"/>
      <c r="L154" s="169">
        <v>42223</v>
      </c>
      <c r="M154" s="116">
        <v>40.674999999999997</v>
      </c>
      <c r="N154" s="116">
        <v>41.674999999999997</v>
      </c>
      <c r="O154" s="116">
        <v>39.975000000000001</v>
      </c>
      <c r="P154" s="116">
        <v>40</v>
      </c>
      <c r="Q154" s="116">
        <v>81.349999999999994</v>
      </c>
      <c r="R154">
        <v>1295954</v>
      </c>
    </row>
    <row r="155" spans="1:18" x14ac:dyDescent="0.25">
      <c r="A155" s="169">
        <v>42226</v>
      </c>
      <c r="B155" s="116">
        <v>41.725000000000001</v>
      </c>
      <c r="C155" s="116">
        <v>40.299999999999997</v>
      </c>
      <c r="D155" s="116">
        <v>40</v>
      </c>
      <c r="E155" s="116">
        <v>40.825000000000003</v>
      </c>
      <c r="F155" s="116">
        <v>80.599999999999994</v>
      </c>
      <c r="G155">
        <v>374311</v>
      </c>
      <c r="H155" s="116"/>
      <c r="I155" s="116"/>
      <c r="L155" s="169">
        <v>42226</v>
      </c>
      <c r="M155" s="116">
        <v>40.299999999999997</v>
      </c>
      <c r="N155" s="116">
        <v>41.7</v>
      </c>
      <c r="O155" s="116">
        <v>40.049999999999997</v>
      </c>
      <c r="P155" s="116">
        <v>40.700000000000003</v>
      </c>
      <c r="Q155" s="116">
        <v>80.599999999999994</v>
      </c>
      <c r="R155">
        <v>1152191</v>
      </c>
    </row>
    <row r="156" spans="1:18" x14ac:dyDescent="0.25">
      <c r="A156" s="169">
        <v>42227</v>
      </c>
      <c r="B156" s="116">
        <v>41.2</v>
      </c>
      <c r="C156" s="116">
        <v>39.35</v>
      </c>
      <c r="D156" s="116">
        <v>39.1</v>
      </c>
      <c r="E156" s="116">
        <v>40.5</v>
      </c>
      <c r="F156" s="116">
        <v>78.7</v>
      </c>
      <c r="G156">
        <v>264922</v>
      </c>
      <c r="H156" s="116"/>
      <c r="I156" s="116"/>
      <c r="L156" s="169">
        <v>42227</v>
      </c>
      <c r="M156" s="116">
        <v>39.325000000000003</v>
      </c>
      <c r="N156" s="116">
        <v>41.25</v>
      </c>
      <c r="O156" s="116">
        <v>39.049999999999997</v>
      </c>
      <c r="P156" s="116">
        <v>40.5</v>
      </c>
      <c r="Q156" s="116">
        <v>78.650000000000006</v>
      </c>
      <c r="R156">
        <v>925774</v>
      </c>
    </row>
    <row r="157" spans="1:18" x14ac:dyDescent="0.25">
      <c r="A157" s="169">
        <v>42228</v>
      </c>
      <c r="B157" s="116">
        <v>39.25</v>
      </c>
      <c r="C157" s="116">
        <v>36.625</v>
      </c>
      <c r="D157" s="116">
        <v>36.5</v>
      </c>
      <c r="E157" s="116">
        <v>39.25</v>
      </c>
      <c r="F157" s="116">
        <v>73.25</v>
      </c>
      <c r="G157">
        <v>283606</v>
      </c>
      <c r="H157" s="116"/>
      <c r="I157" s="116"/>
      <c r="L157" s="169">
        <v>42228</v>
      </c>
      <c r="M157" s="116">
        <v>36.6</v>
      </c>
      <c r="N157" s="116">
        <v>39.200000000000003</v>
      </c>
      <c r="O157" s="116">
        <v>36.450000000000003</v>
      </c>
      <c r="P157" s="116">
        <v>39.200000000000003</v>
      </c>
      <c r="Q157" s="116">
        <v>73.2</v>
      </c>
      <c r="R157">
        <v>859929</v>
      </c>
    </row>
    <row r="158" spans="1:18" x14ac:dyDescent="0.25">
      <c r="A158" s="169">
        <v>42229</v>
      </c>
      <c r="B158" s="116">
        <v>37.5</v>
      </c>
      <c r="C158" s="116">
        <v>35.450000000000003</v>
      </c>
      <c r="D158" s="116">
        <v>35.1</v>
      </c>
      <c r="E158" s="116">
        <v>37.200000000000003</v>
      </c>
      <c r="F158" s="116">
        <v>70.900000000000006</v>
      </c>
      <c r="G158">
        <v>360026</v>
      </c>
      <c r="H158" s="116"/>
      <c r="I158" s="116"/>
      <c r="L158" s="169">
        <v>42229</v>
      </c>
      <c r="M158" s="116">
        <v>35.424999999999997</v>
      </c>
      <c r="N158" s="116">
        <v>37.5</v>
      </c>
      <c r="O158" s="116">
        <v>35</v>
      </c>
      <c r="P158" s="116">
        <v>36.950000000000003</v>
      </c>
      <c r="Q158" s="116">
        <v>70.849999999999994</v>
      </c>
      <c r="R158">
        <v>725738</v>
      </c>
    </row>
    <row r="159" spans="1:18" x14ac:dyDescent="0.25">
      <c r="A159" s="169">
        <v>42230</v>
      </c>
      <c r="B159" s="116">
        <v>36.9</v>
      </c>
      <c r="C159" s="116">
        <v>36.674999999999997</v>
      </c>
      <c r="D159" s="116">
        <v>34.85</v>
      </c>
      <c r="E159" s="116">
        <v>35.799999999999997</v>
      </c>
      <c r="F159" s="116">
        <v>73.349999999999994</v>
      </c>
      <c r="G159">
        <v>270436</v>
      </c>
      <c r="H159" s="116"/>
      <c r="I159" s="116"/>
      <c r="L159" s="169">
        <v>42230</v>
      </c>
      <c r="M159" s="116">
        <v>36.6</v>
      </c>
      <c r="N159" s="116">
        <v>36.950000000000003</v>
      </c>
      <c r="O159" s="116">
        <v>34.875</v>
      </c>
      <c r="P159" s="116">
        <v>35.799999999999997</v>
      </c>
      <c r="Q159" s="116">
        <v>73.2</v>
      </c>
      <c r="R159">
        <v>838154</v>
      </c>
    </row>
    <row r="160" spans="1:18" x14ac:dyDescent="0.25">
      <c r="A160" s="169">
        <v>42233</v>
      </c>
      <c r="B160" s="116">
        <v>37.549999999999997</v>
      </c>
      <c r="C160" s="116">
        <v>36.924999999999997</v>
      </c>
      <c r="D160" s="116">
        <v>35.575000000000003</v>
      </c>
      <c r="E160" s="116">
        <v>36.549999999999997</v>
      </c>
      <c r="F160" s="116">
        <v>73.849999999999994</v>
      </c>
      <c r="G160">
        <v>350326</v>
      </c>
      <c r="H160" s="116"/>
      <c r="I160" s="116"/>
      <c r="L160" s="169">
        <v>42233</v>
      </c>
      <c r="M160" s="116">
        <v>37.024999999999999</v>
      </c>
      <c r="N160" s="116">
        <v>37.6</v>
      </c>
      <c r="O160" s="116">
        <v>35.549999999999997</v>
      </c>
      <c r="P160" s="116">
        <v>36.625</v>
      </c>
      <c r="Q160" s="116">
        <v>74.05</v>
      </c>
      <c r="R160">
        <v>790264</v>
      </c>
    </row>
    <row r="161" spans="1:18" x14ac:dyDescent="0.25">
      <c r="A161" s="169">
        <v>42234</v>
      </c>
      <c r="B161" s="116">
        <v>39.6</v>
      </c>
      <c r="C161" s="116">
        <v>39.174999999999997</v>
      </c>
      <c r="D161" s="116">
        <v>37.075000000000003</v>
      </c>
      <c r="E161" s="116">
        <v>37.174999999999997</v>
      </c>
      <c r="F161" s="116">
        <v>78.349999999999994</v>
      </c>
      <c r="G161">
        <v>523295</v>
      </c>
      <c r="H161" s="116"/>
      <c r="I161" s="116"/>
      <c r="L161" s="169">
        <v>42234</v>
      </c>
      <c r="M161" s="116">
        <v>39.200000000000003</v>
      </c>
      <c r="N161" s="116">
        <v>39.65</v>
      </c>
      <c r="O161" s="116">
        <v>37</v>
      </c>
      <c r="P161" s="116">
        <v>37.1</v>
      </c>
      <c r="Q161" s="116">
        <v>78.400000000000006</v>
      </c>
      <c r="R161">
        <v>1465212</v>
      </c>
    </row>
    <row r="162" spans="1:18" x14ac:dyDescent="0.25">
      <c r="A162" s="169">
        <v>42235</v>
      </c>
      <c r="B162" s="116">
        <v>40.424999999999997</v>
      </c>
      <c r="C162" s="116">
        <v>38.549999999999997</v>
      </c>
      <c r="D162" s="116">
        <v>38.15</v>
      </c>
      <c r="E162" s="116">
        <v>39.799999999999997</v>
      </c>
      <c r="F162" s="116">
        <v>77.099999999999994</v>
      </c>
      <c r="G162">
        <v>518807</v>
      </c>
      <c r="H162" s="116"/>
      <c r="I162" s="116"/>
      <c r="L162" s="169">
        <v>42235</v>
      </c>
      <c r="M162" s="116">
        <v>38.575000000000003</v>
      </c>
      <c r="N162" s="116">
        <v>40.4</v>
      </c>
      <c r="O162" s="116">
        <v>38.125</v>
      </c>
      <c r="P162" s="116">
        <v>39.75</v>
      </c>
      <c r="Q162" s="116">
        <v>77.150000000000006</v>
      </c>
      <c r="R162">
        <v>1525677</v>
      </c>
    </row>
    <row r="163" spans="1:18" x14ac:dyDescent="0.25">
      <c r="A163" s="169">
        <v>42236</v>
      </c>
      <c r="B163" s="116">
        <v>38.6</v>
      </c>
      <c r="C163" s="116">
        <v>36.674999999999997</v>
      </c>
      <c r="D163" s="116">
        <v>36.524999999999999</v>
      </c>
      <c r="E163" s="116">
        <v>37.75</v>
      </c>
      <c r="F163" s="116">
        <v>73.349999999999994</v>
      </c>
      <c r="G163">
        <v>280444</v>
      </c>
      <c r="H163" s="116"/>
      <c r="I163" s="116"/>
      <c r="L163" s="169">
        <v>42236</v>
      </c>
      <c r="M163" s="116">
        <v>36.625</v>
      </c>
      <c r="N163" s="116">
        <v>38.575000000000003</v>
      </c>
      <c r="O163" s="116">
        <v>36.5</v>
      </c>
      <c r="P163" s="116">
        <v>38.325000000000003</v>
      </c>
      <c r="Q163" s="116">
        <v>73.25</v>
      </c>
      <c r="R163">
        <v>664122</v>
      </c>
    </row>
    <row r="164" spans="1:18" x14ac:dyDescent="0.25">
      <c r="A164" s="169">
        <v>42237</v>
      </c>
      <c r="B164" s="116">
        <v>36.725000000000001</v>
      </c>
      <c r="C164" s="116">
        <v>36.375</v>
      </c>
      <c r="D164" s="116">
        <v>35.15</v>
      </c>
      <c r="E164" s="116">
        <v>35.950000000000003</v>
      </c>
      <c r="F164" s="116">
        <v>72.75</v>
      </c>
      <c r="G164">
        <v>226641</v>
      </c>
      <c r="H164" s="116"/>
      <c r="I164" s="116"/>
      <c r="L164" s="169">
        <v>42237</v>
      </c>
      <c r="M164" s="116">
        <v>36.424999999999997</v>
      </c>
      <c r="N164" s="116">
        <v>36.65</v>
      </c>
      <c r="O164" s="116">
        <v>35.25</v>
      </c>
      <c r="P164" s="116">
        <v>35.924999999999997</v>
      </c>
      <c r="Q164" s="116">
        <v>72.849999999999994</v>
      </c>
      <c r="R164">
        <v>677389</v>
      </c>
    </row>
    <row r="165" spans="1:18" x14ac:dyDescent="0.25">
      <c r="A165" s="169">
        <v>42240</v>
      </c>
      <c r="B165" s="116">
        <v>34.975000000000001</v>
      </c>
      <c r="C165" s="116">
        <v>32</v>
      </c>
      <c r="D165" s="116">
        <v>31.15</v>
      </c>
      <c r="E165" s="116">
        <v>34.975000000000001</v>
      </c>
      <c r="F165" s="116">
        <v>64</v>
      </c>
      <c r="G165">
        <v>483953</v>
      </c>
      <c r="H165" s="116"/>
      <c r="I165" s="116"/>
      <c r="L165" s="169">
        <v>42240</v>
      </c>
      <c r="M165" s="116">
        <v>32.024999999999999</v>
      </c>
      <c r="N165" s="116">
        <v>34.9</v>
      </c>
      <c r="O165" s="116">
        <v>31.05</v>
      </c>
      <c r="P165" s="116">
        <v>34.9</v>
      </c>
      <c r="Q165" s="116">
        <v>64.05</v>
      </c>
      <c r="R165">
        <v>1154246</v>
      </c>
    </row>
    <row r="166" spans="1:18" x14ac:dyDescent="0.25">
      <c r="A166" s="169">
        <v>42241</v>
      </c>
      <c r="B166" s="116">
        <v>33.225000000000001</v>
      </c>
      <c r="C166" s="116">
        <v>32.274999999999999</v>
      </c>
      <c r="D166" s="116">
        <v>30</v>
      </c>
      <c r="E166" s="116">
        <v>32.049999999999997</v>
      </c>
      <c r="F166" s="116">
        <v>64.55</v>
      </c>
      <c r="G166">
        <v>466504</v>
      </c>
      <c r="H166" s="116"/>
      <c r="I166" s="116"/>
      <c r="L166" s="169">
        <v>42241</v>
      </c>
      <c r="M166" s="116">
        <v>32.325000000000003</v>
      </c>
      <c r="N166" s="116">
        <v>33.200000000000003</v>
      </c>
      <c r="O166" s="116">
        <v>30</v>
      </c>
      <c r="P166" s="116">
        <v>32.75</v>
      </c>
      <c r="Q166" s="116">
        <v>64.650000000000006</v>
      </c>
      <c r="R166">
        <v>850778</v>
      </c>
    </row>
    <row r="167" spans="1:18" x14ac:dyDescent="0.25">
      <c r="A167" s="169">
        <v>42242</v>
      </c>
      <c r="B167" s="116">
        <v>32.975000000000001</v>
      </c>
      <c r="C167" s="116">
        <v>31.7</v>
      </c>
      <c r="D167" s="116">
        <v>31.35</v>
      </c>
      <c r="E167" s="116">
        <v>31.625</v>
      </c>
      <c r="F167" s="116">
        <v>63.4</v>
      </c>
      <c r="G167">
        <v>225606</v>
      </c>
      <c r="H167" s="116"/>
      <c r="I167" s="116"/>
      <c r="L167" s="169">
        <v>42242</v>
      </c>
      <c r="M167" s="116">
        <v>31.675000000000001</v>
      </c>
      <c r="N167" s="116">
        <v>32.9</v>
      </c>
      <c r="O167" s="116">
        <v>31.375</v>
      </c>
      <c r="P167" s="116">
        <v>32.15</v>
      </c>
      <c r="Q167" s="116">
        <v>63.35</v>
      </c>
      <c r="R167">
        <v>424680</v>
      </c>
    </row>
    <row r="168" spans="1:18" x14ac:dyDescent="0.25">
      <c r="A168" s="169">
        <v>42243</v>
      </c>
      <c r="B168" s="116">
        <v>33.825000000000003</v>
      </c>
      <c r="C168" s="116">
        <v>33.299999999999997</v>
      </c>
      <c r="D168" s="116">
        <v>32.125</v>
      </c>
      <c r="E168" s="116">
        <v>32.700000000000003</v>
      </c>
      <c r="F168" s="116">
        <v>66.599999999999994</v>
      </c>
      <c r="G168">
        <v>218874</v>
      </c>
      <c r="H168" s="116"/>
      <c r="I168" s="116"/>
      <c r="L168" s="169">
        <v>42243</v>
      </c>
      <c r="M168" s="116">
        <v>33.4</v>
      </c>
      <c r="N168" s="116">
        <v>33.950000000000003</v>
      </c>
      <c r="O168" s="116">
        <v>32.15</v>
      </c>
      <c r="P168" s="116">
        <v>32.450000000000003</v>
      </c>
      <c r="Q168" s="116">
        <v>66.8</v>
      </c>
      <c r="R168">
        <v>697013</v>
      </c>
    </row>
    <row r="169" spans="1:18" x14ac:dyDescent="0.25">
      <c r="A169" s="169">
        <v>42244</v>
      </c>
      <c r="B169" s="116">
        <v>34.4</v>
      </c>
      <c r="C169" s="116">
        <v>32.625</v>
      </c>
      <c r="D169" s="116">
        <v>32.25</v>
      </c>
      <c r="E169" s="116">
        <v>33.924999999999997</v>
      </c>
      <c r="F169" s="116">
        <v>65.25</v>
      </c>
      <c r="G169">
        <v>241080</v>
      </c>
      <c r="H169" s="116"/>
      <c r="I169" s="116"/>
      <c r="L169" s="169">
        <v>42244</v>
      </c>
      <c r="M169" s="116">
        <v>32.674999999999997</v>
      </c>
      <c r="N169" s="116">
        <v>34.299999999999997</v>
      </c>
      <c r="O169" s="116">
        <v>32.25</v>
      </c>
      <c r="P169" s="116">
        <v>33.950000000000003</v>
      </c>
      <c r="Q169" s="116">
        <v>65.349999999999994</v>
      </c>
      <c r="R169">
        <v>655172</v>
      </c>
    </row>
    <row r="170" spans="1:18" x14ac:dyDescent="0.25">
      <c r="A170" s="169">
        <v>42247</v>
      </c>
      <c r="B170" s="116">
        <v>33.75</v>
      </c>
      <c r="C170" s="116">
        <v>33.225000000000001</v>
      </c>
      <c r="D170" s="116">
        <v>32.200000000000003</v>
      </c>
      <c r="E170" s="116">
        <v>32.5</v>
      </c>
      <c r="F170" s="116">
        <v>66.45</v>
      </c>
      <c r="G170">
        <v>253890</v>
      </c>
      <c r="H170" s="116"/>
      <c r="I170" s="116"/>
      <c r="L170" s="169">
        <v>42247</v>
      </c>
      <c r="M170" s="116">
        <v>33.125</v>
      </c>
      <c r="N170" s="116">
        <v>33.700000000000003</v>
      </c>
      <c r="O170" s="116">
        <v>32.049999999999997</v>
      </c>
      <c r="P170" s="116">
        <v>32.4</v>
      </c>
      <c r="Q170" s="116">
        <v>66.25</v>
      </c>
      <c r="R170">
        <v>462480</v>
      </c>
    </row>
    <row r="171" spans="1:18" x14ac:dyDescent="0.25">
      <c r="A171" s="169">
        <v>42248</v>
      </c>
      <c r="B171" s="116">
        <v>33</v>
      </c>
      <c r="C171" s="116">
        <v>32.049999999999997</v>
      </c>
      <c r="D171" s="116">
        <v>31.6</v>
      </c>
      <c r="E171" s="116">
        <v>33</v>
      </c>
      <c r="F171" s="116">
        <v>64.099999999999994</v>
      </c>
      <c r="G171">
        <v>148450</v>
      </c>
      <c r="H171" s="116"/>
      <c r="I171" s="116"/>
      <c r="L171" s="169">
        <v>42248</v>
      </c>
      <c r="M171" s="116">
        <v>32.15</v>
      </c>
      <c r="N171" s="116">
        <v>32.950000000000003</v>
      </c>
      <c r="O171" s="116">
        <v>31.5</v>
      </c>
      <c r="P171" s="116">
        <v>32.875</v>
      </c>
      <c r="Q171" s="116">
        <v>64.3</v>
      </c>
      <c r="R171">
        <v>408720</v>
      </c>
    </row>
    <row r="172" spans="1:18" x14ac:dyDescent="0.25">
      <c r="A172" s="169">
        <v>42249</v>
      </c>
      <c r="B172" s="116">
        <v>32.625</v>
      </c>
      <c r="C172" s="116">
        <v>31.7</v>
      </c>
      <c r="D172" s="116">
        <v>31.6</v>
      </c>
      <c r="E172" s="116">
        <v>32.174999999999997</v>
      </c>
      <c r="F172" s="116">
        <v>63.4</v>
      </c>
      <c r="G172">
        <v>159943</v>
      </c>
      <c r="H172" s="116"/>
      <c r="I172" s="116"/>
      <c r="L172" s="169">
        <v>42249</v>
      </c>
      <c r="M172" s="116">
        <v>31.6</v>
      </c>
      <c r="N172" s="116">
        <v>32.65</v>
      </c>
      <c r="O172" s="116">
        <v>31.5</v>
      </c>
      <c r="P172" s="116">
        <v>32.5</v>
      </c>
      <c r="Q172" s="116">
        <v>63.2</v>
      </c>
      <c r="R172">
        <v>395329</v>
      </c>
    </row>
    <row r="173" spans="1:18" x14ac:dyDescent="0.25">
      <c r="A173" s="169">
        <v>42250</v>
      </c>
      <c r="B173" s="116">
        <v>32.875</v>
      </c>
      <c r="C173" s="116">
        <v>32.375</v>
      </c>
      <c r="D173" s="116">
        <v>32</v>
      </c>
      <c r="E173" s="116">
        <v>32.174999999999997</v>
      </c>
      <c r="F173" s="116">
        <v>64.75</v>
      </c>
      <c r="G173">
        <v>133154</v>
      </c>
      <c r="H173" s="116"/>
      <c r="I173" s="116"/>
      <c r="L173" s="169">
        <v>42250</v>
      </c>
      <c r="M173" s="116">
        <v>32.375</v>
      </c>
      <c r="N173" s="116">
        <v>32.85</v>
      </c>
      <c r="O173" s="116">
        <v>31.9</v>
      </c>
      <c r="P173" s="116">
        <v>32</v>
      </c>
      <c r="Q173" s="116">
        <v>64.75</v>
      </c>
      <c r="R173">
        <v>359757</v>
      </c>
    </row>
    <row r="174" spans="1:18" x14ac:dyDescent="0.25">
      <c r="A174" s="169">
        <v>42251</v>
      </c>
      <c r="B174" s="116">
        <v>32.25</v>
      </c>
      <c r="C174" s="116">
        <v>31.375</v>
      </c>
      <c r="D174" s="116">
        <v>30.45</v>
      </c>
      <c r="E174" s="116">
        <v>32.174999999999997</v>
      </c>
      <c r="F174" s="116">
        <v>62.75</v>
      </c>
      <c r="G174">
        <v>171630</v>
      </c>
      <c r="H174" s="116"/>
      <c r="I174" s="116"/>
      <c r="L174" s="169">
        <v>42251</v>
      </c>
      <c r="M174" s="116">
        <v>31.4</v>
      </c>
      <c r="N174" s="116">
        <v>32.35</v>
      </c>
      <c r="O174" s="116">
        <v>30.45</v>
      </c>
      <c r="P174" s="116">
        <v>32.35</v>
      </c>
      <c r="Q174" s="116">
        <v>62.8</v>
      </c>
      <c r="R174">
        <v>502242</v>
      </c>
    </row>
    <row r="175" spans="1:18" x14ac:dyDescent="0.25">
      <c r="A175" s="169">
        <v>42254</v>
      </c>
      <c r="B175" s="116">
        <v>31.875</v>
      </c>
      <c r="C175" s="116">
        <v>30.75</v>
      </c>
      <c r="D175" s="116">
        <v>30.55</v>
      </c>
      <c r="E175" s="116">
        <v>31.75</v>
      </c>
      <c r="F175" s="116">
        <v>61.5</v>
      </c>
      <c r="G175">
        <v>157498</v>
      </c>
      <c r="H175" s="116"/>
      <c r="I175" s="116"/>
      <c r="L175" s="169">
        <v>42254</v>
      </c>
      <c r="M175" s="116">
        <v>30.574999999999999</v>
      </c>
      <c r="N175" s="116">
        <v>31.9</v>
      </c>
      <c r="O175" s="116">
        <v>30.25</v>
      </c>
      <c r="P175" s="116">
        <v>31.6</v>
      </c>
      <c r="Q175" s="116">
        <v>61.15</v>
      </c>
      <c r="R175">
        <v>358134</v>
      </c>
    </row>
    <row r="176" spans="1:18" x14ac:dyDescent="0.25">
      <c r="A176" s="169">
        <v>42255</v>
      </c>
      <c r="B176" s="116">
        <v>31.4</v>
      </c>
      <c r="C176" s="116">
        <v>31.05</v>
      </c>
      <c r="D176" s="116">
        <v>29.824999999999999</v>
      </c>
      <c r="E176" s="116">
        <v>30.95</v>
      </c>
      <c r="F176" s="116">
        <v>62.1</v>
      </c>
      <c r="G176">
        <v>285572</v>
      </c>
      <c r="H176" s="116"/>
      <c r="I176" s="116"/>
      <c r="L176" s="169">
        <v>42255</v>
      </c>
      <c r="M176" s="116">
        <v>31.05</v>
      </c>
      <c r="N176" s="116">
        <v>31.45</v>
      </c>
      <c r="O176" s="116">
        <v>29.824999999999999</v>
      </c>
      <c r="P176" s="116">
        <v>30.8</v>
      </c>
      <c r="Q176" s="116">
        <v>62.1</v>
      </c>
      <c r="R176">
        <v>849855</v>
      </c>
    </row>
    <row r="177" spans="1:18" x14ac:dyDescent="0.25">
      <c r="A177" s="169">
        <v>42256</v>
      </c>
      <c r="B177" s="116">
        <v>32</v>
      </c>
      <c r="C177" s="116">
        <v>31.3</v>
      </c>
      <c r="D177" s="116">
        <v>30.95</v>
      </c>
      <c r="E177" s="116">
        <v>32</v>
      </c>
      <c r="F177" s="116">
        <v>62.6</v>
      </c>
      <c r="G177">
        <v>212027</v>
      </c>
      <c r="H177" s="116"/>
      <c r="I177" s="116"/>
      <c r="L177" s="169">
        <v>42256</v>
      </c>
      <c r="M177" s="116">
        <v>31.375</v>
      </c>
      <c r="N177" s="116">
        <v>31.95</v>
      </c>
      <c r="O177" s="116">
        <v>30.875</v>
      </c>
      <c r="P177" s="116">
        <v>31.5</v>
      </c>
      <c r="Q177" s="116">
        <v>62.75</v>
      </c>
      <c r="R177">
        <v>545465</v>
      </c>
    </row>
    <row r="178" spans="1:18" x14ac:dyDescent="0.25">
      <c r="A178" s="169">
        <v>42257</v>
      </c>
      <c r="B178" s="116">
        <v>31.125</v>
      </c>
      <c r="C178" s="116">
        <v>30.75</v>
      </c>
      <c r="D178" s="116">
        <v>30.175000000000001</v>
      </c>
      <c r="E178" s="116">
        <v>31</v>
      </c>
      <c r="F178" s="116">
        <v>61.5</v>
      </c>
      <c r="G178">
        <v>127006</v>
      </c>
      <c r="H178" s="116"/>
      <c r="I178" s="116"/>
      <c r="L178" s="169">
        <v>42257</v>
      </c>
      <c r="M178" s="116">
        <v>30.725000000000001</v>
      </c>
      <c r="N178" s="116">
        <v>31.125</v>
      </c>
      <c r="O178" s="116">
        <v>30.05</v>
      </c>
      <c r="P178" s="116">
        <v>30.75</v>
      </c>
      <c r="Q178" s="116">
        <v>61.45</v>
      </c>
      <c r="R178">
        <v>378300</v>
      </c>
    </row>
    <row r="179" spans="1:18" x14ac:dyDescent="0.25">
      <c r="A179" s="169">
        <v>42258</v>
      </c>
      <c r="B179" s="116">
        <v>31.425000000000001</v>
      </c>
      <c r="C179" s="116">
        <v>30.425000000000001</v>
      </c>
      <c r="D179" s="116">
        <v>30.25</v>
      </c>
      <c r="E179" s="116">
        <v>31.1</v>
      </c>
      <c r="F179" s="116">
        <v>60.85</v>
      </c>
      <c r="G179">
        <v>135992</v>
      </c>
      <c r="H179" s="116"/>
      <c r="I179" s="116"/>
      <c r="L179" s="169">
        <v>42258</v>
      </c>
      <c r="M179" s="116">
        <v>30.55</v>
      </c>
      <c r="N179" s="116">
        <v>31.45</v>
      </c>
      <c r="O179" s="116">
        <v>30.35</v>
      </c>
      <c r="P179" s="116">
        <v>31</v>
      </c>
      <c r="Q179" s="116">
        <v>61.1</v>
      </c>
      <c r="R179">
        <v>541417</v>
      </c>
    </row>
    <row r="180" spans="1:18" x14ac:dyDescent="0.25">
      <c r="A180" s="169">
        <v>42261</v>
      </c>
      <c r="B180" s="116">
        <v>31.25</v>
      </c>
      <c r="C180" s="116">
        <v>31.1</v>
      </c>
      <c r="D180" s="116">
        <v>30.45</v>
      </c>
      <c r="E180" s="116">
        <v>30.75</v>
      </c>
      <c r="F180" s="116">
        <v>62.2</v>
      </c>
      <c r="G180">
        <v>233204</v>
      </c>
      <c r="H180" s="116"/>
      <c r="I180" s="116"/>
      <c r="L180" s="169">
        <v>42261</v>
      </c>
      <c r="M180" s="116">
        <v>31.15</v>
      </c>
      <c r="N180" s="116">
        <v>31.274999999999999</v>
      </c>
      <c r="O180" s="116">
        <v>30.475000000000001</v>
      </c>
      <c r="P180" s="116">
        <v>30.7</v>
      </c>
      <c r="Q180" s="116">
        <v>62.3</v>
      </c>
      <c r="R180">
        <v>351797</v>
      </c>
    </row>
    <row r="181" spans="1:18" x14ac:dyDescent="0.25">
      <c r="A181" s="169">
        <v>42262</v>
      </c>
      <c r="B181" s="116">
        <v>31.75</v>
      </c>
      <c r="C181" s="116">
        <v>30.625</v>
      </c>
      <c r="D181" s="116">
        <v>30.5</v>
      </c>
      <c r="E181" s="116">
        <v>31.45</v>
      </c>
      <c r="F181" s="116">
        <v>61.25</v>
      </c>
      <c r="G181">
        <v>89900</v>
      </c>
      <c r="H181" s="116"/>
      <c r="I181" s="116"/>
      <c r="L181" s="169">
        <v>42262</v>
      </c>
      <c r="M181" s="116">
        <v>30.65</v>
      </c>
      <c r="N181" s="116">
        <v>31.8</v>
      </c>
      <c r="O181" s="116">
        <v>30.524999999999999</v>
      </c>
      <c r="P181" s="116">
        <v>31.25</v>
      </c>
      <c r="Q181" s="116">
        <v>61.3</v>
      </c>
      <c r="R181">
        <v>369182</v>
      </c>
    </row>
    <row r="182" spans="1:18" x14ac:dyDescent="0.25">
      <c r="A182" s="169">
        <v>42263</v>
      </c>
      <c r="B182" s="116">
        <v>31.65</v>
      </c>
      <c r="C182" s="116">
        <v>30.925000000000001</v>
      </c>
      <c r="D182" s="116">
        <v>30.75</v>
      </c>
      <c r="E182" s="116">
        <v>30.925000000000001</v>
      </c>
      <c r="F182" s="116">
        <v>61.85</v>
      </c>
      <c r="G182">
        <v>133133</v>
      </c>
      <c r="H182" s="116"/>
      <c r="I182" s="116"/>
      <c r="L182" s="169">
        <v>42263</v>
      </c>
      <c r="M182" s="116">
        <v>30.975000000000001</v>
      </c>
      <c r="N182" s="116">
        <v>31.7</v>
      </c>
      <c r="O182" s="116">
        <v>30.75</v>
      </c>
      <c r="P182" s="116">
        <v>30.85</v>
      </c>
      <c r="Q182" s="116">
        <v>61.95</v>
      </c>
      <c r="R182">
        <v>421817</v>
      </c>
    </row>
    <row r="183" spans="1:18" x14ac:dyDescent="0.25">
      <c r="A183" s="169">
        <v>42265</v>
      </c>
      <c r="B183" s="116">
        <v>32.924999999999997</v>
      </c>
      <c r="C183" s="116">
        <v>32.475000000000001</v>
      </c>
      <c r="D183" s="116">
        <v>31</v>
      </c>
      <c r="E183" s="116">
        <v>31.274999999999999</v>
      </c>
      <c r="F183" s="116">
        <v>64.95</v>
      </c>
      <c r="G183">
        <v>419581</v>
      </c>
      <c r="H183" s="116"/>
      <c r="I183" s="116"/>
      <c r="L183" s="169">
        <v>42265</v>
      </c>
      <c r="M183" s="116">
        <v>32.375</v>
      </c>
      <c r="N183" s="116">
        <v>32.825000000000003</v>
      </c>
      <c r="O183" s="116">
        <v>31.074999999999999</v>
      </c>
      <c r="P183" s="116">
        <v>31.3</v>
      </c>
      <c r="Q183" s="116">
        <v>64.75</v>
      </c>
      <c r="R183">
        <v>901436</v>
      </c>
    </row>
    <row r="184" spans="1:18" x14ac:dyDescent="0.25">
      <c r="A184" s="169">
        <v>42268</v>
      </c>
      <c r="B184" s="116">
        <v>33.4</v>
      </c>
      <c r="C184" s="116">
        <v>33.075000000000003</v>
      </c>
      <c r="D184" s="116">
        <v>31.774999999999999</v>
      </c>
      <c r="E184" s="116">
        <v>32</v>
      </c>
      <c r="F184" s="116">
        <v>66.150000000000006</v>
      </c>
      <c r="G184">
        <v>163808</v>
      </c>
      <c r="H184" s="116"/>
      <c r="I184" s="116"/>
      <c r="L184" s="169">
        <v>42268</v>
      </c>
      <c r="M184" s="116">
        <v>33.15</v>
      </c>
      <c r="N184" s="116">
        <v>33.4</v>
      </c>
      <c r="O184" s="116">
        <v>31.824999999999999</v>
      </c>
      <c r="P184" s="116">
        <v>31.875</v>
      </c>
      <c r="Q184" s="116">
        <v>66.3</v>
      </c>
      <c r="R184">
        <v>642070</v>
      </c>
    </row>
    <row r="185" spans="1:18" x14ac:dyDescent="0.25">
      <c r="A185" s="169">
        <v>42269</v>
      </c>
      <c r="B185" s="116">
        <v>33.4</v>
      </c>
      <c r="C185" s="116">
        <v>31.9</v>
      </c>
      <c r="D185" s="116">
        <v>31.5</v>
      </c>
      <c r="E185" s="116">
        <v>33.25</v>
      </c>
      <c r="F185" s="116">
        <v>63.8</v>
      </c>
      <c r="G185">
        <v>164711</v>
      </c>
      <c r="H185" s="116"/>
      <c r="I185" s="116"/>
      <c r="L185" s="169">
        <v>42269</v>
      </c>
      <c r="M185" s="116">
        <v>32.024999999999999</v>
      </c>
      <c r="N185" s="116">
        <v>33.4</v>
      </c>
      <c r="O185" s="116">
        <v>31.475000000000001</v>
      </c>
      <c r="P185" s="116">
        <v>33.174999999999997</v>
      </c>
      <c r="Q185" s="116">
        <v>64.05</v>
      </c>
      <c r="R185">
        <v>467361</v>
      </c>
    </row>
    <row r="186" spans="1:18" x14ac:dyDescent="0.25">
      <c r="A186" s="169">
        <v>42270</v>
      </c>
      <c r="B186" s="116">
        <v>32.4</v>
      </c>
      <c r="C186" s="116">
        <v>32.049999999999997</v>
      </c>
      <c r="D186" s="116">
        <v>31.524999999999999</v>
      </c>
      <c r="E186" s="116">
        <v>31.7</v>
      </c>
      <c r="F186" s="116">
        <v>64.099999999999994</v>
      </c>
      <c r="G186">
        <v>57342</v>
      </c>
      <c r="H186" s="116"/>
      <c r="I186" s="116"/>
      <c r="L186" s="169">
        <v>42270</v>
      </c>
      <c r="M186" s="116">
        <v>32.075000000000003</v>
      </c>
      <c r="N186" s="116">
        <v>32.4</v>
      </c>
      <c r="O186" s="116">
        <v>31.375</v>
      </c>
      <c r="P186" s="116">
        <v>31.375</v>
      </c>
      <c r="Q186" s="116">
        <v>64.150000000000006</v>
      </c>
      <c r="R186">
        <v>291804</v>
      </c>
    </row>
    <row r="187" spans="1:18" x14ac:dyDescent="0.25">
      <c r="A187" s="169">
        <v>42271</v>
      </c>
      <c r="B187" s="116">
        <v>32.35</v>
      </c>
      <c r="C187" s="116">
        <v>32.049999999999997</v>
      </c>
      <c r="D187" s="116">
        <v>31.675000000000001</v>
      </c>
      <c r="E187" s="116">
        <v>32.024999999999999</v>
      </c>
      <c r="F187" s="116">
        <v>64.099999999999994</v>
      </c>
      <c r="G187">
        <v>66627</v>
      </c>
      <c r="H187" s="116"/>
      <c r="I187" s="116"/>
      <c r="L187" s="169">
        <v>42271</v>
      </c>
      <c r="M187" s="116">
        <v>32.15</v>
      </c>
      <c r="N187" s="116">
        <v>32.450000000000003</v>
      </c>
      <c r="O187" s="116">
        <v>31.65</v>
      </c>
      <c r="P187" s="116">
        <v>32</v>
      </c>
      <c r="Q187" s="116">
        <v>64.3</v>
      </c>
      <c r="R187">
        <v>209002</v>
      </c>
    </row>
    <row r="188" spans="1:18" x14ac:dyDescent="0.25">
      <c r="A188" s="169">
        <v>42275</v>
      </c>
      <c r="B188" s="116">
        <v>32.450000000000003</v>
      </c>
      <c r="C188" s="116">
        <v>31.4</v>
      </c>
      <c r="D188" s="116">
        <v>31.25</v>
      </c>
      <c r="E188" s="116">
        <v>31.7</v>
      </c>
      <c r="F188" s="116">
        <v>62.8</v>
      </c>
      <c r="G188">
        <v>94250</v>
      </c>
      <c r="H188" s="116"/>
      <c r="I188" s="116"/>
      <c r="L188" s="169">
        <v>42275</v>
      </c>
      <c r="M188" s="116">
        <v>31.45</v>
      </c>
      <c r="N188" s="116">
        <v>32.4</v>
      </c>
      <c r="O188" s="116">
        <v>31.3</v>
      </c>
      <c r="P188" s="116">
        <v>31.8</v>
      </c>
      <c r="Q188" s="116">
        <v>62.9</v>
      </c>
      <c r="R188">
        <v>284301</v>
      </c>
    </row>
    <row r="189" spans="1:18" x14ac:dyDescent="0.25">
      <c r="A189" s="169">
        <v>42276</v>
      </c>
      <c r="B189" s="116">
        <v>31.824999999999999</v>
      </c>
      <c r="C189" s="116">
        <v>31.35</v>
      </c>
      <c r="D189" s="116">
        <v>30.774999999999999</v>
      </c>
      <c r="E189" s="116">
        <v>30.975000000000001</v>
      </c>
      <c r="F189" s="116">
        <v>62.7</v>
      </c>
      <c r="G189">
        <v>152324</v>
      </c>
      <c r="H189" s="116"/>
      <c r="I189" s="116"/>
      <c r="L189" s="169">
        <v>42276</v>
      </c>
      <c r="M189" s="116">
        <v>31.375</v>
      </c>
      <c r="N189" s="116">
        <v>31.8</v>
      </c>
      <c r="O189" s="116">
        <v>30.7</v>
      </c>
      <c r="P189" s="116">
        <v>31</v>
      </c>
      <c r="Q189" s="116">
        <v>62.75</v>
      </c>
      <c r="R189">
        <v>321670</v>
      </c>
    </row>
    <row r="190" spans="1:18" x14ac:dyDescent="0.25">
      <c r="A190" s="169">
        <v>42277</v>
      </c>
      <c r="B190" s="116">
        <v>32.075000000000003</v>
      </c>
      <c r="C190" s="116">
        <v>31.85</v>
      </c>
      <c r="D190" s="116">
        <v>31.425000000000001</v>
      </c>
      <c r="E190" s="116">
        <v>31.7</v>
      </c>
      <c r="F190" s="116">
        <v>63.7</v>
      </c>
      <c r="G190">
        <v>111153</v>
      </c>
      <c r="H190" s="116"/>
      <c r="I190" s="116"/>
      <c r="L190" s="169">
        <v>42277</v>
      </c>
      <c r="M190" s="116">
        <v>31.925000000000001</v>
      </c>
      <c r="N190" s="116">
        <v>32.125</v>
      </c>
      <c r="O190" s="116">
        <v>31.324999999999999</v>
      </c>
      <c r="P190" s="116">
        <v>31.75</v>
      </c>
      <c r="Q190" s="116">
        <v>63.85</v>
      </c>
      <c r="R190">
        <v>300554</v>
      </c>
    </row>
    <row r="191" spans="1:18" x14ac:dyDescent="0.25">
      <c r="A191" s="169">
        <v>42278</v>
      </c>
      <c r="B191" s="116">
        <v>32.200000000000003</v>
      </c>
      <c r="C191" s="116">
        <v>31.524999999999999</v>
      </c>
      <c r="D191" s="116">
        <v>31.35</v>
      </c>
      <c r="E191" s="116">
        <v>31.75</v>
      </c>
      <c r="F191" s="116">
        <v>63.05</v>
      </c>
      <c r="G191">
        <v>97199</v>
      </c>
      <c r="H191" s="116"/>
      <c r="I191" s="116"/>
      <c r="L191" s="169">
        <v>42278</v>
      </c>
      <c r="M191" s="116">
        <v>31.574999999999999</v>
      </c>
      <c r="N191" s="116">
        <v>32.274999999999999</v>
      </c>
      <c r="O191" s="116">
        <v>31.375</v>
      </c>
      <c r="P191" s="116">
        <v>32.075000000000003</v>
      </c>
      <c r="Q191" s="116">
        <v>63.15</v>
      </c>
      <c r="R191">
        <v>219401</v>
      </c>
    </row>
    <row r="192" spans="1:18" x14ac:dyDescent="0.25">
      <c r="A192" s="169">
        <v>42282</v>
      </c>
      <c r="B192" s="116">
        <v>32.200000000000003</v>
      </c>
      <c r="C192" s="116">
        <v>31.6</v>
      </c>
      <c r="D192" s="116">
        <v>31.274999999999999</v>
      </c>
      <c r="E192" s="116">
        <v>31.824999999999999</v>
      </c>
      <c r="F192" s="116">
        <v>63.2</v>
      </c>
      <c r="G192">
        <v>344119</v>
      </c>
      <c r="H192" s="116"/>
      <c r="I192" s="116"/>
      <c r="L192" s="169">
        <v>42282</v>
      </c>
      <c r="M192" s="116">
        <v>31.65</v>
      </c>
      <c r="N192" s="116">
        <v>32.225000000000001</v>
      </c>
      <c r="O192" s="116">
        <v>31.175000000000001</v>
      </c>
      <c r="P192" s="116">
        <v>31.7</v>
      </c>
      <c r="Q192" s="116">
        <v>63.3</v>
      </c>
      <c r="R192">
        <v>916973</v>
      </c>
    </row>
    <row r="193" spans="1:18" x14ac:dyDescent="0.25">
      <c r="A193" s="169">
        <v>42283</v>
      </c>
      <c r="B193" s="116">
        <v>34.25</v>
      </c>
      <c r="C193" s="116">
        <v>33.700000000000003</v>
      </c>
      <c r="D193" s="116">
        <v>31.875</v>
      </c>
      <c r="E193" s="116">
        <v>32.1</v>
      </c>
      <c r="F193" s="116">
        <v>67.400000000000006</v>
      </c>
      <c r="G193">
        <v>669599</v>
      </c>
      <c r="H193" s="116"/>
      <c r="I193" s="116"/>
      <c r="L193" s="169">
        <v>42283</v>
      </c>
      <c r="M193" s="116">
        <v>33.75</v>
      </c>
      <c r="N193" s="116">
        <v>34.5</v>
      </c>
      <c r="O193" s="116">
        <v>31.85</v>
      </c>
      <c r="P193" s="116">
        <v>32.049999999999997</v>
      </c>
      <c r="Q193" s="116">
        <v>67.5</v>
      </c>
      <c r="R193">
        <v>2399023</v>
      </c>
    </row>
    <row r="194" spans="1:18" x14ac:dyDescent="0.25">
      <c r="A194" s="169">
        <v>42284</v>
      </c>
      <c r="B194" s="116">
        <v>34.450000000000003</v>
      </c>
      <c r="C194" s="116">
        <v>33.75</v>
      </c>
      <c r="D194" s="116">
        <v>33.200000000000003</v>
      </c>
      <c r="E194" s="116">
        <v>34</v>
      </c>
      <c r="F194" s="116">
        <v>67.5</v>
      </c>
      <c r="G194">
        <v>340175</v>
      </c>
      <c r="H194" s="116"/>
      <c r="I194" s="116"/>
      <c r="L194" s="169">
        <v>42284</v>
      </c>
      <c r="M194" s="116">
        <v>33.85</v>
      </c>
      <c r="N194" s="116">
        <v>34.450000000000003</v>
      </c>
      <c r="O194" s="116">
        <v>33.200000000000003</v>
      </c>
      <c r="P194" s="116">
        <v>33.9</v>
      </c>
      <c r="Q194" s="116">
        <v>67.7</v>
      </c>
      <c r="R194">
        <v>993458</v>
      </c>
    </row>
    <row r="195" spans="1:18" x14ac:dyDescent="0.25">
      <c r="A195" s="169">
        <v>42285</v>
      </c>
      <c r="B195" s="116">
        <v>34.1</v>
      </c>
      <c r="C195" s="116">
        <v>33.35</v>
      </c>
      <c r="D195" s="116">
        <v>33.125</v>
      </c>
      <c r="E195" s="116">
        <v>33.950000000000003</v>
      </c>
      <c r="F195" s="116">
        <v>66.7</v>
      </c>
      <c r="G195">
        <v>135906</v>
      </c>
      <c r="H195" s="116"/>
      <c r="I195" s="116"/>
      <c r="L195" s="169">
        <v>42285</v>
      </c>
      <c r="M195" s="116">
        <v>33.375</v>
      </c>
      <c r="N195" s="116">
        <v>34.1</v>
      </c>
      <c r="O195" s="116">
        <v>33.049999999999997</v>
      </c>
      <c r="P195" s="116">
        <v>33.924999999999997</v>
      </c>
      <c r="Q195" s="116">
        <v>66.75</v>
      </c>
      <c r="R195">
        <v>516369</v>
      </c>
    </row>
    <row r="196" spans="1:18" x14ac:dyDescent="0.25">
      <c r="A196" s="169">
        <v>42286</v>
      </c>
      <c r="B196" s="116">
        <v>35.950000000000003</v>
      </c>
      <c r="C196" s="116">
        <v>35.6</v>
      </c>
      <c r="D196" s="116">
        <v>33.524999999999999</v>
      </c>
      <c r="E196" s="116">
        <v>33.674999999999997</v>
      </c>
      <c r="F196" s="116">
        <v>71.2</v>
      </c>
      <c r="G196">
        <v>1013420</v>
      </c>
      <c r="H196" s="116"/>
      <c r="I196" s="116"/>
      <c r="L196" s="169">
        <v>42286</v>
      </c>
      <c r="M196" s="116">
        <v>35.6</v>
      </c>
      <c r="N196" s="116">
        <v>35.950000000000003</v>
      </c>
      <c r="O196" s="116">
        <v>33.6</v>
      </c>
      <c r="P196" s="116">
        <v>33.700000000000003</v>
      </c>
      <c r="Q196" s="116">
        <v>71.2</v>
      </c>
      <c r="R196">
        <v>2756454</v>
      </c>
    </row>
    <row r="197" spans="1:18" x14ac:dyDescent="0.25">
      <c r="A197" s="169">
        <v>42289</v>
      </c>
      <c r="B197" s="116">
        <v>36.174999999999997</v>
      </c>
      <c r="C197" s="116">
        <v>35.200000000000003</v>
      </c>
      <c r="D197" s="116">
        <v>34.85</v>
      </c>
      <c r="E197" s="116">
        <v>35.625</v>
      </c>
      <c r="F197" s="116">
        <v>70.400000000000006</v>
      </c>
      <c r="G197">
        <v>427257</v>
      </c>
      <c r="H197" s="116"/>
      <c r="I197" s="116"/>
      <c r="L197" s="169">
        <v>42289</v>
      </c>
      <c r="M197" s="116">
        <v>35.125</v>
      </c>
      <c r="N197" s="116">
        <v>36.200000000000003</v>
      </c>
      <c r="O197" s="116">
        <v>34.799999999999997</v>
      </c>
      <c r="P197" s="116">
        <v>35.674999999999997</v>
      </c>
      <c r="Q197" s="116">
        <v>70.25</v>
      </c>
      <c r="R197">
        <v>1282308</v>
      </c>
    </row>
    <row r="198" spans="1:18" x14ac:dyDescent="0.25">
      <c r="A198" s="169">
        <v>42290</v>
      </c>
      <c r="B198" s="116">
        <v>35.85</v>
      </c>
      <c r="C198" s="116">
        <v>35.4</v>
      </c>
      <c r="D198" s="116">
        <v>34.9</v>
      </c>
      <c r="E198" s="116">
        <v>35.299999999999997</v>
      </c>
      <c r="F198" s="116">
        <v>70.8</v>
      </c>
      <c r="G198">
        <v>261504</v>
      </c>
      <c r="H198" s="116"/>
      <c r="I198" s="116"/>
      <c r="L198" s="169">
        <v>42290</v>
      </c>
      <c r="M198" s="116">
        <v>35.424999999999997</v>
      </c>
      <c r="N198" s="116">
        <v>35.875</v>
      </c>
      <c r="O198" s="116">
        <v>34.799999999999997</v>
      </c>
      <c r="P198" s="116">
        <v>35.450000000000003</v>
      </c>
      <c r="Q198" s="116">
        <v>70.849999999999994</v>
      </c>
      <c r="R198">
        <v>691060</v>
      </c>
    </row>
    <row r="199" spans="1:18" x14ac:dyDescent="0.25">
      <c r="A199" s="169">
        <v>42291</v>
      </c>
      <c r="B199" s="116">
        <v>36.325000000000003</v>
      </c>
      <c r="C199" s="116">
        <v>35.4</v>
      </c>
      <c r="D199" s="116">
        <v>35.299999999999997</v>
      </c>
      <c r="E199" s="116">
        <v>35.75</v>
      </c>
      <c r="F199" s="116">
        <v>70.8</v>
      </c>
      <c r="G199">
        <v>288308</v>
      </c>
      <c r="H199" s="116"/>
      <c r="I199" s="116"/>
      <c r="L199" s="169">
        <v>42291</v>
      </c>
      <c r="M199" s="116">
        <v>35.450000000000003</v>
      </c>
      <c r="N199" s="116">
        <v>36.325000000000003</v>
      </c>
      <c r="O199" s="116">
        <v>35.274999999999999</v>
      </c>
      <c r="P199" s="116">
        <v>35.4</v>
      </c>
      <c r="Q199" s="116">
        <v>70.900000000000006</v>
      </c>
      <c r="R199">
        <v>685566</v>
      </c>
    </row>
    <row r="200" spans="1:18" x14ac:dyDescent="0.25">
      <c r="A200" s="169">
        <v>42292</v>
      </c>
      <c r="B200" s="116">
        <v>36.1</v>
      </c>
      <c r="C200" s="116">
        <v>35.299999999999997</v>
      </c>
      <c r="D200" s="116">
        <v>35.15</v>
      </c>
      <c r="E200" s="116">
        <v>35.75</v>
      </c>
      <c r="F200" s="116">
        <v>70.599999999999994</v>
      </c>
      <c r="G200">
        <v>227633</v>
      </c>
      <c r="H200" s="116"/>
      <c r="I200" s="116"/>
      <c r="L200" s="169">
        <v>42292</v>
      </c>
      <c r="M200" s="116">
        <v>35.274999999999999</v>
      </c>
      <c r="N200" s="116">
        <v>36.1</v>
      </c>
      <c r="O200" s="116">
        <v>35.174999999999997</v>
      </c>
      <c r="P200" s="116">
        <v>35.774999999999999</v>
      </c>
      <c r="Q200" s="116">
        <v>70.55</v>
      </c>
      <c r="R200">
        <v>584566</v>
      </c>
    </row>
    <row r="201" spans="1:18" x14ac:dyDescent="0.25">
      <c r="A201" s="169">
        <v>42293</v>
      </c>
      <c r="B201" s="116">
        <v>36.825000000000003</v>
      </c>
      <c r="C201" s="116">
        <v>36.049999999999997</v>
      </c>
      <c r="D201" s="116">
        <v>35.575000000000003</v>
      </c>
      <c r="E201" s="116">
        <v>35.625</v>
      </c>
      <c r="F201" s="116">
        <v>72.099999999999994</v>
      </c>
      <c r="G201">
        <v>474229</v>
      </c>
      <c r="H201" s="116"/>
      <c r="I201" s="116"/>
      <c r="L201" s="169">
        <v>42293</v>
      </c>
      <c r="M201" s="116">
        <v>36.1</v>
      </c>
      <c r="N201" s="116">
        <v>36.75</v>
      </c>
      <c r="O201" s="116">
        <v>35.575000000000003</v>
      </c>
      <c r="P201" s="116">
        <v>35.625</v>
      </c>
      <c r="Q201" s="116">
        <v>72.2</v>
      </c>
      <c r="R201">
        <v>1337471</v>
      </c>
    </row>
    <row r="202" spans="1:18" x14ac:dyDescent="0.25">
      <c r="A202" s="169">
        <v>42296</v>
      </c>
      <c r="B202" s="116">
        <v>36.450000000000003</v>
      </c>
      <c r="C202" s="116">
        <v>35.475000000000001</v>
      </c>
      <c r="D202" s="116">
        <v>35.25</v>
      </c>
      <c r="E202" s="116">
        <v>36.450000000000003</v>
      </c>
      <c r="F202" s="116">
        <v>70.95</v>
      </c>
      <c r="G202">
        <v>120146</v>
      </c>
      <c r="H202" s="116"/>
      <c r="I202" s="116"/>
      <c r="L202" s="169">
        <v>42296</v>
      </c>
      <c r="M202" s="116">
        <v>35.524999999999999</v>
      </c>
      <c r="N202" s="116">
        <v>36.25</v>
      </c>
      <c r="O202" s="116">
        <v>35.15</v>
      </c>
      <c r="P202" s="116">
        <v>36.15</v>
      </c>
      <c r="Q202" s="116">
        <v>71.05</v>
      </c>
      <c r="R202">
        <v>395852</v>
      </c>
    </row>
    <row r="203" spans="1:18" x14ac:dyDescent="0.25">
      <c r="A203" s="169">
        <v>42297</v>
      </c>
      <c r="B203" s="116">
        <v>36.25</v>
      </c>
      <c r="C203" s="116">
        <v>35.524999999999999</v>
      </c>
      <c r="D203" s="116">
        <v>35.049999999999997</v>
      </c>
      <c r="E203" s="116">
        <v>35.674999999999997</v>
      </c>
      <c r="F203" s="116">
        <v>71.05</v>
      </c>
      <c r="G203">
        <v>285629</v>
      </c>
      <c r="H203" s="116"/>
      <c r="I203" s="116"/>
      <c r="L203" s="169">
        <v>42297</v>
      </c>
      <c r="M203" s="116">
        <v>35.524999999999999</v>
      </c>
      <c r="N203" s="116">
        <v>36.225000000000001</v>
      </c>
      <c r="O203" s="116">
        <v>35.274999999999999</v>
      </c>
      <c r="P203" s="116">
        <v>35.65</v>
      </c>
      <c r="Q203" s="116">
        <v>71.05</v>
      </c>
      <c r="R203">
        <v>654752</v>
      </c>
    </row>
    <row r="204" spans="1:18" x14ac:dyDescent="0.25">
      <c r="A204" s="169">
        <v>42298</v>
      </c>
      <c r="B204" s="116">
        <v>36</v>
      </c>
      <c r="C204" s="116">
        <v>35.1</v>
      </c>
      <c r="D204" s="116">
        <v>34.975000000000001</v>
      </c>
      <c r="E204" s="116">
        <v>35.774999999999999</v>
      </c>
      <c r="F204" s="116">
        <v>70.2</v>
      </c>
      <c r="G204">
        <v>192964</v>
      </c>
      <c r="H204" s="116"/>
      <c r="I204" s="116"/>
      <c r="L204" s="169">
        <v>42298</v>
      </c>
      <c r="M204" s="116">
        <v>35.200000000000003</v>
      </c>
      <c r="N204" s="116">
        <v>36.049999999999997</v>
      </c>
      <c r="O204" s="116">
        <v>35.049999999999997</v>
      </c>
      <c r="P204" s="116">
        <v>35.6</v>
      </c>
      <c r="Q204" s="116">
        <v>70.400000000000006</v>
      </c>
      <c r="R204">
        <v>441291</v>
      </c>
    </row>
    <row r="205" spans="1:18" x14ac:dyDescent="0.25">
      <c r="A205" s="169">
        <v>42300</v>
      </c>
      <c r="B205" s="116">
        <v>35.875</v>
      </c>
      <c r="C205" s="116">
        <v>34.35</v>
      </c>
      <c r="D205" s="116">
        <v>34.15</v>
      </c>
      <c r="E205" s="116">
        <v>35.125</v>
      </c>
      <c r="F205" s="116">
        <v>68.7</v>
      </c>
      <c r="G205">
        <v>194211</v>
      </c>
      <c r="H205" s="116"/>
      <c r="I205" s="116"/>
      <c r="L205" s="169">
        <v>42300</v>
      </c>
      <c r="M205" s="116">
        <v>34.450000000000003</v>
      </c>
      <c r="N205" s="116">
        <v>35.85</v>
      </c>
      <c r="O205" s="116">
        <v>34.174999999999997</v>
      </c>
      <c r="P205" s="116">
        <v>35.475000000000001</v>
      </c>
      <c r="Q205" s="116">
        <v>68.900000000000006</v>
      </c>
      <c r="R205">
        <v>421233</v>
      </c>
    </row>
    <row r="206" spans="1:18" x14ac:dyDescent="0.25">
      <c r="A206" s="169">
        <v>42303</v>
      </c>
      <c r="B206" s="116">
        <v>34.75</v>
      </c>
      <c r="C206" s="116">
        <v>33.174999999999997</v>
      </c>
      <c r="D206" s="116">
        <v>33.049999999999997</v>
      </c>
      <c r="E206" s="116">
        <v>34.75</v>
      </c>
      <c r="F206" s="116">
        <v>66.349999999999994</v>
      </c>
      <c r="G206">
        <v>199493</v>
      </c>
      <c r="H206" s="116"/>
      <c r="I206" s="116"/>
      <c r="L206" s="169">
        <v>42303</v>
      </c>
      <c r="M206" s="116">
        <v>33.174999999999997</v>
      </c>
      <c r="N206" s="116">
        <v>34.700000000000003</v>
      </c>
      <c r="O206" s="116">
        <v>33.049999999999997</v>
      </c>
      <c r="P206" s="116">
        <v>34.625</v>
      </c>
      <c r="Q206" s="116">
        <v>66.349999999999994</v>
      </c>
      <c r="R206">
        <v>425254</v>
      </c>
    </row>
    <row r="207" spans="1:18" x14ac:dyDescent="0.25">
      <c r="A207" s="169">
        <v>42304</v>
      </c>
      <c r="B207" s="116">
        <v>33.575000000000003</v>
      </c>
      <c r="C207" s="116">
        <v>33.25</v>
      </c>
      <c r="D207" s="116">
        <v>32.6</v>
      </c>
      <c r="E207" s="116">
        <v>32.975000000000001</v>
      </c>
      <c r="F207" s="116">
        <v>66.5</v>
      </c>
      <c r="G207">
        <v>170166</v>
      </c>
      <c r="H207" s="116"/>
      <c r="I207" s="116"/>
      <c r="L207" s="169">
        <v>42304</v>
      </c>
      <c r="M207" s="116">
        <v>33.25</v>
      </c>
      <c r="N207" s="116">
        <v>33.450000000000003</v>
      </c>
      <c r="O207" s="116">
        <v>32.6</v>
      </c>
      <c r="P207" s="116">
        <v>33.1</v>
      </c>
      <c r="Q207" s="116">
        <v>66.5</v>
      </c>
      <c r="R207">
        <v>362505</v>
      </c>
    </row>
    <row r="208" spans="1:18" x14ac:dyDescent="0.25">
      <c r="A208" s="169">
        <v>42305</v>
      </c>
      <c r="B208" s="116">
        <v>33.4</v>
      </c>
      <c r="C208" s="116">
        <v>32.725000000000001</v>
      </c>
      <c r="D208" s="116">
        <v>32.575000000000003</v>
      </c>
      <c r="E208" s="116">
        <v>33.049999999999997</v>
      </c>
      <c r="F208" s="116">
        <v>65.45</v>
      </c>
      <c r="G208">
        <v>106574</v>
      </c>
      <c r="H208" s="116"/>
      <c r="I208" s="116"/>
      <c r="L208" s="169">
        <v>42305</v>
      </c>
      <c r="M208" s="116">
        <v>32.774999999999999</v>
      </c>
      <c r="N208" s="116">
        <v>33.375</v>
      </c>
      <c r="O208" s="116">
        <v>32.524999999999999</v>
      </c>
      <c r="P208" s="116">
        <v>33</v>
      </c>
      <c r="Q208" s="116">
        <v>65.55</v>
      </c>
      <c r="R208">
        <v>287300</v>
      </c>
    </row>
    <row r="209" spans="1:18" x14ac:dyDescent="0.25">
      <c r="A209" s="169">
        <v>42306</v>
      </c>
      <c r="B209" s="116">
        <v>32.975000000000001</v>
      </c>
      <c r="C209" s="116">
        <v>32.274999999999999</v>
      </c>
      <c r="D209" s="116">
        <v>32.200000000000003</v>
      </c>
      <c r="E209" s="116">
        <v>32.9</v>
      </c>
      <c r="F209" s="116">
        <v>64.55</v>
      </c>
      <c r="G209">
        <v>110157</v>
      </c>
      <c r="H209" s="116"/>
      <c r="I209" s="116"/>
      <c r="L209" s="169">
        <v>42306</v>
      </c>
      <c r="M209" s="116">
        <v>32.299999999999997</v>
      </c>
      <c r="N209" s="116">
        <v>32.950000000000003</v>
      </c>
      <c r="O209" s="116">
        <v>32.15</v>
      </c>
      <c r="P209" s="116">
        <v>32.875</v>
      </c>
      <c r="Q209" s="116">
        <v>64.599999999999994</v>
      </c>
      <c r="R209">
        <v>302310</v>
      </c>
    </row>
    <row r="210" spans="1:18" x14ac:dyDescent="0.25">
      <c r="A210" s="169">
        <v>42307</v>
      </c>
      <c r="B210" s="116">
        <v>33.700000000000003</v>
      </c>
      <c r="C210" s="116">
        <v>32.475000000000001</v>
      </c>
      <c r="D210" s="116">
        <v>32.049999999999997</v>
      </c>
      <c r="E210" s="116">
        <v>32.5</v>
      </c>
      <c r="F210" s="116">
        <v>64.95</v>
      </c>
      <c r="G210">
        <v>314171</v>
      </c>
      <c r="H210" s="116"/>
      <c r="I210" s="116"/>
      <c r="L210" s="169">
        <v>42307</v>
      </c>
      <c r="M210" s="116">
        <v>32.424999999999997</v>
      </c>
      <c r="N210" s="116">
        <v>33.75</v>
      </c>
      <c r="O210" s="116">
        <v>32</v>
      </c>
      <c r="P210" s="116">
        <v>32.475000000000001</v>
      </c>
      <c r="Q210" s="116">
        <v>64.849999999999994</v>
      </c>
      <c r="R210">
        <v>913782</v>
      </c>
    </row>
    <row r="211" spans="1:18" x14ac:dyDescent="0.25">
      <c r="A211" s="169">
        <v>42310</v>
      </c>
      <c r="B211" s="116">
        <v>33.225000000000001</v>
      </c>
      <c r="C211" s="116">
        <v>32.5</v>
      </c>
      <c r="D211" s="116">
        <v>32.075000000000003</v>
      </c>
      <c r="E211" s="116">
        <v>32.9</v>
      </c>
      <c r="F211" s="116">
        <v>65</v>
      </c>
      <c r="G211">
        <v>111355</v>
      </c>
      <c r="H211" s="116"/>
      <c r="I211" s="116"/>
      <c r="L211" s="169">
        <v>42310</v>
      </c>
      <c r="M211" s="116">
        <v>32.6</v>
      </c>
      <c r="N211" s="116">
        <v>33.200000000000003</v>
      </c>
      <c r="O211" s="116">
        <v>32.15</v>
      </c>
      <c r="P211" s="116">
        <v>33.200000000000003</v>
      </c>
      <c r="Q211" s="116">
        <v>65.2</v>
      </c>
      <c r="R211">
        <v>376468</v>
      </c>
    </row>
    <row r="212" spans="1:18" x14ac:dyDescent="0.25">
      <c r="A212" s="169">
        <v>42311</v>
      </c>
      <c r="B212" s="116">
        <v>33.825000000000003</v>
      </c>
      <c r="C212" s="116">
        <v>33.049999999999997</v>
      </c>
      <c r="D212" s="116">
        <v>32.700000000000003</v>
      </c>
      <c r="E212" s="116">
        <v>32.875</v>
      </c>
      <c r="F212" s="116">
        <v>66.099999999999994</v>
      </c>
      <c r="G212">
        <v>199741</v>
      </c>
      <c r="H212" s="116"/>
      <c r="I212" s="116"/>
      <c r="L212" s="169">
        <v>42311</v>
      </c>
      <c r="M212" s="116">
        <v>33.125</v>
      </c>
      <c r="N212" s="116">
        <v>33.799999999999997</v>
      </c>
      <c r="O212" s="116">
        <v>32.75</v>
      </c>
      <c r="P212" s="116">
        <v>32.85</v>
      </c>
      <c r="Q212" s="116">
        <v>66.25</v>
      </c>
      <c r="R212">
        <v>1152619</v>
      </c>
    </row>
    <row r="213" spans="1:18" x14ac:dyDescent="0.25">
      <c r="A213" s="169">
        <v>42312</v>
      </c>
      <c r="B213" s="116">
        <v>33.85</v>
      </c>
      <c r="C213" s="116">
        <v>32.5</v>
      </c>
      <c r="D213" s="116">
        <v>32.35</v>
      </c>
      <c r="E213" s="116">
        <v>33.5</v>
      </c>
      <c r="F213" s="116">
        <v>65</v>
      </c>
      <c r="G213">
        <v>183492</v>
      </c>
      <c r="H213" s="116"/>
      <c r="I213" s="116"/>
      <c r="L213" s="169">
        <v>42312</v>
      </c>
      <c r="M213" s="116">
        <v>32.5</v>
      </c>
      <c r="N213" s="116">
        <v>34</v>
      </c>
      <c r="O213" s="116">
        <v>32.274999999999999</v>
      </c>
      <c r="P213" s="116">
        <v>33.5</v>
      </c>
      <c r="Q213" s="116">
        <v>65</v>
      </c>
      <c r="R213">
        <v>402030</v>
      </c>
    </row>
    <row r="214" spans="1:18" x14ac:dyDescent="0.25">
      <c r="A214" s="169">
        <v>42313</v>
      </c>
      <c r="B214" s="116">
        <v>32.575000000000003</v>
      </c>
      <c r="C214" s="116">
        <v>31.45</v>
      </c>
      <c r="D214" s="116">
        <v>31.25</v>
      </c>
      <c r="E214" s="116">
        <v>32.5</v>
      </c>
      <c r="F214" s="116">
        <v>62.9</v>
      </c>
      <c r="G214">
        <v>189559</v>
      </c>
      <c r="H214" s="116"/>
      <c r="I214" s="116"/>
      <c r="L214" s="169">
        <v>42313</v>
      </c>
      <c r="M214" s="116">
        <v>31.45</v>
      </c>
      <c r="N214" s="116">
        <v>32.674999999999997</v>
      </c>
      <c r="O214" s="116">
        <v>31.25</v>
      </c>
      <c r="P214" s="116">
        <v>32.549999999999997</v>
      </c>
      <c r="Q214" s="116">
        <v>62.9</v>
      </c>
      <c r="R214">
        <v>366974</v>
      </c>
    </row>
    <row r="215" spans="1:18" x14ac:dyDescent="0.25">
      <c r="A215" s="169">
        <v>42314</v>
      </c>
      <c r="B215" s="116">
        <v>31.8</v>
      </c>
      <c r="C215" s="116">
        <v>31.15</v>
      </c>
      <c r="D215" s="116">
        <v>30.925000000000001</v>
      </c>
      <c r="E215" s="116">
        <v>31.65</v>
      </c>
      <c r="F215" s="116">
        <v>62.3</v>
      </c>
      <c r="G215">
        <v>112627</v>
      </c>
      <c r="H215" s="116"/>
      <c r="I215" s="116"/>
      <c r="L215" s="169">
        <v>42314</v>
      </c>
      <c r="M215" s="116">
        <v>31.15</v>
      </c>
      <c r="N215" s="116">
        <v>31.824999999999999</v>
      </c>
      <c r="O215" s="116">
        <v>30.875</v>
      </c>
      <c r="P215" s="116">
        <v>31.675000000000001</v>
      </c>
      <c r="Q215" s="116">
        <v>62.3</v>
      </c>
      <c r="R215">
        <v>293808</v>
      </c>
    </row>
    <row r="216" spans="1:18" x14ac:dyDescent="0.25">
      <c r="A216" s="169">
        <v>42317</v>
      </c>
      <c r="B216" s="116">
        <v>31.725000000000001</v>
      </c>
      <c r="C216" s="116">
        <v>31.574999999999999</v>
      </c>
      <c r="D216" s="116">
        <v>30</v>
      </c>
      <c r="E216" s="116">
        <v>30</v>
      </c>
      <c r="F216" s="116">
        <v>63.15</v>
      </c>
      <c r="G216">
        <v>174027</v>
      </c>
      <c r="H216" s="116"/>
      <c r="I216" s="116"/>
      <c r="L216" s="169">
        <v>42317</v>
      </c>
      <c r="M216" s="116">
        <v>31.675000000000001</v>
      </c>
      <c r="N216" s="116">
        <v>31.824999999999999</v>
      </c>
      <c r="O216" s="116">
        <v>29.875</v>
      </c>
      <c r="P216" s="116">
        <v>30.05</v>
      </c>
      <c r="Q216" s="116">
        <v>63.35</v>
      </c>
      <c r="R216">
        <v>338330</v>
      </c>
    </row>
    <row r="217" spans="1:18" x14ac:dyDescent="0.25">
      <c r="A217" s="169">
        <v>42318</v>
      </c>
      <c r="B217" s="116">
        <v>32.200000000000003</v>
      </c>
      <c r="C217" s="116">
        <v>31.45</v>
      </c>
      <c r="D217" s="116">
        <v>31.324999999999999</v>
      </c>
      <c r="E217" s="116">
        <v>31.75</v>
      </c>
      <c r="F217" s="116">
        <v>62.9</v>
      </c>
      <c r="G217">
        <v>121920</v>
      </c>
      <c r="H217" s="116"/>
      <c r="I217" s="116"/>
      <c r="L217" s="169">
        <v>42318</v>
      </c>
      <c r="M217" s="116">
        <v>31.5</v>
      </c>
      <c r="N217" s="116">
        <v>32.174999999999997</v>
      </c>
      <c r="O217" s="116">
        <v>31.3</v>
      </c>
      <c r="P217" s="116">
        <v>31.5</v>
      </c>
      <c r="Q217" s="116">
        <v>63</v>
      </c>
      <c r="R217">
        <v>277765</v>
      </c>
    </row>
    <row r="218" spans="1:18" x14ac:dyDescent="0.25">
      <c r="A218" s="169">
        <v>42319</v>
      </c>
      <c r="B218" s="116">
        <v>32</v>
      </c>
      <c r="C218" s="116">
        <v>31.824999999999999</v>
      </c>
      <c r="D218" s="116">
        <v>31.7</v>
      </c>
      <c r="E218" s="116">
        <v>31.8</v>
      </c>
      <c r="F218" s="116">
        <v>63.65</v>
      </c>
      <c r="G218">
        <v>18230</v>
      </c>
      <c r="H218" s="116"/>
      <c r="I218" s="116"/>
      <c r="L218" s="169">
        <v>42319</v>
      </c>
      <c r="M218" s="116">
        <v>31.9</v>
      </c>
      <c r="N218" s="116">
        <v>32.049999999999997</v>
      </c>
      <c r="O218" s="116">
        <v>31.725000000000001</v>
      </c>
      <c r="P218" s="116">
        <v>31.75</v>
      </c>
      <c r="Q218" s="116">
        <v>63.8</v>
      </c>
      <c r="R218">
        <v>76921</v>
      </c>
    </row>
    <row r="219" spans="1:18" x14ac:dyDescent="0.25">
      <c r="A219" s="169">
        <v>42321</v>
      </c>
      <c r="B219" s="116">
        <v>32.65</v>
      </c>
      <c r="C219" s="116">
        <v>32.075000000000003</v>
      </c>
      <c r="D219" s="116">
        <v>31</v>
      </c>
      <c r="E219" s="116">
        <v>31</v>
      </c>
      <c r="F219" s="116">
        <v>64.150000000000006</v>
      </c>
      <c r="G219">
        <v>113680</v>
      </c>
      <c r="H219" s="116"/>
      <c r="I219" s="116"/>
      <c r="L219" s="169">
        <v>42321</v>
      </c>
      <c r="M219" s="116">
        <v>32.125</v>
      </c>
      <c r="N219" s="116">
        <v>32.700000000000003</v>
      </c>
      <c r="O219" s="116">
        <v>31.6</v>
      </c>
      <c r="P219" s="116">
        <v>31.6</v>
      </c>
      <c r="Q219" s="116">
        <v>64.25</v>
      </c>
      <c r="R219">
        <v>468436</v>
      </c>
    </row>
    <row r="220" spans="1:18" x14ac:dyDescent="0.25">
      <c r="A220" s="169">
        <v>42324</v>
      </c>
      <c r="B220" s="116">
        <v>32.625</v>
      </c>
      <c r="C220" s="116">
        <v>31.7</v>
      </c>
      <c r="D220" s="116">
        <v>31.5</v>
      </c>
      <c r="E220" s="116">
        <v>32.625</v>
      </c>
      <c r="F220" s="116">
        <v>63.4</v>
      </c>
      <c r="G220">
        <v>195479</v>
      </c>
      <c r="H220" s="116"/>
      <c r="I220" s="116"/>
      <c r="L220" s="169">
        <v>42324</v>
      </c>
      <c r="M220" s="116">
        <v>31.7</v>
      </c>
      <c r="N220" s="116">
        <v>32.5</v>
      </c>
      <c r="O220" s="116">
        <v>31.4</v>
      </c>
      <c r="P220" s="116">
        <v>32.475000000000001</v>
      </c>
      <c r="Q220" s="116">
        <v>63.4</v>
      </c>
      <c r="R220">
        <v>647326</v>
      </c>
    </row>
    <row r="221" spans="1:18" x14ac:dyDescent="0.25">
      <c r="A221" s="169">
        <v>42325</v>
      </c>
      <c r="B221" s="116">
        <v>32.200000000000003</v>
      </c>
      <c r="C221" s="116">
        <v>31.774999999999999</v>
      </c>
      <c r="D221" s="116">
        <v>31.574999999999999</v>
      </c>
      <c r="E221" s="116">
        <v>31.774999999999999</v>
      </c>
      <c r="F221" s="116">
        <v>63.55</v>
      </c>
      <c r="G221">
        <v>132484</v>
      </c>
      <c r="H221" s="116"/>
      <c r="I221" s="116"/>
      <c r="L221" s="169">
        <v>42325</v>
      </c>
      <c r="M221" s="116">
        <v>31.824999999999999</v>
      </c>
      <c r="N221" s="116">
        <v>32.200000000000003</v>
      </c>
      <c r="O221" s="116">
        <v>31.5</v>
      </c>
      <c r="P221" s="116">
        <v>32.200000000000003</v>
      </c>
      <c r="Q221" s="116">
        <v>63.65</v>
      </c>
      <c r="R221">
        <v>324102</v>
      </c>
    </row>
    <row r="222" spans="1:18" x14ac:dyDescent="0.25">
      <c r="A222" s="169">
        <v>42326</v>
      </c>
      <c r="B222" s="116">
        <v>32.4</v>
      </c>
      <c r="C222" s="116">
        <v>31.475000000000001</v>
      </c>
      <c r="D222" s="116">
        <v>31.15</v>
      </c>
      <c r="E222" s="116">
        <v>31.975000000000001</v>
      </c>
      <c r="F222" s="116">
        <v>62.95</v>
      </c>
      <c r="G222">
        <v>147600</v>
      </c>
      <c r="H222" s="116"/>
      <c r="I222" s="116"/>
      <c r="L222" s="169">
        <v>42326</v>
      </c>
      <c r="M222" s="116">
        <v>31.574999999999999</v>
      </c>
      <c r="N222" s="116">
        <v>32.35</v>
      </c>
      <c r="O222" s="116">
        <v>31.074999999999999</v>
      </c>
      <c r="P222" s="116">
        <v>31.824999999999999</v>
      </c>
      <c r="Q222" s="116">
        <v>63.15</v>
      </c>
      <c r="R222">
        <v>372645</v>
      </c>
    </row>
    <row r="223" spans="1:18" x14ac:dyDescent="0.25">
      <c r="A223" s="169">
        <v>42327</v>
      </c>
      <c r="B223" s="116">
        <v>31.95</v>
      </c>
      <c r="C223" s="116">
        <v>31.625</v>
      </c>
      <c r="D223" s="116">
        <v>31.55</v>
      </c>
      <c r="E223" s="116">
        <v>31.725000000000001</v>
      </c>
      <c r="F223" s="116">
        <v>63.25</v>
      </c>
      <c r="G223">
        <v>46907</v>
      </c>
      <c r="H223" s="116"/>
      <c r="I223" s="116"/>
      <c r="L223" s="169">
        <v>42327</v>
      </c>
      <c r="M223" s="116">
        <v>31.65</v>
      </c>
      <c r="N223" s="116">
        <v>32</v>
      </c>
      <c r="O223" s="116">
        <v>31.4</v>
      </c>
      <c r="P223" s="116">
        <v>31.725000000000001</v>
      </c>
      <c r="Q223" s="116">
        <v>63.3</v>
      </c>
      <c r="R223">
        <v>232099</v>
      </c>
    </row>
    <row r="224" spans="1:18" x14ac:dyDescent="0.25">
      <c r="A224" s="169">
        <v>42328</v>
      </c>
      <c r="B224" s="116">
        <v>32.725000000000001</v>
      </c>
      <c r="C224" s="116">
        <v>31.875</v>
      </c>
      <c r="D224" s="116">
        <v>31.75</v>
      </c>
      <c r="E224" s="116">
        <v>31.95</v>
      </c>
      <c r="F224" s="116">
        <v>63.75</v>
      </c>
      <c r="G224">
        <v>193951</v>
      </c>
      <c r="H224" s="116"/>
      <c r="I224" s="116"/>
      <c r="L224" s="169">
        <v>42328</v>
      </c>
      <c r="M224" s="116">
        <v>31.925000000000001</v>
      </c>
      <c r="N224" s="116">
        <v>32.674999999999997</v>
      </c>
      <c r="O224" s="116">
        <v>31.774999999999999</v>
      </c>
      <c r="P224" s="116">
        <v>32</v>
      </c>
      <c r="Q224" s="116">
        <v>63.85</v>
      </c>
      <c r="R224">
        <v>404680</v>
      </c>
    </row>
    <row r="225" spans="1:18" x14ac:dyDescent="0.25">
      <c r="A225" s="169">
        <v>42331</v>
      </c>
      <c r="B225" s="116">
        <v>32.075000000000003</v>
      </c>
      <c r="C225" s="116">
        <v>31.774999999999999</v>
      </c>
      <c r="D225" s="116">
        <v>31.5</v>
      </c>
      <c r="E225" s="116">
        <v>31.975000000000001</v>
      </c>
      <c r="F225" s="116">
        <v>63.55</v>
      </c>
      <c r="G225">
        <v>78394</v>
      </c>
      <c r="H225" s="116"/>
      <c r="I225" s="116"/>
      <c r="L225" s="169">
        <v>42331</v>
      </c>
      <c r="M225" s="116">
        <v>31.85</v>
      </c>
      <c r="N225" s="116">
        <v>32.049999999999997</v>
      </c>
      <c r="O225" s="116">
        <v>31.5</v>
      </c>
      <c r="P225" s="116">
        <v>32.049999999999997</v>
      </c>
      <c r="Q225" s="116">
        <v>63.7</v>
      </c>
      <c r="R225">
        <v>221363</v>
      </c>
    </row>
    <row r="226" spans="1:18" x14ac:dyDescent="0.25">
      <c r="A226" s="169">
        <v>42332</v>
      </c>
      <c r="B226" s="116">
        <v>31.975000000000001</v>
      </c>
      <c r="C226" s="116">
        <v>31.75</v>
      </c>
      <c r="D226" s="116">
        <v>31.6</v>
      </c>
      <c r="E226" s="116">
        <v>31.8</v>
      </c>
      <c r="F226" s="116">
        <v>63.5</v>
      </c>
      <c r="G226">
        <v>68600</v>
      </c>
      <c r="H226" s="116"/>
      <c r="I226" s="116"/>
      <c r="L226" s="169">
        <v>42332</v>
      </c>
      <c r="M226" s="116">
        <v>31.7</v>
      </c>
      <c r="N226" s="116">
        <v>32.075000000000003</v>
      </c>
      <c r="O226" s="116">
        <v>31.6</v>
      </c>
      <c r="P226" s="116">
        <v>31.9</v>
      </c>
      <c r="Q226" s="116">
        <v>63.4</v>
      </c>
      <c r="R226">
        <v>253214</v>
      </c>
    </row>
    <row r="227" spans="1:18" x14ac:dyDescent="0.25">
      <c r="A227" s="169">
        <v>42334</v>
      </c>
      <c r="B227" s="116">
        <v>32.25</v>
      </c>
      <c r="C227" s="116">
        <v>31.95</v>
      </c>
      <c r="D227" s="116">
        <v>31.75</v>
      </c>
      <c r="E227" s="116">
        <v>31.75</v>
      </c>
      <c r="F227" s="116">
        <v>63.9</v>
      </c>
      <c r="G227">
        <v>126897</v>
      </c>
      <c r="H227" s="116"/>
      <c r="I227" s="116"/>
      <c r="L227" s="169">
        <v>42334</v>
      </c>
      <c r="M227" s="116">
        <v>31.95</v>
      </c>
      <c r="N227" s="116">
        <v>32.225000000000001</v>
      </c>
      <c r="O227" s="116">
        <v>31.7</v>
      </c>
      <c r="P227" s="116">
        <v>31.9</v>
      </c>
      <c r="Q227" s="116">
        <v>63.9</v>
      </c>
      <c r="R227">
        <v>253018</v>
      </c>
    </row>
    <row r="228" spans="1:18" x14ac:dyDescent="0.25">
      <c r="A228" s="169">
        <v>42335</v>
      </c>
      <c r="B228" s="116">
        <v>34.075000000000003</v>
      </c>
      <c r="C228" s="116">
        <v>33.575000000000003</v>
      </c>
      <c r="D228" s="116">
        <v>32.049999999999997</v>
      </c>
      <c r="E228" s="116">
        <v>32.125</v>
      </c>
      <c r="F228" s="116">
        <v>67.150000000000006</v>
      </c>
      <c r="G228">
        <v>587299</v>
      </c>
      <c r="H228" s="116"/>
      <c r="I228" s="116"/>
      <c r="L228" s="169">
        <v>42335</v>
      </c>
      <c r="M228" s="116">
        <v>33.549999999999997</v>
      </c>
      <c r="N228" s="116">
        <v>33.975000000000001</v>
      </c>
      <c r="O228" s="116">
        <v>32.049999999999997</v>
      </c>
      <c r="P228" s="116">
        <v>32.075000000000003</v>
      </c>
      <c r="Q228" s="116">
        <v>67.099999999999994</v>
      </c>
      <c r="R228">
        <v>1522925</v>
      </c>
    </row>
    <row r="229" spans="1:18" x14ac:dyDescent="0.25">
      <c r="A229" s="169">
        <v>42338</v>
      </c>
      <c r="B229" s="116">
        <v>33.9</v>
      </c>
      <c r="C229" s="116">
        <v>33.200000000000003</v>
      </c>
      <c r="D229" s="116">
        <v>33</v>
      </c>
      <c r="E229" s="116">
        <v>33.75</v>
      </c>
      <c r="F229" s="116">
        <v>66.400000000000006</v>
      </c>
      <c r="G229">
        <v>166318</v>
      </c>
      <c r="H229" s="116"/>
      <c r="I229" s="116"/>
      <c r="L229" s="169">
        <v>42338</v>
      </c>
      <c r="M229" s="116">
        <v>33.174999999999997</v>
      </c>
      <c r="N229" s="116">
        <v>33.9</v>
      </c>
      <c r="O229" s="116">
        <v>33</v>
      </c>
      <c r="P229" s="116">
        <v>33.65</v>
      </c>
      <c r="Q229" s="116">
        <v>66.349999999999994</v>
      </c>
      <c r="R229">
        <v>493329</v>
      </c>
    </row>
    <row r="230" spans="1:18" x14ac:dyDescent="0.25">
      <c r="A230" s="169">
        <v>42339</v>
      </c>
      <c r="B230" s="116">
        <v>34.424999999999997</v>
      </c>
      <c r="C230" s="116">
        <v>33.700000000000003</v>
      </c>
      <c r="D230" s="116">
        <v>33.25</v>
      </c>
      <c r="E230" s="116">
        <v>33.5</v>
      </c>
      <c r="F230" s="116">
        <v>67.400000000000006</v>
      </c>
      <c r="G230">
        <v>263188</v>
      </c>
      <c r="H230" s="116"/>
      <c r="I230" s="116"/>
      <c r="L230" s="169">
        <v>42339</v>
      </c>
      <c r="M230" s="116">
        <v>33.674999999999997</v>
      </c>
      <c r="N230" s="116">
        <v>34.35</v>
      </c>
      <c r="O230" s="116">
        <v>33.200000000000003</v>
      </c>
      <c r="P230" s="116">
        <v>33.375</v>
      </c>
      <c r="Q230" s="116">
        <v>67.349999999999994</v>
      </c>
      <c r="R230">
        <v>728363</v>
      </c>
    </row>
    <row r="231" spans="1:18" x14ac:dyDescent="0.25">
      <c r="A231" s="169">
        <v>42340</v>
      </c>
      <c r="B231" s="116">
        <v>33.950000000000003</v>
      </c>
      <c r="C231" s="116">
        <v>33.274999999999999</v>
      </c>
      <c r="D231" s="116">
        <v>33.075000000000003</v>
      </c>
      <c r="E231" s="116">
        <v>33.950000000000003</v>
      </c>
      <c r="F231" s="116">
        <v>66.55</v>
      </c>
      <c r="G231">
        <v>136767</v>
      </c>
      <c r="H231" s="116"/>
      <c r="I231" s="116"/>
      <c r="L231" s="169">
        <v>42340</v>
      </c>
      <c r="M231" s="116">
        <v>33.35</v>
      </c>
      <c r="N231" s="116">
        <v>33.9</v>
      </c>
      <c r="O231" s="116">
        <v>33.024999999999999</v>
      </c>
      <c r="P231" s="116">
        <v>33.85</v>
      </c>
      <c r="Q231" s="116">
        <v>66.7</v>
      </c>
      <c r="R231">
        <v>351831</v>
      </c>
    </row>
    <row r="232" spans="1:18" x14ac:dyDescent="0.25">
      <c r="A232" s="169">
        <v>42341</v>
      </c>
      <c r="B232" s="116">
        <v>33.299999999999997</v>
      </c>
      <c r="C232" s="116">
        <v>32.625</v>
      </c>
      <c r="D232" s="116">
        <v>32.524999999999999</v>
      </c>
      <c r="E232" s="116">
        <v>33.299999999999997</v>
      </c>
      <c r="F232" s="116">
        <v>65.25</v>
      </c>
      <c r="G232">
        <v>135485</v>
      </c>
      <c r="H232" s="116"/>
      <c r="I232" s="116"/>
      <c r="L232" s="169">
        <v>42341</v>
      </c>
      <c r="M232" s="116">
        <v>32.575000000000003</v>
      </c>
      <c r="N232" s="116">
        <v>33.274999999999999</v>
      </c>
      <c r="O232" s="116">
        <v>32.5</v>
      </c>
      <c r="P232" s="116">
        <v>33.274999999999999</v>
      </c>
      <c r="Q232" s="116">
        <v>65.150000000000006</v>
      </c>
      <c r="R232">
        <v>351607</v>
      </c>
    </row>
    <row r="233" spans="1:18" x14ac:dyDescent="0.25">
      <c r="A233" s="169">
        <v>42342</v>
      </c>
      <c r="B233" s="116">
        <v>32.35</v>
      </c>
      <c r="C233" s="116">
        <v>31.824999999999999</v>
      </c>
      <c r="D233" s="116">
        <v>31.7</v>
      </c>
      <c r="E233" s="116">
        <v>32.299999999999997</v>
      </c>
      <c r="F233" s="116">
        <v>63.65</v>
      </c>
      <c r="G233">
        <v>122418</v>
      </c>
      <c r="H233" s="116"/>
      <c r="I233" s="116"/>
      <c r="L233" s="169">
        <v>42342</v>
      </c>
      <c r="M233" s="116">
        <v>31.725000000000001</v>
      </c>
      <c r="N233" s="116">
        <v>32.299999999999997</v>
      </c>
      <c r="O233" s="116">
        <v>31.6</v>
      </c>
      <c r="P233" s="116">
        <v>32.25</v>
      </c>
      <c r="Q233" s="116">
        <v>63.45</v>
      </c>
      <c r="R233">
        <v>359255</v>
      </c>
    </row>
    <row r="234" spans="1:18" x14ac:dyDescent="0.25">
      <c r="A234" s="169">
        <v>42345</v>
      </c>
      <c r="B234" s="116">
        <v>32.225000000000001</v>
      </c>
      <c r="C234" s="116">
        <v>31.824999999999999</v>
      </c>
      <c r="D234" s="116">
        <v>31.75</v>
      </c>
      <c r="E234" s="116">
        <v>32</v>
      </c>
      <c r="F234" s="116">
        <v>63.65</v>
      </c>
      <c r="G234">
        <v>156727</v>
      </c>
      <c r="H234" s="116"/>
      <c r="I234" s="116"/>
      <c r="L234" s="169">
        <v>42345</v>
      </c>
      <c r="M234" s="116">
        <v>31.824999999999999</v>
      </c>
      <c r="N234" s="116">
        <v>32.15</v>
      </c>
      <c r="O234" s="116">
        <v>31.75</v>
      </c>
      <c r="P234" s="116">
        <v>31.95</v>
      </c>
      <c r="Q234" s="116">
        <v>63.65</v>
      </c>
      <c r="R234">
        <v>233816</v>
      </c>
    </row>
    <row r="235" spans="1:18" x14ac:dyDescent="0.25">
      <c r="A235" s="169">
        <v>42346</v>
      </c>
      <c r="B235" s="116">
        <v>32</v>
      </c>
      <c r="C235" s="116">
        <v>31.55</v>
      </c>
      <c r="D235" s="116">
        <v>31.524999999999999</v>
      </c>
      <c r="E235" s="116">
        <v>31.9</v>
      </c>
      <c r="F235" s="116">
        <v>63.1</v>
      </c>
      <c r="G235">
        <v>117679</v>
      </c>
      <c r="H235" s="116"/>
      <c r="I235" s="116"/>
      <c r="L235" s="169">
        <v>42346</v>
      </c>
      <c r="M235" s="116">
        <v>31.524999999999999</v>
      </c>
      <c r="N235" s="116">
        <v>31.975000000000001</v>
      </c>
      <c r="O235" s="116">
        <v>31.425000000000001</v>
      </c>
      <c r="P235" s="116">
        <v>31.7</v>
      </c>
      <c r="Q235" s="116">
        <v>63.05</v>
      </c>
      <c r="R235">
        <v>174952</v>
      </c>
    </row>
    <row r="236" spans="1:18" x14ac:dyDescent="0.25">
      <c r="A236" s="169">
        <v>42347</v>
      </c>
      <c r="B236" s="116">
        <v>31.574999999999999</v>
      </c>
      <c r="C236" s="116">
        <v>31.074999999999999</v>
      </c>
      <c r="D236" s="116">
        <v>30.85</v>
      </c>
      <c r="E236" s="116">
        <v>31.5</v>
      </c>
      <c r="F236" s="116">
        <v>62.15</v>
      </c>
      <c r="G236">
        <v>128888</v>
      </c>
      <c r="H236" s="116"/>
      <c r="I236" s="116"/>
      <c r="L236" s="169">
        <v>42347</v>
      </c>
      <c r="M236" s="116">
        <v>31.05</v>
      </c>
      <c r="N236" s="116">
        <v>31.55</v>
      </c>
      <c r="O236" s="116">
        <v>30.8</v>
      </c>
      <c r="P236" s="116">
        <v>31.4</v>
      </c>
      <c r="Q236" s="116">
        <v>62.1</v>
      </c>
      <c r="R236">
        <v>230468</v>
      </c>
    </row>
    <row r="237" spans="1:18" x14ac:dyDescent="0.25">
      <c r="A237" s="169">
        <v>42348</v>
      </c>
      <c r="B237" s="116">
        <v>31.35</v>
      </c>
      <c r="C237" s="116">
        <v>31</v>
      </c>
      <c r="D237" s="116">
        <v>30.4</v>
      </c>
      <c r="E237" s="116">
        <v>31.074999999999999</v>
      </c>
      <c r="F237" s="116">
        <v>62</v>
      </c>
      <c r="G237">
        <v>109324</v>
      </c>
      <c r="H237" s="116"/>
      <c r="I237" s="116"/>
      <c r="L237" s="169">
        <v>42348</v>
      </c>
      <c r="M237" s="116">
        <v>31</v>
      </c>
      <c r="N237" s="116">
        <v>31.4</v>
      </c>
      <c r="O237" s="116">
        <v>30.4</v>
      </c>
      <c r="P237" s="116">
        <v>31.2</v>
      </c>
      <c r="Q237" s="116">
        <v>62</v>
      </c>
      <c r="R237">
        <v>231977</v>
      </c>
    </row>
    <row r="238" spans="1:18" x14ac:dyDescent="0.25">
      <c r="A238" s="169">
        <v>42349</v>
      </c>
      <c r="B238" s="116">
        <v>31.45</v>
      </c>
      <c r="C238" s="116">
        <v>30.475000000000001</v>
      </c>
      <c r="D238" s="116">
        <v>30.3</v>
      </c>
      <c r="E238" s="116">
        <v>31.175000000000001</v>
      </c>
      <c r="F238" s="116">
        <v>60.95</v>
      </c>
      <c r="G238">
        <v>81529</v>
      </c>
      <c r="H238" s="116"/>
      <c r="I238" s="116"/>
      <c r="L238" s="169">
        <v>42349</v>
      </c>
      <c r="M238" s="116">
        <v>30.574999999999999</v>
      </c>
      <c r="N238" s="116">
        <v>31.375</v>
      </c>
      <c r="O238" s="116">
        <v>30.274999999999999</v>
      </c>
      <c r="P238" s="116">
        <v>31.2</v>
      </c>
      <c r="Q238" s="116">
        <v>61.15</v>
      </c>
      <c r="R238">
        <v>261415</v>
      </c>
    </row>
    <row r="239" spans="1:18" x14ac:dyDescent="0.25">
      <c r="A239" s="169">
        <v>42352</v>
      </c>
      <c r="B239" s="116">
        <v>31.125</v>
      </c>
      <c r="C239" s="116">
        <v>30.725000000000001</v>
      </c>
      <c r="D239" s="116">
        <v>30.25</v>
      </c>
      <c r="E239" s="116">
        <v>30.274999999999999</v>
      </c>
      <c r="F239" s="116">
        <v>61.45</v>
      </c>
      <c r="G239">
        <v>148315</v>
      </c>
      <c r="H239" s="116"/>
      <c r="I239" s="116"/>
      <c r="L239" s="169">
        <v>42352</v>
      </c>
      <c r="M239" s="116">
        <v>30.7</v>
      </c>
      <c r="N239" s="116">
        <v>31.1</v>
      </c>
      <c r="O239" s="116">
        <v>30.2</v>
      </c>
      <c r="P239" s="116">
        <v>30.524999999999999</v>
      </c>
      <c r="Q239" s="116">
        <v>61.4</v>
      </c>
      <c r="R239">
        <v>272549</v>
      </c>
    </row>
    <row r="240" spans="1:18" x14ac:dyDescent="0.25">
      <c r="A240" s="169">
        <v>42353</v>
      </c>
      <c r="B240" s="116">
        <v>31.225000000000001</v>
      </c>
      <c r="C240" s="116">
        <v>30.45</v>
      </c>
      <c r="D240" s="116">
        <v>30.274999999999999</v>
      </c>
      <c r="E240" s="116">
        <v>30.8</v>
      </c>
      <c r="F240" s="116">
        <v>60.9</v>
      </c>
      <c r="G240">
        <v>140382</v>
      </c>
      <c r="H240" s="116"/>
      <c r="I240" s="116"/>
      <c r="L240" s="169">
        <v>42353</v>
      </c>
      <c r="M240" s="116">
        <v>30.45</v>
      </c>
      <c r="N240" s="116">
        <v>31.25</v>
      </c>
      <c r="O240" s="116">
        <v>30.35</v>
      </c>
      <c r="P240" s="116">
        <v>30.824999999999999</v>
      </c>
      <c r="Q240" s="116">
        <v>60.9</v>
      </c>
      <c r="R240">
        <v>348187</v>
      </c>
    </row>
    <row r="241" spans="1:18" x14ac:dyDescent="0.25">
      <c r="A241" s="169">
        <v>42354</v>
      </c>
      <c r="B241" s="116">
        <v>30.824999999999999</v>
      </c>
      <c r="C241" s="116">
        <v>30.024999999999999</v>
      </c>
      <c r="D241" s="116">
        <v>29.875</v>
      </c>
      <c r="E241" s="116">
        <v>30.824999999999999</v>
      </c>
      <c r="F241" s="116">
        <v>60.05</v>
      </c>
      <c r="G241">
        <v>193105</v>
      </c>
      <c r="H241" s="116"/>
      <c r="I241" s="116"/>
      <c r="L241" s="169">
        <v>42354</v>
      </c>
      <c r="M241" s="116">
        <v>30.1</v>
      </c>
      <c r="N241" s="116">
        <v>30.85</v>
      </c>
      <c r="O241" s="116">
        <v>30.024999999999999</v>
      </c>
      <c r="P241" s="116">
        <v>30.725000000000001</v>
      </c>
      <c r="Q241" s="116">
        <v>60.2</v>
      </c>
      <c r="R241">
        <v>360950</v>
      </c>
    </row>
    <row r="242" spans="1:18" x14ac:dyDescent="0.25">
      <c r="A242" s="169">
        <v>42355</v>
      </c>
      <c r="B242" s="116">
        <v>30.675000000000001</v>
      </c>
      <c r="C242" s="116">
        <v>30.55</v>
      </c>
      <c r="D242" s="116">
        <v>30.074999999999999</v>
      </c>
      <c r="E242" s="116">
        <v>30.475000000000001</v>
      </c>
      <c r="F242" s="116">
        <v>61.1</v>
      </c>
      <c r="G242">
        <v>184507</v>
      </c>
      <c r="H242" s="116"/>
      <c r="I242" s="116"/>
      <c r="L242" s="169">
        <v>42355</v>
      </c>
      <c r="M242" s="116">
        <v>30.574999999999999</v>
      </c>
      <c r="N242" s="116">
        <v>30.7</v>
      </c>
      <c r="O242" s="116">
        <v>30.125</v>
      </c>
      <c r="P242" s="116">
        <v>30.375</v>
      </c>
      <c r="Q242" s="116">
        <v>61.15</v>
      </c>
      <c r="R242">
        <v>490123</v>
      </c>
    </row>
    <row r="243" spans="1:18" x14ac:dyDescent="0.25">
      <c r="A243" s="169">
        <v>42356</v>
      </c>
      <c r="B243" s="116">
        <v>31.225000000000001</v>
      </c>
      <c r="C243" s="116">
        <v>30.625</v>
      </c>
      <c r="D243" s="116">
        <v>30.45</v>
      </c>
      <c r="E243" s="116">
        <v>30.5</v>
      </c>
      <c r="F243" s="116">
        <v>61.25</v>
      </c>
      <c r="G243">
        <v>140676</v>
      </c>
      <c r="H243" s="116"/>
      <c r="I243" s="116"/>
      <c r="L243" s="169">
        <v>42356</v>
      </c>
      <c r="M243" s="116">
        <v>30.675000000000001</v>
      </c>
      <c r="N243" s="116">
        <v>31.2</v>
      </c>
      <c r="O243" s="116">
        <v>30.45</v>
      </c>
      <c r="P243" s="116">
        <v>30.574999999999999</v>
      </c>
      <c r="Q243" s="116">
        <v>61.35</v>
      </c>
      <c r="R243">
        <v>460161</v>
      </c>
    </row>
    <row r="244" spans="1:18" x14ac:dyDescent="0.25">
      <c r="A244" s="169">
        <v>42359</v>
      </c>
      <c r="B244" s="116">
        <v>31.9</v>
      </c>
      <c r="C244" s="116">
        <v>31.4</v>
      </c>
      <c r="D244" s="116">
        <v>30.625</v>
      </c>
      <c r="E244" s="116">
        <v>30.774999999999999</v>
      </c>
      <c r="F244" s="116">
        <v>62.8</v>
      </c>
      <c r="G244">
        <v>235578</v>
      </c>
      <c r="H244" s="116"/>
      <c r="I244" s="116"/>
      <c r="L244" s="169">
        <v>42359</v>
      </c>
      <c r="M244" s="116">
        <v>31.375</v>
      </c>
      <c r="N244" s="116">
        <v>31.875</v>
      </c>
      <c r="O244" s="116">
        <v>30.5</v>
      </c>
      <c r="P244" s="116">
        <v>30.7</v>
      </c>
      <c r="Q244" s="116">
        <v>62.75</v>
      </c>
      <c r="R244">
        <v>485951</v>
      </c>
    </row>
    <row r="245" spans="1:18" x14ac:dyDescent="0.25">
      <c r="A245" s="169">
        <v>42360</v>
      </c>
      <c r="B245" s="116">
        <v>31.975000000000001</v>
      </c>
      <c r="C245" s="116">
        <v>31.4</v>
      </c>
      <c r="D245" s="116">
        <v>31.25</v>
      </c>
      <c r="E245" s="116">
        <v>31.4</v>
      </c>
      <c r="F245" s="116">
        <v>62.8</v>
      </c>
      <c r="G245">
        <v>151677</v>
      </c>
      <c r="H245" s="116"/>
      <c r="I245" s="116"/>
      <c r="L245" s="169">
        <v>42360</v>
      </c>
      <c r="M245" s="116">
        <v>31.475000000000001</v>
      </c>
      <c r="N245" s="116">
        <v>31.95</v>
      </c>
      <c r="O245" s="116">
        <v>31.2</v>
      </c>
      <c r="P245" s="116">
        <v>31.25</v>
      </c>
      <c r="Q245" s="116">
        <v>62.95</v>
      </c>
      <c r="R245">
        <v>397779</v>
      </c>
    </row>
    <row r="246" spans="1:18" x14ac:dyDescent="0.25">
      <c r="A246" s="169">
        <v>42361</v>
      </c>
      <c r="B246" s="116">
        <v>32.075000000000003</v>
      </c>
      <c r="C246" s="116">
        <v>31.1</v>
      </c>
      <c r="D246" s="116">
        <v>30.9</v>
      </c>
      <c r="E246" s="116">
        <v>31.725000000000001</v>
      </c>
      <c r="F246" s="116">
        <v>62.2</v>
      </c>
      <c r="G246">
        <v>178686</v>
      </c>
      <c r="H246" s="116"/>
      <c r="I246" s="116"/>
      <c r="L246" s="169">
        <v>42361</v>
      </c>
      <c r="M246" s="116">
        <v>31.125</v>
      </c>
      <c r="N246" s="116">
        <v>31.975000000000001</v>
      </c>
      <c r="O246" s="116">
        <v>30.8</v>
      </c>
      <c r="P246" s="116">
        <v>31.625</v>
      </c>
      <c r="Q246" s="116">
        <v>62.25</v>
      </c>
      <c r="R246">
        <v>374254</v>
      </c>
    </row>
    <row r="247" spans="1:18" x14ac:dyDescent="0.25">
      <c r="A247" s="169">
        <v>42362</v>
      </c>
      <c r="B247" s="116">
        <v>31.8</v>
      </c>
      <c r="C247" s="116">
        <v>31.475000000000001</v>
      </c>
      <c r="D247" s="116">
        <v>31.25</v>
      </c>
      <c r="E247" s="116">
        <v>31.5</v>
      </c>
      <c r="F247" s="116">
        <v>62.95</v>
      </c>
      <c r="G247">
        <v>139122</v>
      </c>
      <c r="H247" s="116"/>
      <c r="I247" s="116"/>
      <c r="L247" s="169">
        <v>42362</v>
      </c>
      <c r="M247" s="116">
        <v>31.5</v>
      </c>
      <c r="N247" s="116">
        <v>31.85</v>
      </c>
      <c r="O247" s="116">
        <v>31.2</v>
      </c>
      <c r="P247" s="116">
        <v>31.4</v>
      </c>
      <c r="Q247" s="116">
        <v>63</v>
      </c>
      <c r="R247">
        <v>440659</v>
      </c>
    </row>
    <row r="248" spans="1:18" x14ac:dyDescent="0.25">
      <c r="A248" s="169">
        <v>42366</v>
      </c>
      <c r="B248" s="116">
        <v>32.625</v>
      </c>
      <c r="C248" s="116">
        <v>31.925000000000001</v>
      </c>
      <c r="D248" s="116">
        <v>31.65</v>
      </c>
      <c r="E248" s="116">
        <v>31.75</v>
      </c>
      <c r="F248" s="116">
        <v>63.85</v>
      </c>
      <c r="G248">
        <v>228762</v>
      </c>
      <c r="H248" s="116"/>
      <c r="I248" s="116"/>
      <c r="L248" s="169">
        <v>42366</v>
      </c>
      <c r="M248" s="116">
        <v>31.95</v>
      </c>
      <c r="N248" s="116">
        <v>32.65</v>
      </c>
      <c r="O248" s="116">
        <v>31.6</v>
      </c>
      <c r="P248" s="116">
        <v>31.8</v>
      </c>
      <c r="Q248" s="116">
        <v>63.9</v>
      </c>
      <c r="R248">
        <v>594151</v>
      </c>
    </row>
    <row r="249" spans="1:18" x14ac:dyDescent="0.25">
      <c r="A249" s="169">
        <v>42367</v>
      </c>
      <c r="B249" s="116">
        <v>32.375</v>
      </c>
      <c r="C249" s="116">
        <v>31.625</v>
      </c>
      <c r="D249" s="116">
        <v>31.55</v>
      </c>
      <c r="E249" s="116">
        <v>32.25</v>
      </c>
      <c r="F249" s="116">
        <v>63.25</v>
      </c>
      <c r="G249">
        <v>162050</v>
      </c>
      <c r="H249" s="116"/>
      <c r="I249" s="116"/>
      <c r="L249" s="169">
        <v>42367</v>
      </c>
      <c r="M249" s="116">
        <v>31.65</v>
      </c>
      <c r="N249" s="116">
        <v>32.450000000000003</v>
      </c>
      <c r="O249" s="116">
        <v>31.55</v>
      </c>
      <c r="P249" s="116">
        <v>32.375</v>
      </c>
      <c r="Q249" s="116">
        <v>63.3</v>
      </c>
      <c r="R249">
        <v>520902</v>
      </c>
    </row>
    <row r="250" spans="1:18" x14ac:dyDescent="0.25">
      <c r="A250" s="169">
        <v>42368</v>
      </c>
      <c r="B250" s="116">
        <v>31.875</v>
      </c>
      <c r="C250" s="116">
        <v>31.25</v>
      </c>
      <c r="D250" s="116">
        <v>31.2</v>
      </c>
      <c r="E250" s="116">
        <v>31.7</v>
      </c>
      <c r="F250" s="116">
        <v>62.5</v>
      </c>
      <c r="G250">
        <v>123526</v>
      </c>
      <c r="H250" s="116"/>
      <c r="I250" s="116"/>
      <c r="L250" s="169">
        <v>42368</v>
      </c>
      <c r="M250" s="116">
        <v>31.324999999999999</v>
      </c>
      <c r="N250" s="116">
        <v>31.925000000000001</v>
      </c>
      <c r="O250" s="116">
        <v>31.25</v>
      </c>
      <c r="P250" s="116">
        <v>31.8</v>
      </c>
      <c r="Q250" s="116">
        <v>62.65</v>
      </c>
      <c r="R250">
        <v>290105</v>
      </c>
    </row>
    <row r="251" spans="1:18" x14ac:dyDescent="0.25">
      <c r="A251" s="169">
        <v>42369</v>
      </c>
      <c r="B251" s="116">
        <v>31.875</v>
      </c>
      <c r="C251" s="116">
        <v>31.25</v>
      </c>
      <c r="D251" s="116">
        <v>31.2</v>
      </c>
      <c r="E251" s="116">
        <v>31.25</v>
      </c>
      <c r="F251" s="116">
        <v>62.5</v>
      </c>
      <c r="G251">
        <v>123564</v>
      </c>
      <c r="H251" s="116"/>
      <c r="I251" s="116"/>
      <c r="L251" s="169">
        <v>42369</v>
      </c>
      <c r="M251" s="116">
        <v>31.324999999999999</v>
      </c>
      <c r="N251" s="116">
        <v>31.85</v>
      </c>
      <c r="O251" s="116">
        <v>31.225000000000001</v>
      </c>
      <c r="P251" s="116">
        <v>31.225000000000001</v>
      </c>
      <c r="Q251" s="116">
        <v>62.65</v>
      </c>
      <c r="R251">
        <v>319228</v>
      </c>
    </row>
    <row r="252" spans="1:18" x14ac:dyDescent="0.25">
      <c r="A252" s="169">
        <v>42370</v>
      </c>
      <c r="B252" s="116">
        <v>31.8</v>
      </c>
      <c r="C252" s="116">
        <v>31.25</v>
      </c>
      <c r="D252" s="116">
        <v>31.175000000000001</v>
      </c>
      <c r="E252" s="116">
        <v>31.25</v>
      </c>
      <c r="F252" s="116">
        <v>62.5</v>
      </c>
      <c r="G252">
        <v>132469</v>
      </c>
      <c r="H252" s="116"/>
      <c r="I252" s="116"/>
      <c r="L252" s="169">
        <v>42370</v>
      </c>
      <c r="M252" s="116">
        <v>31.274999999999999</v>
      </c>
      <c r="N252" s="116">
        <v>31.75</v>
      </c>
      <c r="O252" s="116">
        <v>31.15</v>
      </c>
      <c r="P252" s="116">
        <v>31.375</v>
      </c>
      <c r="Q252" s="116">
        <v>62.55</v>
      </c>
      <c r="R252">
        <v>414583</v>
      </c>
    </row>
    <row r="253" spans="1:18" x14ac:dyDescent="0.25">
      <c r="A253" s="169">
        <v>42373</v>
      </c>
      <c r="B253" s="116">
        <v>31.625</v>
      </c>
      <c r="C253" s="116">
        <v>30.75</v>
      </c>
      <c r="D253" s="116">
        <v>30.65</v>
      </c>
      <c r="E253" s="116">
        <v>31.25</v>
      </c>
      <c r="F253" s="116">
        <v>61.5</v>
      </c>
      <c r="G253">
        <v>168321</v>
      </c>
      <c r="H253" s="116"/>
      <c r="I253" s="116"/>
      <c r="L253" s="169">
        <v>42373</v>
      </c>
      <c r="M253" s="116">
        <v>30.725000000000001</v>
      </c>
      <c r="N253" s="116">
        <v>31.6</v>
      </c>
      <c r="O253" s="116">
        <v>30.574999999999999</v>
      </c>
      <c r="P253" s="116">
        <v>31.25</v>
      </c>
      <c r="Q253" s="116">
        <v>61.45</v>
      </c>
      <c r="R253">
        <v>424892</v>
      </c>
    </row>
    <row r="254" spans="1:18" x14ac:dyDescent="0.25">
      <c r="A254" s="169">
        <v>42374</v>
      </c>
      <c r="B254" s="116">
        <v>31.9</v>
      </c>
      <c r="C254" s="116">
        <v>31.524999999999999</v>
      </c>
      <c r="D254" s="116">
        <v>30.574999999999999</v>
      </c>
      <c r="E254" s="116">
        <v>31</v>
      </c>
      <c r="F254" s="116">
        <v>63.05</v>
      </c>
      <c r="G254">
        <v>276019</v>
      </c>
      <c r="H254" s="116"/>
      <c r="I254" s="116"/>
      <c r="L254" s="169">
        <v>42374</v>
      </c>
      <c r="M254" s="116">
        <v>31.6</v>
      </c>
      <c r="N254" s="116">
        <v>31.925000000000001</v>
      </c>
      <c r="O254" s="116">
        <v>30.55</v>
      </c>
      <c r="P254" s="116">
        <v>31.024999999999999</v>
      </c>
      <c r="Q254" s="116">
        <v>63.2</v>
      </c>
      <c r="R254">
        <v>821414</v>
      </c>
    </row>
    <row r="255" spans="1:18" x14ac:dyDescent="0.25">
      <c r="A255" s="169">
        <v>42375</v>
      </c>
      <c r="B255" s="116">
        <v>32.825000000000003</v>
      </c>
      <c r="C255" s="116">
        <v>32.024999999999999</v>
      </c>
      <c r="D255" s="116">
        <v>31.55</v>
      </c>
      <c r="E255" s="116">
        <v>31.8</v>
      </c>
      <c r="F255" s="116">
        <v>64.05</v>
      </c>
      <c r="G255">
        <v>415215</v>
      </c>
      <c r="H255" s="116"/>
      <c r="I255" s="116"/>
      <c r="L255" s="169">
        <v>42375</v>
      </c>
      <c r="M255" s="116">
        <v>32.075000000000003</v>
      </c>
      <c r="N255" s="116">
        <v>32.85</v>
      </c>
      <c r="O255" s="116">
        <v>31.65</v>
      </c>
      <c r="P255" s="116">
        <v>31.85</v>
      </c>
      <c r="Q255" s="116">
        <v>64.150000000000006</v>
      </c>
      <c r="R255">
        <v>1392331</v>
      </c>
    </row>
    <row r="256" spans="1:18" x14ac:dyDescent="0.25">
      <c r="A256" s="169">
        <v>42376</v>
      </c>
      <c r="B256" s="116">
        <v>31.8</v>
      </c>
      <c r="C256" s="116">
        <v>30.725000000000001</v>
      </c>
      <c r="D256" s="116">
        <v>30.6</v>
      </c>
      <c r="E256" s="116">
        <v>31.625</v>
      </c>
      <c r="F256" s="116">
        <v>61.45</v>
      </c>
      <c r="G256">
        <v>98697</v>
      </c>
      <c r="H256" s="116"/>
      <c r="I256" s="116"/>
      <c r="L256" s="169">
        <v>42376</v>
      </c>
      <c r="M256" s="116">
        <v>30.65</v>
      </c>
      <c r="N256" s="116">
        <v>31.774999999999999</v>
      </c>
      <c r="O256" s="116">
        <v>30.55</v>
      </c>
      <c r="P256" s="116">
        <v>31.774999999999999</v>
      </c>
      <c r="Q256" s="116">
        <v>61.3</v>
      </c>
      <c r="R256">
        <v>432425</v>
      </c>
    </row>
    <row r="257" spans="1:18" x14ac:dyDescent="0.25">
      <c r="A257" s="169">
        <v>42377</v>
      </c>
      <c r="B257" s="116">
        <v>31.45</v>
      </c>
      <c r="C257" s="116">
        <v>30.9</v>
      </c>
      <c r="D257" s="116">
        <v>30.574999999999999</v>
      </c>
      <c r="E257" s="116">
        <v>30.774999999999999</v>
      </c>
      <c r="F257" s="116">
        <v>61.8</v>
      </c>
      <c r="G257">
        <v>114052</v>
      </c>
      <c r="H257" s="116"/>
      <c r="I257" s="116"/>
      <c r="L257" s="169">
        <v>42377</v>
      </c>
      <c r="M257" s="116">
        <v>30.9</v>
      </c>
      <c r="N257" s="116">
        <v>31.375</v>
      </c>
      <c r="O257" s="116">
        <v>30.5</v>
      </c>
      <c r="P257" s="116">
        <v>30.75</v>
      </c>
      <c r="Q257" s="116">
        <v>61.8</v>
      </c>
      <c r="R257">
        <v>356958</v>
      </c>
    </row>
    <row r="258" spans="1:18" x14ac:dyDescent="0.25">
      <c r="A258" s="169">
        <v>42380</v>
      </c>
      <c r="B258" s="116">
        <v>31.45</v>
      </c>
      <c r="C258" s="116">
        <v>30.875</v>
      </c>
      <c r="D258" s="116">
        <v>30.35</v>
      </c>
      <c r="E258" s="116">
        <v>30.85</v>
      </c>
      <c r="F258" s="116">
        <v>61.75</v>
      </c>
      <c r="G258">
        <v>83647</v>
      </c>
      <c r="H258" s="116"/>
      <c r="I258" s="116"/>
      <c r="L258" s="169">
        <v>42380</v>
      </c>
      <c r="M258" s="116">
        <v>30.875</v>
      </c>
      <c r="N258" s="116">
        <v>31.45</v>
      </c>
      <c r="O258" s="116">
        <v>30.25</v>
      </c>
      <c r="P258" s="116">
        <v>30.7</v>
      </c>
      <c r="Q258" s="116">
        <v>61.75</v>
      </c>
      <c r="R258">
        <v>264268</v>
      </c>
    </row>
    <row r="259" spans="1:18" x14ac:dyDescent="0.25">
      <c r="A259" s="169">
        <v>42381</v>
      </c>
      <c r="B259" s="116">
        <v>31.2</v>
      </c>
      <c r="C259" s="116">
        <v>30.25</v>
      </c>
      <c r="D259" s="116">
        <v>30.15</v>
      </c>
      <c r="E259" s="116">
        <v>31.024999999999999</v>
      </c>
      <c r="F259" s="116">
        <v>60.5</v>
      </c>
      <c r="G259">
        <v>93577</v>
      </c>
      <c r="H259" s="116"/>
      <c r="I259" s="116"/>
      <c r="L259" s="169">
        <v>42381</v>
      </c>
      <c r="M259" s="116">
        <v>30.3</v>
      </c>
      <c r="N259" s="116">
        <v>31.2</v>
      </c>
      <c r="O259" s="116">
        <v>30.175000000000001</v>
      </c>
      <c r="P259" s="116">
        <v>30.975000000000001</v>
      </c>
      <c r="Q259" s="116">
        <v>60.6</v>
      </c>
      <c r="R259">
        <v>264208</v>
      </c>
    </row>
    <row r="260" spans="1:18" x14ac:dyDescent="0.25">
      <c r="A260" s="169">
        <v>42382</v>
      </c>
      <c r="B260" s="116">
        <v>30.725000000000001</v>
      </c>
      <c r="C260" s="116">
        <v>29.3</v>
      </c>
      <c r="D260" s="116">
        <v>26.125</v>
      </c>
      <c r="E260" s="116">
        <v>30.625</v>
      </c>
      <c r="F260" s="116">
        <v>58.6</v>
      </c>
      <c r="G260">
        <v>230964</v>
      </c>
      <c r="H260" s="116"/>
      <c r="I260" s="116"/>
      <c r="L260" s="169">
        <v>42382</v>
      </c>
      <c r="M260" s="116">
        <v>29.5</v>
      </c>
      <c r="N260" s="116">
        <v>30.75</v>
      </c>
      <c r="O260" s="116">
        <v>24.25</v>
      </c>
      <c r="P260" s="116">
        <v>30.55</v>
      </c>
      <c r="Q260" s="116">
        <v>59</v>
      </c>
      <c r="R260">
        <v>649800</v>
      </c>
    </row>
    <row r="261" spans="1:18" x14ac:dyDescent="0.25">
      <c r="A261" s="169">
        <v>42383</v>
      </c>
      <c r="B261" s="116">
        <v>28.9</v>
      </c>
      <c r="C261" s="116">
        <v>28.3</v>
      </c>
      <c r="D261" s="116">
        <v>28.05</v>
      </c>
      <c r="E261" s="116">
        <v>28.05</v>
      </c>
      <c r="F261" s="116">
        <v>56.6</v>
      </c>
      <c r="G261">
        <v>134502</v>
      </c>
      <c r="H261" s="116"/>
      <c r="I261" s="116"/>
      <c r="L261" s="169">
        <v>42383</v>
      </c>
      <c r="M261" s="116">
        <v>28.3</v>
      </c>
      <c r="N261" s="116">
        <v>29</v>
      </c>
      <c r="O261" s="116">
        <v>27.9</v>
      </c>
      <c r="P261" s="116">
        <v>29</v>
      </c>
      <c r="Q261" s="116">
        <v>56.6</v>
      </c>
      <c r="R261">
        <v>237111</v>
      </c>
    </row>
    <row r="262" spans="1:18" x14ac:dyDescent="0.25">
      <c r="A262" s="169">
        <v>42384</v>
      </c>
      <c r="B262" s="116">
        <v>28.574999999999999</v>
      </c>
      <c r="C262" s="116">
        <v>26.475000000000001</v>
      </c>
      <c r="D262" s="116">
        <v>26.15</v>
      </c>
      <c r="E262" s="116">
        <v>28.5</v>
      </c>
      <c r="F262" s="116">
        <v>52.95</v>
      </c>
      <c r="G262">
        <v>117075</v>
      </c>
      <c r="H262" s="116"/>
      <c r="I262" s="116"/>
      <c r="L262" s="169">
        <v>42384</v>
      </c>
      <c r="M262" s="116">
        <v>26.45</v>
      </c>
      <c r="N262" s="116">
        <v>28.65</v>
      </c>
      <c r="O262" s="116">
        <v>26.024999999999999</v>
      </c>
      <c r="P262" s="116">
        <v>28.5</v>
      </c>
      <c r="Q262" s="116">
        <v>52.9</v>
      </c>
      <c r="R262">
        <v>289001</v>
      </c>
    </row>
    <row r="263" spans="1:18" x14ac:dyDescent="0.25">
      <c r="A263" s="169">
        <v>42387</v>
      </c>
      <c r="B263" s="116">
        <v>30</v>
      </c>
      <c r="C263" s="116">
        <v>25.574999999999999</v>
      </c>
      <c r="D263" s="116">
        <v>25.5</v>
      </c>
      <c r="E263" s="116">
        <v>27.8</v>
      </c>
      <c r="F263" s="116">
        <v>51.15</v>
      </c>
      <c r="G263">
        <v>111079</v>
      </c>
      <c r="H263" s="116"/>
      <c r="I263" s="116"/>
      <c r="L263" s="169">
        <v>42387</v>
      </c>
      <c r="M263" s="116">
        <v>25.625</v>
      </c>
      <c r="N263" s="116">
        <v>27</v>
      </c>
      <c r="O263" s="116">
        <v>25.425000000000001</v>
      </c>
      <c r="P263" s="116">
        <v>26.45</v>
      </c>
      <c r="Q263" s="116">
        <v>51.25</v>
      </c>
      <c r="R263">
        <v>312170</v>
      </c>
    </row>
    <row r="264" spans="1:18" x14ac:dyDescent="0.25">
      <c r="A264" s="169">
        <v>42388</v>
      </c>
      <c r="B264" s="116">
        <v>26.425000000000001</v>
      </c>
      <c r="C264" s="116">
        <v>25.925000000000001</v>
      </c>
      <c r="D264" s="116">
        <v>25.1</v>
      </c>
      <c r="E264" s="116">
        <v>25.85</v>
      </c>
      <c r="F264" s="116">
        <v>51.85</v>
      </c>
      <c r="G264">
        <v>699192</v>
      </c>
      <c r="H264" s="116"/>
      <c r="I264" s="116"/>
      <c r="L264" s="169">
        <v>42388</v>
      </c>
      <c r="M264" s="116">
        <v>25.95</v>
      </c>
      <c r="N264" s="116">
        <v>26.35</v>
      </c>
      <c r="O264" s="116">
        <v>25.05</v>
      </c>
      <c r="P264" s="116">
        <v>25.9</v>
      </c>
      <c r="Q264" s="116">
        <v>51.9</v>
      </c>
      <c r="R264">
        <v>292363</v>
      </c>
    </row>
    <row r="265" spans="1:18" x14ac:dyDescent="0.25">
      <c r="A265" s="169">
        <v>42389</v>
      </c>
      <c r="B265" s="116">
        <v>25.975000000000001</v>
      </c>
      <c r="C265" s="116">
        <v>24.574999999999999</v>
      </c>
      <c r="D265" s="116">
        <v>23.925000000000001</v>
      </c>
      <c r="E265" s="116">
        <v>25.975000000000001</v>
      </c>
      <c r="F265" s="116">
        <v>49.15</v>
      </c>
      <c r="G265">
        <v>235073</v>
      </c>
      <c r="H265" s="116"/>
      <c r="I265" s="116"/>
      <c r="L265" s="169">
        <v>42389</v>
      </c>
      <c r="M265" s="116">
        <v>24.625</v>
      </c>
      <c r="N265" s="116">
        <v>25.625</v>
      </c>
      <c r="O265" s="116">
        <v>24</v>
      </c>
      <c r="P265" s="116">
        <v>25.625</v>
      </c>
      <c r="Q265" s="116">
        <v>49.25</v>
      </c>
      <c r="R265">
        <v>470436</v>
      </c>
    </row>
    <row r="266" spans="1:18" x14ac:dyDescent="0.25">
      <c r="A266" s="169">
        <v>42390</v>
      </c>
      <c r="B266" s="116">
        <v>25.35</v>
      </c>
      <c r="C266" s="116">
        <v>24.074999999999999</v>
      </c>
      <c r="D266" s="116">
        <v>23.95</v>
      </c>
      <c r="E266" s="116">
        <v>25</v>
      </c>
      <c r="F266" s="116">
        <v>48.15</v>
      </c>
      <c r="G266">
        <v>139515</v>
      </c>
      <c r="H266" s="116"/>
      <c r="I266" s="116"/>
      <c r="L266" s="169">
        <v>42390</v>
      </c>
      <c r="M266" s="116">
        <v>24.024999999999999</v>
      </c>
      <c r="N266" s="116">
        <v>25.324999999999999</v>
      </c>
      <c r="O266" s="116">
        <v>23.8</v>
      </c>
      <c r="P266" s="116">
        <v>24.975000000000001</v>
      </c>
      <c r="Q266" s="116">
        <v>48.05</v>
      </c>
      <c r="R266">
        <v>329062</v>
      </c>
    </row>
    <row r="267" spans="1:18" x14ac:dyDescent="0.25">
      <c r="A267" s="169">
        <v>42391</v>
      </c>
      <c r="B267" s="116">
        <v>25.2</v>
      </c>
      <c r="C267" s="116">
        <v>24.95</v>
      </c>
      <c r="D267" s="116">
        <v>24.375</v>
      </c>
      <c r="E267" s="116">
        <v>24.625</v>
      </c>
      <c r="F267" s="116">
        <v>49.9</v>
      </c>
      <c r="G267">
        <v>160168</v>
      </c>
      <c r="H267" s="116"/>
      <c r="I267" s="116"/>
      <c r="L267" s="169">
        <v>42391</v>
      </c>
      <c r="M267" s="116">
        <v>25</v>
      </c>
      <c r="N267" s="116">
        <v>25.225000000000001</v>
      </c>
      <c r="O267" s="116">
        <v>24.4</v>
      </c>
      <c r="P267" s="116">
        <v>24.925000000000001</v>
      </c>
      <c r="Q267" s="116">
        <v>50</v>
      </c>
      <c r="R267">
        <v>435552</v>
      </c>
    </row>
    <row r="268" spans="1:18" x14ac:dyDescent="0.25">
      <c r="A268" s="169">
        <v>42394</v>
      </c>
      <c r="B268" s="116">
        <v>25.625</v>
      </c>
      <c r="C268" s="116">
        <v>25.274999999999999</v>
      </c>
      <c r="D268" s="116">
        <v>25.1</v>
      </c>
      <c r="E268" s="116">
        <v>25.3</v>
      </c>
      <c r="F268" s="116">
        <v>50.55</v>
      </c>
      <c r="G268">
        <v>57149</v>
      </c>
      <c r="H268" s="116"/>
      <c r="I268" s="116"/>
      <c r="L268" s="169">
        <v>42394</v>
      </c>
      <c r="M268" s="116">
        <v>25.225000000000001</v>
      </c>
      <c r="N268" s="116">
        <v>25.675000000000001</v>
      </c>
      <c r="O268" s="116">
        <v>25.05</v>
      </c>
      <c r="P268" s="116">
        <v>25.35</v>
      </c>
      <c r="Q268" s="116">
        <v>50.45</v>
      </c>
      <c r="R268">
        <v>211092</v>
      </c>
    </row>
    <row r="269" spans="1:18" x14ac:dyDescent="0.25">
      <c r="A269" s="169">
        <v>42396</v>
      </c>
      <c r="B269" s="116">
        <v>25.6</v>
      </c>
      <c r="C269" s="116">
        <v>25.375</v>
      </c>
      <c r="D269" s="116">
        <v>25.125</v>
      </c>
      <c r="E269" s="116">
        <v>25.5</v>
      </c>
      <c r="F269" s="116">
        <v>50.75</v>
      </c>
      <c r="G269">
        <v>40575</v>
      </c>
      <c r="H269" s="116"/>
      <c r="I269" s="116"/>
      <c r="L269" s="169">
        <v>42396</v>
      </c>
      <c r="M269" s="116">
        <v>25.524999999999999</v>
      </c>
      <c r="N269" s="116">
        <v>25.95</v>
      </c>
      <c r="O269" s="116">
        <v>25.1</v>
      </c>
      <c r="P269" s="116">
        <v>25.5</v>
      </c>
      <c r="Q269" s="116">
        <v>51.05</v>
      </c>
      <c r="R269">
        <v>174586</v>
      </c>
    </row>
    <row r="270" spans="1:18" x14ac:dyDescent="0.25">
      <c r="A270" s="169">
        <v>42397</v>
      </c>
      <c r="B270" s="116">
        <v>25.65</v>
      </c>
      <c r="C270" s="116">
        <v>24.95</v>
      </c>
      <c r="D270" s="116">
        <v>24.85</v>
      </c>
      <c r="E270" s="116">
        <v>25.55</v>
      </c>
      <c r="F270" s="116">
        <v>49.9</v>
      </c>
      <c r="G270">
        <v>88527</v>
      </c>
      <c r="H270" s="116"/>
      <c r="I270" s="116"/>
      <c r="L270" s="169">
        <v>42397</v>
      </c>
      <c r="M270" s="116">
        <v>25.024999999999999</v>
      </c>
      <c r="N270" s="116">
        <v>25.75</v>
      </c>
      <c r="O270" s="116">
        <v>24.875</v>
      </c>
      <c r="P270" s="116">
        <v>25.75</v>
      </c>
      <c r="Q270" s="116">
        <v>50.05</v>
      </c>
      <c r="R270">
        <v>233978</v>
      </c>
    </row>
    <row r="271" spans="1:18" x14ac:dyDescent="0.25">
      <c r="A271" s="169">
        <v>42398</v>
      </c>
      <c r="B271" s="116">
        <v>25.45</v>
      </c>
      <c r="C271" s="116">
        <v>25.05</v>
      </c>
      <c r="D271" s="116">
        <v>24.975000000000001</v>
      </c>
      <c r="E271" s="116">
        <v>25</v>
      </c>
      <c r="F271" s="116">
        <v>50.1</v>
      </c>
      <c r="G271">
        <v>151144</v>
      </c>
      <c r="H271" s="116"/>
      <c r="I271" s="116"/>
      <c r="L271" s="169">
        <v>42398</v>
      </c>
      <c r="M271" s="116">
        <v>25.024999999999999</v>
      </c>
      <c r="N271" s="116">
        <v>25.425000000000001</v>
      </c>
      <c r="O271" s="116">
        <v>24.9</v>
      </c>
      <c r="P271" s="116">
        <v>25.225000000000001</v>
      </c>
      <c r="Q271" s="116">
        <v>50.05</v>
      </c>
      <c r="R271">
        <v>308362</v>
      </c>
    </row>
    <row r="272" spans="1:18" x14ac:dyDescent="0.25">
      <c r="A272" s="169">
        <v>42401</v>
      </c>
      <c r="B272" s="116">
        <v>26.1</v>
      </c>
      <c r="C272" s="116">
        <v>24.875</v>
      </c>
      <c r="D272" s="116">
        <v>24.35</v>
      </c>
      <c r="E272" s="116">
        <v>25.5</v>
      </c>
      <c r="F272" s="116">
        <v>49.75</v>
      </c>
      <c r="G272">
        <v>287339</v>
      </c>
      <c r="H272" s="116"/>
      <c r="I272" s="116"/>
      <c r="L272" s="169">
        <v>42401</v>
      </c>
      <c r="M272" s="116">
        <v>24.8</v>
      </c>
      <c r="N272" s="116">
        <v>26.1</v>
      </c>
      <c r="O272" s="116">
        <v>24.324999999999999</v>
      </c>
      <c r="P272" s="116">
        <v>25.4</v>
      </c>
      <c r="Q272" s="116">
        <v>49.6</v>
      </c>
      <c r="R272">
        <v>1252799</v>
      </c>
    </row>
    <row r="273" spans="1:18" x14ac:dyDescent="0.25">
      <c r="A273" s="169">
        <v>42402</v>
      </c>
      <c r="B273" s="116">
        <v>25</v>
      </c>
      <c r="C273" s="116">
        <v>24</v>
      </c>
      <c r="D273" s="116">
        <v>23.95</v>
      </c>
      <c r="E273" s="116">
        <v>24.5</v>
      </c>
      <c r="F273" s="116">
        <v>48</v>
      </c>
      <c r="G273">
        <v>199840</v>
      </c>
      <c r="H273" s="116"/>
      <c r="I273" s="116"/>
      <c r="L273" s="169">
        <v>42402</v>
      </c>
      <c r="M273" s="116">
        <v>24.05</v>
      </c>
      <c r="N273" s="116">
        <v>25.225000000000001</v>
      </c>
      <c r="O273" s="116">
        <v>24.024999999999999</v>
      </c>
      <c r="P273" s="116">
        <v>24.625</v>
      </c>
      <c r="Q273" s="116">
        <v>48.1</v>
      </c>
      <c r="R273">
        <v>428332</v>
      </c>
    </row>
    <row r="274" spans="1:18" x14ac:dyDescent="0.25">
      <c r="A274" s="169">
        <v>42403</v>
      </c>
      <c r="B274" s="116">
        <v>23.925000000000001</v>
      </c>
      <c r="C274" s="116">
        <v>22.925000000000001</v>
      </c>
      <c r="D274" s="116">
        <v>22.65</v>
      </c>
      <c r="E274" s="116">
        <v>23.925000000000001</v>
      </c>
      <c r="F274" s="116">
        <v>45.85</v>
      </c>
      <c r="G274">
        <v>181537</v>
      </c>
      <c r="H274" s="116"/>
      <c r="I274" s="116"/>
      <c r="L274" s="169">
        <v>42403</v>
      </c>
      <c r="M274" s="116">
        <v>22.925000000000001</v>
      </c>
      <c r="N274" s="116">
        <v>23.975000000000001</v>
      </c>
      <c r="O274" s="116">
        <v>22.5</v>
      </c>
      <c r="P274" s="116">
        <v>23.95</v>
      </c>
      <c r="Q274" s="116">
        <v>45.85</v>
      </c>
      <c r="R274">
        <v>480928</v>
      </c>
    </row>
    <row r="275" spans="1:18" x14ac:dyDescent="0.25">
      <c r="A275" s="169">
        <v>42404</v>
      </c>
      <c r="B275" s="116">
        <v>23.5</v>
      </c>
      <c r="C275" s="116">
        <v>22.5</v>
      </c>
      <c r="D275" s="116">
        <v>22.375</v>
      </c>
      <c r="E275" s="116">
        <v>23.2</v>
      </c>
      <c r="F275" s="116">
        <v>45</v>
      </c>
      <c r="G275">
        <v>96612</v>
      </c>
      <c r="H275" s="116"/>
      <c r="I275" s="116"/>
      <c r="L275" s="169">
        <v>42404</v>
      </c>
      <c r="M275" s="116">
        <v>22.5</v>
      </c>
      <c r="N275" s="116">
        <v>23.524999999999999</v>
      </c>
      <c r="O275" s="116">
        <v>22.324999999999999</v>
      </c>
      <c r="P275" s="116">
        <v>23</v>
      </c>
      <c r="Q275" s="116">
        <v>45</v>
      </c>
      <c r="R275">
        <v>453584</v>
      </c>
    </row>
    <row r="276" spans="1:18" x14ac:dyDescent="0.25">
      <c r="A276" s="169">
        <v>42405</v>
      </c>
      <c r="B276" s="116">
        <v>23.35</v>
      </c>
      <c r="C276" s="116">
        <v>22.725000000000001</v>
      </c>
      <c r="D276" s="116">
        <v>22.35</v>
      </c>
      <c r="E276" s="116">
        <v>22.5</v>
      </c>
      <c r="F276" s="116">
        <v>45.45</v>
      </c>
      <c r="G276">
        <v>117814</v>
      </c>
      <c r="H276" s="116"/>
      <c r="I276" s="116"/>
      <c r="L276" s="169">
        <v>42405</v>
      </c>
      <c r="M276" s="116">
        <v>22.625</v>
      </c>
      <c r="N276" s="116">
        <v>23.15</v>
      </c>
      <c r="O276" s="116">
        <v>22.25</v>
      </c>
      <c r="P276" s="116">
        <v>23</v>
      </c>
      <c r="Q276" s="116">
        <v>45.25</v>
      </c>
      <c r="R276">
        <v>457501</v>
      </c>
    </row>
    <row r="277" spans="1:18" x14ac:dyDescent="0.25">
      <c r="A277" s="169">
        <v>42408</v>
      </c>
      <c r="B277" s="116">
        <v>23.125</v>
      </c>
      <c r="C277" s="116">
        <v>22.2</v>
      </c>
      <c r="D277" s="116">
        <v>22.074999999999999</v>
      </c>
      <c r="E277" s="116">
        <v>22.75</v>
      </c>
      <c r="F277" s="116">
        <v>44.4</v>
      </c>
      <c r="G277">
        <v>104327</v>
      </c>
      <c r="H277" s="116"/>
      <c r="I277" s="116"/>
      <c r="L277" s="169">
        <v>42408</v>
      </c>
      <c r="M277" s="116">
        <v>22.175000000000001</v>
      </c>
      <c r="N277" s="116">
        <v>23.15</v>
      </c>
      <c r="O277" s="116">
        <v>22.05</v>
      </c>
      <c r="P277" s="116">
        <v>22.8</v>
      </c>
      <c r="Q277" s="116">
        <v>44.35</v>
      </c>
      <c r="R277">
        <v>438347</v>
      </c>
    </row>
    <row r="278" spans="1:18" x14ac:dyDescent="0.25">
      <c r="A278" s="169">
        <v>42409</v>
      </c>
      <c r="B278" s="116">
        <v>22.024999999999999</v>
      </c>
      <c r="C278" s="116">
        <v>21.4</v>
      </c>
      <c r="D278" s="116">
        <v>21.3</v>
      </c>
      <c r="E278" s="116">
        <v>22</v>
      </c>
      <c r="F278" s="116">
        <v>42.8</v>
      </c>
      <c r="G278">
        <v>90791</v>
      </c>
      <c r="H278" s="116"/>
      <c r="I278" s="116"/>
      <c r="L278" s="169">
        <v>42409</v>
      </c>
      <c r="M278" s="116">
        <v>21.4</v>
      </c>
      <c r="N278" s="116">
        <v>22.1</v>
      </c>
      <c r="O278" s="116">
        <v>21.3</v>
      </c>
      <c r="P278" s="116">
        <v>22.024999999999999</v>
      </c>
      <c r="Q278" s="116">
        <v>42.8</v>
      </c>
      <c r="R278">
        <v>439803</v>
      </c>
    </row>
    <row r="279" spans="1:18" x14ac:dyDescent="0.25">
      <c r="A279" s="169">
        <v>42410</v>
      </c>
      <c r="B279" s="116">
        <v>21.324999999999999</v>
      </c>
      <c r="C279" s="116">
        <v>20.574999999999999</v>
      </c>
      <c r="D279" s="116">
        <v>20.425000000000001</v>
      </c>
      <c r="E279" s="116">
        <v>21.3</v>
      </c>
      <c r="F279" s="116">
        <v>41.15</v>
      </c>
      <c r="G279">
        <v>118086</v>
      </c>
      <c r="H279" s="116"/>
      <c r="I279" s="116"/>
      <c r="L279" s="169">
        <v>42410</v>
      </c>
      <c r="M279" s="116">
        <v>20.55</v>
      </c>
      <c r="N279" s="116">
        <v>21.375</v>
      </c>
      <c r="O279" s="116">
        <v>20.375</v>
      </c>
      <c r="P279" s="116">
        <v>21.35</v>
      </c>
      <c r="Q279" s="116">
        <v>41.1</v>
      </c>
      <c r="R279">
        <v>420103</v>
      </c>
    </row>
    <row r="280" spans="1:18" x14ac:dyDescent="0.25">
      <c r="A280" s="169">
        <v>42411</v>
      </c>
      <c r="B280" s="116">
        <v>20.5</v>
      </c>
      <c r="C280" s="116">
        <v>19.225000000000001</v>
      </c>
      <c r="D280" s="116">
        <v>19.05</v>
      </c>
      <c r="E280" s="116">
        <v>20.5</v>
      </c>
      <c r="F280" s="116">
        <v>38.450000000000003</v>
      </c>
      <c r="G280">
        <v>146280</v>
      </c>
      <c r="H280" s="116"/>
      <c r="I280" s="116"/>
      <c r="L280" s="169">
        <v>42411</v>
      </c>
      <c r="M280" s="116">
        <v>19.2</v>
      </c>
      <c r="N280" s="116">
        <v>20.425000000000001</v>
      </c>
      <c r="O280" s="116">
        <v>19.024999999999999</v>
      </c>
      <c r="P280" s="116">
        <v>20.425000000000001</v>
      </c>
      <c r="Q280" s="116">
        <v>38.4</v>
      </c>
      <c r="R280">
        <v>541736</v>
      </c>
    </row>
    <row r="281" spans="1:18" x14ac:dyDescent="0.25">
      <c r="A281" s="169">
        <v>42412</v>
      </c>
      <c r="B281" s="116">
        <v>19.399999999999999</v>
      </c>
      <c r="C281" s="116">
        <v>18.324999999999999</v>
      </c>
      <c r="D281" s="116">
        <v>18.024999999999999</v>
      </c>
      <c r="E281" s="116">
        <v>19.350000000000001</v>
      </c>
      <c r="F281" s="116">
        <v>36.65</v>
      </c>
      <c r="G281">
        <v>118028</v>
      </c>
      <c r="H281" s="116"/>
      <c r="I281" s="116"/>
      <c r="L281" s="169">
        <v>42412</v>
      </c>
      <c r="M281" s="116">
        <v>18.324999999999999</v>
      </c>
      <c r="N281" s="116">
        <v>19.425000000000001</v>
      </c>
      <c r="O281" s="116">
        <v>18</v>
      </c>
      <c r="P281" s="116">
        <v>19.375</v>
      </c>
      <c r="Q281" s="116">
        <v>36.65</v>
      </c>
      <c r="R281">
        <v>524313</v>
      </c>
    </row>
    <row r="282" spans="1:18" x14ac:dyDescent="0.25">
      <c r="A282" s="169">
        <v>42415</v>
      </c>
      <c r="B282" s="116">
        <v>19.824999999999999</v>
      </c>
      <c r="C282" s="116">
        <v>19.399999999999999</v>
      </c>
      <c r="D282" s="116">
        <v>18.149999999999999</v>
      </c>
      <c r="E282" s="116">
        <v>18.8</v>
      </c>
      <c r="F282" s="116">
        <v>38.799999999999997</v>
      </c>
      <c r="G282">
        <v>138548</v>
      </c>
      <c r="H282" s="116"/>
      <c r="I282" s="116"/>
      <c r="L282" s="169">
        <v>42415</v>
      </c>
      <c r="M282" s="116">
        <v>19.425000000000001</v>
      </c>
      <c r="N282" s="116">
        <v>19.8</v>
      </c>
      <c r="O282" s="116">
        <v>18</v>
      </c>
      <c r="P282" s="116">
        <v>18.850000000000001</v>
      </c>
      <c r="Q282" s="116">
        <v>38.85</v>
      </c>
      <c r="R282">
        <v>376754</v>
      </c>
    </row>
    <row r="283" spans="1:18" x14ac:dyDescent="0.25">
      <c r="A283" s="169">
        <v>42416</v>
      </c>
      <c r="B283" s="116">
        <v>21.024999999999999</v>
      </c>
      <c r="C283" s="116">
        <v>19.8</v>
      </c>
      <c r="D283" s="116">
        <v>19.524999999999999</v>
      </c>
      <c r="E283" s="116">
        <v>19.899999999999999</v>
      </c>
      <c r="F283" s="116">
        <v>39.6</v>
      </c>
      <c r="G283">
        <v>190968</v>
      </c>
      <c r="H283" s="116"/>
      <c r="I283" s="116"/>
      <c r="L283" s="169">
        <v>42416</v>
      </c>
      <c r="M283" s="116">
        <v>19.875</v>
      </c>
      <c r="N283" s="116">
        <v>21</v>
      </c>
      <c r="O283" s="116">
        <v>19.149999999999999</v>
      </c>
      <c r="P283" s="116">
        <v>19.95</v>
      </c>
      <c r="Q283" s="116">
        <v>39.75</v>
      </c>
      <c r="R283">
        <v>474611</v>
      </c>
    </row>
    <row r="284" spans="1:18" x14ac:dyDescent="0.25">
      <c r="A284" s="169">
        <v>42417</v>
      </c>
      <c r="B284" s="116">
        <v>19.824999999999999</v>
      </c>
      <c r="C284" s="116">
        <v>19.574999999999999</v>
      </c>
      <c r="D284" s="116">
        <v>18.75</v>
      </c>
      <c r="E284" s="116">
        <v>19.824999999999999</v>
      </c>
      <c r="F284" s="116">
        <v>39.15</v>
      </c>
      <c r="G284">
        <v>96872</v>
      </c>
      <c r="H284" s="116"/>
      <c r="I284" s="116"/>
      <c r="L284" s="169">
        <v>42417</v>
      </c>
      <c r="M284" s="116">
        <v>19.524999999999999</v>
      </c>
      <c r="N284" s="116">
        <v>20</v>
      </c>
      <c r="O284" s="116">
        <v>18.725000000000001</v>
      </c>
      <c r="P284" s="116">
        <v>20</v>
      </c>
      <c r="Q284" s="116">
        <v>39.049999999999997</v>
      </c>
      <c r="R284">
        <v>256535</v>
      </c>
    </row>
    <row r="285" spans="1:18" x14ac:dyDescent="0.25">
      <c r="A285" s="169">
        <v>42418</v>
      </c>
      <c r="B285" s="116">
        <v>20.475000000000001</v>
      </c>
      <c r="C285" s="116">
        <v>20.175000000000001</v>
      </c>
      <c r="D285" s="116">
        <v>19.649999999999999</v>
      </c>
      <c r="E285" s="116">
        <v>19.975000000000001</v>
      </c>
      <c r="F285" s="116">
        <v>40.35</v>
      </c>
      <c r="G285">
        <v>126111</v>
      </c>
      <c r="H285" s="116"/>
      <c r="I285" s="116"/>
      <c r="L285" s="169">
        <v>42418</v>
      </c>
      <c r="M285" s="116">
        <v>20.175000000000001</v>
      </c>
      <c r="N285" s="116">
        <v>20.524999999999999</v>
      </c>
      <c r="O285" s="116">
        <v>19.7</v>
      </c>
      <c r="P285" s="116">
        <v>19.95</v>
      </c>
      <c r="Q285" s="116">
        <v>40.35</v>
      </c>
      <c r="R285">
        <v>237205</v>
      </c>
    </row>
    <row r="286" spans="1:18" x14ac:dyDescent="0.25">
      <c r="A286" s="169">
        <v>42419</v>
      </c>
      <c r="B286" s="116">
        <v>20.925000000000001</v>
      </c>
      <c r="C286" s="116">
        <v>20.65</v>
      </c>
      <c r="D286" s="116">
        <v>19.8</v>
      </c>
      <c r="E286" s="116">
        <v>20.074999999999999</v>
      </c>
      <c r="F286" s="116">
        <v>41.3</v>
      </c>
      <c r="G286">
        <v>87514</v>
      </c>
      <c r="H286" s="116"/>
      <c r="I286" s="116"/>
      <c r="L286" s="169">
        <v>42419</v>
      </c>
      <c r="M286" s="116">
        <v>20.7</v>
      </c>
      <c r="N286" s="116">
        <v>20.95</v>
      </c>
      <c r="O286" s="116">
        <v>19.850000000000001</v>
      </c>
      <c r="P286" s="116">
        <v>20.100000000000001</v>
      </c>
      <c r="Q286" s="116">
        <v>41.4</v>
      </c>
      <c r="R286">
        <v>293224</v>
      </c>
    </row>
    <row r="287" spans="1:18" x14ac:dyDescent="0.25">
      <c r="A287" s="169">
        <v>42422</v>
      </c>
      <c r="B287" s="116">
        <v>20.824999999999999</v>
      </c>
      <c r="C287" s="116">
        <v>20.399999999999999</v>
      </c>
      <c r="D287" s="116">
        <v>20.25</v>
      </c>
      <c r="E287" s="116">
        <v>20.625</v>
      </c>
      <c r="F287" s="116">
        <v>40.799999999999997</v>
      </c>
      <c r="G287">
        <v>56440</v>
      </c>
      <c r="H287" s="116"/>
      <c r="I287" s="116"/>
      <c r="L287" s="169">
        <v>42422</v>
      </c>
      <c r="M287" s="116">
        <v>20.425000000000001</v>
      </c>
      <c r="N287" s="116">
        <v>20.85</v>
      </c>
      <c r="O287" s="116">
        <v>20.175000000000001</v>
      </c>
      <c r="P287" s="116">
        <v>20.55</v>
      </c>
      <c r="Q287" s="116">
        <v>40.85</v>
      </c>
      <c r="R287">
        <v>174121</v>
      </c>
    </row>
    <row r="288" spans="1:18" x14ac:dyDescent="0.25">
      <c r="A288" s="169">
        <v>42423</v>
      </c>
      <c r="B288" s="116">
        <v>20.45</v>
      </c>
      <c r="C288" s="116">
        <v>19.824999999999999</v>
      </c>
      <c r="D288" s="116">
        <v>19.675000000000001</v>
      </c>
      <c r="E288" s="116">
        <v>20.350000000000001</v>
      </c>
      <c r="F288" s="116">
        <v>39.65</v>
      </c>
      <c r="G288">
        <v>52060</v>
      </c>
      <c r="H288" s="116"/>
      <c r="I288" s="116"/>
      <c r="L288" s="169">
        <v>42423</v>
      </c>
      <c r="M288" s="116">
        <v>19.850000000000001</v>
      </c>
      <c r="N288" s="116">
        <v>20.6</v>
      </c>
      <c r="O288" s="116">
        <v>19.649999999999999</v>
      </c>
      <c r="P288" s="116">
        <v>20.425000000000001</v>
      </c>
      <c r="Q288" s="116">
        <v>39.700000000000003</v>
      </c>
      <c r="R288">
        <v>213758</v>
      </c>
    </row>
    <row r="289" spans="1:18" x14ac:dyDescent="0.25">
      <c r="A289" s="169">
        <v>42424</v>
      </c>
      <c r="B289" s="116">
        <v>19.649999999999999</v>
      </c>
      <c r="C289" s="116">
        <v>19.2</v>
      </c>
      <c r="D289" s="116">
        <v>19.100000000000001</v>
      </c>
      <c r="E289" s="116">
        <v>19.649999999999999</v>
      </c>
      <c r="F289" s="116">
        <v>38.4</v>
      </c>
      <c r="G289">
        <v>83303</v>
      </c>
      <c r="H289" s="116"/>
      <c r="I289" s="116"/>
      <c r="L289" s="169">
        <v>42424</v>
      </c>
      <c r="M289" s="116">
        <v>19.225000000000001</v>
      </c>
      <c r="N289" s="116">
        <v>19.75</v>
      </c>
      <c r="O289" s="116">
        <v>19.125</v>
      </c>
      <c r="P289" s="116">
        <v>19.75</v>
      </c>
      <c r="Q289" s="116">
        <v>38.450000000000003</v>
      </c>
      <c r="R289">
        <v>202520</v>
      </c>
    </row>
    <row r="290" spans="1:18" x14ac:dyDescent="0.25">
      <c r="A290" s="169">
        <v>42425</v>
      </c>
      <c r="B290" s="116">
        <v>19.475000000000001</v>
      </c>
      <c r="C290" s="116">
        <v>18.824999999999999</v>
      </c>
      <c r="D290" s="116">
        <v>18.75</v>
      </c>
      <c r="E290" s="116">
        <v>19.425000000000001</v>
      </c>
      <c r="F290" s="116">
        <v>37.65</v>
      </c>
      <c r="G290">
        <v>59298</v>
      </c>
      <c r="H290" s="116"/>
      <c r="I290" s="116"/>
      <c r="L290" s="169">
        <v>42425</v>
      </c>
      <c r="M290" s="116">
        <v>18.875</v>
      </c>
      <c r="N290" s="116">
        <v>19.600000000000001</v>
      </c>
      <c r="O290" s="116">
        <v>18.75</v>
      </c>
      <c r="P290" s="116">
        <v>19.600000000000001</v>
      </c>
      <c r="Q290" s="116">
        <v>37.75</v>
      </c>
      <c r="R290">
        <v>172858</v>
      </c>
    </row>
    <row r="291" spans="1:18" x14ac:dyDescent="0.25">
      <c r="A291" s="169">
        <v>42426</v>
      </c>
      <c r="B291" s="116">
        <v>19.5</v>
      </c>
      <c r="C291" s="116">
        <v>18.274999999999999</v>
      </c>
      <c r="D291" s="116">
        <v>18.2</v>
      </c>
      <c r="E291" s="116">
        <v>19.5</v>
      </c>
      <c r="F291" s="116">
        <v>36.549999999999997</v>
      </c>
      <c r="G291">
        <v>94542</v>
      </c>
      <c r="H291" s="116"/>
      <c r="I291" s="116"/>
      <c r="L291" s="169">
        <v>42426</v>
      </c>
      <c r="M291" s="116">
        <v>18.324999999999999</v>
      </c>
      <c r="N291" s="116">
        <v>19.2</v>
      </c>
      <c r="O291" s="116">
        <v>18.25</v>
      </c>
      <c r="P291" s="116">
        <v>19.100000000000001</v>
      </c>
      <c r="Q291" s="116">
        <v>36.65</v>
      </c>
      <c r="R291">
        <v>290732</v>
      </c>
    </row>
    <row r="292" spans="1:18" x14ac:dyDescent="0.25">
      <c r="A292" s="169">
        <v>42429</v>
      </c>
      <c r="B292" s="116">
        <v>18.625</v>
      </c>
      <c r="C292" s="116">
        <v>17.925000000000001</v>
      </c>
      <c r="D292" s="116">
        <v>17.824999999999999</v>
      </c>
      <c r="E292" s="116">
        <v>18.350000000000001</v>
      </c>
      <c r="F292" s="116">
        <v>35.85</v>
      </c>
      <c r="G292">
        <v>141262</v>
      </c>
      <c r="H292" s="116"/>
      <c r="I292" s="116"/>
      <c r="L292" s="169">
        <v>42429</v>
      </c>
      <c r="M292" s="116">
        <v>17.975000000000001</v>
      </c>
      <c r="N292" s="116">
        <v>18.725000000000001</v>
      </c>
      <c r="O292" s="116">
        <v>17.824999999999999</v>
      </c>
      <c r="P292" s="116">
        <v>18.350000000000001</v>
      </c>
      <c r="Q292" s="116">
        <v>35.950000000000003</v>
      </c>
      <c r="R292">
        <v>304785</v>
      </c>
    </row>
    <row r="293" spans="1:18" x14ac:dyDescent="0.25">
      <c r="A293" s="169">
        <v>42430</v>
      </c>
      <c r="B293" s="116">
        <v>19.375</v>
      </c>
      <c r="C293" s="116">
        <v>19.274999999999999</v>
      </c>
      <c r="D293" s="116">
        <v>18.100000000000001</v>
      </c>
      <c r="E293" s="116">
        <v>18.100000000000001</v>
      </c>
      <c r="F293" s="116">
        <v>38.549999999999997</v>
      </c>
      <c r="G293">
        <v>91083</v>
      </c>
      <c r="H293" s="116"/>
      <c r="I293" s="116"/>
      <c r="L293" s="169">
        <v>42430</v>
      </c>
      <c r="M293" s="116">
        <v>19.3</v>
      </c>
      <c r="N293" s="116">
        <v>19.5</v>
      </c>
      <c r="O293" s="116">
        <v>18.05</v>
      </c>
      <c r="P293" s="116">
        <v>18.05</v>
      </c>
      <c r="Q293" s="116">
        <v>38.6</v>
      </c>
      <c r="R293">
        <v>334378</v>
      </c>
    </row>
    <row r="294" spans="1:18" x14ac:dyDescent="0.25">
      <c r="A294" s="169">
        <v>42431</v>
      </c>
      <c r="B294" s="116">
        <v>20.100000000000001</v>
      </c>
      <c r="C294" s="116">
        <v>19.850000000000001</v>
      </c>
      <c r="D294" s="116">
        <v>19.649999999999999</v>
      </c>
      <c r="E294" s="116">
        <v>19.649999999999999</v>
      </c>
      <c r="F294" s="116">
        <v>39.700000000000003</v>
      </c>
      <c r="G294">
        <v>113408</v>
      </c>
      <c r="H294" s="116"/>
      <c r="I294" s="116"/>
      <c r="L294" s="169">
        <v>42431</v>
      </c>
      <c r="M294" s="116">
        <v>19.850000000000001</v>
      </c>
      <c r="N294" s="116">
        <v>20.100000000000001</v>
      </c>
      <c r="O294" s="116">
        <v>19.5</v>
      </c>
      <c r="P294" s="116">
        <v>19.5</v>
      </c>
      <c r="Q294" s="116">
        <v>39.700000000000003</v>
      </c>
      <c r="R294">
        <v>363611</v>
      </c>
    </row>
    <row r="295" spans="1:18" x14ac:dyDescent="0.25">
      <c r="A295" s="169">
        <v>42432</v>
      </c>
      <c r="B295" s="116">
        <v>21.45</v>
      </c>
      <c r="C295" s="116">
        <v>21.3</v>
      </c>
      <c r="D295" s="116">
        <v>19.95</v>
      </c>
      <c r="E295" s="116">
        <v>20.05</v>
      </c>
      <c r="F295" s="116">
        <v>42.6</v>
      </c>
      <c r="G295">
        <v>289804</v>
      </c>
      <c r="H295" s="116"/>
      <c r="I295" s="116"/>
      <c r="L295" s="169">
        <v>42432</v>
      </c>
      <c r="M295" s="116">
        <v>21.324999999999999</v>
      </c>
      <c r="N295" s="116">
        <v>21.45</v>
      </c>
      <c r="O295" s="116">
        <v>19.899999999999999</v>
      </c>
      <c r="P295" s="116">
        <v>20</v>
      </c>
      <c r="Q295" s="116">
        <v>42.65</v>
      </c>
      <c r="R295">
        <v>763758</v>
      </c>
    </row>
    <row r="296" spans="1:18" x14ac:dyDescent="0.25">
      <c r="A296" s="169">
        <v>42433</v>
      </c>
      <c r="B296" s="116">
        <v>21.75</v>
      </c>
      <c r="C296" s="116">
        <v>21.1</v>
      </c>
      <c r="D296" s="116">
        <v>20.875</v>
      </c>
      <c r="E296" s="116">
        <v>21.425000000000001</v>
      </c>
      <c r="F296" s="116">
        <v>42.2</v>
      </c>
      <c r="G296">
        <v>130872</v>
      </c>
      <c r="H296" s="116"/>
      <c r="I296" s="116"/>
      <c r="L296" s="169">
        <v>42433</v>
      </c>
      <c r="M296" s="116">
        <v>21.05</v>
      </c>
      <c r="N296" s="116">
        <v>21.7</v>
      </c>
      <c r="O296" s="116">
        <v>20.875</v>
      </c>
      <c r="P296" s="116">
        <v>21.45</v>
      </c>
      <c r="Q296" s="116">
        <v>42.1</v>
      </c>
      <c r="R296">
        <v>503316</v>
      </c>
    </row>
    <row r="297" spans="1:18" x14ac:dyDescent="0.25">
      <c r="A297" s="169">
        <v>42437</v>
      </c>
      <c r="B297" s="116">
        <v>22.25</v>
      </c>
      <c r="C297" s="116">
        <v>21.725000000000001</v>
      </c>
      <c r="D297" s="116">
        <v>21.074999999999999</v>
      </c>
      <c r="E297" s="116">
        <v>21.074999999999999</v>
      </c>
      <c r="F297" s="116">
        <v>43.45</v>
      </c>
      <c r="G297">
        <v>256275</v>
      </c>
      <c r="H297" s="116"/>
      <c r="I297" s="116"/>
      <c r="L297" s="169">
        <v>42437</v>
      </c>
      <c r="M297" s="116">
        <v>21.8</v>
      </c>
      <c r="N297" s="116">
        <v>22.25</v>
      </c>
      <c r="O297" s="116">
        <v>21.024999999999999</v>
      </c>
      <c r="P297" s="116">
        <v>21.024999999999999</v>
      </c>
      <c r="Q297" s="116">
        <v>43.6</v>
      </c>
      <c r="R297">
        <v>714264</v>
      </c>
    </row>
    <row r="298" spans="1:18" x14ac:dyDescent="0.25">
      <c r="A298" s="169">
        <v>42438</v>
      </c>
      <c r="B298" s="116">
        <v>21.675000000000001</v>
      </c>
      <c r="C298" s="116">
        <v>21.425000000000001</v>
      </c>
      <c r="D298" s="116">
        <v>21.074999999999999</v>
      </c>
      <c r="E298" s="116">
        <v>21.475000000000001</v>
      </c>
      <c r="F298" s="116">
        <v>42.85</v>
      </c>
      <c r="G298">
        <v>137864</v>
      </c>
      <c r="H298" s="116"/>
      <c r="I298" s="116"/>
      <c r="L298" s="169">
        <v>42438</v>
      </c>
      <c r="M298" s="116">
        <v>21.45</v>
      </c>
      <c r="N298" s="116">
        <v>21.6</v>
      </c>
      <c r="O298" s="116">
        <v>21.024999999999999</v>
      </c>
      <c r="P298" s="116">
        <v>21.5</v>
      </c>
      <c r="Q298" s="116">
        <v>42.9</v>
      </c>
      <c r="R298">
        <v>341768</v>
      </c>
    </row>
    <row r="299" spans="1:18" x14ac:dyDescent="0.25">
      <c r="A299" s="169">
        <v>42439</v>
      </c>
      <c r="B299" s="116">
        <v>22.2</v>
      </c>
      <c r="C299" s="116">
        <v>21.675000000000001</v>
      </c>
      <c r="D299" s="116">
        <v>21.45</v>
      </c>
      <c r="E299" s="116">
        <v>21.475000000000001</v>
      </c>
      <c r="F299" s="116">
        <v>43.35</v>
      </c>
      <c r="G299">
        <v>307642</v>
      </c>
      <c r="H299" s="116"/>
      <c r="I299" s="116"/>
      <c r="L299" s="169">
        <v>42439</v>
      </c>
      <c r="M299" s="116">
        <v>21.7</v>
      </c>
      <c r="N299" s="116">
        <v>22.15</v>
      </c>
      <c r="O299" s="116">
        <v>21.4</v>
      </c>
      <c r="P299" s="116">
        <v>21.4</v>
      </c>
      <c r="Q299" s="116">
        <v>43.4</v>
      </c>
      <c r="R299">
        <v>375456</v>
      </c>
    </row>
    <row r="300" spans="1:18" x14ac:dyDescent="0.25">
      <c r="A300" s="169">
        <v>42440</v>
      </c>
      <c r="B300" s="116">
        <v>21.8</v>
      </c>
      <c r="C300" s="116">
        <v>21</v>
      </c>
      <c r="D300" s="116">
        <v>20.8</v>
      </c>
      <c r="E300" s="116">
        <v>21.774999999999999</v>
      </c>
      <c r="F300" s="116">
        <v>42</v>
      </c>
      <c r="G300">
        <v>140196</v>
      </c>
      <c r="H300" s="116"/>
      <c r="I300" s="116"/>
      <c r="L300" s="169">
        <v>42440</v>
      </c>
      <c r="M300" s="116">
        <v>20.975000000000001</v>
      </c>
      <c r="N300" s="116">
        <v>21.8</v>
      </c>
      <c r="O300" s="116">
        <v>20.8</v>
      </c>
      <c r="P300" s="116">
        <v>21.524999999999999</v>
      </c>
      <c r="Q300" s="116">
        <v>41.95</v>
      </c>
      <c r="R300">
        <v>258325</v>
      </c>
    </row>
    <row r="301" spans="1:18" x14ac:dyDescent="0.25">
      <c r="A301" s="169">
        <v>42443</v>
      </c>
      <c r="B301" s="116">
        <v>21.7</v>
      </c>
      <c r="C301" s="116">
        <v>20.875</v>
      </c>
      <c r="D301" s="116">
        <v>20.75</v>
      </c>
      <c r="E301" s="116">
        <v>21.375</v>
      </c>
      <c r="F301" s="116">
        <v>41.75</v>
      </c>
      <c r="G301">
        <v>292595</v>
      </c>
      <c r="H301" s="116"/>
      <c r="I301" s="116"/>
      <c r="L301" s="169">
        <v>42443</v>
      </c>
      <c r="M301" s="116">
        <v>20.9</v>
      </c>
      <c r="N301" s="116">
        <v>21.7</v>
      </c>
      <c r="O301" s="116">
        <v>20.7</v>
      </c>
      <c r="P301" s="116">
        <v>21.25</v>
      </c>
      <c r="Q301" s="116">
        <v>41.8</v>
      </c>
      <c r="R301">
        <v>234024</v>
      </c>
    </row>
    <row r="302" spans="1:18" x14ac:dyDescent="0.25">
      <c r="A302" s="169">
        <v>42444</v>
      </c>
      <c r="B302" s="116">
        <v>20.875</v>
      </c>
      <c r="C302" s="116">
        <v>20.149999999999999</v>
      </c>
      <c r="D302" s="116">
        <v>20</v>
      </c>
      <c r="E302" s="116">
        <v>20.85</v>
      </c>
      <c r="F302" s="116">
        <v>40.299999999999997</v>
      </c>
      <c r="G302">
        <v>100288</v>
      </c>
      <c r="H302" s="116"/>
      <c r="I302" s="116"/>
      <c r="L302" s="169">
        <v>42444</v>
      </c>
      <c r="M302" s="116">
        <v>20.100000000000001</v>
      </c>
      <c r="N302" s="116">
        <v>20.95</v>
      </c>
      <c r="O302" s="116">
        <v>19.95</v>
      </c>
      <c r="P302" s="116">
        <v>20.8</v>
      </c>
      <c r="Q302" s="116">
        <v>40.200000000000003</v>
      </c>
      <c r="R302">
        <v>408295</v>
      </c>
    </row>
    <row r="303" spans="1:18" x14ac:dyDescent="0.25">
      <c r="A303" s="169">
        <v>42445</v>
      </c>
      <c r="B303" s="116">
        <v>20.350000000000001</v>
      </c>
      <c r="C303" s="116">
        <v>19.975000000000001</v>
      </c>
      <c r="D303" s="116">
        <v>19.625</v>
      </c>
      <c r="E303" s="116">
        <v>20.024999999999999</v>
      </c>
      <c r="F303" s="116">
        <v>39.950000000000003</v>
      </c>
      <c r="G303">
        <v>94706</v>
      </c>
      <c r="H303" s="116"/>
      <c r="I303" s="116"/>
      <c r="L303" s="169">
        <v>42445</v>
      </c>
      <c r="M303" s="116">
        <v>19.975000000000001</v>
      </c>
      <c r="N303" s="116">
        <v>20.45</v>
      </c>
      <c r="O303" s="116">
        <v>19.600000000000001</v>
      </c>
      <c r="P303" s="116">
        <v>20.45</v>
      </c>
      <c r="Q303" s="116">
        <v>39.950000000000003</v>
      </c>
      <c r="R303">
        <v>356368</v>
      </c>
    </row>
    <row r="304" spans="1:18" x14ac:dyDescent="0.25">
      <c r="A304" s="169">
        <v>42446</v>
      </c>
      <c r="B304" s="116">
        <v>20.8</v>
      </c>
      <c r="C304" s="116">
        <v>20</v>
      </c>
      <c r="D304" s="116">
        <v>19.850000000000001</v>
      </c>
      <c r="E304" s="116">
        <v>20.8</v>
      </c>
      <c r="F304" s="116">
        <v>40</v>
      </c>
      <c r="G304">
        <v>101692</v>
      </c>
      <c r="H304" s="116"/>
      <c r="I304" s="116"/>
      <c r="L304" s="169">
        <v>42446</v>
      </c>
      <c r="M304" s="116">
        <v>19.95</v>
      </c>
      <c r="N304" s="116">
        <v>20.5</v>
      </c>
      <c r="O304" s="116">
        <v>19.899999999999999</v>
      </c>
      <c r="P304" s="116">
        <v>20.25</v>
      </c>
      <c r="Q304" s="116">
        <v>39.9</v>
      </c>
      <c r="R304">
        <v>463907</v>
      </c>
    </row>
    <row r="305" spans="1:18" x14ac:dyDescent="0.25">
      <c r="A305" s="169">
        <v>42447</v>
      </c>
      <c r="B305" s="116">
        <v>20.3</v>
      </c>
      <c r="C305" s="116">
        <v>19.55</v>
      </c>
      <c r="D305" s="116">
        <v>19.125</v>
      </c>
      <c r="E305" s="116">
        <v>20.225000000000001</v>
      </c>
      <c r="F305" s="116">
        <v>39.1</v>
      </c>
      <c r="G305">
        <v>178965</v>
      </c>
      <c r="H305" s="116"/>
      <c r="I305" s="116"/>
      <c r="L305" s="169">
        <v>42447</v>
      </c>
      <c r="M305" s="116">
        <v>19.5</v>
      </c>
      <c r="N305" s="116">
        <v>20.225000000000001</v>
      </c>
      <c r="O305" s="116">
        <v>19.05</v>
      </c>
      <c r="P305" s="116">
        <v>20.05</v>
      </c>
      <c r="Q305" s="116">
        <v>39</v>
      </c>
      <c r="R305">
        <v>664427</v>
      </c>
    </row>
    <row r="306" spans="1:18" x14ac:dyDescent="0.25">
      <c r="A306" s="169">
        <v>42450</v>
      </c>
      <c r="B306" s="116">
        <v>19.8</v>
      </c>
      <c r="C306" s="116">
        <v>19.649999999999999</v>
      </c>
      <c r="D306" s="116">
        <v>19.05</v>
      </c>
      <c r="E306" s="116">
        <v>19.05</v>
      </c>
      <c r="F306" s="116">
        <v>39.299999999999997</v>
      </c>
      <c r="G306">
        <v>84062</v>
      </c>
      <c r="H306" s="116"/>
      <c r="I306" s="116"/>
      <c r="L306" s="169">
        <v>42450</v>
      </c>
      <c r="M306" s="116">
        <v>19.675000000000001</v>
      </c>
      <c r="N306" s="116">
        <v>19.824999999999999</v>
      </c>
      <c r="O306" s="116">
        <v>19.55</v>
      </c>
      <c r="P306" s="116">
        <v>19.675000000000001</v>
      </c>
      <c r="Q306" s="116">
        <v>39.35</v>
      </c>
      <c r="R306">
        <v>295150</v>
      </c>
    </row>
    <row r="307" spans="1:18" x14ac:dyDescent="0.25">
      <c r="A307" s="169">
        <v>42451</v>
      </c>
      <c r="B307" s="116">
        <v>20.25</v>
      </c>
      <c r="C307" s="116">
        <v>19.649999999999999</v>
      </c>
      <c r="D307" s="116">
        <v>19.425000000000001</v>
      </c>
      <c r="E307" s="116">
        <v>19.8</v>
      </c>
      <c r="F307" s="116">
        <v>39.299999999999997</v>
      </c>
      <c r="G307">
        <v>179676</v>
      </c>
      <c r="H307" s="116"/>
      <c r="I307" s="116"/>
      <c r="L307" s="169">
        <v>42451</v>
      </c>
      <c r="M307" s="116">
        <v>19.649999999999999</v>
      </c>
      <c r="N307" s="116">
        <v>20.2</v>
      </c>
      <c r="O307" s="116">
        <v>19.399999999999999</v>
      </c>
      <c r="P307" s="116">
        <v>19.675000000000001</v>
      </c>
      <c r="Q307" s="116">
        <v>39.299999999999997</v>
      </c>
      <c r="R307">
        <v>510751</v>
      </c>
    </row>
    <row r="308" spans="1:18" x14ac:dyDescent="0.25">
      <c r="A308" s="169">
        <v>42452</v>
      </c>
      <c r="B308" s="116">
        <v>20.2</v>
      </c>
      <c r="C308" s="116">
        <v>19.95</v>
      </c>
      <c r="D308" s="116">
        <v>19.574999999999999</v>
      </c>
      <c r="E308" s="116">
        <v>19.774999999999999</v>
      </c>
      <c r="F308" s="116">
        <v>39.9</v>
      </c>
      <c r="G308">
        <v>758033</v>
      </c>
      <c r="H308" s="116"/>
      <c r="I308" s="116"/>
      <c r="L308" s="169">
        <v>42452</v>
      </c>
      <c r="M308" s="116">
        <v>19.975000000000001</v>
      </c>
      <c r="N308" s="116">
        <v>20.175000000000001</v>
      </c>
      <c r="O308" s="116">
        <v>19.524999999999999</v>
      </c>
      <c r="P308" s="116">
        <v>19.725000000000001</v>
      </c>
      <c r="Q308" s="116">
        <v>39.950000000000003</v>
      </c>
      <c r="R308">
        <v>539912</v>
      </c>
    </row>
    <row r="309" spans="1:18" x14ac:dyDescent="0.25">
      <c r="A309" s="169">
        <v>42457</v>
      </c>
      <c r="B309" s="116">
        <v>20.3</v>
      </c>
      <c r="C309" s="116">
        <v>18.925000000000001</v>
      </c>
      <c r="D309" s="116">
        <v>18.75</v>
      </c>
      <c r="E309" s="116">
        <v>20.3</v>
      </c>
      <c r="F309" s="116">
        <v>37.85</v>
      </c>
      <c r="G309">
        <v>264902</v>
      </c>
      <c r="H309" s="116"/>
      <c r="I309" s="116"/>
      <c r="L309" s="169">
        <v>42457</v>
      </c>
      <c r="M309" s="116">
        <v>18.899999999999999</v>
      </c>
      <c r="N309" s="116">
        <v>20.175000000000001</v>
      </c>
      <c r="O309" s="116">
        <v>18.7</v>
      </c>
      <c r="P309" s="116">
        <v>19.975000000000001</v>
      </c>
      <c r="Q309" s="116">
        <v>37.799999999999997</v>
      </c>
      <c r="R309">
        <v>424627</v>
      </c>
    </row>
    <row r="310" spans="1:18" x14ac:dyDescent="0.25">
      <c r="A310" s="169">
        <v>42458</v>
      </c>
      <c r="B310" s="116">
        <v>19.5</v>
      </c>
      <c r="C310" s="116">
        <v>18.7</v>
      </c>
      <c r="D310" s="116">
        <v>18.475000000000001</v>
      </c>
      <c r="E310" s="116">
        <v>19.5</v>
      </c>
      <c r="F310" s="116">
        <v>37.4</v>
      </c>
      <c r="G310">
        <v>176499</v>
      </c>
      <c r="H310" s="116"/>
      <c r="I310" s="116"/>
      <c r="L310" s="169">
        <v>42458</v>
      </c>
      <c r="M310" s="116">
        <v>18.774999999999999</v>
      </c>
      <c r="N310" s="116">
        <v>19.225000000000001</v>
      </c>
      <c r="O310" s="116">
        <v>18.5</v>
      </c>
      <c r="P310" s="116">
        <v>19.024999999999999</v>
      </c>
      <c r="Q310" s="116">
        <v>37.549999999999997</v>
      </c>
      <c r="R310">
        <v>729336</v>
      </c>
    </row>
    <row r="311" spans="1:18" x14ac:dyDescent="0.25">
      <c r="A311" s="169">
        <v>42459</v>
      </c>
      <c r="B311" s="116">
        <v>19.975000000000001</v>
      </c>
      <c r="C311" s="116">
        <v>19.324999999999999</v>
      </c>
      <c r="D311" s="116">
        <v>18.95</v>
      </c>
      <c r="E311" s="116">
        <v>18.95</v>
      </c>
      <c r="F311" s="116">
        <v>38.65</v>
      </c>
      <c r="G311">
        <v>80819</v>
      </c>
      <c r="H311" s="116"/>
      <c r="I311" s="116"/>
      <c r="L311" s="169">
        <v>42459</v>
      </c>
      <c r="M311" s="116">
        <v>19.324999999999999</v>
      </c>
      <c r="N311" s="116">
        <v>20.05</v>
      </c>
      <c r="O311" s="116">
        <v>19</v>
      </c>
      <c r="P311" s="116">
        <v>19.25</v>
      </c>
      <c r="Q311" s="116">
        <v>38.65</v>
      </c>
      <c r="R311">
        <v>519694</v>
      </c>
    </row>
    <row r="312" spans="1:18" x14ac:dyDescent="0.25">
      <c r="A312" s="169">
        <v>42460</v>
      </c>
      <c r="B312" s="116">
        <v>19.7</v>
      </c>
      <c r="C312" s="116">
        <v>19.274999999999999</v>
      </c>
      <c r="D312" s="116">
        <v>19.125</v>
      </c>
      <c r="E312" s="116">
        <v>19.350000000000001</v>
      </c>
      <c r="F312" s="116">
        <v>38.549999999999997</v>
      </c>
      <c r="G312">
        <v>75637</v>
      </c>
      <c r="H312" s="116"/>
      <c r="I312" s="116"/>
      <c r="L312" s="169">
        <v>42460</v>
      </c>
      <c r="M312" s="116">
        <v>19.350000000000001</v>
      </c>
      <c r="N312" s="116">
        <v>19.7</v>
      </c>
      <c r="O312" s="116">
        <v>19.2</v>
      </c>
      <c r="P312" s="116">
        <v>19.324999999999999</v>
      </c>
      <c r="Q312" s="116">
        <v>38.700000000000003</v>
      </c>
      <c r="R312">
        <v>352402</v>
      </c>
    </row>
    <row r="313" spans="1:18" x14ac:dyDescent="0.25">
      <c r="A313" s="169">
        <v>42461</v>
      </c>
      <c r="B313" s="116">
        <v>21.1</v>
      </c>
      <c r="C313" s="116">
        <v>20.774999999999999</v>
      </c>
      <c r="D313" s="116">
        <v>19.25</v>
      </c>
      <c r="E313" s="116">
        <v>19.25</v>
      </c>
      <c r="F313" s="116">
        <v>41.55</v>
      </c>
      <c r="G313">
        <v>432520</v>
      </c>
      <c r="H313" s="116"/>
      <c r="I313" s="116"/>
      <c r="L313" s="169">
        <v>42461</v>
      </c>
      <c r="M313" s="116">
        <v>20.675000000000001</v>
      </c>
      <c r="N313" s="116">
        <v>21.074999999999999</v>
      </c>
      <c r="O313" s="116">
        <v>19.125</v>
      </c>
      <c r="P313" s="116">
        <v>19.399999999999999</v>
      </c>
      <c r="Q313" s="116">
        <v>41.35</v>
      </c>
      <c r="R313">
        <v>1306529</v>
      </c>
    </row>
    <row r="314" spans="1:18" x14ac:dyDescent="0.25">
      <c r="A314" s="169">
        <v>42464</v>
      </c>
      <c r="B314" s="116">
        <v>21.5</v>
      </c>
      <c r="C314" s="116">
        <v>21.324999999999999</v>
      </c>
      <c r="D314" s="116">
        <v>20.75</v>
      </c>
      <c r="E314" s="116">
        <v>20.875</v>
      </c>
      <c r="F314" s="116">
        <v>42.65</v>
      </c>
      <c r="G314">
        <v>192374</v>
      </c>
      <c r="H314" s="116"/>
      <c r="I314" s="116"/>
      <c r="L314" s="169">
        <v>42464</v>
      </c>
      <c r="M314" s="116">
        <v>21.274999999999999</v>
      </c>
      <c r="N314" s="116">
        <v>21.425000000000001</v>
      </c>
      <c r="O314" s="116">
        <v>20.675000000000001</v>
      </c>
      <c r="P314" s="116">
        <v>20.9</v>
      </c>
      <c r="Q314" s="116">
        <v>42.55</v>
      </c>
      <c r="R314">
        <v>641341</v>
      </c>
    </row>
    <row r="315" spans="1:18" x14ac:dyDescent="0.25">
      <c r="A315" s="169">
        <v>42465</v>
      </c>
      <c r="B315" s="116">
        <v>21.45</v>
      </c>
      <c r="C315" s="116">
        <v>20.425000000000001</v>
      </c>
      <c r="D315" s="116">
        <v>20.25</v>
      </c>
      <c r="E315" s="116">
        <v>21</v>
      </c>
      <c r="F315" s="116">
        <v>40.85</v>
      </c>
      <c r="G315">
        <v>176730</v>
      </c>
      <c r="H315" s="116"/>
      <c r="I315" s="116"/>
      <c r="L315" s="169">
        <v>42465</v>
      </c>
      <c r="M315" s="116">
        <v>20.350000000000001</v>
      </c>
      <c r="N315" s="116">
        <v>21.425000000000001</v>
      </c>
      <c r="O315" s="116">
        <v>20.2</v>
      </c>
      <c r="P315" s="116">
        <v>21.2</v>
      </c>
      <c r="Q315" s="116">
        <v>40.700000000000003</v>
      </c>
      <c r="R315">
        <v>496738</v>
      </c>
    </row>
    <row r="316" spans="1:18" x14ac:dyDescent="0.25">
      <c r="A316" s="169">
        <v>42466</v>
      </c>
      <c r="B316" s="116">
        <v>20.65</v>
      </c>
      <c r="C316" s="116">
        <v>20.324999999999999</v>
      </c>
      <c r="D316" s="116">
        <v>19.95</v>
      </c>
      <c r="E316" s="116">
        <v>20.524999999999999</v>
      </c>
      <c r="F316" s="116">
        <v>40.65</v>
      </c>
      <c r="G316">
        <v>118283</v>
      </c>
      <c r="H316" s="116"/>
      <c r="I316" s="116"/>
      <c r="L316" s="169">
        <v>42466</v>
      </c>
      <c r="M316" s="116">
        <v>20.324999999999999</v>
      </c>
      <c r="N316" s="116">
        <v>20.65</v>
      </c>
      <c r="O316" s="116">
        <v>19.925000000000001</v>
      </c>
      <c r="P316" s="116">
        <v>20.55</v>
      </c>
      <c r="Q316" s="116">
        <v>40.65</v>
      </c>
      <c r="R316">
        <v>411267</v>
      </c>
    </row>
    <row r="317" spans="1:18" x14ac:dyDescent="0.25">
      <c r="A317" s="169">
        <v>42467</v>
      </c>
      <c r="B317" s="116">
        <v>20.55</v>
      </c>
      <c r="C317" s="116">
        <v>20.175000000000001</v>
      </c>
      <c r="D317" s="116">
        <v>20.074999999999999</v>
      </c>
      <c r="E317" s="116">
        <v>20.375</v>
      </c>
      <c r="F317" s="116">
        <v>40.35</v>
      </c>
      <c r="G317">
        <v>109462</v>
      </c>
      <c r="H317" s="116"/>
      <c r="I317" s="116"/>
      <c r="L317" s="169">
        <v>42467</v>
      </c>
      <c r="M317" s="116">
        <v>20.175000000000001</v>
      </c>
      <c r="N317" s="116">
        <v>20.55</v>
      </c>
      <c r="O317" s="116">
        <v>20.074999999999999</v>
      </c>
      <c r="P317" s="116">
        <v>20.475000000000001</v>
      </c>
      <c r="Q317" s="116">
        <v>40.35</v>
      </c>
      <c r="R317">
        <v>353381</v>
      </c>
    </row>
    <row r="318" spans="1:18" x14ac:dyDescent="0.25">
      <c r="A318" s="169">
        <v>42468</v>
      </c>
      <c r="B318" s="116">
        <v>21.175000000000001</v>
      </c>
      <c r="C318" s="116">
        <v>20.85</v>
      </c>
      <c r="D318" s="116">
        <v>20</v>
      </c>
      <c r="E318" s="116">
        <v>20.05</v>
      </c>
      <c r="F318" s="116">
        <v>41.7</v>
      </c>
      <c r="G318">
        <v>236846</v>
      </c>
      <c r="H318" s="116"/>
      <c r="I318" s="116"/>
      <c r="L318" s="169">
        <v>42468</v>
      </c>
      <c r="M318" s="116">
        <v>20.85</v>
      </c>
      <c r="N318" s="116">
        <v>21.2</v>
      </c>
      <c r="O318" s="116">
        <v>20</v>
      </c>
      <c r="P318" s="116">
        <v>20.175000000000001</v>
      </c>
      <c r="Q318" s="116">
        <v>41.7</v>
      </c>
      <c r="R318">
        <v>992149</v>
      </c>
    </row>
    <row r="319" spans="1:18" x14ac:dyDescent="0.25">
      <c r="A319" s="169">
        <v>42471</v>
      </c>
      <c r="B319" s="116">
        <v>21.75</v>
      </c>
      <c r="C319" s="116">
        <v>21.25</v>
      </c>
      <c r="D319" s="116">
        <v>21.15</v>
      </c>
      <c r="E319" s="116">
        <v>21.5</v>
      </c>
      <c r="F319" s="116">
        <v>42.5</v>
      </c>
      <c r="G319">
        <v>344408</v>
      </c>
      <c r="H319" s="116"/>
      <c r="I319" s="116"/>
      <c r="L319" s="169">
        <v>42471</v>
      </c>
      <c r="M319" s="116">
        <v>21.175000000000001</v>
      </c>
      <c r="N319" s="116">
        <v>21.75</v>
      </c>
      <c r="O319" s="116">
        <v>21.024999999999999</v>
      </c>
      <c r="P319" s="116">
        <v>21.324999999999999</v>
      </c>
      <c r="Q319" s="116">
        <v>42.35</v>
      </c>
      <c r="R319">
        <v>1209681</v>
      </c>
    </row>
    <row r="320" spans="1:18" x14ac:dyDescent="0.25">
      <c r="A320" s="169">
        <v>42472</v>
      </c>
      <c r="B320" s="116">
        <v>21.4</v>
      </c>
      <c r="C320" s="116">
        <v>20.975000000000001</v>
      </c>
      <c r="D320" s="116">
        <v>20.875</v>
      </c>
      <c r="E320" s="116">
        <v>21.4</v>
      </c>
      <c r="F320" s="116">
        <v>41.95</v>
      </c>
      <c r="G320">
        <v>91355</v>
      </c>
      <c r="H320" s="116"/>
      <c r="I320" s="116"/>
      <c r="L320" s="169">
        <v>42472</v>
      </c>
      <c r="M320" s="116">
        <v>20.95</v>
      </c>
      <c r="N320" s="116">
        <v>21.35</v>
      </c>
      <c r="O320" s="116">
        <v>20.85</v>
      </c>
      <c r="P320" s="116">
        <v>21.175000000000001</v>
      </c>
      <c r="Q320" s="116">
        <v>41.9</v>
      </c>
      <c r="R320">
        <v>507821</v>
      </c>
    </row>
    <row r="321" spans="1:18" x14ac:dyDescent="0.25">
      <c r="A321" s="169">
        <v>42473</v>
      </c>
      <c r="B321" s="116">
        <v>22.2</v>
      </c>
      <c r="C321" s="116">
        <v>21.274999999999999</v>
      </c>
      <c r="D321" s="116">
        <v>21.074999999999999</v>
      </c>
      <c r="E321" s="116">
        <v>21.35</v>
      </c>
      <c r="F321" s="116">
        <v>42.55</v>
      </c>
      <c r="G321">
        <v>495552</v>
      </c>
      <c r="H321" s="116"/>
      <c r="I321" s="116"/>
      <c r="L321" s="169">
        <v>42473</v>
      </c>
      <c r="M321" s="116">
        <v>21.274999999999999</v>
      </c>
      <c r="N321" s="116">
        <v>22.225000000000001</v>
      </c>
      <c r="O321" s="116">
        <v>21</v>
      </c>
      <c r="P321" s="116">
        <v>21.125</v>
      </c>
      <c r="Q321" s="116">
        <v>42.55</v>
      </c>
      <c r="R321">
        <v>1631187</v>
      </c>
    </row>
    <row r="322" spans="1:18" x14ac:dyDescent="0.25">
      <c r="A322" s="169">
        <v>42478</v>
      </c>
      <c r="B322" s="116">
        <v>21.875</v>
      </c>
      <c r="C322" s="116">
        <v>21.425000000000001</v>
      </c>
      <c r="D322" s="116">
        <v>21.15</v>
      </c>
      <c r="E322" s="116">
        <v>21.475000000000001</v>
      </c>
      <c r="F322" s="116">
        <v>42.85</v>
      </c>
      <c r="G322">
        <v>165638</v>
      </c>
      <c r="H322" s="116"/>
      <c r="I322" s="116"/>
      <c r="L322" s="169">
        <v>42478</v>
      </c>
      <c r="M322" s="116">
        <v>21.475000000000001</v>
      </c>
      <c r="N322" s="116">
        <v>21.875</v>
      </c>
      <c r="O322" s="116">
        <v>21.05</v>
      </c>
      <c r="P322" s="116">
        <v>21.5</v>
      </c>
      <c r="Q322" s="116">
        <v>42.95</v>
      </c>
      <c r="R322">
        <v>660281</v>
      </c>
    </row>
    <row r="323" spans="1:18" x14ac:dyDescent="0.25">
      <c r="A323" s="169">
        <v>42480</v>
      </c>
      <c r="B323" s="116">
        <v>23.35</v>
      </c>
      <c r="C323" s="116">
        <v>23</v>
      </c>
      <c r="D323" s="116">
        <v>21.375</v>
      </c>
      <c r="E323" s="116">
        <v>21.675000000000001</v>
      </c>
      <c r="F323" s="116">
        <v>46</v>
      </c>
      <c r="G323">
        <v>724613</v>
      </c>
      <c r="H323" s="116"/>
      <c r="I323" s="116"/>
      <c r="L323" s="169">
        <v>42480</v>
      </c>
      <c r="M323" s="116">
        <v>23.024999999999999</v>
      </c>
      <c r="N323" s="116">
        <v>23.4</v>
      </c>
      <c r="O323" s="116">
        <v>21.375</v>
      </c>
      <c r="P323" s="116">
        <v>21.65</v>
      </c>
      <c r="Q323" s="116">
        <v>46.05</v>
      </c>
      <c r="R323">
        <v>2073154</v>
      </c>
    </row>
    <row r="324" spans="1:18" x14ac:dyDescent="0.25">
      <c r="A324" s="169">
        <v>42481</v>
      </c>
      <c r="B324" s="116">
        <v>23.375</v>
      </c>
      <c r="C324" s="116">
        <v>22.75</v>
      </c>
      <c r="D324" s="116">
        <v>22.3</v>
      </c>
      <c r="E324" s="116">
        <v>23</v>
      </c>
      <c r="F324" s="116">
        <v>45.5</v>
      </c>
      <c r="G324">
        <v>295190</v>
      </c>
      <c r="H324" s="116"/>
      <c r="I324" s="116"/>
      <c r="L324" s="169">
        <v>42481</v>
      </c>
      <c r="M324" s="116">
        <v>22.824999999999999</v>
      </c>
      <c r="N324" s="116">
        <v>23.375</v>
      </c>
      <c r="O324" s="116">
        <v>22.324999999999999</v>
      </c>
      <c r="P324" s="116">
        <v>23</v>
      </c>
      <c r="Q324" s="116">
        <v>45.65</v>
      </c>
      <c r="R324">
        <v>867013</v>
      </c>
    </row>
    <row r="325" spans="1:18" x14ac:dyDescent="0.25">
      <c r="A325" s="169">
        <v>42482</v>
      </c>
      <c r="B325" s="116">
        <v>23.2</v>
      </c>
      <c r="C325" s="116">
        <v>22.574999999999999</v>
      </c>
      <c r="D325" s="116">
        <v>22.45</v>
      </c>
      <c r="E325" s="116">
        <v>22.975000000000001</v>
      </c>
      <c r="F325" s="116">
        <v>45.15</v>
      </c>
      <c r="G325">
        <v>176188</v>
      </c>
      <c r="H325" s="116"/>
      <c r="I325" s="116"/>
      <c r="L325" s="169">
        <v>42482</v>
      </c>
      <c r="M325" s="116">
        <v>22.65</v>
      </c>
      <c r="N325" s="116">
        <v>23.2</v>
      </c>
      <c r="O325" s="116">
        <v>22.4</v>
      </c>
      <c r="P325" s="116">
        <v>23</v>
      </c>
      <c r="Q325" s="116">
        <v>45.3</v>
      </c>
      <c r="R325">
        <v>456117</v>
      </c>
    </row>
    <row r="326" spans="1:18" x14ac:dyDescent="0.25">
      <c r="A326" s="169">
        <v>42485</v>
      </c>
      <c r="B326" s="116">
        <v>22.85</v>
      </c>
      <c r="C326" s="116">
        <v>22.074999999999999</v>
      </c>
      <c r="D326" s="116">
        <v>21.9</v>
      </c>
      <c r="E326" s="116">
        <v>22.85</v>
      </c>
      <c r="F326" s="116">
        <v>44.15</v>
      </c>
      <c r="G326">
        <v>110645</v>
      </c>
      <c r="H326" s="116"/>
      <c r="I326" s="116"/>
      <c r="L326" s="169">
        <v>42485</v>
      </c>
      <c r="M326" s="116">
        <v>22.074999999999999</v>
      </c>
      <c r="N326" s="116">
        <v>22.8</v>
      </c>
      <c r="O326" s="116">
        <v>21.9</v>
      </c>
      <c r="P326" s="116">
        <v>22.8</v>
      </c>
      <c r="Q326" s="116">
        <v>44.15</v>
      </c>
      <c r="R326">
        <v>427051</v>
      </c>
    </row>
    <row r="327" spans="1:18" x14ac:dyDescent="0.25">
      <c r="A327" s="169">
        <v>42486</v>
      </c>
      <c r="B327" s="116">
        <v>22.6</v>
      </c>
      <c r="C327" s="116">
        <v>22.225000000000001</v>
      </c>
      <c r="D327" s="116">
        <v>22.05</v>
      </c>
      <c r="E327" s="116">
        <v>22.225000000000001</v>
      </c>
      <c r="F327" s="116">
        <v>44.45</v>
      </c>
      <c r="G327">
        <v>171160</v>
      </c>
      <c r="H327" s="116"/>
      <c r="I327" s="116"/>
      <c r="L327" s="169">
        <v>42486</v>
      </c>
      <c r="M327" s="116">
        <v>22.274999999999999</v>
      </c>
      <c r="N327" s="116">
        <v>22.625</v>
      </c>
      <c r="O327" s="116">
        <v>22</v>
      </c>
      <c r="P327" s="116">
        <v>22.2</v>
      </c>
      <c r="Q327" s="116">
        <v>44.55</v>
      </c>
      <c r="R327">
        <v>561625</v>
      </c>
    </row>
    <row r="328" spans="1:18" x14ac:dyDescent="0.25">
      <c r="A328" s="169">
        <v>42487</v>
      </c>
      <c r="B328" s="116">
        <v>22.75</v>
      </c>
      <c r="C328" s="116">
        <v>22.35</v>
      </c>
      <c r="D328" s="116">
        <v>22.25</v>
      </c>
      <c r="E328" s="116">
        <v>22.45</v>
      </c>
      <c r="F328" s="116">
        <v>44.7</v>
      </c>
      <c r="G328">
        <v>256729</v>
      </c>
      <c r="H328" s="116"/>
      <c r="I328" s="116"/>
      <c r="L328" s="169">
        <v>42487</v>
      </c>
      <c r="M328" s="116">
        <v>22.4</v>
      </c>
      <c r="N328" s="116">
        <v>22.75</v>
      </c>
      <c r="O328" s="116">
        <v>22.25</v>
      </c>
      <c r="P328" s="116">
        <v>22.3</v>
      </c>
      <c r="Q328" s="116">
        <v>44.8</v>
      </c>
      <c r="R328">
        <v>461411</v>
      </c>
    </row>
    <row r="329" spans="1:18" x14ac:dyDescent="0.25">
      <c r="A329" s="169">
        <v>42488</v>
      </c>
      <c r="B329" s="116">
        <v>23.15</v>
      </c>
      <c r="C329" s="116">
        <v>22.324999999999999</v>
      </c>
      <c r="D329" s="116">
        <v>22.225000000000001</v>
      </c>
      <c r="E329" s="116">
        <v>22.5</v>
      </c>
      <c r="F329" s="116">
        <v>44.65</v>
      </c>
      <c r="G329">
        <v>369679</v>
      </c>
      <c r="H329" s="116"/>
      <c r="I329" s="116"/>
      <c r="L329" s="169">
        <v>42488</v>
      </c>
      <c r="M329" s="116">
        <v>22.324999999999999</v>
      </c>
      <c r="N329" s="116">
        <v>23.175000000000001</v>
      </c>
      <c r="O329" s="116">
        <v>22.225000000000001</v>
      </c>
      <c r="P329" s="116">
        <v>22.524999999999999</v>
      </c>
      <c r="Q329" s="116">
        <v>44.65</v>
      </c>
      <c r="R329">
        <v>1215675</v>
      </c>
    </row>
    <row r="330" spans="1:18" x14ac:dyDescent="0.25">
      <c r="A330" s="169">
        <v>42489</v>
      </c>
      <c r="B330" s="116">
        <v>22.5</v>
      </c>
      <c r="C330" s="116">
        <v>21.375</v>
      </c>
      <c r="D330" s="116">
        <v>21.25</v>
      </c>
      <c r="E330" s="116">
        <v>22.274999999999999</v>
      </c>
      <c r="F330" s="116">
        <v>42.75</v>
      </c>
      <c r="G330">
        <v>308288</v>
      </c>
      <c r="H330" s="116"/>
      <c r="I330" s="116"/>
      <c r="L330" s="169">
        <v>42489</v>
      </c>
      <c r="M330" s="116">
        <v>21.4</v>
      </c>
      <c r="N330" s="116">
        <v>22.524999999999999</v>
      </c>
      <c r="O330" s="116">
        <v>21.225000000000001</v>
      </c>
      <c r="P330" s="116">
        <v>22.35</v>
      </c>
      <c r="Q330" s="116">
        <v>42.8</v>
      </c>
      <c r="R330">
        <v>741066</v>
      </c>
    </row>
    <row r="331" spans="1:18" x14ac:dyDescent="0.25">
      <c r="A331" s="169">
        <v>42492</v>
      </c>
      <c r="B331" s="116">
        <v>21.5</v>
      </c>
      <c r="C331" s="116">
        <v>21.274999999999999</v>
      </c>
      <c r="D331" s="116">
        <v>20.925000000000001</v>
      </c>
      <c r="E331" s="116">
        <v>21.35</v>
      </c>
      <c r="F331" s="116">
        <v>42.55</v>
      </c>
      <c r="G331">
        <v>110288</v>
      </c>
      <c r="H331" s="116"/>
      <c r="I331" s="116"/>
      <c r="L331" s="169">
        <v>42492</v>
      </c>
      <c r="M331" s="116">
        <v>21.3</v>
      </c>
      <c r="N331" s="116">
        <v>21.5</v>
      </c>
      <c r="O331" s="116">
        <v>20.85</v>
      </c>
      <c r="P331" s="116">
        <v>21.2</v>
      </c>
      <c r="Q331" s="116">
        <v>42.6</v>
      </c>
      <c r="R331">
        <v>374654</v>
      </c>
    </row>
    <row r="332" spans="1:18" x14ac:dyDescent="0.25">
      <c r="A332" s="169">
        <v>42493</v>
      </c>
      <c r="B332" s="116">
        <v>21.625</v>
      </c>
      <c r="C332" s="116">
        <v>20.8</v>
      </c>
      <c r="D332" s="116">
        <v>20.6</v>
      </c>
      <c r="E332" s="116">
        <v>21.475000000000001</v>
      </c>
      <c r="F332" s="116">
        <v>41.6</v>
      </c>
      <c r="G332">
        <v>194853</v>
      </c>
      <c r="H332" s="116"/>
      <c r="I332" s="116"/>
      <c r="L332" s="169">
        <v>42493</v>
      </c>
      <c r="M332" s="116">
        <v>20.75</v>
      </c>
      <c r="N332" s="116">
        <v>21.725000000000001</v>
      </c>
      <c r="O332" s="116">
        <v>20.5</v>
      </c>
      <c r="P332" s="116">
        <v>21.425000000000001</v>
      </c>
      <c r="Q332" s="116">
        <v>41.5</v>
      </c>
      <c r="R332">
        <v>550730</v>
      </c>
    </row>
    <row r="333" spans="1:18" x14ac:dyDescent="0.25">
      <c r="A333" s="169">
        <v>42494</v>
      </c>
      <c r="B333" s="116">
        <v>20.975000000000001</v>
      </c>
      <c r="C333" s="116">
        <v>20.149999999999999</v>
      </c>
      <c r="D333" s="116">
        <v>20.05</v>
      </c>
      <c r="E333" s="116">
        <v>20.8</v>
      </c>
      <c r="F333" s="116">
        <v>40.299999999999997</v>
      </c>
      <c r="G333">
        <v>188308</v>
      </c>
      <c r="H333" s="116"/>
      <c r="I333" s="116"/>
      <c r="L333" s="169">
        <v>42494</v>
      </c>
      <c r="M333" s="116">
        <v>20.2</v>
      </c>
      <c r="N333" s="116">
        <v>21</v>
      </c>
      <c r="O333" s="116">
        <v>20.05</v>
      </c>
      <c r="P333" s="116">
        <v>20.8</v>
      </c>
      <c r="Q333" s="116">
        <v>40.4</v>
      </c>
      <c r="R333">
        <v>428544</v>
      </c>
    </row>
    <row r="334" spans="1:18" x14ac:dyDescent="0.25">
      <c r="A334" s="169">
        <v>42495</v>
      </c>
      <c r="B334" s="116">
        <v>20.375</v>
      </c>
      <c r="C334" s="116">
        <v>19.75</v>
      </c>
      <c r="D334" s="116">
        <v>19.649999999999999</v>
      </c>
      <c r="E334" s="116">
        <v>20.375</v>
      </c>
      <c r="F334" s="116">
        <v>39.5</v>
      </c>
      <c r="G334">
        <v>159328</v>
      </c>
      <c r="H334" s="116"/>
      <c r="I334" s="116"/>
      <c r="L334" s="169">
        <v>42495</v>
      </c>
      <c r="M334" s="116">
        <v>19.774999999999999</v>
      </c>
      <c r="N334" s="116">
        <v>20.324999999999999</v>
      </c>
      <c r="O334" s="116">
        <v>19.600000000000001</v>
      </c>
      <c r="P334" s="116">
        <v>20.05</v>
      </c>
      <c r="Q334" s="116">
        <v>39.549999999999997</v>
      </c>
      <c r="R334">
        <v>387483</v>
      </c>
    </row>
    <row r="335" spans="1:18" x14ac:dyDescent="0.25">
      <c r="A335" s="169">
        <v>42496</v>
      </c>
      <c r="B335" s="116">
        <v>20.100000000000001</v>
      </c>
      <c r="C335" s="116">
        <v>19.850000000000001</v>
      </c>
      <c r="D335" s="116">
        <v>19.55</v>
      </c>
      <c r="E335" s="116">
        <v>19.899999999999999</v>
      </c>
      <c r="F335" s="116">
        <v>39.700000000000003</v>
      </c>
      <c r="G335">
        <v>116969</v>
      </c>
      <c r="H335" s="116"/>
      <c r="I335" s="116"/>
      <c r="L335" s="169">
        <v>42496</v>
      </c>
      <c r="M335" s="116">
        <v>19.824999999999999</v>
      </c>
      <c r="N335" s="116">
        <v>20.125</v>
      </c>
      <c r="O335" s="116">
        <v>19.574999999999999</v>
      </c>
      <c r="P335" s="116">
        <v>19.774999999999999</v>
      </c>
      <c r="Q335" s="116">
        <v>39.65</v>
      </c>
      <c r="R335">
        <v>242196</v>
      </c>
    </row>
    <row r="336" spans="1:18" x14ac:dyDescent="0.25">
      <c r="A336" s="169">
        <v>42499</v>
      </c>
      <c r="B336" s="116">
        <v>20.574999999999999</v>
      </c>
      <c r="C336" s="116">
        <v>20.350000000000001</v>
      </c>
      <c r="D336" s="116">
        <v>19.899999999999999</v>
      </c>
      <c r="E336" s="116">
        <v>20</v>
      </c>
      <c r="F336" s="116">
        <v>40.700000000000003</v>
      </c>
      <c r="G336">
        <v>96863</v>
      </c>
      <c r="H336" s="116"/>
      <c r="I336" s="116"/>
      <c r="L336" s="169">
        <v>42499</v>
      </c>
      <c r="M336" s="116">
        <v>20.399999999999999</v>
      </c>
      <c r="N336" s="116">
        <v>20.6</v>
      </c>
      <c r="O336" s="116">
        <v>19.899999999999999</v>
      </c>
      <c r="P336" s="116">
        <v>20</v>
      </c>
      <c r="Q336" s="116">
        <v>40.799999999999997</v>
      </c>
      <c r="R336">
        <v>284621</v>
      </c>
    </row>
    <row r="337" spans="1:18" x14ac:dyDescent="0.25">
      <c r="A337" s="169">
        <v>42500</v>
      </c>
      <c r="B337" s="116">
        <v>20.9</v>
      </c>
      <c r="C337" s="116">
        <v>20.75</v>
      </c>
      <c r="D337" s="116">
        <v>20.25</v>
      </c>
      <c r="E337" s="116">
        <v>20.6</v>
      </c>
      <c r="F337" s="116">
        <v>41.5</v>
      </c>
      <c r="G337">
        <v>94101</v>
      </c>
      <c r="H337" s="116"/>
      <c r="I337" s="116"/>
      <c r="L337" s="169">
        <v>42500</v>
      </c>
      <c r="M337" s="116">
        <v>20.725000000000001</v>
      </c>
      <c r="N337" s="116">
        <v>20.875</v>
      </c>
      <c r="O337" s="116">
        <v>20.3</v>
      </c>
      <c r="P337" s="116">
        <v>20.574999999999999</v>
      </c>
      <c r="Q337" s="116">
        <v>41.45</v>
      </c>
      <c r="R337">
        <v>318386</v>
      </c>
    </row>
    <row r="338" spans="1:18" x14ac:dyDescent="0.25">
      <c r="A338" s="169">
        <v>42501</v>
      </c>
      <c r="B338" s="116">
        <v>20.725000000000001</v>
      </c>
      <c r="C338" s="116">
        <v>20.324999999999999</v>
      </c>
      <c r="D338" s="116">
        <v>20.074999999999999</v>
      </c>
      <c r="E338" s="116">
        <v>20.324999999999999</v>
      </c>
      <c r="F338" s="116">
        <v>40.65</v>
      </c>
      <c r="G338">
        <v>144372</v>
      </c>
      <c r="H338" s="116"/>
      <c r="I338" s="116"/>
      <c r="L338" s="169">
        <v>42501</v>
      </c>
      <c r="M338" s="116">
        <v>20.274999999999999</v>
      </c>
      <c r="N338" s="116">
        <v>20.75</v>
      </c>
      <c r="O338" s="116">
        <v>20.05</v>
      </c>
      <c r="P338" s="116">
        <v>20.5</v>
      </c>
      <c r="Q338" s="116">
        <v>40.549999999999997</v>
      </c>
      <c r="R338">
        <v>285568</v>
      </c>
    </row>
    <row r="339" spans="1:18" x14ac:dyDescent="0.25">
      <c r="A339" s="169">
        <v>42502</v>
      </c>
      <c r="B339" s="116">
        <v>20.475000000000001</v>
      </c>
      <c r="C339" s="116">
        <v>20.350000000000001</v>
      </c>
      <c r="D339" s="116">
        <v>20.175000000000001</v>
      </c>
      <c r="E339" s="116">
        <v>20.399999999999999</v>
      </c>
      <c r="F339" s="116">
        <v>40.700000000000003</v>
      </c>
      <c r="G339">
        <v>75830</v>
      </c>
      <c r="H339" s="116"/>
      <c r="I339" s="116"/>
      <c r="L339" s="169">
        <v>42502</v>
      </c>
      <c r="M339" s="116">
        <v>20.375</v>
      </c>
      <c r="N339" s="116">
        <v>20.524999999999999</v>
      </c>
      <c r="O339" s="116">
        <v>20.2</v>
      </c>
      <c r="P339" s="116">
        <v>20.399999999999999</v>
      </c>
      <c r="Q339" s="116">
        <v>40.75</v>
      </c>
      <c r="R339">
        <v>214667</v>
      </c>
    </row>
    <row r="340" spans="1:18" x14ac:dyDescent="0.25">
      <c r="A340" s="169">
        <v>42503</v>
      </c>
      <c r="B340" s="116">
        <v>20.7</v>
      </c>
      <c r="C340" s="116">
        <v>20.375</v>
      </c>
      <c r="D340" s="116">
        <v>20.2</v>
      </c>
      <c r="E340" s="116">
        <v>20.524999999999999</v>
      </c>
      <c r="F340" s="116">
        <v>40.75</v>
      </c>
      <c r="G340">
        <v>133054</v>
      </c>
      <c r="H340" s="116"/>
      <c r="I340" s="116"/>
      <c r="L340" s="169">
        <v>42503</v>
      </c>
      <c r="M340" s="116">
        <v>20.399999999999999</v>
      </c>
      <c r="N340" s="116">
        <v>20.725000000000001</v>
      </c>
      <c r="O340" s="116">
        <v>20.225000000000001</v>
      </c>
      <c r="P340" s="116">
        <v>20.5</v>
      </c>
      <c r="Q340" s="116">
        <v>40.799999999999997</v>
      </c>
      <c r="R340">
        <v>291202</v>
      </c>
    </row>
    <row r="341" spans="1:18" x14ac:dyDescent="0.25">
      <c r="A341" s="169">
        <v>42506</v>
      </c>
      <c r="B341" s="116">
        <v>20.65</v>
      </c>
      <c r="C341" s="116">
        <v>20.125</v>
      </c>
      <c r="D341" s="116">
        <v>20.024999999999999</v>
      </c>
      <c r="E341" s="116">
        <v>20.375</v>
      </c>
      <c r="F341" s="116">
        <v>40.25</v>
      </c>
      <c r="G341">
        <v>64243</v>
      </c>
      <c r="H341" s="116"/>
      <c r="I341" s="116"/>
      <c r="L341" s="169">
        <v>42506</v>
      </c>
      <c r="M341" s="116">
        <v>20.2</v>
      </c>
      <c r="N341" s="116">
        <v>20.625</v>
      </c>
      <c r="O341" s="116">
        <v>20.024999999999999</v>
      </c>
      <c r="P341" s="116">
        <v>20.125</v>
      </c>
      <c r="Q341" s="116">
        <v>40.4</v>
      </c>
      <c r="R341">
        <v>217395</v>
      </c>
    </row>
    <row r="342" spans="1:18" x14ac:dyDescent="0.25">
      <c r="A342" s="169">
        <v>42507</v>
      </c>
      <c r="B342" s="116">
        <v>20.45</v>
      </c>
      <c r="C342" s="116">
        <v>20.074999999999999</v>
      </c>
      <c r="D342" s="116">
        <v>20</v>
      </c>
      <c r="E342" s="116">
        <v>20.375</v>
      </c>
      <c r="F342" s="116">
        <v>40.15</v>
      </c>
      <c r="G342">
        <v>60404</v>
      </c>
      <c r="H342" s="116"/>
      <c r="I342" s="116"/>
      <c r="L342" s="169">
        <v>42507</v>
      </c>
      <c r="M342" s="116">
        <v>20.125</v>
      </c>
      <c r="N342" s="116">
        <v>20.475000000000001</v>
      </c>
      <c r="O342" s="116">
        <v>20.05</v>
      </c>
      <c r="P342" s="116">
        <v>20.324999999999999</v>
      </c>
      <c r="Q342" s="116">
        <v>40.25</v>
      </c>
      <c r="R342">
        <v>203027</v>
      </c>
    </row>
    <row r="343" spans="1:18" x14ac:dyDescent="0.25">
      <c r="A343" s="169">
        <v>42508</v>
      </c>
      <c r="B343" s="116">
        <v>21</v>
      </c>
      <c r="C343" s="116">
        <v>20.399999999999999</v>
      </c>
      <c r="D343" s="116">
        <v>20</v>
      </c>
      <c r="E343" s="116">
        <v>20.149999999999999</v>
      </c>
      <c r="F343" s="116">
        <v>40.799999999999997</v>
      </c>
      <c r="G343">
        <v>417228</v>
      </c>
      <c r="H343" s="116"/>
      <c r="I343" s="116"/>
      <c r="L343" s="169">
        <v>42508</v>
      </c>
      <c r="M343" s="116">
        <v>20.45</v>
      </c>
      <c r="N343" s="116">
        <v>20.975000000000001</v>
      </c>
      <c r="O343" s="116">
        <v>20</v>
      </c>
      <c r="P343" s="116">
        <v>20.05</v>
      </c>
      <c r="Q343" s="116">
        <v>40.9</v>
      </c>
      <c r="R343">
        <v>739323</v>
      </c>
    </row>
    <row r="344" spans="1:18" x14ac:dyDescent="0.25">
      <c r="A344" s="169">
        <v>42509</v>
      </c>
      <c r="B344" s="116">
        <v>20.75</v>
      </c>
      <c r="C344" s="116">
        <v>20.3</v>
      </c>
      <c r="D344" s="116">
        <v>20.149999999999999</v>
      </c>
      <c r="E344" s="116">
        <v>20.350000000000001</v>
      </c>
      <c r="F344" s="116">
        <v>40.6</v>
      </c>
      <c r="G344">
        <v>92734</v>
      </c>
      <c r="H344" s="116"/>
      <c r="I344" s="116"/>
      <c r="L344" s="169">
        <v>42509</v>
      </c>
      <c r="M344" s="116">
        <v>20.324999999999999</v>
      </c>
      <c r="N344" s="116">
        <v>20.75</v>
      </c>
      <c r="O344" s="116">
        <v>20.100000000000001</v>
      </c>
      <c r="P344" s="116">
        <v>20.25</v>
      </c>
      <c r="Q344" s="116">
        <v>40.65</v>
      </c>
      <c r="R344">
        <v>252796</v>
      </c>
    </row>
    <row r="345" spans="1:18" x14ac:dyDescent="0.25">
      <c r="A345" s="169">
        <v>42510</v>
      </c>
      <c r="B345" s="116">
        <v>20.774999999999999</v>
      </c>
      <c r="C345" s="116">
        <v>20.350000000000001</v>
      </c>
      <c r="D345" s="116">
        <v>20.05</v>
      </c>
      <c r="E345" s="116">
        <v>20.350000000000001</v>
      </c>
      <c r="F345" s="116">
        <v>40.700000000000003</v>
      </c>
      <c r="G345">
        <v>197727</v>
      </c>
      <c r="H345" s="116"/>
      <c r="I345" s="116"/>
      <c r="L345" s="169">
        <v>42510</v>
      </c>
      <c r="M345" s="116">
        <v>20.425000000000001</v>
      </c>
      <c r="N345" s="116">
        <v>20.725000000000001</v>
      </c>
      <c r="O345" s="116">
        <v>20.05</v>
      </c>
      <c r="P345" s="116">
        <v>20.399999999999999</v>
      </c>
      <c r="Q345" s="116">
        <v>40.85</v>
      </c>
      <c r="R345">
        <v>410692</v>
      </c>
    </row>
    <row r="346" spans="1:18" x14ac:dyDescent="0.25">
      <c r="A346" s="169">
        <v>42513</v>
      </c>
      <c r="B346" s="116">
        <v>20.5</v>
      </c>
      <c r="C346" s="116">
        <v>20.149999999999999</v>
      </c>
      <c r="D346" s="116">
        <v>20</v>
      </c>
      <c r="E346" s="116">
        <v>20.5</v>
      </c>
      <c r="F346" s="116">
        <v>40.299999999999997</v>
      </c>
      <c r="G346">
        <v>61067</v>
      </c>
      <c r="H346" s="116"/>
      <c r="I346" s="116"/>
      <c r="L346" s="169">
        <v>42513</v>
      </c>
      <c r="M346" s="116">
        <v>20.175000000000001</v>
      </c>
      <c r="N346" s="116">
        <v>20.55</v>
      </c>
      <c r="O346" s="116">
        <v>19.899999999999999</v>
      </c>
      <c r="P346" s="116">
        <v>20.55</v>
      </c>
      <c r="Q346" s="116">
        <v>40.35</v>
      </c>
      <c r="R346">
        <v>266894</v>
      </c>
    </row>
    <row r="347" spans="1:18" x14ac:dyDescent="0.25">
      <c r="A347" s="169">
        <v>42514</v>
      </c>
      <c r="B347" s="116">
        <v>20.274999999999999</v>
      </c>
      <c r="C347" s="116">
        <v>19.649999999999999</v>
      </c>
      <c r="D347" s="116">
        <v>19.524999999999999</v>
      </c>
      <c r="E347" s="116">
        <v>20.100000000000001</v>
      </c>
      <c r="F347" s="116">
        <v>39.299999999999997</v>
      </c>
      <c r="G347">
        <v>66871</v>
      </c>
      <c r="H347" s="116"/>
      <c r="I347" s="116"/>
      <c r="L347" s="169">
        <v>42514</v>
      </c>
      <c r="M347" s="116">
        <v>19.675000000000001</v>
      </c>
      <c r="N347" s="116">
        <v>20.3</v>
      </c>
      <c r="O347" s="116">
        <v>19.574999999999999</v>
      </c>
      <c r="P347" s="116">
        <v>20.225000000000001</v>
      </c>
      <c r="Q347" s="116">
        <v>39.35</v>
      </c>
      <c r="R347">
        <v>320591</v>
      </c>
    </row>
    <row r="348" spans="1:18" x14ac:dyDescent="0.25">
      <c r="A348" s="169">
        <v>42515</v>
      </c>
      <c r="B348" s="116">
        <v>20</v>
      </c>
      <c r="C348" s="116">
        <v>19.824999999999999</v>
      </c>
      <c r="D348" s="116">
        <v>19.5</v>
      </c>
      <c r="E348" s="116">
        <v>19.899999999999999</v>
      </c>
      <c r="F348" s="116">
        <v>39.65</v>
      </c>
      <c r="G348">
        <v>50709</v>
      </c>
      <c r="H348" s="116"/>
      <c r="I348" s="116"/>
      <c r="L348" s="169">
        <v>42515</v>
      </c>
      <c r="M348" s="116">
        <v>19.824999999999999</v>
      </c>
      <c r="N348" s="116">
        <v>20</v>
      </c>
      <c r="O348" s="116">
        <v>19.375</v>
      </c>
      <c r="P348" s="116">
        <v>19.95</v>
      </c>
      <c r="Q348" s="116">
        <v>39.65</v>
      </c>
      <c r="R348">
        <v>257502</v>
      </c>
    </row>
    <row r="349" spans="1:18" x14ac:dyDescent="0.25">
      <c r="A349" s="169">
        <v>42516</v>
      </c>
      <c r="B349" s="116">
        <v>20.3</v>
      </c>
      <c r="C349" s="116">
        <v>20.2</v>
      </c>
      <c r="D349" s="116">
        <v>19.75</v>
      </c>
      <c r="E349" s="116">
        <v>19.850000000000001</v>
      </c>
      <c r="F349" s="116">
        <v>40.4</v>
      </c>
      <c r="G349">
        <v>47813</v>
      </c>
      <c r="H349" s="116"/>
      <c r="I349" s="116"/>
      <c r="L349" s="169">
        <v>42516</v>
      </c>
      <c r="M349" s="116">
        <v>20.25</v>
      </c>
      <c r="N349" s="116">
        <v>20.350000000000001</v>
      </c>
      <c r="O349" s="116">
        <v>19.824999999999999</v>
      </c>
      <c r="P349" s="116">
        <v>20</v>
      </c>
      <c r="Q349" s="116">
        <v>40.5</v>
      </c>
      <c r="R349">
        <v>219765</v>
      </c>
    </row>
    <row r="350" spans="1:18" x14ac:dyDescent="0.25">
      <c r="A350" s="169">
        <v>42517</v>
      </c>
      <c r="B350" s="116">
        <v>20.399999999999999</v>
      </c>
      <c r="C350" s="116">
        <v>20.149999999999999</v>
      </c>
      <c r="D350" s="116">
        <v>20.05</v>
      </c>
      <c r="E350" s="116">
        <v>20.399999999999999</v>
      </c>
      <c r="F350" s="116">
        <v>40.299999999999997</v>
      </c>
      <c r="G350">
        <v>41535</v>
      </c>
      <c r="H350" s="116"/>
      <c r="I350" s="116"/>
      <c r="L350" s="169">
        <v>42517</v>
      </c>
      <c r="M350" s="116">
        <v>20.225000000000001</v>
      </c>
      <c r="N350" s="116">
        <v>20.375</v>
      </c>
      <c r="O350" s="116">
        <v>20.05</v>
      </c>
      <c r="P350" s="116">
        <v>20.25</v>
      </c>
      <c r="Q350" s="116">
        <v>40.450000000000003</v>
      </c>
      <c r="R350">
        <v>235406</v>
      </c>
    </row>
    <row r="351" spans="1:18" x14ac:dyDescent="0.25">
      <c r="A351" s="169">
        <v>42520</v>
      </c>
      <c r="B351" s="116">
        <v>20.75</v>
      </c>
      <c r="C351" s="116">
        <v>20.274999999999999</v>
      </c>
      <c r="D351" s="116">
        <v>20.125</v>
      </c>
      <c r="E351" s="116">
        <v>20.3</v>
      </c>
      <c r="F351" s="116">
        <v>40.549999999999997</v>
      </c>
      <c r="G351">
        <v>70091</v>
      </c>
      <c r="H351" s="116"/>
      <c r="I351" s="116"/>
      <c r="L351" s="169">
        <v>42520</v>
      </c>
      <c r="M351" s="116">
        <v>20.350000000000001</v>
      </c>
      <c r="N351" s="116">
        <v>20.75</v>
      </c>
      <c r="O351" s="116">
        <v>20.100000000000001</v>
      </c>
      <c r="P351" s="116">
        <v>20.2</v>
      </c>
      <c r="Q351" s="116">
        <v>40.700000000000003</v>
      </c>
      <c r="R351">
        <v>312280</v>
      </c>
    </row>
    <row r="352" spans="1:18" x14ac:dyDescent="0.25">
      <c r="A352" s="169">
        <v>42521</v>
      </c>
      <c r="B352" s="116">
        <v>21.425000000000001</v>
      </c>
      <c r="C352" s="116">
        <v>20.225000000000001</v>
      </c>
      <c r="D352" s="116">
        <v>20</v>
      </c>
      <c r="E352" s="116">
        <v>21</v>
      </c>
      <c r="F352" s="116">
        <v>40.450000000000003</v>
      </c>
      <c r="G352">
        <v>378192</v>
      </c>
      <c r="H352" s="116"/>
      <c r="I352" s="116"/>
      <c r="L352" s="169">
        <v>42521</v>
      </c>
      <c r="M352" s="116">
        <v>20.125</v>
      </c>
      <c r="N352" s="116">
        <v>21.4</v>
      </c>
      <c r="O352" s="116">
        <v>19.774999999999999</v>
      </c>
      <c r="P352" s="116">
        <v>21.05</v>
      </c>
      <c r="Q352" s="116">
        <v>40.25</v>
      </c>
      <c r="R352">
        <v>2227592</v>
      </c>
    </row>
    <row r="353" spans="1:18" x14ac:dyDescent="0.25">
      <c r="A353" s="169">
        <v>42522</v>
      </c>
      <c r="B353" s="116">
        <v>23.65</v>
      </c>
      <c r="C353" s="116">
        <v>23</v>
      </c>
      <c r="D353" s="116">
        <v>20.100000000000001</v>
      </c>
      <c r="E353" s="116">
        <v>20.399999999999999</v>
      </c>
      <c r="F353" s="116">
        <v>46</v>
      </c>
      <c r="G353">
        <v>2595107</v>
      </c>
      <c r="H353" s="116"/>
      <c r="I353" s="116"/>
      <c r="L353" s="169">
        <v>42522</v>
      </c>
      <c r="M353" s="116">
        <v>23.074999999999999</v>
      </c>
      <c r="N353" s="116">
        <v>23.824999999999999</v>
      </c>
      <c r="O353" s="116">
        <v>20.100000000000001</v>
      </c>
      <c r="P353" s="116">
        <v>20.125</v>
      </c>
      <c r="Q353" s="116">
        <v>46.15</v>
      </c>
      <c r="R353">
        <v>8456400</v>
      </c>
    </row>
    <row r="354" spans="1:18" x14ac:dyDescent="0.25">
      <c r="A354" s="169">
        <v>42523</v>
      </c>
      <c r="B354" s="116">
        <v>23.65</v>
      </c>
      <c r="C354" s="116">
        <v>23.074999999999999</v>
      </c>
      <c r="D354" s="116">
        <v>22.5</v>
      </c>
      <c r="E354" s="116">
        <v>22.975000000000001</v>
      </c>
      <c r="F354" s="116">
        <v>46.15</v>
      </c>
      <c r="G354">
        <v>572457</v>
      </c>
      <c r="H354" s="116"/>
      <c r="I354" s="116"/>
      <c r="L354" s="169">
        <v>42523</v>
      </c>
      <c r="M354" s="116">
        <v>23.15</v>
      </c>
      <c r="N354" s="116">
        <v>23.625</v>
      </c>
      <c r="O354" s="116">
        <v>22.55</v>
      </c>
      <c r="P354" s="116">
        <v>22.95</v>
      </c>
      <c r="Q354" s="116">
        <v>46.3</v>
      </c>
      <c r="R354">
        <v>3115144</v>
      </c>
    </row>
    <row r="355" spans="1:18" x14ac:dyDescent="0.25">
      <c r="A355" s="169">
        <v>42524</v>
      </c>
      <c r="B355" s="116">
        <v>23.7</v>
      </c>
      <c r="C355" s="116">
        <v>22.524999999999999</v>
      </c>
      <c r="D355" s="116">
        <v>22.125</v>
      </c>
      <c r="E355" s="116">
        <v>23.05</v>
      </c>
      <c r="F355" s="116">
        <v>45.05</v>
      </c>
      <c r="G355">
        <v>411676</v>
      </c>
      <c r="H355" s="116"/>
      <c r="I355" s="116"/>
      <c r="L355" s="169">
        <v>42524</v>
      </c>
      <c r="M355" s="116">
        <v>22.524999999999999</v>
      </c>
      <c r="N355" s="116">
        <v>23.7</v>
      </c>
      <c r="O355" s="116">
        <v>22.024999999999999</v>
      </c>
      <c r="P355" s="116">
        <v>23</v>
      </c>
      <c r="Q355" s="116">
        <v>45.05</v>
      </c>
      <c r="R355">
        <v>1359000</v>
      </c>
    </row>
    <row r="356" spans="1:18" x14ac:dyDescent="0.25">
      <c r="A356" s="169">
        <v>42527</v>
      </c>
      <c r="B356" s="116">
        <v>23.074999999999999</v>
      </c>
      <c r="C356" s="116">
        <v>22.45</v>
      </c>
      <c r="D356" s="116">
        <v>22.175000000000001</v>
      </c>
      <c r="E356" s="116">
        <v>22.725000000000001</v>
      </c>
      <c r="F356" s="116">
        <v>44.9</v>
      </c>
      <c r="G356">
        <v>172167</v>
      </c>
      <c r="H356" s="116"/>
      <c r="I356" s="116"/>
      <c r="L356" s="169">
        <v>42527</v>
      </c>
      <c r="M356" s="116">
        <v>22.45</v>
      </c>
      <c r="N356" s="116">
        <v>23.074999999999999</v>
      </c>
      <c r="O356" s="116">
        <v>22.2</v>
      </c>
      <c r="P356" s="116">
        <v>22.5</v>
      </c>
      <c r="Q356" s="116">
        <v>44.9</v>
      </c>
      <c r="R356">
        <v>744171</v>
      </c>
    </row>
    <row r="357" spans="1:18" x14ac:dyDescent="0.25">
      <c r="A357" s="169">
        <v>42528</v>
      </c>
      <c r="B357" s="116">
        <v>22.925000000000001</v>
      </c>
      <c r="C357" s="116">
        <v>22.425000000000001</v>
      </c>
      <c r="D357" s="116">
        <v>22.35</v>
      </c>
      <c r="E357" s="116">
        <v>22.625</v>
      </c>
      <c r="F357" s="116">
        <v>44.85</v>
      </c>
      <c r="G357">
        <v>132885</v>
      </c>
      <c r="H357" s="116"/>
      <c r="I357" s="116"/>
      <c r="L357" s="169">
        <v>42528</v>
      </c>
      <c r="M357" s="116">
        <v>22.425000000000001</v>
      </c>
      <c r="N357" s="116">
        <v>22.925000000000001</v>
      </c>
      <c r="O357" s="116">
        <v>22.3</v>
      </c>
      <c r="P357" s="116">
        <v>22.625</v>
      </c>
      <c r="Q357" s="116">
        <v>44.85</v>
      </c>
      <c r="R357">
        <v>507537</v>
      </c>
    </row>
    <row r="358" spans="1:18" x14ac:dyDescent="0.25">
      <c r="A358" s="169">
        <v>42529</v>
      </c>
      <c r="B358" s="116">
        <v>23.95</v>
      </c>
      <c r="C358" s="116">
        <v>23.824999999999999</v>
      </c>
      <c r="D358" s="116">
        <v>22.45</v>
      </c>
      <c r="E358" s="116">
        <v>22.55</v>
      </c>
      <c r="F358" s="116">
        <v>47.65</v>
      </c>
      <c r="G358">
        <v>639593</v>
      </c>
      <c r="H358" s="116"/>
      <c r="I358" s="116"/>
      <c r="L358" s="169">
        <v>42529</v>
      </c>
      <c r="M358" s="116">
        <v>23.875</v>
      </c>
      <c r="N358" s="116">
        <v>23.975000000000001</v>
      </c>
      <c r="O358" s="116">
        <v>22.425000000000001</v>
      </c>
      <c r="P358" s="116">
        <v>22.425000000000001</v>
      </c>
      <c r="Q358" s="116">
        <v>47.75</v>
      </c>
      <c r="R358">
        <v>2492618</v>
      </c>
    </row>
    <row r="359" spans="1:18" x14ac:dyDescent="0.25">
      <c r="A359" s="169">
        <v>42530</v>
      </c>
      <c r="B359" s="116">
        <v>25.65</v>
      </c>
      <c r="C359" s="116">
        <v>25.15</v>
      </c>
      <c r="D359" s="116">
        <v>24.05</v>
      </c>
      <c r="E359" s="116">
        <v>24.125</v>
      </c>
      <c r="F359" s="116">
        <v>50.3</v>
      </c>
      <c r="G359">
        <v>1196365</v>
      </c>
      <c r="H359" s="116"/>
      <c r="I359" s="116"/>
      <c r="L359" s="169">
        <v>42530</v>
      </c>
      <c r="M359" s="116">
        <v>25.15</v>
      </c>
      <c r="N359" s="116">
        <v>25.65</v>
      </c>
      <c r="O359" s="116">
        <v>24.05</v>
      </c>
      <c r="P359" s="116">
        <v>24.175000000000001</v>
      </c>
      <c r="Q359" s="116">
        <v>50.3</v>
      </c>
      <c r="R359">
        <v>4474328</v>
      </c>
    </row>
    <row r="360" spans="1:18" x14ac:dyDescent="0.25">
      <c r="A360" s="169">
        <v>42531</v>
      </c>
      <c r="B360" s="116">
        <v>25.4</v>
      </c>
      <c r="C360" s="116">
        <v>24.4</v>
      </c>
      <c r="D360" s="116">
        <v>24.25</v>
      </c>
      <c r="E360" s="116">
        <v>25</v>
      </c>
      <c r="F360" s="116">
        <v>48.8</v>
      </c>
      <c r="G360">
        <v>482949</v>
      </c>
      <c r="H360" s="116"/>
      <c r="I360" s="116"/>
      <c r="L360" s="169">
        <v>42531</v>
      </c>
      <c r="M360" s="116">
        <v>24.4</v>
      </c>
      <c r="N360" s="116">
        <v>25.375</v>
      </c>
      <c r="O360" s="116">
        <v>24.15</v>
      </c>
      <c r="P360" s="116">
        <v>25.1</v>
      </c>
      <c r="Q360" s="116">
        <v>48.8</v>
      </c>
      <c r="R360">
        <v>1650422</v>
      </c>
    </row>
    <row r="361" spans="1:18" x14ac:dyDescent="0.25">
      <c r="A361" s="169">
        <v>42534</v>
      </c>
      <c r="B361" s="116">
        <v>24.8</v>
      </c>
      <c r="C361" s="116">
        <v>24.425000000000001</v>
      </c>
      <c r="D361" s="116">
        <v>23.6</v>
      </c>
      <c r="E361" s="116">
        <v>24.125</v>
      </c>
      <c r="F361" s="116">
        <v>48.85</v>
      </c>
      <c r="G361">
        <v>349003</v>
      </c>
      <c r="H361" s="116"/>
      <c r="I361" s="116"/>
      <c r="L361" s="169">
        <v>42534</v>
      </c>
      <c r="M361" s="116">
        <v>24.475000000000001</v>
      </c>
      <c r="N361" s="116">
        <v>24.9</v>
      </c>
      <c r="O361" s="116">
        <v>23.625</v>
      </c>
      <c r="P361" s="116">
        <v>24</v>
      </c>
      <c r="Q361" s="116">
        <v>48.95</v>
      </c>
      <c r="R361">
        <v>1097978</v>
      </c>
    </row>
    <row r="362" spans="1:18" x14ac:dyDescent="0.25">
      <c r="A362" s="169">
        <v>42535</v>
      </c>
      <c r="B362" s="116">
        <v>25.5</v>
      </c>
      <c r="C362" s="116">
        <v>25.1</v>
      </c>
      <c r="D362" s="116">
        <v>24.5</v>
      </c>
      <c r="E362" s="116">
        <v>24.65</v>
      </c>
      <c r="F362" s="116">
        <v>50.2</v>
      </c>
      <c r="G362">
        <v>380810</v>
      </c>
      <c r="H362" s="116"/>
      <c r="I362" s="116"/>
      <c r="L362" s="169">
        <v>42535</v>
      </c>
      <c r="M362" s="116">
        <v>25.15</v>
      </c>
      <c r="N362" s="116">
        <v>25.55</v>
      </c>
      <c r="O362" s="116">
        <v>24.324999999999999</v>
      </c>
      <c r="P362" s="116">
        <v>24.324999999999999</v>
      </c>
      <c r="Q362" s="116">
        <v>50.3</v>
      </c>
      <c r="R362">
        <v>1350552</v>
      </c>
    </row>
    <row r="363" spans="1:18" x14ac:dyDescent="0.25">
      <c r="A363" s="169">
        <v>42536</v>
      </c>
      <c r="B363" s="116">
        <v>26.1</v>
      </c>
      <c r="C363" s="116">
        <v>25.4</v>
      </c>
      <c r="D363" s="116">
        <v>25.074999999999999</v>
      </c>
      <c r="E363" s="116">
        <v>25.125</v>
      </c>
      <c r="F363" s="116">
        <v>50.8</v>
      </c>
      <c r="G363">
        <v>458504</v>
      </c>
      <c r="H363" s="116"/>
      <c r="I363" s="116"/>
      <c r="L363" s="169">
        <v>42536</v>
      </c>
      <c r="M363" s="116">
        <v>25.475000000000001</v>
      </c>
      <c r="N363" s="116">
        <v>26.125</v>
      </c>
      <c r="O363" s="116">
        <v>25.05</v>
      </c>
      <c r="P363" s="116">
        <v>25.3</v>
      </c>
      <c r="Q363" s="116">
        <v>50.95</v>
      </c>
      <c r="R363">
        <v>1789463</v>
      </c>
    </row>
    <row r="364" spans="1:18" x14ac:dyDescent="0.25">
      <c r="A364" s="169">
        <v>42537</v>
      </c>
      <c r="B364" s="116">
        <v>25.875</v>
      </c>
      <c r="C364" s="116">
        <v>25.25</v>
      </c>
      <c r="D364" s="116">
        <v>24.75</v>
      </c>
      <c r="E364" s="116">
        <v>25.25</v>
      </c>
      <c r="F364" s="116">
        <v>50.5</v>
      </c>
      <c r="G364">
        <v>272792</v>
      </c>
      <c r="H364" s="116"/>
      <c r="I364" s="116"/>
      <c r="L364" s="169">
        <v>42537</v>
      </c>
      <c r="M364" s="116">
        <v>25.225000000000001</v>
      </c>
      <c r="N364" s="116">
        <v>25.9</v>
      </c>
      <c r="O364" s="116">
        <v>24.75</v>
      </c>
      <c r="P364" s="116">
        <v>25.475000000000001</v>
      </c>
      <c r="Q364" s="116">
        <v>50.45</v>
      </c>
      <c r="R364">
        <v>931358</v>
      </c>
    </row>
    <row r="365" spans="1:18" x14ac:dyDescent="0.25">
      <c r="A365" s="169">
        <v>42538</v>
      </c>
      <c r="B365" s="116">
        <v>25.625</v>
      </c>
      <c r="C365" s="116">
        <v>25.45</v>
      </c>
      <c r="D365" s="116">
        <v>25.024999999999999</v>
      </c>
      <c r="E365" s="116">
        <v>25.4</v>
      </c>
      <c r="F365" s="116">
        <v>50.9</v>
      </c>
      <c r="G365">
        <v>186565</v>
      </c>
      <c r="H365" s="116"/>
      <c r="I365" s="116"/>
      <c r="L365" s="169">
        <v>42538</v>
      </c>
      <c r="M365" s="116">
        <v>25.524999999999999</v>
      </c>
      <c r="N365" s="116">
        <v>25.7</v>
      </c>
      <c r="O365" s="116">
        <v>25.05</v>
      </c>
      <c r="P365" s="116">
        <v>25.35</v>
      </c>
      <c r="Q365" s="116">
        <v>51.05</v>
      </c>
      <c r="R365">
        <v>897682</v>
      </c>
    </row>
    <row r="366" spans="1:18" x14ac:dyDescent="0.25">
      <c r="A366" s="169">
        <v>42541</v>
      </c>
      <c r="B366" s="116">
        <v>26.875</v>
      </c>
      <c r="C366" s="116">
        <v>26.5</v>
      </c>
      <c r="D366" s="116">
        <v>25.2</v>
      </c>
      <c r="E366" s="116">
        <v>25.25</v>
      </c>
      <c r="F366" s="116">
        <v>53</v>
      </c>
      <c r="G366">
        <v>547548</v>
      </c>
      <c r="H366" s="116"/>
      <c r="I366" s="116"/>
      <c r="L366" s="169">
        <v>42541</v>
      </c>
      <c r="M366" s="116">
        <v>26.524999999999999</v>
      </c>
      <c r="N366" s="116">
        <v>26.9</v>
      </c>
      <c r="O366" s="116">
        <v>25.25</v>
      </c>
      <c r="P366" s="116">
        <v>25.35</v>
      </c>
      <c r="Q366" s="116">
        <v>53.05</v>
      </c>
      <c r="R366">
        <v>1876891</v>
      </c>
    </row>
    <row r="367" spans="1:18" x14ac:dyDescent="0.25">
      <c r="A367" s="169">
        <v>42542</v>
      </c>
      <c r="B367" s="116">
        <v>27.8</v>
      </c>
      <c r="C367" s="116">
        <v>27.324999999999999</v>
      </c>
      <c r="D367" s="116">
        <v>26.5</v>
      </c>
      <c r="E367" s="116">
        <v>26.5</v>
      </c>
      <c r="F367" s="116">
        <v>54.65</v>
      </c>
      <c r="G367">
        <v>494085</v>
      </c>
      <c r="H367" s="116"/>
      <c r="I367" s="116"/>
      <c r="L367" s="169">
        <v>42542</v>
      </c>
      <c r="M367" s="116">
        <v>27.4</v>
      </c>
      <c r="N367" s="116">
        <v>27.774999999999999</v>
      </c>
      <c r="O367" s="116">
        <v>26.75</v>
      </c>
      <c r="P367" s="116">
        <v>26.774999999999999</v>
      </c>
      <c r="Q367" s="116">
        <v>54.8</v>
      </c>
      <c r="R367">
        <v>1780377</v>
      </c>
    </row>
    <row r="368" spans="1:18" x14ac:dyDescent="0.25">
      <c r="A368" s="169">
        <v>42543</v>
      </c>
      <c r="B368" s="116">
        <v>27.625</v>
      </c>
      <c r="C368" s="116">
        <v>26.25</v>
      </c>
      <c r="D368" s="116">
        <v>26.024999999999999</v>
      </c>
      <c r="E368" s="116">
        <v>27.5</v>
      </c>
      <c r="F368" s="116">
        <v>52.5</v>
      </c>
      <c r="G368">
        <v>308160</v>
      </c>
      <c r="H368" s="116"/>
      <c r="I368" s="116"/>
      <c r="L368" s="169">
        <v>42543</v>
      </c>
      <c r="M368" s="116">
        <v>26.25</v>
      </c>
      <c r="N368" s="116">
        <v>27.6</v>
      </c>
      <c r="O368" s="116">
        <v>25.975000000000001</v>
      </c>
      <c r="P368" s="116">
        <v>27.5</v>
      </c>
      <c r="Q368" s="116">
        <v>52.5</v>
      </c>
      <c r="R368">
        <v>907298</v>
      </c>
    </row>
    <row r="369" spans="1:18" x14ac:dyDescent="0.25">
      <c r="A369" s="169">
        <v>42544</v>
      </c>
      <c r="B369" s="116">
        <v>26.574999999999999</v>
      </c>
      <c r="C369" s="116">
        <v>25.975000000000001</v>
      </c>
      <c r="D369" s="116">
        <v>25.625</v>
      </c>
      <c r="E369" s="116">
        <v>26.574999999999999</v>
      </c>
      <c r="F369" s="116">
        <v>51.95</v>
      </c>
      <c r="G369">
        <v>180071</v>
      </c>
      <c r="H369" s="116"/>
      <c r="I369" s="116"/>
      <c r="L369" s="169">
        <v>42544</v>
      </c>
      <c r="M369" s="116">
        <v>26</v>
      </c>
      <c r="N369" s="116">
        <v>26.6</v>
      </c>
      <c r="O369" s="116">
        <v>25.625</v>
      </c>
      <c r="P369" s="116">
        <v>26.6</v>
      </c>
      <c r="Q369" s="116">
        <v>52</v>
      </c>
      <c r="R369">
        <v>517762</v>
      </c>
    </row>
    <row r="370" spans="1:18" x14ac:dyDescent="0.25">
      <c r="A370" s="169">
        <v>42545</v>
      </c>
      <c r="B370" s="116">
        <v>25.6</v>
      </c>
      <c r="C370" s="116">
        <v>25.125</v>
      </c>
      <c r="D370" s="116">
        <v>23.375</v>
      </c>
      <c r="E370" s="116">
        <v>25</v>
      </c>
      <c r="F370" s="116">
        <v>50.25</v>
      </c>
      <c r="G370">
        <v>459298</v>
      </c>
      <c r="H370" s="116"/>
      <c r="I370" s="116"/>
      <c r="L370" s="169">
        <v>42545</v>
      </c>
      <c r="M370" s="116">
        <v>25.2</v>
      </c>
      <c r="N370" s="116">
        <v>25.7</v>
      </c>
      <c r="O370" s="116">
        <v>23.425000000000001</v>
      </c>
      <c r="P370" s="116">
        <v>25</v>
      </c>
      <c r="Q370" s="116">
        <v>50.4</v>
      </c>
      <c r="R370">
        <v>1198558</v>
      </c>
    </row>
    <row r="371" spans="1:18" x14ac:dyDescent="0.25">
      <c r="A371" s="169">
        <v>42548</v>
      </c>
      <c r="B371" s="116">
        <v>26.45</v>
      </c>
      <c r="C371" s="116">
        <v>26.25</v>
      </c>
      <c r="D371" s="116">
        <v>25</v>
      </c>
      <c r="E371" s="116">
        <v>25</v>
      </c>
      <c r="F371" s="116">
        <v>52.5</v>
      </c>
      <c r="G371">
        <v>263614</v>
      </c>
      <c r="H371" s="116"/>
      <c r="I371" s="116"/>
      <c r="L371" s="169">
        <v>42548</v>
      </c>
      <c r="M371" s="116">
        <v>26.3</v>
      </c>
      <c r="N371" s="116">
        <v>26.45</v>
      </c>
      <c r="O371" s="116">
        <v>25.125</v>
      </c>
      <c r="P371" s="116">
        <v>25.225000000000001</v>
      </c>
      <c r="Q371" s="116">
        <v>52.6</v>
      </c>
      <c r="R371">
        <v>919649</v>
      </c>
    </row>
    <row r="372" spans="1:18" x14ac:dyDescent="0.25">
      <c r="A372" s="169">
        <v>42549</v>
      </c>
      <c r="B372" s="116">
        <v>26.975000000000001</v>
      </c>
      <c r="C372" s="116">
        <v>26.675000000000001</v>
      </c>
      <c r="D372" s="116">
        <v>26.225000000000001</v>
      </c>
      <c r="E372" s="116">
        <v>26.225000000000001</v>
      </c>
      <c r="F372" s="116">
        <v>53.35</v>
      </c>
      <c r="G372">
        <v>279401</v>
      </c>
      <c r="H372" s="116"/>
      <c r="I372" s="116"/>
      <c r="L372" s="169">
        <v>42549</v>
      </c>
      <c r="M372" s="116">
        <v>26.625</v>
      </c>
      <c r="N372" s="116">
        <v>26.95</v>
      </c>
      <c r="O372" s="116">
        <v>26.074999999999999</v>
      </c>
      <c r="P372" s="116">
        <v>26.074999999999999</v>
      </c>
      <c r="Q372" s="116">
        <v>53.25</v>
      </c>
      <c r="R372">
        <v>626235</v>
      </c>
    </row>
    <row r="373" spans="1:18" x14ac:dyDescent="0.25">
      <c r="A373" s="169">
        <v>42550</v>
      </c>
      <c r="B373" s="116">
        <v>27.45</v>
      </c>
      <c r="C373" s="116">
        <v>26.9</v>
      </c>
      <c r="D373" s="116">
        <v>26.65</v>
      </c>
      <c r="E373" s="116">
        <v>26.65</v>
      </c>
      <c r="F373" s="116">
        <v>53.8</v>
      </c>
      <c r="G373">
        <v>205934</v>
      </c>
      <c r="H373" s="116"/>
      <c r="I373" s="116"/>
      <c r="L373" s="169">
        <v>42550</v>
      </c>
      <c r="M373" s="116">
        <v>26.925000000000001</v>
      </c>
      <c r="N373" s="116">
        <v>27.45</v>
      </c>
      <c r="O373" s="116">
        <v>26.75</v>
      </c>
      <c r="P373" s="116">
        <v>26.75</v>
      </c>
      <c r="Q373" s="116">
        <v>53.85</v>
      </c>
      <c r="R373">
        <v>737007</v>
      </c>
    </row>
    <row r="374" spans="1:18" x14ac:dyDescent="0.25">
      <c r="A374" s="169">
        <v>42551</v>
      </c>
      <c r="B374" s="116">
        <v>27.25</v>
      </c>
      <c r="C374" s="116">
        <v>26.65</v>
      </c>
      <c r="D374" s="116">
        <v>26.5</v>
      </c>
      <c r="E374" s="116">
        <v>27</v>
      </c>
      <c r="F374" s="116">
        <v>53.3</v>
      </c>
      <c r="G374">
        <v>545917</v>
      </c>
      <c r="H374" s="116"/>
      <c r="I374" s="116"/>
      <c r="L374" s="169">
        <v>42551</v>
      </c>
      <c r="M374" s="116">
        <v>26.6</v>
      </c>
      <c r="N374" s="116">
        <v>27.225000000000001</v>
      </c>
      <c r="O374" s="116">
        <v>26.425000000000001</v>
      </c>
      <c r="P374" s="116">
        <v>27.05</v>
      </c>
      <c r="Q374" s="116">
        <v>53.2</v>
      </c>
      <c r="R374">
        <v>702535</v>
      </c>
    </row>
    <row r="375" spans="1:18" x14ac:dyDescent="0.25">
      <c r="A375" s="169">
        <v>42552</v>
      </c>
      <c r="B375" s="116">
        <v>27.25</v>
      </c>
      <c r="C375" s="116">
        <v>26.925000000000001</v>
      </c>
      <c r="D375" s="116">
        <v>26.675000000000001</v>
      </c>
      <c r="E375" s="116">
        <v>26.875</v>
      </c>
      <c r="F375" s="116">
        <v>53.85</v>
      </c>
      <c r="G375">
        <v>291637</v>
      </c>
      <c r="H375" s="116"/>
      <c r="I375" s="116"/>
      <c r="L375" s="169">
        <v>42552</v>
      </c>
      <c r="M375" s="116">
        <v>26.875</v>
      </c>
      <c r="N375" s="116">
        <v>27.225000000000001</v>
      </c>
      <c r="O375" s="116">
        <v>26.7</v>
      </c>
      <c r="P375" s="116">
        <v>26.824999999999999</v>
      </c>
      <c r="Q375" s="116">
        <v>53.75</v>
      </c>
      <c r="R375">
        <v>840452</v>
      </c>
    </row>
    <row r="376" spans="1:18" x14ac:dyDescent="0.25">
      <c r="A376" s="169">
        <v>42555</v>
      </c>
      <c r="B376" s="116">
        <v>28.15</v>
      </c>
      <c r="C376" s="116">
        <v>27.625</v>
      </c>
      <c r="D376" s="116">
        <v>27.45</v>
      </c>
      <c r="E376" s="116">
        <v>27.45</v>
      </c>
      <c r="F376" s="116">
        <v>55.25</v>
      </c>
      <c r="G376">
        <v>513334</v>
      </c>
      <c r="H376" s="116"/>
      <c r="I376" s="116"/>
      <c r="L376" s="169">
        <v>42555</v>
      </c>
      <c r="M376" s="116">
        <v>27.7</v>
      </c>
      <c r="N376" s="116">
        <v>28.175000000000001</v>
      </c>
      <c r="O376" s="116">
        <v>27.5</v>
      </c>
      <c r="P376" s="116">
        <v>27.5</v>
      </c>
      <c r="Q376" s="116">
        <v>55.4</v>
      </c>
      <c r="R376">
        <v>1660535</v>
      </c>
    </row>
    <row r="377" spans="1:18" x14ac:dyDescent="0.25">
      <c r="A377" s="169">
        <v>42556</v>
      </c>
      <c r="B377" s="116">
        <v>28.45</v>
      </c>
      <c r="C377" s="116">
        <v>27.7</v>
      </c>
      <c r="D377" s="116">
        <v>27.125</v>
      </c>
      <c r="E377" s="116">
        <v>27.725000000000001</v>
      </c>
      <c r="F377" s="116">
        <v>55.4</v>
      </c>
      <c r="G377">
        <v>476434</v>
      </c>
      <c r="H377" s="116"/>
      <c r="I377" s="116"/>
      <c r="L377" s="169">
        <v>42556</v>
      </c>
      <c r="M377" s="116">
        <v>27.725000000000001</v>
      </c>
      <c r="N377" s="116">
        <v>28.45</v>
      </c>
      <c r="O377" s="116">
        <v>27.05</v>
      </c>
      <c r="P377" s="116">
        <v>27.875</v>
      </c>
      <c r="Q377" s="116">
        <v>55.45</v>
      </c>
      <c r="R377">
        <v>1243981</v>
      </c>
    </row>
    <row r="378" spans="1:18" x14ac:dyDescent="0.25">
      <c r="A378" s="169">
        <v>42558</v>
      </c>
      <c r="B378" s="116">
        <v>28.1</v>
      </c>
      <c r="C378" s="116">
        <v>27.3</v>
      </c>
      <c r="D378" s="116">
        <v>27.05</v>
      </c>
      <c r="E378" s="116">
        <v>27.9</v>
      </c>
      <c r="F378" s="116">
        <v>54.6</v>
      </c>
      <c r="G378">
        <v>327709</v>
      </c>
      <c r="H378" s="116"/>
      <c r="I378" s="116"/>
      <c r="L378" s="169">
        <v>42558</v>
      </c>
      <c r="M378" s="116">
        <v>27.225000000000001</v>
      </c>
      <c r="N378" s="116">
        <v>28.1</v>
      </c>
      <c r="O378" s="116">
        <v>27.05</v>
      </c>
      <c r="P378" s="116">
        <v>27.925000000000001</v>
      </c>
      <c r="Q378" s="116">
        <v>54.45</v>
      </c>
      <c r="R378">
        <v>769074</v>
      </c>
    </row>
    <row r="379" spans="1:18" x14ac:dyDescent="0.25">
      <c r="A379" s="169">
        <v>42559</v>
      </c>
      <c r="B379" s="116">
        <v>27.375</v>
      </c>
      <c r="C379" s="116">
        <v>26.875</v>
      </c>
      <c r="D379" s="116">
        <v>26.625</v>
      </c>
      <c r="E379" s="116">
        <v>27.2</v>
      </c>
      <c r="F379" s="116">
        <v>53.75</v>
      </c>
      <c r="G379">
        <v>581907</v>
      </c>
      <c r="H379" s="116"/>
      <c r="I379" s="116"/>
      <c r="L379" s="169">
        <v>42559</v>
      </c>
      <c r="M379" s="116">
        <v>26.9</v>
      </c>
      <c r="N379" s="116">
        <v>27.35</v>
      </c>
      <c r="O379" s="116">
        <v>26.625</v>
      </c>
      <c r="P379" s="116">
        <v>27.274999999999999</v>
      </c>
      <c r="Q379" s="116">
        <v>53.8</v>
      </c>
      <c r="R379">
        <v>694168</v>
      </c>
    </row>
    <row r="380" spans="1:18" x14ac:dyDescent="0.25">
      <c r="A380" s="169">
        <v>42562</v>
      </c>
      <c r="B380" s="116">
        <v>27.65</v>
      </c>
      <c r="C380" s="116">
        <v>27.125</v>
      </c>
      <c r="D380" s="116">
        <v>26.95</v>
      </c>
      <c r="E380" s="116">
        <v>27.3</v>
      </c>
      <c r="F380" s="116">
        <v>54.25</v>
      </c>
      <c r="G380">
        <v>630372</v>
      </c>
      <c r="H380" s="116"/>
      <c r="I380" s="116"/>
      <c r="L380" s="169">
        <v>42562</v>
      </c>
      <c r="M380" s="116">
        <v>27.175000000000001</v>
      </c>
      <c r="N380" s="116">
        <v>27.7</v>
      </c>
      <c r="O380" s="116">
        <v>27</v>
      </c>
      <c r="P380" s="116">
        <v>27.175000000000001</v>
      </c>
      <c r="Q380" s="116">
        <v>54.35</v>
      </c>
      <c r="R380">
        <v>773530</v>
      </c>
    </row>
    <row r="381" spans="1:18" x14ac:dyDescent="0.25">
      <c r="A381" s="169">
        <v>42563</v>
      </c>
      <c r="B381" s="116">
        <v>28.25</v>
      </c>
      <c r="C381" s="116">
        <v>27.824999999999999</v>
      </c>
      <c r="D381" s="116">
        <v>27.024999999999999</v>
      </c>
      <c r="E381" s="116">
        <v>27.274999999999999</v>
      </c>
      <c r="F381" s="116">
        <v>55.65</v>
      </c>
      <c r="G381">
        <v>585950</v>
      </c>
      <c r="H381" s="116"/>
      <c r="I381" s="116"/>
      <c r="L381" s="169">
        <v>42563</v>
      </c>
      <c r="M381" s="116">
        <v>27.774999999999999</v>
      </c>
      <c r="N381" s="116">
        <v>28.175000000000001</v>
      </c>
      <c r="O381" s="116">
        <v>27.05</v>
      </c>
      <c r="P381" s="116">
        <v>27.3</v>
      </c>
      <c r="Q381" s="116">
        <v>55.55</v>
      </c>
      <c r="R381">
        <v>1343234</v>
      </c>
    </row>
    <row r="382" spans="1:18" x14ac:dyDescent="0.25">
      <c r="A382" s="169">
        <v>42564</v>
      </c>
      <c r="B382" s="116">
        <v>27.8</v>
      </c>
      <c r="C382" s="116">
        <v>26.95</v>
      </c>
      <c r="D382" s="116">
        <v>26.7</v>
      </c>
      <c r="E382" s="116">
        <v>27.675000000000001</v>
      </c>
      <c r="F382" s="116">
        <v>53.9</v>
      </c>
      <c r="G382">
        <v>153177</v>
      </c>
      <c r="H382" s="116"/>
      <c r="I382" s="116"/>
      <c r="L382" s="169">
        <v>42564</v>
      </c>
      <c r="M382" s="116">
        <v>26.95</v>
      </c>
      <c r="N382" s="116">
        <v>27.75</v>
      </c>
      <c r="O382" s="116">
        <v>26.65</v>
      </c>
      <c r="P382" s="116">
        <v>27.75</v>
      </c>
      <c r="Q382" s="116">
        <v>53.9</v>
      </c>
      <c r="R382">
        <v>842085</v>
      </c>
    </row>
    <row r="383" spans="1:18" x14ac:dyDescent="0.25">
      <c r="A383" s="169">
        <v>42565</v>
      </c>
      <c r="B383" s="116">
        <v>27.35</v>
      </c>
      <c r="C383" s="116">
        <v>27.2</v>
      </c>
      <c r="D383" s="116">
        <v>26.85</v>
      </c>
      <c r="E383" s="116">
        <v>26.975000000000001</v>
      </c>
      <c r="F383" s="116">
        <v>54.4</v>
      </c>
      <c r="G383">
        <v>96667</v>
      </c>
      <c r="H383" s="116"/>
      <c r="I383" s="116"/>
      <c r="L383" s="169">
        <v>42565</v>
      </c>
      <c r="M383" s="116">
        <v>27.225000000000001</v>
      </c>
      <c r="N383" s="116">
        <v>27.45</v>
      </c>
      <c r="O383" s="116">
        <v>26.8</v>
      </c>
      <c r="P383" s="116">
        <v>27.024999999999999</v>
      </c>
      <c r="Q383" s="116">
        <v>54.45</v>
      </c>
      <c r="R383">
        <v>458438</v>
      </c>
    </row>
    <row r="384" spans="1:18" x14ac:dyDescent="0.25">
      <c r="A384" s="169">
        <v>42566</v>
      </c>
      <c r="B384" s="116">
        <v>27.45</v>
      </c>
      <c r="C384" s="116">
        <v>26.75</v>
      </c>
      <c r="D384" s="116">
        <v>26.55</v>
      </c>
      <c r="E384" s="116">
        <v>27.25</v>
      </c>
      <c r="F384" s="116">
        <v>53.5</v>
      </c>
      <c r="G384">
        <v>71262</v>
      </c>
      <c r="H384" s="116"/>
      <c r="I384" s="116"/>
      <c r="L384" s="169">
        <v>42566</v>
      </c>
      <c r="M384" s="116">
        <v>26.75</v>
      </c>
      <c r="N384" s="116">
        <v>27.475000000000001</v>
      </c>
      <c r="O384" s="116">
        <v>26.625</v>
      </c>
      <c r="P384" s="116">
        <v>27.274999999999999</v>
      </c>
      <c r="Q384" s="116">
        <v>53.5</v>
      </c>
      <c r="R384">
        <v>410546</v>
      </c>
    </row>
    <row r="385" spans="1:18" x14ac:dyDescent="0.25">
      <c r="A385" s="169">
        <v>42569</v>
      </c>
      <c r="B385" s="116">
        <v>27.324999999999999</v>
      </c>
      <c r="C385" s="116">
        <v>26.475000000000001</v>
      </c>
      <c r="D385" s="116">
        <v>26.324999999999999</v>
      </c>
      <c r="E385" s="116">
        <v>27</v>
      </c>
      <c r="F385" s="116">
        <v>52.95</v>
      </c>
      <c r="G385">
        <v>115418</v>
      </c>
      <c r="H385" s="116"/>
      <c r="I385" s="116"/>
      <c r="L385" s="169">
        <v>42569</v>
      </c>
      <c r="M385" s="116">
        <v>26.35</v>
      </c>
      <c r="N385" s="116">
        <v>27.3</v>
      </c>
      <c r="O385" s="116">
        <v>26.25</v>
      </c>
      <c r="P385" s="116">
        <v>26.65</v>
      </c>
      <c r="Q385" s="116">
        <v>52.7</v>
      </c>
      <c r="R385">
        <v>427805</v>
      </c>
    </row>
    <row r="386" spans="1:18" x14ac:dyDescent="0.25">
      <c r="A386" s="169">
        <v>42570</v>
      </c>
      <c r="B386" s="116">
        <v>26.7</v>
      </c>
      <c r="C386" s="116">
        <v>26.125</v>
      </c>
      <c r="D386" s="116">
        <v>25.5</v>
      </c>
      <c r="E386" s="116">
        <v>26.675000000000001</v>
      </c>
      <c r="F386" s="116">
        <v>52.25</v>
      </c>
      <c r="G386">
        <v>157535</v>
      </c>
      <c r="H386" s="116"/>
      <c r="I386" s="116"/>
      <c r="L386" s="169">
        <v>42570</v>
      </c>
      <c r="M386" s="116">
        <v>26.125</v>
      </c>
      <c r="N386" s="116">
        <v>26.675000000000001</v>
      </c>
      <c r="O386" s="116">
        <v>25.425000000000001</v>
      </c>
      <c r="P386" s="116">
        <v>26.6</v>
      </c>
      <c r="Q386" s="116">
        <v>52.25</v>
      </c>
      <c r="R386">
        <v>676685</v>
      </c>
    </row>
    <row r="387" spans="1:18" x14ac:dyDescent="0.25">
      <c r="A387" s="169">
        <v>42571</v>
      </c>
      <c r="B387" s="116">
        <v>26.85</v>
      </c>
      <c r="C387" s="116">
        <v>26.425000000000001</v>
      </c>
      <c r="D387" s="116">
        <v>26.175000000000001</v>
      </c>
      <c r="E387" s="116">
        <v>26.274999999999999</v>
      </c>
      <c r="F387" s="116">
        <v>52.85</v>
      </c>
      <c r="G387">
        <v>353557</v>
      </c>
      <c r="H387" s="116"/>
      <c r="I387" s="116"/>
      <c r="L387" s="169">
        <v>42571</v>
      </c>
      <c r="M387" s="116">
        <v>26.45</v>
      </c>
      <c r="N387" s="116">
        <v>26.9</v>
      </c>
      <c r="O387" s="116">
        <v>26.2</v>
      </c>
      <c r="P387" s="116">
        <v>26.2</v>
      </c>
      <c r="Q387" s="116">
        <v>52.9</v>
      </c>
      <c r="R387">
        <v>679136</v>
      </c>
    </row>
    <row r="388" spans="1:18" x14ac:dyDescent="0.25">
      <c r="A388" s="169">
        <v>42572</v>
      </c>
      <c r="B388" s="116">
        <v>26.6</v>
      </c>
      <c r="C388" s="116">
        <v>25.925000000000001</v>
      </c>
      <c r="D388" s="116">
        <v>25.774999999999999</v>
      </c>
      <c r="E388" s="116">
        <v>26.574999999999999</v>
      </c>
      <c r="F388" s="116">
        <v>51.85</v>
      </c>
      <c r="G388">
        <v>149152</v>
      </c>
      <c r="H388" s="116"/>
      <c r="I388" s="116"/>
      <c r="L388" s="169">
        <v>42572</v>
      </c>
      <c r="M388" s="116">
        <v>25.95</v>
      </c>
      <c r="N388" s="116">
        <v>26.65</v>
      </c>
      <c r="O388" s="116">
        <v>25.8</v>
      </c>
      <c r="P388" s="116">
        <v>26.55</v>
      </c>
      <c r="Q388" s="116">
        <v>51.9</v>
      </c>
      <c r="R388">
        <v>703590</v>
      </c>
    </row>
    <row r="389" spans="1:18" x14ac:dyDescent="0.25">
      <c r="A389" s="169">
        <v>42573</v>
      </c>
      <c r="B389" s="116">
        <v>27.45</v>
      </c>
      <c r="C389" s="116">
        <v>26.425000000000001</v>
      </c>
      <c r="D389" s="116">
        <v>25.95</v>
      </c>
      <c r="E389" s="116">
        <v>26.05</v>
      </c>
      <c r="F389" s="116">
        <v>52.85</v>
      </c>
      <c r="G389">
        <v>415223</v>
      </c>
      <c r="H389" s="116"/>
      <c r="I389" s="116"/>
      <c r="L389" s="169">
        <v>42573</v>
      </c>
      <c r="M389" s="116">
        <v>26.425000000000001</v>
      </c>
      <c r="N389" s="116">
        <v>27.45</v>
      </c>
      <c r="O389" s="116">
        <v>25.9</v>
      </c>
      <c r="P389" s="116">
        <v>25.95</v>
      </c>
      <c r="Q389" s="116">
        <v>52.85</v>
      </c>
      <c r="R389">
        <v>3180295</v>
      </c>
    </row>
    <row r="390" spans="1:18" x14ac:dyDescent="0.25">
      <c r="A390" s="169">
        <v>42576</v>
      </c>
      <c r="B390" s="116">
        <v>26.75</v>
      </c>
      <c r="C390" s="116">
        <v>26.45</v>
      </c>
      <c r="D390" s="116">
        <v>26.25</v>
      </c>
      <c r="E390" s="116">
        <v>26.274999999999999</v>
      </c>
      <c r="F390" s="116">
        <v>52.9</v>
      </c>
      <c r="G390">
        <v>125765</v>
      </c>
      <c r="H390" s="116"/>
      <c r="I390" s="116"/>
      <c r="L390" s="169">
        <v>42576</v>
      </c>
      <c r="M390" s="116">
        <v>26.45</v>
      </c>
      <c r="N390" s="116">
        <v>26.725000000000001</v>
      </c>
      <c r="O390" s="116">
        <v>26.2</v>
      </c>
      <c r="P390" s="116">
        <v>26.425000000000001</v>
      </c>
      <c r="Q390" s="116">
        <v>52.9</v>
      </c>
      <c r="R390">
        <v>684658</v>
      </c>
    </row>
    <row r="391" spans="1:18" x14ac:dyDescent="0.25">
      <c r="A391" s="169">
        <v>42577</v>
      </c>
      <c r="B391" s="116">
        <v>27.25</v>
      </c>
      <c r="C391" s="116">
        <v>26.024999999999999</v>
      </c>
      <c r="D391" s="116">
        <v>25.9</v>
      </c>
      <c r="E391" s="116">
        <v>26.175000000000001</v>
      </c>
      <c r="F391" s="116">
        <v>52.05</v>
      </c>
      <c r="G391">
        <v>530013</v>
      </c>
      <c r="H391" s="116"/>
      <c r="I391" s="116"/>
      <c r="L391" s="169">
        <v>42577</v>
      </c>
      <c r="M391" s="116">
        <v>26</v>
      </c>
      <c r="N391" s="116">
        <v>27.15</v>
      </c>
      <c r="O391" s="116">
        <v>25.875</v>
      </c>
      <c r="P391" s="116">
        <v>26.524999999999999</v>
      </c>
      <c r="Q391" s="116">
        <v>52</v>
      </c>
      <c r="R391">
        <v>2012790</v>
      </c>
    </row>
    <row r="392" spans="1:18" x14ac:dyDescent="0.25">
      <c r="A392" s="169">
        <v>42578</v>
      </c>
      <c r="B392" s="116">
        <v>26.375</v>
      </c>
      <c r="C392" s="116">
        <v>26</v>
      </c>
      <c r="D392" s="116">
        <v>25.8</v>
      </c>
      <c r="E392" s="116">
        <v>26.175000000000001</v>
      </c>
      <c r="F392" s="116">
        <v>52</v>
      </c>
      <c r="G392">
        <v>228978</v>
      </c>
      <c r="H392" s="116"/>
      <c r="I392" s="116"/>
      <c r="L392" s="169">
        <v>42578</v>
      </c>
      <c r="M392" s="116">
        <v>25.975000000000001</v>
      </c>
      <c r="N392" s="116">
        <v>26.375</v>
      </c>
      <c r="O392" s="116">
        <v>25.774999999999999</v>
      </c>
      <c r="P392" s="116">
        <v>26.15</v>
      </c>
      <c r="Q392" s="116">
        <v>51.95</v>
      </c>
      <c r="R392">
        <v>945268</v>
      </c>
    </row>
    <row r="393" spans="1:18" x14ac:dyDescent="0.25">
      <c r="A393" s="169">
        <v>42579</v>
      </c>
      <c r="B393" s="116">
        <v>26.875</v>
      </c>
      <c r="C393" s="116">
        <v>25.975000000000001</v>
      </c>
      <c r="D393" s="116">
        <v>25.8</v>
      </c>
      <c r="E393" s="116">
        <v>26.875</v>
      </c>
      <c r="F393" s="116">
        <v>51.95</v>
      </c>
      <c r="G393">
        <v>285811</v>
      </c>
      <c r="H393" s="116"/>
      <c r="I393" s="116"/>
      <c r="L393" s="169">
        <v>42579</v>
      </c>
      <c r="M393" s="116">
        <v>25.975000000000001</v>
      </c>
      <c r="N393" s="116">
        <v>26.475000000000001</v>
      </c>
      <c r="O393" s="116">
        <v>25.8</v>
      </c>
      <c r="P393" s="116">
        <v>26.2</v>
      </c>
      <c r="Q393" s="116">
        <v>51.95</v>
      </c>
      <c r="R393">
        <v>668576</v>
      </c>
    </row>
    <row r="394" spans="1:18" x14ac:dyDescent="0.25">
      <c r="A394" s="169">
        <v>42580</v>
      </c>
      <c r="B394" s="116">
        <v>26.2</v>
      </c>
      <c r="C394" s="116">
        <v>25.55</v>
      </c>
      <c r="D394" s="116">
        <v>25.45</v>
      </c>
      <c r="E394" s="116">
        <v>26.175000000000001</v>
      </c>
      <c r="F394" s="116">
        <v>51.1</v>
      </c>
      <c r="G394">
        <v>322370</v>
      </c>
      <c r="H394" s="116"/>
      <c r="I394" s="116"/>
      <c r="L394" s="169">
        <v>42580</v>
      </c>
      <c r="M394" s="116">
        <v>25.574999999999999</v>
      </c>
      <c r="N394" s="116">
        <v>26.15</v>
      </c>
      <c r="O394" s="116">
        <v>25.5</v>
      </c>
      <c r="P394" s="116">
        <v>26.05</v>
      </c>
      <c r="Q394" s="116">
        <v>51.15</v>
      </c>
      <c r="R394">
        <v>685765</v>
      </c>
    </row>
    <row r="395" spans="1:18" x14ac:dyDescent="0.25">
      <c r="A395" s="169">
        <v>42583</v>
      </c>
      <c r="B395" s="116">
        <v>25.9</v>
      </c>
      <c r="C395" s="116">
        <v>25.375</v>
      </c>
      <c r="D395" s="116">
        <v>25</v>
      </c>
      <c r="E395" s="116">
        <v>25.774999999999999</v>
      </c>
      <c r="F395" s="116">
        <v>50.75</v>
      </c>
      <c r="G395">
        <v>197109</v>
      </c>
      <c r="H395" s="116"/>
      <c r="I395" s="116"/>
      <c r="L395" s="169">
        <v>42583</v>
      </c>
      <c r="M395" s="116">
        <v>25.324999999999999</v>
      </c>
      <c r="N395" s="116">
        <v>25.85</v>
      </c>
      <c r="O395" s="116">
        <v>25.1</v>
      </c>
      <c r="P395" s="116">
        <v>25.774999999999999</v>
      </c>
      <c r="Q395" s="116">
        <v>50.65</v>
      </c>
      <c r="R395">
        <v>709688</v>
      </c>
    </row>
    <row r="396" spans="1:18" x14ac:dyDescent="0.25">
      <c r="A396" s="169">
        <v>42584</v>
      </c>
      <c r="B396" s="116">
        <v>25.95</v>
      </c>
      <c r="C396" s="116">
        <v>25.125</v>
      </c>
      <c r="D396" s="116">
        <v>25.05</v>
      </c>
      <c r="E396" s="116">
        <v>25.375</v>
      </c>
      <c r="F396" s="116">
        <v>50.25</v>
      </c>
      <c r="G396">
        <v>184491</v>
      </c>
      <c r="H396" s="116"/>
      <c r="I396" s="116"/>
      <c r="L396" s="169">
        <v>42584</v>
      </c>
      <c r="M396" s="116">
        <v>25.125</v>
      </c>
      <c r="N396" s="116">
        <v>25.95</v>
      </c>
      <c r="O396" s="116">
        <v>25.024999999999999</v>
      </c>
      <c r="P396" s="116">
        <v>25.324999999999999</v>
      </c>
      <c r="Q396" s="116">
        <v>50.25</v>
      </c>
      <c r="R396">
        <v>969006</v>
      </c>
    </row>
    <row r="397" spans="1:18" x14ac:dyDescent="0.25">
      <c r="A397" s="169">
        <v>42585</v>
      </c>
      <c r="B397" s="116">
        <v>25.2</v>
      </c>
      <c r="C397" s="116">
        <v>24.574999999999999</v>
      </c>
      <c r="D397" s="116">
        <v>24.4</v>
      </c>
      <c r="E397" s="116">
        <v>25.2</v>
      </c>
      <c r="F397" s="116">
        <v>49.15</v>
      </c>
      <c r="G397">
        <v>104857</v>
      </c>
      <c r="H397" s="116"/>
      <c r="I397" s="116"/>
      <c r="L397" s="169">
        <v>42585</v>
      </c>
      <c r="M397" s="116">
        <v>24.5</v>
      </c>
      <c r="N397" s="116">
        <v>25.274999999999999</v>
      </c>
      <c r="O397" s="116">
        <v>24.35</v>
      </c>
      <c r="P397" s="116">
        <v>25.2</v>
      </c>
      <c r="Q397" s="116">
        <v>49</v>
      </c>
      <c r="R397">
        <v>645997</v>
      </c>
    </row>
    <row r="398" spans="1:18" x14ac:dyDescent="0.25">
      <c r="A398" s="169">
        <v>42586</v>
      </c>
      <c r="B398" s="116">
        <v>25</v>
      </c>
      <c r="C398" s="116">
        <v>24.375</v>
      </c>
      <c r="D398" s="116">
        <v>24.274999999999999</v>
      </c>
      <c r="E398" s="116">
        <v>24.7</v>
      </c>
      <c r="F398" s="116">
        <v>48.75</v>
      </c>
      <c r="G398">
        <v>131901</v>
      </c>
      <c r="H398" s="116"/>
      <c r="I398" s="116"/>
      <c r="L398" s="169">
        <v>42586</v>
      </c>
      <c r="M398" s="116">
        <v>24.475000000000001</v>
      </c>
      <c r="N398" s="116">
        <v>24.975000000000001</v>
      </c>
      <c r="O398" s="116">
        <v>24.25</v>
      </c>
      <c r="P398" s="116">
        <v>24.65</v>
      </c>
      <c r="Q398" s="116">
        <v>48.95</v>
      </c>
      <c r="R398">
        <v>418760</v>
      </c>
    </row>
    <row r="399" spans="1:18" x14ac:dyDescent="0.25">
      <c r="A399" s="169">
        <v>42587</v>
      </c>
      <c r="B399" s="116">
        <v>25.675000000000001</v>
      </c>
      <c r="C399" s="116">
        <v>25.274999999999999</v>
      </c>
      <c r="D399" s="116">
        <v>24.574999999999999</v>
      </c>
      <c r="E399" s="116">
        <v>24.75</v>
      </c>
      <c r="F399" s="116">
        <v>50.55</v>
      </c>
      <c r="G399">
        <v>120592</v>
      </c>
      <c r="H399" s="116"/>
      <c r="I399" s="116"/>
      <c r="L399" s="169">
        <v>42587</v>
      </c>
      <c r="M399" s="116">
        <v>25.375</v>
      </c>
      <c r="N399" s="116">
        <v>25.7</v>
      </c>
      <c r="O399" s="116">
        <v>24.6</v>
      </c>
      <c r="P399" s="116">
        <v>24.6</v>
      </c>
      <c r="Q399" s="116">
        <v>50.75</v>
      </c>
      <c r="R399">
        <v>629747</v>
      </c>
    </row>
    <row r="400" spans="1:18" x14ac:dyDescent="0.25">
      <c r="A400" s="169">
        <v>42590</v>
      </c>
      <c r="B400" s="116">
        <v>25.9</v>
      </c>
      <c r="C400" s="116">
        <v>25.6</v>
      </c>
      <c r="D400" s="116">
        <v>25.524999999999999</v>
      </c>
      <c r="E400" s="116">
        <v>25.725000000000001</v>
      </c>
      <c r="F400" s="116">
        <v>51.2</v>
      </c>
      <c r="G400">
        <v>72154</v>
      </c>
      <c r="H400" s="116"/>
      <c r="I400" s="116"/>
      <c r="L400" s="169">
        <v>42590</v>
      </c>
      <c r="M400" s="116">
        <v>25.65</v>
      </c>
      <c r="N400" s="116">
        <v>25.95</v>
      </c>
      <c r="O400" s="116">
        <v>25.524999999999999</v>
      </c>
      <c r="P400" s="116">
        <v>25.625</v>
      </c>
      <c r="Q400" s="116">
        <v>51.3</v>
      </c>
      <c r="R400">
        <v>412275</v>
      </c>
    </row>
    <row r="401" spans="1:18" x14ac:dyDescent="0.25">
      <c r="A401" s="169">
        <v>42591</v>
      </c>
      <c r="B401" s="116">
        <v>26.2</v>
      </c>
      <c r="C401" s="116">
        <v>25.6</v>
      </c>
      <c r="D401" s="116">
        <v>25.375</v>
      </c>
      <c r="E401" s="116">
        <v>25.6</v>
      </c>
      <c r="F401" s="116">
        <v>51.2</v>
      </c>
      <c r="G401">
        <v>169042</v>
      </c>
      <c r="H401" s="116"/>
      <c r="I401" s="116"/>
      <c r="L401" s="169">
        <v>42591</v>
      </c>
      <c r="M401" s="116">
        <v>25.7</v>
      </c>
      <c r="N401" s="116">
        <v>26.2</v>
      </c>
      <c r="O401" s="116">
        <v>25.4</v>
      </c>
      <c r="P401" s="116">
        <v>25.75</v>
      </c>
      <c r="Q401" s="116">
        <v>51.4</v>
      </c>
      <c r="R401">
        <v>953973</v>
      </c>
    </row>
    <row r="402" spans="1:18" x14ac:dyDescent="0.25">
      <c r="A402" s="169">
        <v>42592</v>
      </c>
      <c r="B402" s="116">
        <v>25.95</v>
      </c>
      <c r="C402" s="116">
        <v>25.725000000000001</v>
      </c>
      <c r="D402" s="116">
        <v>25.5</v>
      </c>
      <c r="E402" s="116">
        <v>25.925000000000001</v>
      </c>
      <c r="F402" s="116">
        <v>51.45</v>
      </c>
      <c r="G402">
        <v>291779</v>
      </c>
      <c r="H402" s="116"/>
      <c r="I402" s="116"/>
      <c r="L402" s="169">
        <v>42592</v>
      </c>
      <c r="M402" s="116">
        <v>25.774999999999999</v>
      </c>
      <c r="N402" s="116">
        <v>26</v>
      </c>
      <c r="O402" s="116">
        <v>25.55</v>
      </c>
      <c r="P402" s="116">
        <v>25.875</v>
      </c>
      <c r="Q402" s="116">
        <v>51.55</v>
      </c>
      <c r="R402">
        <v>840847</v>
      </c>
    </row>
    <row r="403" spans="1:18" x14ac:dyDescent="0.25">
      <c r="A403" s="169">
        <v>42593</v>
      </c>
      <c r="B403" s="116">
        <v>26.25</v>
      </c>
      <c r="C403" s="116">
        <v>25.774999999999999</v>
      </c>
      <c r="D403" s="116">
        <v>25.625</v>
      </c>
      <c r="E403" s="116">
        <v>26</v>
      </c>
      <c r="F403" s="116">
        <v>51.55</v>
      </c>
      <c r="G403">
        <v>387885</v>
      </c>
      <c r="H403" s="116"/>
      <c r="I403" s="116"/>
      <c r="L403" s="169">
        <v>42593</v>
      </c>
      <c r="M403" s="116">
        <v>25.8</v>
      </c>
      <c r="N403" s="116">
        <v>26.25</v>
      </c>
      <c r="O403" s="116">
        <v>25.574999999999999</v>
      </c>
      <c r="P403" s="116">
        <v>25.85</v>
      </c>
      <c r="Q403" s="116">
        <v>51.6</v>
      </c>
      <c r="R403">
        <v>1237545</v>
      </c>
    </row>
    <row r="404" spans="1:18" x14ac:dyDescent="0.25">
      <c r="A404" s="169">
        <v>42594</v>
      </c>
      <c r="B404" s="116">
        <v>26.074999999999999</v>
      </c>
      <c r="C404" s="116">
        <v>23.774999999999999</v>
      </c>
      <c r="D404" s="116">
        <v>23.05</v>
      </c>
      <c r="E404" s="116">
        <v>25.75</v>
      </c>
      <c r="F404" s="116">
        <v>47.55</v>
      </c>
      <c r="G404">
        <v>1017671</v>
      </c>
      <c r="H404" s="116"/>
      <c r="I404" s="116"/>
      <c r="L404" s="169">
        <v>42594</v>
      </c>
      <c r="M404" s="116">
        <v>23.774999999999999</v>
      </c>
      <c r="N404" s="116">
        <v>26.1</v>
      </c>
      <c r="O404" s="116">
        <v>23.024999999999999</v>
      </c>
      <c r="P404" s="116">
        <v>25.9</v>
      </c>
      <c r="Q404" s="116">
        <v>47.55</v>
      </c>
      <c r="R404">
        <v>1966787</v>
      </c>
    </row>
    <row r="405" spans="1:18" x14ac:dyDescent="0.25">
      <c r="A405" s="169">
        <v>42598</v>
      </c>
      <c r="B405" s="116">
        <v>24.125</v>
      </c>
      <c r="C405" s="116">
        <v>23.5</v>
      </c>
      <c r="D405" s="116">
        <v>23.274999999999999</v>
      </c>
      <c r="E405" s="116">
        <v>23.75</v>
      </c>
      <c r="F405" s="116">
        <v>47</v>
      </c>
      <c r="G405">
        <v>187692</v>
      </c>
      <c r="H405" s="116"/>
      <c r="I405" s="116"/>
      <c r="L405" s="169">
        <v>42598</v>
      </c>
      <c r="M405" s="116">
        <v>23.475000000000001</v>
      </c>
      <c r="N405" s="116">
        <v>24.074999999999999</v>
      </c>
      <c r="O405" s="116">
        <v>23.25</v>
      </c>
      <c r="P405" s="116">
        <v>24.05</v>
      </c>
      <c r="Q405" s="116">
        <v>46.95</v>
      </c>
      <c r="R405">
        <v>608443</v>
      </c>
    </row>
    <row r="406" spans="1:18" x14ac:dyDescent="0.25">
      <c r="A406" s="169">
        <v>42599</v>
      </c>
      <c r="B406" s="116">
        <v>24.425000000000001</v>
      </c>
      <c r="C406" s="116">
        <v>24.274999999999999</v>
      </c>
      <c r="D406" s="116">
        <v>23.55</v>
      </c>
      <c r="E406" s="116">
        <v>23.625</v>
      </c>
      <c r="F406" s="116">
        <v>48.55</v>
      </c>
      <c r="G406">
        <v>201625</v>
      </c>
      <c r="H406" s="116"/>
      <c r="I406" s="116"/>
      <c r="L406" s="169">
        <v>42599</v>
      </c>
      <c r="M406" s="116">
        <v>24.15</v>
      </c>
      <c r="N406" s="116">
        <v>24.375</v>
      </c>
      <c r="O406" s="116">
        <v>23.45</v>
      </c>
      <c r="P406" s="116">
        <v>23.6</v>
      </c>
      <c r="Q406" s="116">
        <v>48.3</v>
      </c>
      <c r="R406">
        <v>497268</v>
      </c>
    </row>
    <row r="407" spans="1:18" x14ac:dyDescent="0.25">
      <c r="A407" s="169">
        <v>42600</v>
      </c>
      <c r="B407" s="116">
        <v>24.95</v>
      </c>
      <c r="C407" s="116">
        <v>24.65</v>
      </c>
      <c r="D407" s="116">
        <v>24.3</v>
      </c>
      <c r="E407" s="116">
        <v>24.425000000000001</v>
      </c>
      <c r="F407" s="116">
        <v>49.3</v>
      </c>
      <c r="G407">
        <v>161098</v>
      </c>
      <c r="H407" s="116"/>
      <c r="I407" s="116"/>
      <c r="L407" s="169">
        <v>42600</v>
      </c>
      <c r="M407" s="116">
        <v>24.7</v>
      </c>
      <c r="N407" s="116">
        <v>24.975000000000001</v>
      </c>
      <c r="O407" s="116">
        <v>24.2</v>
      </c>
      <c r="P407" s="116">
        <v>24.2</v>
      </c>
      <c r="Q407" s="116">
        <v>49.4</v>
      </c>
      <c r="R407">
        <v>569786</v>
      </c>
    </row>
    <row r="408" spans="1:18" x14ac:dyDescent="0.25">
      <c r="A408" s="169">
        <v>42601</v>
      </c>
      <c r="B408" s="116">
        <v>25.2</v>
      </c>
      <c r="C408" s="116">
        <v>24.7</v>
      </c>
      <c r="D408" s="116">
        <v>24.6</v>
      </c>
      <c r="E408" s="116">
        <v>24.675000000000001</v>
      </c>
      <c r="F408" s="116">
        <v>49.4</v>
      </c>
      <c r="G408">
        <v>149267</v>
      </c>
      <c r="H408" s="116"/>
      <c r="I408" s="116"/>
      <c r="L408" s="169">
        <v>42601</v>
      </c>
      <c r="M408" s="116">
        <v>24.725000000000001</v>
      </c>
      <c r="N408" s="116">
        <v>25.25</v>
      </c>
      <c r="O408" s="116">
        <v>24.55</v>
      </c>
      <c r="P408" s="116">
        <v>24.7</v>
      </c>
      <c r="Q408" s="116">
        <v>49.45</v>
      </c>
      <c r="R408">
        <v>518962</v>
      </c>
    </row>
    <row r="409" spans="1:18" x14ac:dyDescent="0.25">
      <c r="A409" s="169">
        <v>42604</v>
      </c>
      <c r="B409" s="116">
        <v>24.95</v>
      </c>
      <c r="C409" s="116">
        <v>24.725000000000001</v>
      </c>
      <c r="D409" s="116">
        <v>24.425000000000001</v>
      </c>
      <c r="E409" s="116">
        <v>24.875</v>
      </c>
      <c r="F409" s="116">
        <v>49.45</v>
      </c>
      <c r="G409">
        <v>219158</v>
      </c>
      <c r="H409" s="116"/>
      <c r="I409" s="116"/>
      <c r="L409" s="169">
        <v>42604</v>
      </c>
      <c r="M409" s="116">
        <v>24.725000000000001</v>
      </c>
      <c r="N409" s="116">
        <v>24.95</v>
      </c>
      <c r="O409" s="116">
        <v>24.4</v>
      </c>
      <c r="P409" s="116">
        <v>24.75</v>
      </c>
      <c r="Q409" s="116">
        <v>49.45</v>
      </c>
      <c r="R409">
        <v>481010</v>
      </c>
    </row>
    <row r="410" spans="1:18" x14ac:dyDescent="0.25">
      <c r="A410" s="169">
        <v>42605</v>
      </c>
      <c r="B410" s="116">
        <v>25.1</v>
      </c>
      <c r="C410" s="116">
        <v>24.55</v>
      </c>
      <c r="D410" s="116">
        <v>24.375</v>
      </c>
      <c r="E410" s="116">
        <v>24.75</v>
      </c>
      <c r="F410" s="116">
        <v>49.1</v>
      </c>
      <c r="G410">
        <v>152396</v>
      </c>
      <c r="H410" s="116"/>
      <c r="I410" s="116"/>
      <c r="L410" s="169">
        <v>42605</v>
      </c>
      <c r="M410" s="116">
        <v>24.6</v>
      </c>
      <c r="N410" s="116">
        <v>25.15</v>
      </c>
      <c r="O410" s="116">
        <v>24.425000000000001</v>
      </c>
      <c r="P410" s="116">
        <v>24.55</v>
      </c>
      <c r="Q410" s="116">
        <v>49.2</v>
      </c>
      <c r="R410">
        <v>424041</v>
      </c>
    </row>
    <row r="411" spans="1:18" x14ac:dyDescent="0.25">
      <c r="A411" s="169">
        <v>42606</v>
      </c>
      <c r="B411" s="116">
        <v>26.225000000000001</v>
      </c>
      <c r="C411" s="116">
        <v>25.925000000000001</v>
      </c>
      <c r="D411" s="116">
        <v>24.6</v>
      </c>
      <c r="E411" s="116">
        <v>24.7</v>
      </c>
      <c r="F411" s="116">
        <v>51.85</v>
      </c>
      <c r="G411">
        <v>435264</v>
      </c>
      <c r="H411" s="116"/>
      <c r="I411" s="116"/>
      <c r="L411" s="169">
        <v>42606</v>
      </c>
      <c r="M411" s="116">
        <v>25.9</v>
      </c>
      <c r="N411" s="116">
        <v>26.2</v>
      </c>
      <c r="O411" s="116">
        <v>24.5</v>
      </c>
      <c r="P411" s="116">
        <v>24.5</v>
      </c>
      <c r="Q411" s="116">
        <v>51.8</v>
      </c>
      <c r="R411">
        <v>1515683</v>
      </c>
    </row>
    <row r="412" spans="1:18" x14ac:dyDescent="0.25">
      <c r="A412" s="169">
        <v>42607</v>
      </c>
      <c r="B412" s="116">
        <v>24.9</v>
      </c>
      <c r="C412" s="116">
        <v>24.4</v>
      </c>
      <c r="D412" s="116">
        <v>24</v>
      </c>
      <c r="E412" s="116">
        <v>24.25</v>
      </c>
      <c r="F412" s="116">
        <v>48.8</v>
      </c>
      <c r="G412">
        <v>120049</v>
      </c>
      <c r="H412" s="116"/>
      <c r="I412" s="116"/>
      <c r="L412" s="169">
        <v>42607</v>
      </c>
      <c r="M412" s="116">
        <v>24.3</v>
      </c>
      <c r="N412" s="116">
        <v>25.175000000000001</v>
      </c>
      <c r="O412" s="116">
        <v>24.1</v>
      </c>
      <c r="P412" s="116">
        <v>24.1</v>
      </c>
      <c r="Q412" s="116">
        <v>48.6</v>
      </c>
      <c r="R412">
        <v>136992</v>
      </c>
    </row>
    <row r="413" spans="1:18" x14ac:dyDescent="0.25">
      <c r="A413" s="169">
        <v>42608</v>
      </c>
      <c r="B413" s="116">
        <v>24.5</v>
      </c>
      <c r="C413" s="116">
        <v>23.5</v>
      </c>
      <c r="D413" s="116">
        <v>23.2</v>
      </c>
      <c r="E413" s="116">
        <v>24.25</v>
      </c>
      <c r="F413" s="116">
        <v>47</v>
      </c>
      <c r="G413">
        <v>87853</v>
      </c>
      <c r="H413" s="116"/>
      <c r="I413" s="116"/>
      <c r="L413" s="169">
        <v>42608</v>
      </c>
      <c r="M413" s="116">
        <v>23.774999999999999</v>
      </c>
      <c r="N413" s="116">
        <v>24.9</v>
      </c>
      <c r="O413" s="116">
        <v>23.125</v>
      </c>
      <c r="P413" s="116">
        <v>24.3</v>
      </c>
      <c r="Q413" s="116">
        <v>47.55</v>
      </c>
      <c r="R413">
        <v>163189</v>
      </c>
    </row>
    <row r="414" spans="1:18" x14ac:dyDescent="0.25">
      <c r="A414" s="169">
        <v>42611</v>
      </c>
      <c r="B414" s="116">
        <v>23.65</v>
      </c>
      <c r="C414" s="116">
        <v>23.25</v>
      </c>
      <c r="D414" s="116">
        <v>23.074999999999999</v>
      </c>
      <c r="E414" s="116">
        <v>23.5</v>
      </c>
      <c r="F414" s="116">
        <v>46.5</v>
      </c>
      <c r="G414">
        <v>58135</v>
      </c>
      <c r="H414" s="116"/>
      <c r="I414" s="116"/>
      <c r="L414" s="169">
        <v>42611</v>
      </c>
      <c r="M414" s="116">
        <v>23.15</v>
      </c>
      <c r="N414" s="116">
        <v>23.8</v>
      </c>
      <c r="O414" s="116">
        <v>23</v>
      </c>
      <c r="P414" s="116">
        <v>23.5</v>
      </c>
      <c r="Q414" s="116">
        <v>46.3</v>
      </c>
      <c r="R414">
        <v>117337</v>
      </c>
    </row>
    <row r="415" spans="1:18" x14ac:dyDescent="0.25">
      <c r="A415" s="169">
        <v>42612</v>
      </c>
      <c r="B415" s="116">
        <v>23.725000000000001</v>
      </c>
      <c r="C415" s="116">
        <v>23.25</v>
      </c>
      <c r="D415" s="116">
        <v>23.074999999999999</v>
      </c>
      <c r="E415" s="116">
        <v>23.6</v>
      </c>
      <c r="F415" s="116">
        <v>46.5</v>
      </c>
      <c r="G415">
        <v>70731</v>
      </c>
      <c r="H415" s="116"/>
      <c r="I415" s="116"/>
      <c r="L415" s="169">
        <v>42612</v>
      </c>
      <c r="M415" s="116">
        <v>23.15</v>
      </c>
      <c r="N415" s="116">
        <v>23.75</v>
      </c>
      <c r="O415" s="116">
        <v>23</v>
      </c>
      <c r="P415" s="116">
        <v>23</v>
      </c>
      <c r="Q415" s="116">
        <v>46.3</v>
      </c>
      <c r="R415">
        <v>197386</v>
      </c>
    </row>
    <row r="416" spans="1:18" x14ac:dyDescent="0.25">
      <c r="A416" s="169">
        <v>42613</v>
      </c>
      <c r="B416" s="116">
        <v>23.6</v>
      </c>
      <c r="C416" s="116">
        <v>23.024999999999999</v>
      </c>
      <c r="D416" s="116">
        <v>22.9</v>
      </c>
      <c r="E416" s="116">
        <v>23.1</v>
      </c>
      <c r="F416" s="116">
        <v>46.05</v>
      </c>
      <c r="G416">
        <v>90562</v>
      </c>
      <c r="H416" s="116"/>
      <c r="I416" s="116"/>
      <c r="L416" s="169">
        <v>42613</v>
      </c>
      <c r="M416" s="116">
        <v>23.074999999999999</v>
      </c>
      <c r="N416" s="116">
        <v>23.475000000000001</v>
      </c>
      <c r="O416" s="116">
        <v>22.925000000000001</v>
      </c>
      <c r="P416" s="116">
        <v>23.15</v>
      </c>
      <c r="Q416" s="116">
        <v>46.15</v>
      </c>
      <c r="R416">
        <v>156464</v>
      </c>
    </row>
    <row r="417" spans="1:18" x14ac:dyDescent="0.25">
      <c r="A417" s="169">
        <v>42614</v>
      </c>
      <c r="B417" s="116">
        <v>23.15</v>
      </c>
      <c r="C417" s="116">
        <v>22.65</v>
      </c>
      <c r="D417" s="116">
        <v>22.55</v>
      </c>
      <c r="E417" s="116">
        <v>22.85</v>
      </c>
      <c r="F417" s="116">
        <v>45.3</v>
      </c>
      <c r="G417">
        <v>54111</v>
      </c>
      <c r="H417" s="116"/>
      <c r="I417" s="116"/>
      <c r="L417" s="169">
        <v>42614</v>
      </c>
      <c r="M417" s="116">
        <v>22.675000000000001</v>
      </c>
      <c r="N417" s="116">
        <v>23.05</v>
      </c>
      <c r="O417" s="116">
        <v>22.55</v>
      </c>
      <c r="P417" s="116">
        <v>23</v>
      </c>
      <c r="Q417" s="116">
        <v>45.35</v>
      </c>
      <c r="R417">
        <v>126084</v>
      </c>
    </row>
    <row r="418" spans="1:18" x14ac:dyDescent="0.25">
      <c r="A418" s="169">
        <v>42615</v>
      </c>
      <c r="B418" s="116">
        <v>23.4</v>
      </c>
      <c r="C418" s="116">
        <v>23.175000000000001</v>
      </c>
      <c r="D418" s="116">
        <v>22.524999999999999</v>
      </c>
      <c r="E418" s="116">
        <v>22.524999999999999</v>
      </c>
      <c r="F418" s="116">
        <v>46.35</v>
      </c>
      <c r="G418">
        <v>53941</v>
      </c>
      <c r="H418" s="116"/>
      <c r="I418" s="116"/>
      <c r="L418" s="169">
        <v>42615</v>
      </c>
      <c r="M418" s="116">
        <v>23.15</v>
      </c>
      <c r="N418" s="116">
        <v>23.25</v>
      </c>
      <c r="O418" s="116">
        <v>22.375</v>
      </c>
      <c r="P418" s="116">
        <v>23</v>
      </c>
      <c r="Q418" s="116">
        <v>46.3</v>
      </c>
      <c r="R418">
        <v>106374</v>
      </c>
    </row>
    <row r="419" spans="1:18" x14ac:dyDescent="0.25">
      <c r="A419" s="169">
        <v>42619</v>
      </c>
      <c r="B419" s="116">
        <v>23.9</v>
      </c>
      <c r="C419" s="116">
        <v>23.7</v>
      </c>
      <c r="D419" s="116">
        <v>22.625</v>
      </c>
      <c r="E419" s="116">
        <v>23.05</v>
      </c>
      <c r="F419" s="116">
        <v>47.4</v>
      </c>
      <c r="G419">
        <v>52202</v>
      </c>
      <c r="H419" s="116"/>
      <c r="I419" s="116"/>
      <c r="L419" s="169">
        <v>42619</v>
      </c>
      <c r="M419" s="116">
        <v>23.65</v>
      </c>
      <c r="N419" s="116">
        <v>23.8</v>
      </c>
      <c r="O419" s="116">
        <v>23.25</v>
      </c>
      <c r="P419" s="116">
        <v>23.25</v>
      </c>
      <c r="Q419" s="116">
        <v>47.3</v>
      </c>
      <c r="R419">
        <v>125779</v>
      </c>
    </row>
    <row r="420" spans="1:18" x14ac:dyDescent="0.25">
      <c r="A420" s="169">
        <v>42620</v>
      </c>
      <c r="B420" s="116">
        <v>24.875</v>
      </c>
      <c r="C420" s="116">
        <v>24.7</v>
      </c>
      <c r="D420" s="116">
        <v>23.6</v>
      </c>
      <c r="E420" s="116">
        <v>23.95</v>
      </c>
      <c r="F420" s="116">
        <v>49.4</v>
      </c>
      <c r="G420">
        <v>143969</v>
      </c>
      <c r="H420" s="116"/>
      <c r="I420" s="116"/>
      <c r="L420" s="169">
        <v>42620</v>
      </c>
      <c r="M420" s="116">
        <v>24.675000000000001</v>
      </c>
      <c r="N420" s="116">
        <v>24.824999999999999</v>
      </c>
      <c r="O420" s="116">
        <v>23.274999999999999</v>
      </c>
      <c r="P420" s="116">
        <v>23.65</v>
      </c>
      <c r="Q420" s="116">
        <v>49.35</v>
      </c>
      <c r="R420">
        <v>197033</v>
      </c>
    </row>
    <row r="421" spans="1:18" x14ac:dyDescent="0.25">
      <c r="A421" s="169">
        <v>42621</v>
      </c>
      <c r="B421" s="116">
        <v>25.45</v>
      </c>
      <c r="C421" s="116">
        <v>25.175000000000001</v>
      </c>
      <c r="D421" s="116">
        <v>24.65</v>
      </c>
      <c r="E421" s="116">
        <v>24.975000000000001</v>
      </c>
      <c r="F421" s="116">
        <v>50.35</v>
      </c>
      <c r="G421">
        <v>69903</v>
      </c>
      <c r="H421" s="116"/>
      <c r="I421" s="116"/>
      <c r="L421" s="169">
        <v>42621</v>
      </c>
      <c r="M421" s="116">
        <v>25.175000000000001</v>
      </c>
      <c r="N421" s="116">
        <v>25.6</v>
      </c>
      <c r="O421" s="116">
        <v>24.5</v>
      </c>
      <c r="P421" s="116">
        <v>25</v>
      </c>
      <c r="Q421" s="116">
        <v>50.35</v>
      </c>
      <c r="R421">
        <v>201612</v>
      </c>
    </row>
    <row r="422" spans="1:18" x14ac:dyDescent="0.25">
      <c r="A422" s="169">
        <v>42622</v>
      </c>
      <c r="B422" s="116">
        <v>27.5</v>
      </c>
      <c r="C422" s="116">
        <v>26.574999999999999</v>
      </c>
      <c r="D422" s="116">
        <v>25.375</v>
      </c>
      <c r="E422" s="116">
        <v>25.85</v>
      </c>
      <c r="F422" s="116">
        <v>53.15</v>
      </c>
      <c r="G422">
        <v>611603</v>
      </c>
      <c r="H422" s="116"/>
      <c r="I422" s="116"/>
      <c r="L422" s="169">
        <v>42622</v>
      </c>
      <c r="M422" s="116">
        <v>26.6</v>
      </c>
      <c r="N422" s="116">
        <v>27.425000000000001</v>
      </c>
      <c r="O422" s="116">
        <v>25.3</v>
      </c>
      <c r="P422" s="116">
        <v>25.925000000000001</v>
      </c>
      <c r="Q422" s="116">
        <v>53.2</v>
      </c>
      <c r="R422">
        <v>1697174</v>
      </c>
    </row>
    <row r="423" spans="1:18" x14ac:dyDescent="0.25">
      <c r="A423" s="169">
        <v>42625</v>
      </c>
      <c r="B423" s="116">
        <v>27.074999999999999</v>
      </c>
      <c r="C423" s="116">
        <v>26.125</v>
      </c>
      <c r="D423" s="116">
        <v>25.85</v>
      </c>
      <c r="E423" s="116">
        <v>26</v>
      </c>
      <c r="F423" s="116">
        <v>52.25</v>
      </c>
      <c r="G423">
        <v>282557</v>
      </c>
      <c r="H423" s="116"/>
      <c r="I423" s="116"/>
      <c r="L423" s="169">
        <v>42625</v>
      </c>
      <c r="M423" s="116">
        <v>26.15</v>
      </c>
      <c r="N423" s="116">
        <v>27.1</v>
      </c>
      <c r="O423" s="116">
        <v>25.75</v>
      </c>
      <c r="P423" s="116">
        <v>25.95</v>
      </c>
      <c r="Q423" s="116">
        <v>52.3</v>
      </c>
      <c r="R423">
        <v>798109</v>
      </c>
    </row>
    <row r="424" spans="1:18" x14ac:dyDescent="0.25">
      <c r="A424" s="169">
        <v>42627</v>
      </c>
      <c r="B424" s="116">
        <v>26.375</v>
      </c>
      <c r="C424" s="116">
        <v>26.074999999999999</v>
      </c>
      <c r="D424" s="116">
        <v>25.65</v>
      </c>
      <c r="E424" s="116">
        <v>26.324999999999999</v>
      </c>
      <c r="F424" s="116">
        <v>52.15</v>
      </c>
      <c r="G424">
        <v>226593</v>
      </c>
      <c r="H424" s="116"/>
      <c r="I424" s="116"/>
      <c r="L424" s="169">
        <v>42627</v>
      </c>
      <c r="M424" s="116">
        <v>26.15</v>
      </c>
      <c r="N424" s="116">
        <v>26.45</v>
      </c>
      <c r="O424" s="116">
        <v>25.55</v>
      </c>
      <c r="P424" s="116">
        <v>26.25</v>
      </c>
      <c r="Q424" s="116">
        <v>52.3</v>
      </c>
      <c r="R424">
        <v>426509</v>
      </c>
    </row>
    <row r="425" spans="1:18" x14ac:dyDescent="0.25">
      <c r="A425" s="169">
        <v>42628</v>
      </c>
      <c r="B425" s="116">
        <v>26.45</v>
      </c>
      <c r="C425" s="116">
        <v>26.175000000000001</v>
      </c>
      <c r="D425" s="116">
        <v>26.05</v>
      </c>
      <c r="E425" s="116">
        <v>26.25</v>
      </c>
      <c r="F425" s="116">
        <v>52.35</v>
      </c>
      <c r="G425">
        <v>226523</v>
      </c>
      <c r="H425" s="116"/>
      <c r="I425" s="116"/>
      <c r="L425" s="169">
        <v>42628</v>
      </c>
      <c r="M425" s="116">
        <v>26.175000000000001</v>
      </c>
      <c r="N425" s="116">
        <v>26.475000000000001</v>
      </c>
      <c r="O425" s="116">
        <v>26.05</v>
      </c>
      <c r="P425" s="116">
        <v>26.125</v>
      </c>
      <c r="Q425" s="116">
        <v>52.35</v>
      </c>
      <c r="R425">
        <v>354521</v>
      </c>
    </row>
    <row r="426" spans="1:18" x14ac:dyDescent="0.25">
      <c r="A426" s="169">
        <v>42629</v>
      </c>
      <c r="B426" s="116">
        <v>27.15</v>
      </c>
      <c r="C426" s="116">
        <v>26.774999999999999</v>
      </c>
      <c r="D426" s="116">
        <v>26.1</v>
      </c>
      <c r="E426" s="116">
        <v>26.175000000000001</v>
      </c>
      <c r="F426" s="116">
        <v>53.55</v>
      </c>
      <c r="G426">
        <v>299740</v>
      </c>
      <c r="H426" s="116"/>
      <c r="I426" s="116"/>
      <c r="L426" s="169">
        <v>42629</v>
      </c>
      <c r="M426" s="116">
        <v>26.875</v>
      </c>
      <c r="N426" s="116">
        <v>27.25</v>
      </c>
      <c r="O426" s="116">
        <v>26.024999999999999</v>
      </c>
      <c r="P426" s="116">
        <v>26.2</v>
      </c>
      <c r="Q426" s="116">
        <v>53.75</v>
      </c>
      <c r="R426">
        <v>1019288</v>
      </c>
    </row>
    <row r="427" spans="1:18" x14ac:dyDescent="0.25">
      <c r="A427" s="169">
        <v>42632</v>
      </c>
      <c r="B427" s="116">
        <v>27.274999999999999</v>
      </c>
      <c r="C427" s="116">
        <v>26.75</v>
      </c>
      <c r="D427" s="116">
        <v>26.574999999999999</v>
      </c>
      <c r="E427" s="116">
        <v>27</v>
      </c>
      <c r="F427" s="116">
        <v>53.5</v>
      </c>
      <c r="G427">
        <v>195963</v>
      </c>
      <c r="H427" s="116"/>
      <c r="I427" s="116"/>
      <c r="L427" s="169">
        <v>42632</v>
      </c>
      <c r="M427" s="116">
        <v>26.7</v>
      </c>
      <c r="N427" s="116">
        <v>27.4</v>
      </c>
      <c r="O427" s="116">
        <v>26.55</v>
      </c>
      <c r="P427" s="116">
        <v>27.2</v>
      </c>
      <c r="Q427" s="116">
        <v>53.4</v>
      </c>
      <c r="R427">
        <v>482435</v>
      </c>
    </row>
    <row r="428" spans="1:18" x14ac:dyDescent="0.25">
      <c r="A428" s="169">
        <v>42633</v>
      </c>
      <c r="B428" s="116">
        <v>26.9</v>
      </c>
      <c r="C428" s="116">
        <v>26.175000000000001</v>
      </c>
      <c r="D428" s="116">
        <v>26</v>
      </c>
      <c r="E428" s="116">
        <v>26.9</v>
      </c>
      <c r="F428" s="116">
        <v>52.35</v>
      </c>
      <c r="G428">
        <v>140001</v>
      </c>
      <c r="H428" s="116"/>
      <c r="I428" s="116"/>
      <c r="L428" s="169">
        <v>42633</v>
      </c>
      <c r="M428" s="116">
        <v>26.05</v>
      </c>
      <c r="N428" s="116">
        <v>26.925000000000001</v>
      </c>
      <c r="O428" s="116">
        <v>25.5</v>
      </c>
      <c r="P428" s="116">
        <v>26.925000000000001</v>
      </c>
      <c r="Q428" s="116">
        <v>52.1</v>
      </c>
      <c r="R428">
        <v>381125</v>
      </c>
    </row>
    <row r="429" spans="1:18" x14ac:dyDescent="0.25">
      <c r="A429" s="169">
        <v>42634</v>
      </c>
      <c r="B429" s="116">
        <v>26.824999999999999</v>
      </c>
      <c r="C429" s="116">
        <v>26.175000000000001</v>
      </c>
      <c r="D429" s="116">
        <v>25.75</v>
      </c>
      <c r="E429" s="116">
        <v>26.1</v>
      </c>
      <c r="F429" s="116">
        <v>52.35</v>
      </c>
      <c r="G429">
        <v>96681</v>
      </c>
      <c r="H429" s="116"/>
      <c r="I429" s="116"/>
      <c r="L429" s="169">
        <v>42634</v>
      </c>
      <c r="M429" s="116">
        <v>26.15</v>
      </c>
      <c r="N429" s="116">
        <v>26.85</v>
      </c>
      <c r="O429" s="116">
        <v>25.8</v>
      </c>
      <c r="P429" s="116">
        <v>26.15</v>
      </c>
      <c r="Q429" s="116">
        <v>52.3</v>
      </c>
      <c r="R429">
        <v>266534</v>
      </c>
    </row>
    <row r="430" spans="1:18" x14ac:dyDescent="0.25">
      <c r="A430" s="169">
        <v>42635</v>
      </c>
      <c r="B430" s="116">
        <v>26.75</v>
      </c>
      <c r="C430" s="116">
        <v>26.175000000000001</v>
      </c>
      <c r="D430" s="116">
        <v>26.1</v>
      </c>
      <c r="E430" s="116">
        <v>26.725000000000001</v>
      </c>
      <c r="F430" s="116">
        <v>52.35</v>
      </c>
      <c r="G430">
        <v>105364</v>
      </c>
      <c r="H430" s="116"/>
      <c r="I430" s="116"/>
      <c r="L430" s="169">
        <v>42635</v>
      </c>
      <c r="M430" s="116">
        <v>26.2</v>
      </c>
      <c r="N430" s="116">
        <v>26.8</v>
      </c>
      <c r="O430" s="116">
        <v>26.1</v>
      </c>
      <c r="P430" s="116">
        <v>26.8</v>
      </c>
      <c r="Q430" s="116">
        <v>52.4</v>
      </c>
      <c r="R430">
        <v>218132</v>
      </c>
    </row>
    <row r="431" spans="1:18" x14ac:dyDescent="0.25">
      <c r="A431" s="169">
        <v>42636</v>
      </c>
      <c r="B431" s="116">
        <v>28.15</v>
      </c>
      <c r="C431" s="116">
        <v>27.75</v>
      </c>
      <c r="D431" s="116">
        <v>26.5</v>
      </c>
      <c r="E431" s="116">
        <v>26.975000000000001</v>
      </c>
      <c r="F431" s="116">
        <v>55.5</v>
      </c>
      <c r="G431">
        <v>832634</v>
      </c>
      <c r="H431" s="116"/>
      <c r="I431" s="116"/>
      <c r="L431" s="169">
        <v>42636</v>
      </c>
      <c r="M431" s="116">
        <v>27.774999999999999</v>
      </c>
      <c r="N431" s="116">
        <v>28.2</v>
      </c>
      <c r="O431" s="116">
        <v>26.45</v>
      </c>
      <c r="P431" s="116">
        <v>26.6</v>
      </c>
      <c r="Q431" s="116">
        <v>55.55</v>
      </c>
      <c r="R431">
        <v>2354688</v>
      </c>
    </row>
    <row r="432" spans="1:18" x14ac:dyDescent="0.25">
      <c r="A432" s="169">
        <v>42639</v>
      </c>
      <c r="B432" s="116">
        <v>28.7</v>
      </c>
      <c r="C432" s="116">
        <v>27.95</v>
      </c>
      <c r="D432" s="116">
        <v>27.574999999999999</v>
      </c>
      <c r="E432" s="116">
        <v>27.925000000000001</v>
      </c>
      <c r="F432" s="116">
        <v>55.9</v>
      </c>
      <c r="G432">
        <v>543044</v>
      </c>
      <c r="H432" s="116"/>
      <c r="I432" s="116"/>
      <c r="L432" s="169">
        <v>42639</v>
      </c>
      <c r="M432" s="116">
        <v>28.024999999999999</v>
      </c>
      <c r="N432" s="116">
        <v>28.725000000000001</v>
      </c>
      <c r="O432" s="116">
        <v>27.6</v>
      </c>
      <c r="P432" s="116">
        <v>27.8</v>
      </c>
      <c r="Q432" s="116">
        <v>56.05</v>
      </c>
      <c r="R432">
        <v>1831675</v>
      </c>
    </row>
    <row r="433" spans="1:18" x14ac:dyDescent="0.25">
      <c r="A433" s="169">
        <v>42640</v>
      </c>
      <c r="B433" s="116">
        <v>29.1</v>
      </c>
      <c r="C433" s="116">
        <v>28.55</v>
      </c>
      <c r="D433" s="116">
        <v>27.45</v>
      </c>
      <c r="E433" s="116">
        <v>28.3</v>
      </c>
      <c r="F433" s="116">
        <v>57.1</v>
      </c>
      <c r="G433">
        <v>510632</v>
      </c>
      <c r="H433" s="116"/>
      <c r="I433" s="116"/>
      <c r="L433" s="169">
        <v>42640</v>
      </c>
      <c r="M433" s="116">
        <v>28.574999999999999</v>
      </c>
      <c r="N433" s="116">
        <v>29.15</v>
      </c>
      <c r="O433" s="116">
        <v>27.425000000000001</v>
      </c>
      <c r="P433" s="116">
        <v>28.274999999999999</v>
      </c>
      <c r="Q433" s="116">
        <v>57.15</v>
      </c>
      <c r="R433">
        <v>1810198</v>
      </c>
    </row>
    <row r="434" spans="1:18" x14ac:dyDescent="0.25">
      <c r="A434" s="169">
        <v>42641</v>
      </c>
      <c r="B434" s="116">
        <v>29.9</v>
      </c>
      <c r="C434" s="116">
        <v>29.274999999999999</v>
      </c>
      <c r="D434" s="116">
        <v>28.7</v>
      </c>
      <c r="E434" s="116">
        <v>28.7</v>
      </c>
      <c r="F434" s="116">
        <v>58.55</v>
      </c>
      <c r="G434">
        <v>501887</v>
      </c>
      <c r="H434" s="116"/>
      <c r="I434" s="116"/>
      <c r="L434" s="169">
        <v>42641</v>
      </c>
      <c r="M434" s="116">
        <v>29.324999999999999</v>
      </c>
      <c r="N434" s="116">
        <v>29.9</v>
      </c>
      <c r="O434" s="116">
        <v>28.774999999999999</v>
      </c>
      <c r="P434" s="116">
        <v>28.85</v>
      </c>
      <c r="Q434" s="116">
        <v>58.65</v>
      </c>
      <c r="R434">
        <v>1624341</v>
      </c>
    </row>
    <row r="435" spans="1:18" x14ac:dyDescent="0.25">
      <c r="A435" s="169">
        <v>42642</v>
      </c>
      <c r="B435" s="116">
        <v>29.9</v>
      </c>
      <c r="C435" s="116">
        <v>26.8</v>
      </c>
      <c r="D435" s="116">
        <v>26.5</v>
      </c>
      <c r="E435" s="116">
        <v>29.7</v>
      </c>
      <c r="F435" s="116">
        <v>53.6</v>
      </c>
      <c r="G435">
        <v>766041</v>
      </c>
      <c r="H435" s="116"/>
      <c r="I435" s="116"/>
      <c r="L435" s="169">
        <v>42642</v>
      </c>
      <c r="M435" s="116">
        <v>26.8</v>
      </c>
      <c r="N435" s="116">
        <v>29.85</v>
      </c>
      <c r="O435" s="116">
        <v>26.5</v>
      </c>
      <c r="P435" s="116">
        <v>29.375</v>
      </c>
      <c r="Q435" s="116">
        <v>53.6</v>
      </c>
      <c r="R435">
        <v>2113812</v>
      </c>
    </row>
    <row r="436" spans="1:18" x14ac:dyDescent="0.25">
      <c r="A436" s="169">
        <v>42643</v>
      </c>
      <c r="B436" s="116">
        <v>27.65</v>
      </c>
      <c r="C436" s="116">
        <v>27.35</v>
      </c>
      <c r="D436" s="116">
        <v>26.425000000000001</v>
      </c>
      <c r="E436" s="116">
        <v>27</v>
      </c>
      <c r="F436" s="116">
        <v>54.7</v>
      </c>
      <c r="G436">
        <v>451823</v>
      </c>
      <c r="H436" s="116"/>
      <c r="I436" s="116"/>
      <c r="L436" s="169">
        <v>42643</v>
      </c>
      <c r="M436" s="116">
        <v>27.425000000000001</v>
      </c>
      <c r="N436" s="116">
        <v>27.625</v>
      </c>
      <c r="O436" s="116">
        <v>26.5</v>
      </c>
      <c r="P436" s="116">
        <v>26.55</v>
      </c>
      <c r="Q436" s="116">
        <v>54.85</v>
      </c>
      <c r="R436">
        <v>872337</v>
      </c>
    </row>
    <row r="437" spans="1:18" x14ac:dyDescent="0.25">
      <c r="A437" s="169">
        <v>42646</v>
      </c>
      <c r="B437" s="116">
        <v>28.75</v>
      </c>
      <c r="C437" s="116">
        <v>28.5</v>
      </c>
      <c r="D437" s="116">
        <v>27.6</v>
      </c>
      <c r="E437" s="116">
        <v>27.7</v>
      </c>
      <c r="F437" s="116">
        <v>57</v>
      </c>
      <c r="G437">
        <v>317151</v>
      </c>
      <c r="H437" s="116"/>
      <c r="I437" s="116"/>
      <c r="L437" s="169">
        <v>42646</v>
      </c>
      <c r="M437" s="116">
        <v>28.55</v>
      </c>
      <c r="N437" s="116">
        <v>28.8</v>
      </c>
      <c r="O437" s="116">
        <v>27.574999999999999</v>
      </c>
      <c r="P437" s="116">
        <v>27.65</v>
      </c>
      <c r="Q437" s="116">
        <v>57.1</v>
      </c>
      <c r="R437">
        <v>898824</v>
      </c>
    </row>
    <row r="438" spans="1:18" x14ac:dyDescent="0.25">
      <c r="A438" s="169">
        <v>42647</v>
      </c>
      <c r="B438" s="116">
        <v>29.3</v>
      </c>
      <c r="C438" s="116">
        <v>28.975000000000001</v>
      </c>
      <c r="D438" s="116">
        <v>28.25</v>
      </c>
      <c r="E438" s="116">
        <v>28.274999999999999</v>
      </c>
      <c r="F438" s="116">
        <v>57.95</v>
      </c>
      <c r="G438">
        <v>523710</v>
      </c>
      <c r="H438" s="116"/>
      <c r="I438" s="116"/>
      <c r="L438" s="169">
        <v>42647</v>
      </c>
      <c r="M438" s="116">
        <v>28.975000000000001</v>
      </c>
      <c r="N438" s="116">
        <v>29.25</v>
      </c>
      <c r="O438" s="116">
        <v>28.25</v>
      </c>
      <c r="P438" s="116">
        <v>28.55</v>
      </c>
      <c r="Q438" s="116">
        <v>57.95</v>
      </c>
      <c r="R438">
        <v>1305588</v>
      </c>
    </row>
    <row r="439" spans="1:18" x14ac:dyDescent="0.25">
      <c r="A439" s="169">
        <v>42648</v>
      </c>
      <c r="B439" s="116">
        <v>30.65</v>
      </c>
      <c r="C439" s="116">
        <v>30.375</v>
      </c>
      <c r="D439" s="116">
        <v>28.5</v>
      </c>
      <c r="E439" s="116">
        <v>29.7</v>
      </c>
      <c r="F439" s="116">
        <v>60.75</v>
      </c>
      <c r="G439">
        <v>899468</v>
      </c>
      <c r="H439" s="116"/>
      <c r="I439" s="116"/>
      <c r="L439" s="169">
        <v>42648</v>
      </c>
      <c r="M439" s="116">
        <v>30.45</v>
      </c>
      <c r="N439" s="116">
        <v>30.625</v>
      </c>
      <c r="O439" s="116">
        <v>28.55</v>
      </c>
      <c r="P439" s="116">
        <v>29.425000000000001</v>
      </c>
      <c r="Q439" s="116">
        <v>60.9</v>
      </c>
      <c r="R439">
        <v>2661760</v>
      </c>
    </row>
    <row r="440" spans="1:18" x14ac:dyDescent="0.25">
      <c r="A440" s="169">
        <v>42649</v>
      </c>
      <c r="B440" s="116">
        <v>31.175000000000001</v>
      </c>
      <c r="C440" s="116">
        <v>29.8</v>
      </c>
      <c r="D440" s="116">
        <v>29.375</v>
      </c>
      <c r="E440" s="116">
        <v>30.25</v>
      </c>
      <c r="F440" s="116">
        <v>59.6</v>
      </c>
      <c r="G440">
        <v>1038259</v>
      </c>
      <c r="H440" s="116"/>
      <c r="I440" s="116"/>
      <c r="L440" s="169">
        <v>42649</v>
      </c>
      <c r="M440" s="116">
        <v>29.824999999999999</v>
      </c>
      <c r="N440" s="116">
        <v>31.125</v>
      </c>
      <c r="O440" s="116">
        <v>29.3</v>
      </c>
      <c r="P440" s="116">
        <v>30.7</v>
      </c>
      <c r="Q440" s="116">
        <v>59.65</v>
      </c>
      <c r="R440">
        <v>1915806</v>
      </c>
    </row>
    <row r="441" spans="1:18" x14ac:dyDescent="0.25">
      <c r="A441" s="169">
        <v>42650</v>
      </c>
      <c r="B441" s="116">
        <v>30.3</v>
      </c>
      <c r="C441" s="116">
        <v>29.475000000000001</v>
      </c>
      <c r="D441" s="116">
        <v>28.875</v>
      </c>
      <c r="E441" s="116">
        <v>29.625</v>
      </c>
      <c r="F441" s="116">
        <v>58.95</v>
      </c>
      <c r="G441">
        <v>512371</v>
      </c>
      <c r="H441" s="116"/>
      <c r="I441" s="116"/>
      <c r="L441" s="169">
        <v>42650</v>
      </c>
      <c r="M441" s="116">
        <v>29.425000000000001</v>
      </c>
      <c r="N441" s="116">
        <v>30.3</v>
      </c>
      <c r="O441" s="116">
        <v>28.8</v>
      </c>
      <c r="P441" s="116">
        <v>30</v>
      </c>
      <c r="Q441" s="116">
        <v>58.85</v>
      </c>
      <c r="R441">
        <v>1048487</v>
      </c>
    </row>
    <row r="442" spans="1:18" x14ac:dyDescent="0.25">
      <c r="A442" s="169">
        <v>42653</v>
      </c>
      <c r="B442" s="116">
        <v>31.725000000000001</v>
      </c>
      <c r="C442" s="116">
        <v>31.15</v>
      </c>
      <c r="D442" s="116">
        <v>29.3</v>
      </c>
      <c r="E442" s="116">
        <v>29.3</v>
      </c>
      <c r="F442" s="116">
        <v>62.3</v>
      </c>
      <c r="G442">
        <v>445083</v>
      </c>
      <c r="H442" s="116"/>
      <c r="I442" s="116"/>
      <c r="L442" s="169">
        <v>42653</v>
      </c>
      <c r="M442" s="116">
        <v>31.25</v>
      </c>
      <c r="N442" s="116">
        <v>31.7</v>
      </c>
      <c r="O442" s="116">
        <v>29.5</v>
      </c>
      <c r="P442" s="116">
        <v>29.7</v>
      </c>
      <c r="Q442" s="116">
        <v>62.5</v>
      </c>
      <c r="R442">
        <v>2029740</v>
      </c>
    </row>
    <row r="443" spans="1:18" x14ac:dyDescent="0.25">
      <c r="A443" s="169">
        <v>42656</v>
      </c>
      <c r="B443" s="116">
        <v>32.4</v>
      </c>
      <c r="C443" s="116">
        <v>31.125</v>
      </c>
      <c r="D443" s="116">
        <v>30.225000000000001</v>
      </c>
      <c r="E443" s="116">
        <v>31</v>
      </c>
      <c r="F443" s="116">
        <v>62.25</v>
      </c>
      <c r="G443">
        <v>530489</v>
      </c>
      <c r="H443" s="116"/>
      <c r="I443" s="116"/>
      <c r="L443" s="169">
        <v>42656</v>
      </c>
      <c r="M443" s="116">
        <v>31.15</v>
      </c>
      <c r="N443" s="116">
        <v>32.4</v>
      </c>
      <c r="O443" s="116">
        <v>30.2</v>
      </c>
      <c r="P443" s="116">
        <v>31.375</v>
      </c>
      <c r="Q443" s="116">
        <v>62.3</v>
      </c>
      <c r="R443">
        <v>1633078</v>
      </c>
    </row>
    <row r="444" spans="1:18" x14ac:dyDescent="0.25">
      <c r="A444" s="169">
        <v>42657</v>
      </c>
      <c r="B444" s="116">
        <v>33.200000000000003</v>
      </c>
      <c r="C444" s="116">
        <v>32.85</v>
      </c>
      <c r="D444" s="116">
        <v>30.6</v>
      </c>
      <c r="E444" s="116">
        <v>31.45</v>
      </c>
      <c r="F444" s="116">
        <v>65.7</v>
      </c>
      <c r="G444">
        <v>606877</v>
      </c>
      <c r="H444" s="116"/>
      <c r="I444" s="116"/>
      <c r="L444" s="169">
        <v>42657</v>
      </c>
      <c r="M444" s="116">
        <v>32.950000000000003</v>
      </c>
      <c r="N444" s="116">
        <v>33.299999999999997</v>
      </c>
      <c r="O444" s="116">
        <v>30.6</v>
      </c>
      <c r="P444" s="116">
        <v>31.4</v>
      </c>
      <c r="Q444" s="116">
        <v>65.900000000000006</v>
      </c>
      <c r="R444">
        <v>2381638</v>
      </c>
    </row>
    <row r="445" spans="1:18" x14ac:dyDescent="0.25">
      <c r="A445" s="169">
        <v>42660</v>
      </c>
      <c r="B445" s="116">
        <v>33.475000000000001</v>
      </c>
      <c r="C445" s="116">
        <v>31.074999999999999</v>
      </c>
      <c r="D445" s="116">
        <v>30.774999999999999</v>
      </c>
      <c r="E445" s="116">
        <v>33.049999999999997</v>
      </c>
      <c r="F445" s="116">
        <v>62.15</v>
      </c>
      <c r="G445">
        <v>708627</v>
      </c>
      <c r="H445" s="116"/>
      <c r="I445" s="116"/>
      <c r="L445" s="169">
        <v>42660</v>
      </c>
      <c r="M445" s="116">
        <v>31.125</v>
      </c>
      <c r="N445" s="116">
        <v>33.475000000000001</v>
      </c>
      <c r="O445" s="116">
        <v>30.9</v>
      </c>
      <c r="P445" s="116">
        <v>33.125</v>
      </c>
      <c r="Q445" s="116">
        <v>62.25</v>
      </c>
      <c r="R445">
        <v>2694987</v>
      </c>
    </row>
    <row r="446" spans="1:18" x14ac:dyDescent="0.25">
      <c r="A446" s="169">
        <v>42661</v>
      </c>
      <c r="B446" s="116">
        <v>32.15</v>
      </c>
      <c r="C446" s="116">
        <v>31.25</v>
      </c>
      <c r="D446" s="116">
        <v>30.8</v>
      </c>
      <c r="E446" s="116">
        <v>31.5</v>
      </c>
      <c r="F446" s="116">
        <v>62.5</v>
      </c>
      <c r="G446">
        <v>289621</v>
      </c>
      <c r="H446" s="116"/>
      <c r="I446" s="116"/>
      <c r="L446" s="169">
        <v>42661</v>
      </c>
      <c r="M446" s="116">
        <v>31.175000000000001</v>
      </c>
      <c r="N446" s="116">
        <v>32.125</v>
      </c>
      <c r="O446" s="116">
        <v>30.774999999999999</v>
      </c>
      <c r="P446" s="116">
        <v>31.475000000000001</v>
      </c>
      <c r="Q446" s="116">
        <v>62.35</v>
      </c>
      <c r="R446">
        <v>1443521</v>
      </c>
    </row>
    <row r="447" spans="1:18" x14ac:dyDescent="0.25">
      <c r="A447" s="169">
        <v>42662</v>
      </c>
      <c r="B447" s="116">
        <v>33.225000000000001</v>
      </c>
      <c r="C447" s="116">
        <v>32.950000000000003</v>
      </c>
      <c r="D447" s="116">
        <v>31.2</v>
      </c>
      <c r="E447" s="116">
        <v>31.824999999999999</v>
      </c>
      <c r="F447" s="116">
        <v>65.900000000000006</v>
      </c>
      <c r="G447">
        <v>495587</v>
      </c>
      <c r="H447" s="116"/>
      <c r="I447" s="116"/>
      <c r="L447" s="169">
        <v>42662</v>
      </c>
      <c r="M447" s="116">
        <v>33</v>
      </c>
      <c r="N447" s="116">
        <v>33.299999999999997</v>
      </c>
      <c r="O447" s="116">
        <v>31.175000000000001</v>
      </c>
      <c r="P447" s="116">
        <v>31.3</v>
      </c>
      <c r="Q447" s="116">
        <v>66</v>
      </c>
      <c r="R447">
        <v>2210509</v>
      </c>
    </row>
    <row r="448" spans="1:18" x14ac:dyDescent="0.25">
      <c r="A448" s="169">
        <v>42663</v>
      </c>
      <c r="B448" s="116">
        <v>33.799999999999997</v>
      </c>
      <c r="C448" s="116">
        <v>33.450000000000003</v>
      </c>
      <c r="D448" s="116">
        <v>32.65</v>
      </c>
      <c r="E448" s="116">
        <v>33.225000000000001</v>
      </c>
      <c r="F448" s="116">
        <v>66.900000000000006</v>
      </c>
      <c r="G448">
        <v>309590</v>
      </c>
      <c r="H448" s="116"/>
      <c r="I448" s="116"/>
      <c r="L448" s="169">
        <v>42663</v>
      </c>
      <c r="M448" s="116">
        <v>33.5</v>
      </c>
      <c r="N448" s="116">
        <v>33.799999999999997</v>
      </c>
      <c r="O448" s="116">
        <v>32.6</v>
      </c>
      <c r="P448" s="116">
        <v>33.1</v>
      </c>
      <c r="Q448" s="116">
        <v>67</v>
      </c>
      <c r="R448">
        <v>1577492</v>
      </c>
    </row>
    <row r="449" spans="1:18" x14ac:dyDescent="0.25">
      <c r="A449" s="169">
        <v>42664</v>
      </c>
      <c r="B449" s="116">
        <v>33.75</v>
      </c>
      <c r="C449" s="116">
        <v>32.774999999999999</v>
      </c>
      <c r="D449" s="116">
        <v>32.549999999999997</v>
      </c>
      <c r="E449" s="116">
        <v>33.5</v>
      </c>
      <c r="F449" s="116">
        <v>65.55</v>
      </c>
      <c r="G449">
        <v>178910</v>
      </c>
      <c r="H449" s="116"/>
      <c r="I449" s="116"/>
      <c r="L449" s="169">
        <v>42664</v>
      </c>
      <c r="M449" s="116">
        <v>32.85</v>
      </c>
      <c r="N449" s="116">
        <v>33.700000000000003</v>
      </c>
      <c r="O449" s="116">
        <v>32.5</v>
      </c>
      <c r="P449" s="116">
        <v>33.299999999999997</v>
      </c>
      <c r="Q449" s="116">
        <v>65.7</v>
      </c>
      <c r="R449">
        <v>916664</v>
      </c>
    </row>
    <row r="450" spans="1:18" x14ac:dyDescent="0.25">
      <c r="A450" s="169">
        <v>42667</v>
      </c>
      <c r="B450" s="116">
        <v>33.725000000000001</v>
      </c>
      <c r="C450" s="116">
        <v>33.024999999999999</v>
      </c>
      <c r="D450" s="116">
        <v>32.674999999999997</v>
      </c>
      <c r="E450" s="116">
        <v>33.25</v>
      </c>
      <c r="F450" s="116">
        <v>66.05</v>
      </c>
      <c r="G450">
        <v>249115</v>
      </c>
      <c r="H450" s="116"/>
      <c r="I450" s="116"/>
      <c r="L450" s="169">
        <v>42667</v>
      </c>
      <c r="M450" s="116">
        <v>32.975000000000001</v>
      </c>
      <c r="N450" s="116">
        <v>33.674999999999997</v>
      </c>
      <c r="O450" s="116">
        <v>32.575000000000003</v>
      </c>
      <c r="P450" s="116">
        <v>33.15</v>
      </c>
      <c r="Q450" s="116">
        <v>65.95</v>
      </c>
      <c r="R450">
        <v>906497</v>
      </c>
    </row>
    <row r="451" spans="1:18" x14ac:dyDescent="0.25">
      <c r="A451" s="169">
        <v>42668</v>
      </c>
      <c r="B451" s="116">
        <v>33.174999999999997</v>
      </c>
      <c r="C451" s="116">
        <v>32.549999999999997</v>
      </c>
      <c r="D451" s="116">
        <v>32.200000000000003</v>
      </c>
      <c r="E451" s="116">
        <v>33.1</v>
      </c>
      <c r="F451" s="116">
        <v>65.099999999999994</v>
      </c>
      <c r="G451">
        <v>173906</v>
      </c>
      <c r="H451" s="116"/>
      <c r="I451" s="116"/>
      <c r="L451" s="169">
        <v>42668</v>
      </c>
      <c r="M451" s="116">
        <v>32.65</v>
      </c>
      <c r="N451" s="116">
        <v>33.200000000000003</v>
      </c>
      <c r="O451" s="116">
        <v>32.15</v>
      </c>
      <c r="P451" s="116">
        <v>33.200000000000003</v>
      </c>
      <c r="Q451" s="116">
        <v>65.3</v>
      </c>
      <c r="R451">
        <v>482834</v>
      </c>
    </row>
    <row r="452" spans="1:18" x14ac:dyDescent="0.25">
      <c r="A452" s="169">
        <v>42669</v>
      </c>
      <c r="B452" s="116">
        <v>32.6</v>
      </c>
      <c r="C452" s="116">
        <v>31.8</v>
      </c>
      <c r="D452" s="116">
        <v>31.5</v>
      </c>
      <c r="E452" s="116">
        <v>32.424999999999997</v>
      </c>
      <c r="F452" s="116">
        <v>63.6</v>
      </c>
      <c r="G452">
        <v>190367</v>
      </c>
      <c r="H452" s="116"/>
      <c r="I452" s="116"/>
      <c r="L452" s="169">
        <v>42669</v>
      </c>
      <c r="M452" s="116">
        <v>31.824999999999999</v>
      </c>
      <c r="N452" s="116">
        <v>32.75</v>
      </c>
      <c r="O452" s="116">
        <v>31.55</v>
      </c>
      <c r="P452" s="116">
        <v>32.75</v>
      </c>
      <c r="Q452" s="116">
        <v>63.65</v>
      </c>
      <c r="R452">
        <v>590144</v>
      </c>
    </row>
    <row r="453" spans="1:18" x14ac:dyDescent="0.25">
      <c r="A453" s="169">
        <v>42670</v>
      </c>
      <c r="B453" s="116">
        <v>32.1</v>
      </c>
      <c r="C453" s="116">
        <v>31.625</v>
      </c>
      <c r="D453" s="116">
        <v>31.274999999999999</v>
      </c>
      <c r="E453" s="116">
        <v>31.875</v>
      </c>
      <c r="F453" s="116">
        <v>63.25</v>
      </c>
      <c r="G453">
        <v>156123</v>
      </c>
      <c r="H453" s="116"/>
      <c r="I453" s="116"/>
      <c r="L453" s="169">
        <v>42670</v>
      </c>
      <c r="M453" s="116">
        <v>31.6</v>
      </c>
      <c r="N453" s="116">
        <v>32.075000000000003</v>
      </c>
      <c r="O453" s="116">
        <v>31.25</v>
      </c>
      <c r="P453" s="116">
        <v>31.925000000000001</v>
      </c>
      <c r="Q453" s="116">
        <v>63.2</v>
      </c>
      <c r="R453">
        <v>519090</v>
      </c>
    </row>
    <row r="454" spans="1:18" x14ac:dyDescent="0.25">
      <c r="A454" s="169">
        <v>42671</v>
      </c>
      <c r="B454" s="116">
        <v>32.299999999999997</v>
      </c>
      <c r="C454" s="116">
        <v>32.1</v>
      </c>
      <c r="D454" s="116">
        <v>31.5</v>
      </c>
      <c r="E454" s="116">
        <v>31.574999999999999</v>
      </c>
      <c r="F454" s="116">
        <v>64.2</v>
      </c>
      <c r="G454">
        <v>212679</v>
      </c>
      <c r="H454" s="116"/>
      <c r="I454" s="116"/>
      <c r="L454" s="169">
        <v>42671</v>
      </c>
      <c r="M454" s="116">
        <v>31.95</v>
      </c>
      <c r="N454" s="116">
        <v>32.25</v>
      </c>
      <c r="O454" s="116">
        <v>31.475000000000001</v>
      </c>
      <c r="P454" s="116">
        <v>31.95</v>
      </c>
      <c r="Q454" s="116">
        <v>63.9</v>
      </c>
      <c r="R454">
        <v>520912</v>
      </c>
    </row>
    <row r="455" spans="1:18" x14ac:dyDescent="0.25">
      <c r="A455" s="169">
        <v>42673</v>
      </c>
      <c r="B455" s="116">
        <v>32.325000000000003</v>
      </c>
      <c r="C455" s="116">
        <v>32.125</v>
      </c>
      <c r="D455" s="116">
        <v>31.95</v>
      </c>
      <c r="E455" s="116">
        <v>32.075000000000003</v>
      </c>
      <c r="F455" s="116">
        <v>64.25</v>
      </c>
      <c r="G455">
        <v>53489</v>
      </c>
      <c r="H455" s="116"/>
      <c r="I455" s="116"/>
      <c r="L455" s="169">
        <v>42673</v>
      </c>
      <c r="M455" s="116">
        <v>32.075000000000003</v>
      </c>
      <c r="N455" s="116">
        <v>32.35</v>
      </c>
      <c r="O455" s="116">
        <v>31.925000000000001</v>
      </c>
      <c r="P455" s="116">
        <v>32.1</v>
      </c>
      <c r="Q455" s="116">
        <v>64.150000000000006</v>
      </c>
      <c r="R455">
        <v>168110</v>
      </c>
    </row>
    <row r="456" spans="1:18" x14ac:dyDescent="0.25">
      <c r="A456" s="169">
        <v>42675</v>
      </c>
      <c r="B456" s="116">
        <v>33.25</v>
      </c>
      <c r="C456" s="116">
        <v>32.475000000000001</v>
      </c>
      <c r="D456" s="116">
        <v>31.75</v>
      </c>
      <c r="E456" s="116">
        <v>32.25</v>
      </c>
      <c r="F456" s="116">
        <v>64.95</v>
      </c>
      <c r="G456">
        <v>383093</v>
      </c>
      <c r="H456" s="116"/>
      <c r="I456" s="116"/>
      <c r="L456" s="169">
        <v>42675</v>
      </c>
      <c r="M456" s="116">
        <v>32.424999999999997</v>
      </c>
      <c r="N456" s="116">
        <v>33.25</v>
      </c>
      <c r="O456" s="116">
        <v>31.75</v>
      </c>
      <c r="P456" s="116">
        <v>32.174999999999997</v>
      </c>
      <c r="Q456" s="116">
        <v>64.849999999999994</v>
      </c>
      <c r="R456">
        <v>923727</v>
      </c>
    </row>
    <row r="457" spans="1:18" x14ac:dyDescent="0.25">
      <c r="A457" s="169">
        <v>42676</v>
      </c>
      <c r="B457" s="116">
        <v>32.325000000000003</v>
      </c>
      <c r="C457" s="116">
        <v>31.5</v>
      </c>
      <c r="D457" s="116">
        <v>31.25</v>
      </c>
      <c r="E457" s="116">
        <v>31.8</v>
      </c>
      <c r="F457" s="116">
        <v>63</v>
      </c>
      <c r="G457">
        <v>170709</v>
      </c>
      <c r="H457" s="116"/>
      <c r="I457" s="116"/>
      <c r="L457" s="169">
        <v>42676</v>
      </c>
      <c r="M457" s="116">
        <v>31.475000000000001</v>
      </c>
      <c r="N457" s="116">
        <v>32.25</v>
      </c>
      <c r="O457" s="116">
        <v>31.274999999999999</v>
      </c>
      <c r="P457" s="116">
        <v>31.7</v>
      </c>
      <c r="Q457" s="116">
        <v>62.95</v>
      </c>
      <c r="R457">
        <v>471970</v>
      </c>
    </row>
    <row r="458" spans="1:18" x14ac:dyDescent="0.25">
      <c r="A458" s="169">
        <v>42677</v>
      </c>
      <c r="B458" s="116">
        <v>31.95</v>
      </c>
      <c r="C458" s="116">
        <v>31.024999999999999</v>
      </c>
      <c r="D458" s="116">
        <v>30.774999999999999</v>
      </c>
      <c r="E458" s="116">
        <v>31.75</v>
      </c>
      <c r="F458" s="116">
        <v>62.05</v>
      </c>
      <c r="G458">
        <v>168498</v>
      </c>
      <c r="H458" s="116"/>
      <c r="I458" s="116"/>
      <c r="L458" s="169">
        <v>42677</v>
      </c>
      <c r="M458" s="116">
        <v>31</v>
      </c>
      <c r="N458" s="116">
        <v>32</v>
      </c>
      <c r="O458" s="116">
        <v>30.75</v>
      </c>
      <c r="P458" s="116">
        <v>31.5</v>
      </c>
      <c r="Q458" s="116">
        <v>62</v>
      </c>
      <c r="R458">
        <v>495002</v>
      </c>
    </row>
    <row r="459" spans="1:18" x14ac:dyDescent="0.25">
      <c r="A459" s="169">
        <v>42678</v>
      </c>
      <c r="B459" s="116">
        <v>31.225000000000001</v>
      </c>
      <c r="C459" s="116">
        <v>29.975000000000001</v>
      </c>
      <c r="D459" s="116">
        <v>28.4</v>
      </c>
      <c r="E459" s="116">
        <v>31</v>
      </c>
      <c r="F459" s="116">
        <v>59.95</v>
      </c>
      <c r="G459">
        <v>937151</v>
      </c>
      <c r="H459" s="116"/>
      <c r="I459" s="116"/>
      <c r="L459" s="169">
        <v>42678</v>
      </c>
      <c r="M459" s="116">
        <v>30</v>
      </c>
      <c r="N459" s="116">
        <v>31.25</v>
      </c>
      <c r="O459" s="116">
        <v>28.574999999999999</v>
      </c>
      <c r="P459" s="116">
        <v>31.25</v>
      </c>
      <c r="Q459" s="116">
        <v>60</v>
      </c>
      <c r="R459">
        <v>2250312</v>
      </c>
    </row>
    <row r="460" spans="1:18" x14ac:dyDescent="0.25">
      <c r="A460" s="169">
        <v>42681</v>
      </c>
      <c r="B460" s="116">
        <v>31.45</v>
      </c>
      <c r="C460" s="116">
        <v>29.524999999999999</v>
      </c>
      <c r="D460" s="116">
        <v>29.175000000000001</v>
      </c>
      <c r="E460" s="116">
        <v>30.225000000000001</v>
      </c>
      <c r="F460" s="116">
        <v>59.05</v>
      </c>
      <c r="G460">
        <v>355701</v>
      </c>
      <c r="H460" s="116"/>
      <c r="I460" s="116"/>
      <c r="L460" s="169">
        <v>42681</v>
      </c>
      <c r="M460" s="116">
        <v>29.524999999999999</v>
      </c>
      <c r="N460" s="116">
        <v>31</v>
      </c>
      <c r="O460" s="116">
        <v>29.225000000000001</v>
      </c>
      <c r="P460" s="116">
        <v>30.524999999999999</v>
      </c>
      <c r="Q460" s="116">
        <v>59.05</v>
      </c>
      <c r="R460">
        <v>604079</v>
      </c>
    </row>
    <row r="461" spans="1:18" x14ac:dyDescent="0.25">
      <c r="A461" s="169">
        <v>42682</v>
      </c>
      <c r="B461" s="116">
        <v>29.85</v>
      </c>
      <c r="C461" s="116">
        <v>28.625</v>
      </c>
      <c r="D461" s="116">
        <v>28.5</v>
      </c>
      <c r="E461" s="116">
        <v>29.5</v>
      </c>
      <c r="F461" s="116">
        <v>57.25</v>
      </c>
      <c r="G461">
        <v>252070</v>
      </c>
      <c r="H461" s="116"/>
      <c r="I461" s="116"/>
      <c r="L461" s="169">
        <v>42682</v>
      </c>
      <c r="M461" s="116">
        <v>28.7</v>
      </c>
      <c r="N461" s="116">
        <v>29.824999999999999</v>
      </c>
      <c r="O461" s="116">
        <v>28.574999999999999</v>
      </c>
      <c r="P461" s="116">
        <v>29.524999999999999</v>
      </c>
      <c r="Q461" s="116">
        <v>57.4</v>
      </c>
      <c r="R461">
        <v>492293</v>
      </c>
    </row>
    <row r="462" spans="1:18" x14ac:dyDescent="0.25">
      <c r="A462" s="169">
        <v>42683</v>
      </c>
      <c r="B462" s="116">
        <v>29.024999999999999</v>
      </c>
      <c r="C462" s="116">
        <v>28.5</v>
      </c>
      <c r="D462" s="116">
        <v>23.274999999999999</v>
      </c>
      <c r="E462" s="116">
        <v>25.5</v>
      </c>
      <c r="F462" s="116">
        <v>57</v>
      </c>
      <c r="G462">
        <v>350645</v>
      </c>
      <c r="H462" s="116"/>
      <c r="I462" s="116"/>
      <c r="L462" s="169">
        <v>42683</v>
      </c>
      <c r="M462" s="116">
        <v>28.574999999999999</v>
      </c>
      <c r="N462" s="116">
        <v>29.15</v>
      </c>
      <c r="O462" s="116">
        <v>23.75</v>
      </c>
      <c r="P462" s="116">
        <v>24.35</v>
      </c>
      <c r="Q462" s="116">
        <v>57.15</v>
      </c>
      <c r="R462">
        <v>1001726</v>
      </c>
    </row>
    <row r="463" spans="1:18" x14ac:dyDescent="0.25">
      <c r="A463" s="169">
        <v>42684</v>
      </c>
      <c r="B463" s="116">
        <v>29.824999999999999</v>
      </c>
      <c r="C463" s="116">
        <v>29.274999999999999</v>
      </c>
      <c r="D463" s="116">
        <v>28.95</v>
      </c>
      <c r="E463" s="116">
        <v>28.975000000000001</v>
      </c>
      <c r="F463" s="116">
        <v>58.55</v>
      </c>
      <c r="G463">
        <v>151046</v>
      </c>
      <c r="H463" s="116"/>
      <c r="I463" s="116"/>
      <c r="L463" s="169">
        <v>42684</v>
      </c>
      <c r="M463" s="116">
        <v>29.324999999999999</v>
      </c>
      <c r="N463" s="116">
        <v>29.875</v>
      </c>
      <c r="O463" s="116">
        <v>28.975000000000001</v>
      </c>
      <c r="P463" s="116">
        <v>28.975000000000001</v>
      </c>
      <c r="Q463" s="116">
        <v>58.65</v>
      </c>
      <c r="R463">
        <v>424771</v>
      </c>
    </row>
    <row r="464" spans="1:18" x14ac:dyDescent="0.25">
      <c r="A464" s="169">
        <v>42685</v>
      </c>
      <c r="B464" s="116">
        <v>29.875</v>
      </c>
      <c r="C464" s="116">
        <v>28.85</v>
      </c>
      <c r="D464" s="116">
        <v>28.25</v>
      </c>
      <c r="E464" s="116">
        <v>29.875</v>
      </c>
      <c r="F464" s="116">
        <v>57.7</v>
      </c>
      <c r="G464">
        <v>190616</v>
      </c>
      <c r="H464" s="116"/>
      <c r="I464" s="116"/>
      <c r="L464" s="169">
        <v>42685</v>
      </c>
      <c r="M464" s="116">
        <v>28.774999999999999</v>
      </c>
      <c r="N464" s="116">
        <v>29.274999999999999</v>
      </c>
      <c r="O464" s="116">
        <v>28.274999999999999</v>
      </c>
      <c r="P464" s="116">
        <v>29</v>
      </c>
      <c r="Q464" s="116">
        <v>57.55</v>
      </c>
      <c r="R464">
        <v>573659</v>
      </c>
    </row>
    <row r="465" spans="1:18" x14ac:dyDescent="0.25">
      <c r="A465" s="169">
        <v>42689</v>
      </c>
      <c r="B465" s="116">
        <v>28.6</v>
      </c>
      <c r="C465" s="116">
        <v>27.074999999999999</v>
      </c>
      <c r="D465" s="116">
        <v>26.675000000000001</v>
      </c>
      <c r="E465" s="116">
        <v>28.35</v>
      </c>
      <c r="F465" s="116">
        <v>54.15</v>
      </c>
      <c r="G465">
        <v>146693</v>
      </c>
      <c r="H465" s="116"/>
      <c r="I465" s="116"/>
      <c r="L465" s="169">
        <v>42689</v>
      </c>
      <c r="M465" s="116">
        <v>27.15</v>
      </c>
      <c r="N465" s="116">
        <v>28.774999999999999</v>
      </c>
      <c r="O465" s="116">
        <v>26.574999999999999</v>
      </c>
      <c r="P465" s="116">
        <v>28.75</v>
      </c>
      <c r="Q465" s="116">
        <v>54.3</v>
      </c>
      <c r="R465">
        <v>486445</v>
      </c>
    </row>
    <row r="466" spans="1:18" x14ac:dyDescent="0.25">
      <c r="A466" s="169">
        <v>42690</v>
      </c>
      <c r="B466" s="116">
        <v>27.75</v>
      </c>
      <c r="C466" s="116">
        <v>26.475000000000001</v>
      </c>
      <c r="D466" s="116">
        <v>26.225000000000001</v>
      </c>
      <c r="E466" s="116">
        <v>27.524999999999999</v>
      </c>
      <c r="F466" s="116">
        <v>52.95</v>
      </c>
      <c r="G466">
        <v>380750</v>
      </c>
      <c r="H466" s="116"/>
      <c r="I466" s="116"/>
      <c r="L466" s="169">
        <v>42690</v>
      </c>
      <c r="M466" s="116">
        <v>26.475000000000001</v>
      </c>
      <c r="N466" s="116">
        <v>27.85</v>
      </c>
      <c r="O466" s="116">
        <v>26.2</v>
      </c>
      <c r="P466" s="116">
        <v>27.45</v>
      </c>
      <c r="Q466" s="116">
        <v>52.95</v>
      </c>
      <c r="R466">
        <v>376602</v>
      </c>
    </row>
    <row r="467" spans="1:18" x14ac:dyDescent="0.25">
      <c r="A467" s="169">
        <v>42691</v>
      </c>
      <c r="B467" s="116">
        <v>27.1</v>
      </c>
      <c r="C467" s="116">
        <v>26.475000000000001</v>
      </c>
      <c r="D467" s="116">
        <v>25.824999999999999</v>
      </c>
      <c r="E467" s="116">
        <v>26.475000000000001</v>
      </c>
      <c r="F467" s="116">
        <v>52.95</v>
      </c>
      <c r="G467">
        <v>250038</v>
      </c>
      <c r="H467" s="116"/>
      <c r="I467" s="116"/>
      <c r="L467" s="169">
        <v>42691</v>
      </c>
      <c r="M467" s="116">
        <v>26.375</v>
      </c>
      <c r="N467" s="116">
        <v>27.2</v>
      </c>
      <c r="O467" s="116">
        <v>25.75</v>
      </c>
      <c r="P467" s="116">
        <v>26.274999999999999</v>
      </c>
      <c r="Q467" s="116">
        <v>52.75</v>
      </c>
      <c r="R467">
        <v>541421</v>
      </c>
    </row>
    <row r="468" spans="1:18" x14ac:dyDescent="0.25">
      <c r="A468" s="169">
        <v>42692</v>
      </c>
      <c r="B468" s="116">
        <v>26.6</v>
      </c>
      <c r="C468" s="116">
        <v>26.4</v>
      </c>
      <c r="D468" s="116">
        <v>25.85</v>
      </c>
      <c r="E468" s="116">
        <v>26.324999999999999</v>
      </c>
      <c r="F468" s="116">
        <v>52.8</v>
      </c>
      <c r="G468">
        <v>170641</v>
      </c>
      <c r="H468" s="116"/>
      <c r="I468" s="116"/>
      <c r="L468" s="169">
        <v>42692</v>
      </c>
      <c r="M468" s="116">
        <v>26.425000000000001</v>
      </c>
      <c r="N468" s="116">
        <v>26.625</v>
      </c>
      <c r="O468" s="116">
        <v>25.9</v>
      </c>
      <c r="P468" s="116">
        <v>26.274999999999999</v>
      </c>
      <c r="Q468" s="116">
        <v>52.85</v>
      </c>
      <c r="R468">
        <v>288309</v>
      </c>
    </row>
    <row r="469" spans="1:18" x14ac:dyDescent="0.25">
      <c r="A469" s="169">
        <v>42695</v>
      </c>
      <c r="B469" s="116">
        <v>26.875</v>
      </c>
      <c r="C469" s="116">
        <v>25.175000000000001</v>
      </c>
      <c r="D469" s="116">
        <v>25</v>
      </c>
      <c r="E469" s="116">
        <v>26.875</v>
      </c>
      <c r="F469" s="116">
        <v>50.35</v>
      </c>
      <c r="G469">
        <v>106328</v>
      </c>
      <c r="H469" s="116"/>
      <c r="I469" s="116"/>
      <c r="L469" s="169">
        <v>42695</v>
      </c>
      <c r="M469" s="116">
        <v>25.15</v>
      </c>
      <c r="N469" s="116">
        <v>27.1</v>
      </c>
      <c r="O469" s="116">
        <v>24.824999999999999</v>
      </c>
      <c r="P469" s="116">
        <v>27.1</v>
      </c>
      <c r="Q469" s="116">
        <v>50.3</v>
      </c>
      <c r="R469">
        <v>408408</v>
      </c>
    </row>
    <row r="470" spans="1:18" x14ac:dyDescent="0.25">
      <c r="A470" s="169">
        <v>42696</v>
      </c>
      <c r="B470" s="116">
        <v>25.85</v>
      </c>
      <c r="C470" s="116">
        <v>24.925000000000001</v>
      </c>
      <c r="D470" s="116">
        <v>24.45</v>
      </c>
      <c r="E470" s="116">
        <v>25.475000000000001</v>
      </c>
      <c r="F470" s="116">
        <v>49.85</v>
      </c>
      <c r="G470">
        <v>99864</v>
      </c>
      <c r="H470" s="116"/>
      <c r="I470" s="116"/>
      <c r="L470" s="169">
        <v>42696</v>
      </c>
      <c r="M470" s="116">
        <v>24.9</v>
      </c>
      <c r="N470" s="116">
        <v>25.824999999999999</v>
      </c>
      <c r="O470" s="116">
        <v>24.4</v>
      </c>
      <c r="P470" s="116">
        <v>25.175000000000001</v>
      </c>
      <c r="Q470" s="116">
        <v>49.8</v>
      </c>
      <c r="R470">
        <v>318779</v>
      </c>
    </row>
    <row r="471" spans="1:18" x14ac:dyDescent="0.25">
      <c r="A471" s="169">
        <v>42697</v>
      </c>
      <c r="B471" s="116">
        <v>26.25</v>
      </c>
      <c r="C471" s="116">
        <v>26.125</v>
      </c>
      <c r="D471" s="116">
        <v>25.05</v>
      </c>
      <c r="E471" s="116">
        <v>25.3</v>
      </c>
      <c r="F471" s="116">
        <v>52.25</v>
      </c>
      <c r="G471">
        <v>111964</v>
      </c>
      <c r="H471" s="116"/>
      <c r="I471" s="116"/>
      <c r="L471" s="169">
        <v>42697</v>
      </c>
      <c r="M471" s="116">
        <v>26.15</v>
      </c>
      <c r="N471" s="116">
        <v>26.25</v>
      </c>
      <c r="O471" s="116">
        <v>24.975000000000001</v>
      </c>
      <c r="P471" s="116">
        <v>25.25</v>
      </c>
      <c r="Q471" s="116">
        <v>52.3</v>
      </c>
      <c r="R471">
        <v>330239</v>
      </c>
    </row>
    <row r="472" spans="1:18" x14ac:dyDescent="0.25">
      <c r="A472" s="169">
        <v>42698</v>
      </c>
      <c r="B472" s="116">
        <v>26.45</v>
      </c>
      <c r="C472" s="116">
        <v>26.25</v>
      </c>
      <c r="D472" s="116">
        <v>25.8</v>
      </c>
      <c r="E472" s="116">
        <v>26</v>
      </c>
      <c r="F472" s="116">
        <v>52.5</v>
      </c>
      <c r="G472">
        <v>69005</v>
      </c>
      <c r="H472" s="116"/>
      <c r="I472" s="116"/>
      <c r="L472" s="169">
        <v>42698</v>
      </c>
      <c r="M472" s="116">
        <v>26.15</v>
      </c>
      <c r="N472" s="116">
        <v>26.4</v>
      </c>
      <c r="O472" s="116">
        <v>25.774999999999999</v>
      </c>
      <c r="P472" s="116">
        <v>26.2</v>
      </c>
      <c r="Q472" s="116">
        <v>52.3</v>
      </c>
      <c r="R472">
        <v>156273</v>
      </c>
    </row>
    <row r="473" spans="1:18" x14ac:dyDescent="0.25">
      <c r="A473" s="169">
        <v>42699</v>
      </c>
      <c r="B473" s="116">
        <v>27.2</v>
      </c>
      <c r="C473" s="116">
        <v>27.05</v>
      </c>
      <c r="D473" s="116">
        <v>26.35</v>
      </c>
      <c r="E473" s="116">
        <v>26.5</v>
      </c>
      <c r="F473" s="116">
        <v>54.1</v>
      </c>
      <c r="G473">
        <v>92047</v>
      </c>
      <c r="H473" s="116"/>
      <c r="I473" s="116"/>
      <c r="L473" s="169">
        <v>42699</v>
      </c>
      <c r="M473" s="116">
        <v>27</v>
      </c>
      <c r="N473" s="116">
        <v>27.15</v>
      </c>
      <c r="O473" s="116">
        <v>26.274999999999999</v>
      </c>
      <c r="P473" s="116">
        <v>26.625</v>
      </c>
      <c r="Q473" s="116">
        <v>54</v>
      </c>
      <c r="R473">
        <v>258607</v>
      </c>
    </row>
    <row r="474" spans="1:18" x14ac:dyDescent="0.25">
      <c r="A474" s="169">
        <v>42702</v>
      </c>
      <c r="B474" s="116">
        <v>27.35</v>
      </c>
      <c r="C474" s="116">
        <v>26.975000000000001</v>
      </c>
      <c r="D474" s="116">
        <v>26.75</v>
      </c>
      <c r="E474" s="116">
        <v>26.824999999999999</v>
      </c>
      <c r="F474" s="116">
        <v>53.95</v>
      </c>
      <c r="G474">
        <v>67790</v>
      </c>
      <c r="H474" s="116"/>
      <c r="I474" s="116"/>
      <c r="L474" s="169">
        <v>42702</v>
      </c>
      <c r="M474" s="116">
        <v>26.95</v>
      </c>
      <c r="N474" s="116">
        <v>27.375</v>
      </c>
      <c r="O474" s="116">
        <v>26.65</v>
      </c>
      <c r="P474" s="116">
        <v>27</v>
      </c>
      <c r="Q474" s="116">
        <v>53.9</v>
      </c>
      <c r="R474">
        <v>191340</v>
      </c>
    </row>
    <row r="475" spans="1:18" x14ac:dyDescent="0.25">
      <c r="A475" s="169">
        <v>42703</v>
      </c>
      <c r="B475" s="116">
        <v>27.625</v>
      </c>
      <c r="C475" s="116">
        <v>26.95</v>
      </c>
      <c r="D475" s="116">
        <v>26.675000000000001</v>
      </c>
      <c r="E475" s="116">
        <v>27.15</v>
      </c>
      <c r="F475" s="116">
        <v>53.9</v>
      </c>
      <c r="G475">
        <v>56930</v>
      </c>
      <c r="H475" s="116"/>
      <c r="I475" s="116"/>
      <c r="L475" s="169">
        <v>42703</v>
      </c>
      <c r="M475" s="116">
        <v>26.95</v>
      </c>
      <c r="N475" s="116">
        <v>27.675000000000001</v>
      </c>
      <c r="O475" s="116">
        <v>26.55</v>
      </c>
      <c r="P475" s="116">
        <v>27.1</v>
      </c>
      <c r="Q475" s="116">
        <v>53.9</v>
      </c>
      <c r="R475">
        <v>182449</v>
      </c>
    </row>
    <row r="476" spans="1:18" x14ac:dyDescent="0.25">
      <c r="A476" s="169">
        <v>42704</v>
      </c>
      <c r="B476" s="116">
        <v>27.925000000000001</v>
      </c>
      <c r="C476" s="116">
        <v>27.725000000000001</v>
      </c>
      <c r="D476" s="116">
        <v>27.125</v>
      </c>
      <c r="E476" s="116">
        <v>27.15</v>
      </c>
      <c r="F476" s="116">
        <v>55.45</v>
      </c>
      <c r="G476">
        <v>86530</v>
      </c>
      <c r="H476" s="116"/>
      <c r="I476" s="116"/>
      <c r="L476" s="169">
        <v>42704</v>
      </c>
      <c r="M476" s="116">
        <v>27.725000000000001</v>
      </c>
      <c r="N476" s="116">
        <v>27.9</v>
      </c>
      <c r="O476" s="116">
        <v>27.074999999999999</v>
      </c>
      <c r="P476" s="116">
        <v>27.4</v>
      </c>
      <c r="Q476" s="116">
        <v>55.45</v>
      </c>
      <c r="R476">
        <v>365829</v>
      </c>
    </row>
    <row r="477" spans="1:18" x14ac:dyDescent="0.25">
      <c r="A477" s="169">
        <v>42705</v>
      </c>
      <c r="B477" s="116">
        <v>27.925000000000001</v>
      </c>
      <c r="C477" s="116">
        <v>27.45</v>
      </c>
      <c r="D477" s="116">
        <v>27.324999999999999</v>
      </c>
      <c r="E477" s="116">
        <v>27.9</v>
      </c>
      <c r="F477" s="116">
        <v>54.9</v>
      </c>
      <c r="G477">
        <v>91911</v>
      </c>
      <c r="H477" s="116"/>
      <c r="I477" s="116"/>
      <c r="L477" s="169">
        <v>42705</v>
      </c>
      <c r="M477" s="116">
        <v>27.425000000000001</v>
      </c>
      <c r="N477" s="116">
        <v>27.975000000000001</v>
      </c>
      <c r="O477" s="116">
        <v>27.3</v>
      </c>
      <c r="P477" s="116">
        <v>27.975000000000001</v>
      </c>
      <c r="Q477" s="116">
        <v>54.85</v>
      </c>
      <c r="R477">
        <v>220154</v>
      </c>
    </row>
    <row r="478" spans="1:18" x14ac:dyDescent="0.25">
      <c r="A478" s="169">
        <v>42706</v>
      </c>
      <c r="B478" s="116">
        <v>27.25</v>
      </c>
      <c r="C478" s="116">
        <v>26.675000000000001</v>
      </c>
      <c r="D478" s="116">
        <v>26.55</v>
      </c>
      <c r="E478" s="116">
        <v>27.25</v>
      </c>
      <c r="F478" s="116">
        <v>53.35</v>
      </c>
      <c r="G478">
        <v>51059</v>
      </c>
      <c r="H478" s="116"/>
      <c r="I478" s="116"/>
      <c r="L478" s="169">
        <v>42706</v>
      </c>
      <c r="M478" s="116">
        <v>26.725000000000001</v>
      </c>
      <c r="N478" s="116">
        <v>27.225000000000001</v>
      </c>
      <c r="O478" s="116">
        <v>26.6</v>
      </c>
      <c r="P478" s="116">
        <v>26.75</v>
      </c>
      <c r="Q478" s="116">
        <v>53.45</v>
      </c>
      <c r="R478">
        <v>176867</v>
      </c>
    </row>
    <row r="479" spans="1:18" x14ac:dyDescent="0.25">
      <c r="A479" s="169">
        <v>42709</v>
      </c>
      <c r="B479" s="116">
        <v>28.1</v>
      </c>
      <c r="C479" s="116">
        <v>27.875</v>
      </c>
      <c r="D479" s="116">
        <v>26.725000000000001</v>
      </c>
      <c r="E479" s="116">
        <v>26.85</v>
      </c>
      <c r="F479" s="116">
        <v>55.75</v>
      </c>
      <c r="G479">
        <v>107803</v>
      </c>
      <c r="H479" s="116"/>
      <c r="I479" s="116"/>
      <c r="L479" s="169">
        <v>42709</v>
      </c>
      <c r="M479" s="116">
        <v>27.975000000000001</v>
      </c>
      <c r="N479" s="116">
        <v>28.2</v>
      </c>
      <c r="O479" s="116">
        <v>26.7</v>
      </c>
      <c r="P479" s="116">
        <v>27</v>
      </c>
      <c r="Q479" s="116">
        <v>55.95</v>
      </c>
      <c r="R479">
        <v>432137</v>
      </c>
    </row>
    <row r="480" spans="1:18" x14ac:dyDescent="0.25">
      <c r="A480" s="169">
        <v>42710</v>
      </c>
      <c r="B480" s="116">
        <v>28.6</v>
      </c>
      <c r="C480" s="116">
        <v>27.774999999999999</v>
      </c>
      <c r="D480" s="116">
        <v>27.625</v>
      </c>
      <c r="E480" s="116">
        <v>28.125</v>
      </c>
      <c r="F480" s="116">
        <v>55.55</v>
      </c>
      <c r="G480">
        <v>92773</v>
      </c>
      <c r="H480" s="116"/>
      <c r="I480" s="116"/>
      <c r="L480" s="169">
        <v>42710</v>
      </c>
      <c r="M480" s="116">
        <v>27.774999999999999</v>
      </c>
      <c r="N480" s="116">
        <v>28.6</v>
      </c>
      <c r="O480" s="116">
        <v>27.6</v>
      </c>
      <c r="P480" s="116">
        <v>28.15</v>
      </c>
      <c r="Q480" s="116">
        <v>55.55</v>
      </c>
      <c r="R480">
        <v>306665</v>
      </c>
    </row>
    <row r="481" spans="1:18" x14ac:dyDescent="0.25">
      <c r="A481" s="169">
        <v>42711</v>
      </c>
      <c r="B481" s="116">
        <v>29.15</v>
      </c>
      <c r="C481" s="116">
        <v>28.25</v>
      </c>
      <c r="D481" s="116">
        <v>27.774999999999999</v>
      </c>
      <c r="E481" s="116">
        <v>27.774999999999999</v>
      </c>
      <c r="F481" s="116">
        <v>56.5</v>
      </c>
      <c r="G481">
        <v>210405</v>
      </c>
      <c r="H481" s="116"/>
      <c r="I481" s="116"/>
      <c r="L481" s="169">
        <v>42711</v>
      </c>
      <c r="M481" s="116">
        <v>28.3</v>
      </c>
      <c r="N481" s="116">
        <v>29.125</v>
      </c>
      <c r="O481" s="116">
        <v>27.6</v>
      </c>
      <c r="P481" s="116">
        <v>27.774999999999999</v>
      </c>
      <c r="Q481" s="116">
        <v>56.6</v>
      </c>
      <c r="R481">
        <v>575003</v>
      </c>
    </row>
    <row r="482" spans="1:18" x14ac:dyDescent="0.25">
      <c r="A482" s="169">
        <v>42712</v>
      </c>
      <c r="B482" s="116">
        <v>28.95</v>
      </c>
      <c r="C482" s="116">
        <v>28.65</v>
      </c>
      <c r="D482" s="116">
        <v>28.425000000000001</v>
      </c>
      <c r="E482" s="116">
        <v>28.725000000000001</v>
      </c>
      <c r="F482" s="116">
        <v>57.3</v>
      </c>
      <c r="G482">
        <v>154941</v>
      </c>
      <c r="H482" s="116"/>
      <c r="I482" s="116"/>
      <c r="L482" s="169">
        <v>42712</v>
      </c>
      <c r="M482" s="116">
        <v>28.725000000000001</v>
      </c>
      <c r="N482" s="116">
        <v>28.975000000000001</v>
      </c>
      <c r="O482" s="116">
        <v>28.5</v>
      </c>
      <c r="P482" s="116">
        <v>28.6</v>
      </c>
      <c r="Q482" s="116">
        <v>57.45</v>
      </c>
      <c r="R482">
        <v>317107</v>
      </c>
    </row>
    <row r="483" spans="1:18" x14ac:dyDescent="0.25">
      <c r="A483" s="169">
        <v>42713</v>
      </c>
      <c r="B483" s="116">
        <v>29.55</v>
      </c>
      <c r="C483" s="116">
        <v>29.024999999999999</v>
      </c>
      <c r="D483" s="116">
        <v>28.65</v>
      </c>
      <c r="E483" s="116">
        <v>28.975000000000001</v>
      </c>
      <c r="F483" s="116">
        <v>58.05</v>
      </c>
      <c r="G483">
        <v>138938</v>
      </c>
      <c r="H483" s="116"/>
      <c r="I483" s="116"/>
      <c r="L483" s="169">
        <v>42713</v>
      </c>
      <c r="M483" s="116">
        <v>29.024999999999999</v>
      </c>
      <c r="N483" s="116">
        <v>29.574999999999999</v>
      </c>
      <c r="O483" s="116">
        <v>28.6</v>
      </c>
      <c r="P483" s="116">
        <v>29.125</v>
      </c>
      <c r="Q483" s="116">
        <v>58.05</v>
      </c>
      <c r="R483">
        <v>402933</v>
      </c>
    </row>
    <row r="484" spans="1:18" x14ac:dyDescent="0.25">
      <c r="A484" s="169">
        <v>42716</v>
      </c>
      <c r="B484" s="116">
        <v>30.9</v>
      </c>
      <c r="C484" s="116">
        <v>30.25</v>
      </c>
      <c r="D484" s="116">
        <v>28.75</v>
      </c>
      <c r="E484" s="116">
        <v>29.05</v>
      </c>
      <c r="F484" s="116">
        <v>60.5</v>
      </c>
      <c r="G484">
        <v>252274</v>
      </c>
      <c r="H484" s="116"/>
      <c r="I484" s="116"/>
      <c r="L484" s="169">
        <v>42716</v>
      </c>
      <c r="M484" s="116">
        <v>30.175000000000001</v>
      </c>
      <c r="N484" s="116">
        <v>30.824999999999999</v>
      </c>
      <c r="O484" s="116">
        <v>28.675000000000001</v>
      </c>
      <c r="P484" s="116">
        <v>29</v>
      </c>
      <c r="Q484" s="116">
        <v>60.35</v>
      </c>
      <c r="R484">
        <v>1028898</v>
      </c>
    </row>
    <row r="485" spans="1:18" x14ac:dyDescent="0.25">
      <c r="A485" s="169">
        <v>42717</v>
      </c>
      <c r="B485" s="116">
        <v>30.75</v>
      </c>
      <c r="C485" s="116">
        <v>29.824999999999999</v>
      </c>
      <c r="D485" s="116">
        <v>29.625</v>
      </c>
      <c r="E485" s="116">
        <v>30.5</v>
      </c>
      <c r="F485" s="116">
        <v>59.65</v>
      </c>
      <c r="G485">
        <v>174094</v>
      </c>
      <c r="H485" s="116"/>
      <c r="I485" s="116"/>
      <c r="L485" s="169">
        <v>42717</v>
      </c>
      <c r="M485" s="116">
        <v>29.9</v>
      </c>
      <c r="N485" s="116">
        <v>30.65</v>
      </c>
      <c r="O485" s="116">
        <v>29.55</v>
      </c>
      <c r="P485" s="116">
        <v>30.65</v>
      </c>
      <c r="Q485" s="116">
        <v>59.8</v>
      </c>
      <c r="R485">
        <v>750920</v>
      </c>
    </row>
    <row r="486" spans="1:18" x14ac:dyDescent="0.25">
      <c r="A486" s="169">
        <v>42718</v>
      </c>
      <c r="B486" s="116">
        <v>29.75</v>
      </c>
      <c r="C486" s="116">
        <v>29.05</v>
      </c>
      <c r="D486" s="116">
        <v>28.925000000000001</v>
      </c>
      <c r="E486" s="116">
        <v>29.75</v>
      </c>
      <c r="F486" s="116">
        <v>58.1</v>
      </c>
      <c r="G486">
        <v>60353</v>
      </c>
      <c r="H486" s="116"/>
      <c r="I486" s="116"/>
      <c r="L486" s="169">
        <v>42718</v>
      </c>
      <c r="M486" s="116">
        <v>29.1</v>
      </c>
      <c r="N486" s="116">
        <v>29.7</v>
      </c>
      <c r="O486" s="116">
        <v>28.975000000000001</v>
      </c>
      <c r="P486" s="116">
        <v>29.7</v>
      </c>
      <c r="Q486" s="116">
        <v>58.2</v>
      </c>
      <c r="R486">
        <v>317609</v>
      </c>
    </row>
    <row r="487" spans="1:18" x14ac:dyDescent="0.25">
      <c r="A487" s="169">
        <v>42719</v>
      </c>
      <c r="B487" s="116">
        <v>29.7</v>
      </c>
      <c r="C487" s="116">
        <v>29.175000000000001</v>
      </c>
      <c r="D487" s="116">
        <v>28.55</v>
      </c>
      <c r="E487" s="116">
        <v>28.75</v>
      </c>
      <c r="F487" s="116">
        <v>58.35</v>
      </c>
      <c r="G487">
        <v>50108</v>
      </c>
      <c r="H487" s="116"/>
      <c r="I487" s="116"/>
      <c r="L487" s="169">
        <v>42719</v>
      </c>
      <c r="M487" s="116">
        <v>29.15</v>
      </c>
      <c r="N487" s="116">
        <v>29.824999999999999</v>
      </c>
      <c r="O487" s="116">
        <v>28.5</v>
      </c>
      <c r="P487" s="116">
        <v>28.5</v>
      </c>
      <c r="Q487" s="116">
        <v>58.3</v>
      </c>
      <c r="R487">
        <v>248988</v>
      </c>
    </row>
    <row r="488" spans="1:18" x14ac:dyDescent="0.25">
      <c r="A488" s="169">
        <v>42720</v>
      </c>
      <c r="B488" s="116">
        <v>29.375</v>
      </c>
      <c r="C488" s="116">
        <v>28.925000000000001</v>
      </c>
      <c r="D488" s="116">
        <v>28.6</v>
      </c>
      <c r="E488" s="116">
        <v>29.375</v>
      </c>
      <c r="F488" s="116">
        <v>57.85</v>
      </c>
      <c r="G488">
        <v>38440</v>
      </c>
      <c r="H488" s="116"/>
      <c r="I488" s="116"/>
      <c r="L488" s="169">
        <v>42720</v>
      </c>
      <c r="M488" s="116">
        <v>28.925000000000001</v>
      </c>
      <c r="N488" s="116">
        <v>29.425000000000001</v>
      </c>
      <c r="O488" s="116">
        <v>28.524999999999999</v>
      </c>
      <c r="P488" s="116">
        <v>29.425000000000001</v>
      </c>
      <c r="Q488" s="116">
        <v>57.85</v>
      </c>
      <c r="R488">
        <v>230384</v>
      </c>
    </row>
    <row r="489" spans="1:18" x14ac:dyDescent="0.25">
      <c r="A489" s="169">
        <v>42723</v>
      </c>
      <c r="B489" s="116">
        <v>29.2</v>
      </c>
      <c r="C489" s="116">
        <v>29.024999999999999</v>
      </c>
      <c r="D489" s="116">
        <v>28.574999999999999</v>
      </c>
      <c r="E489" s="116">
        <v>29.05</v>
      </c>
      <c r="F489" s="116">
        <v>58.05</v>
      </c>
      <c r="G489">
        <v>75114</v>
      </c>
      <c r="H489" s="116"/>
      <c r="I489" s="116"/>
      <c r="L489" s="169">
        <v>42723</v>
      </c>
      <c r="M489" s="116">
        <v>28.975000000000001</v>
      </c>
      <c r="N489" s="116">
        <v>29.15</v>
      </c>
      <c r="O489" s="116">
        <v>28.574999999999999</v>
      </c>
      <c r="P489" s="116">
        <v>29</v>
      </c>
      <c r="Q489" s="116">
        <v>57.95</v>
      </c>
      <c r="R489">
        <v>171242</v>
      </c>
    </row>
    <row r="490" spans="1:18" x14ac:dyDescent="0.25">
      <c r="A490" s="169">
        <v>42724</v>
      </c>
      <c r="B490" s="116">
        <v>29.25</v>
      </c>
      <c r="C490" s="116">
        <v>28.475000000000001</v>
      </c>
      <c r="D490" s="116">
        <v>28.274999999999999</v>
      </c>
      <c r="E490" s="116">
        <v>29.15</v>
      </c>
      <c r="F490" s="116">
        <v>56.95</v>
      </c>
      <c r="G490">
        <v>167819</v>
      </c>
      <c r="H490" s="116"/>
      <c r="I490" s="116"/>
      <c r="L490" s="169">
        <v>42724</v>
      </c>
      <c r="M490" s="116">
        <v>28.6</v>
      </c>
      <c r="N490" s="116">
        <v>29.274999999999999</v>
      </c>
      <c r="O490" s="116">
        <v>28.274999999999999</v>
      </c>
      <c r="P490" s="116">
        <v>29</v>
      </c>
      <c r="Q490" s="116">
        <v>57.2</v>
      </c>
      <c r="R490">
        <v>334743</v>
      </c>
    </row>
    <row r="491" spans="1:18" x14ac:dyDescent="0.25">
      <c r="A491" s="169">
        <v>42725</v>
      </c>
      <c r="B491" s="116">
        <v>29.75</v>
      </c>
      <c r="C491" s="116">
        <v>28.65</v>
      </c>
      <c r="D491" s="116">
        <v>28.55</v>
      </c>
      <c r="E491" s="116">
        <v>28.8</v>
      </c>
      <c r="F491" s="116">
        <v>57.3</v>
      </c>
      <c r="G491">
        <v>181887</v>
      </c>
      <c r="H491" s="116"/>
      <c r="I491" s="116"/>
      <c r="L491" s="169">
        <v>42725</v>
      </c>
      <c r="M491" s="116">
        <v>28.65</v>
      </c>
      <c r="N491" s="116">
        <v>29.824999999999999</v>
      </c>
      <c r="O491" s="116">
        <v>28.524999999999999</v>
      </c>
      <c r="P491" s="116">
        <v>28.8</v>
      </c>
      <c r="Q491" s="116">
        <v>57.3</v>
      </c>
      <c r="R491">
        <v>403254</v>
      </c>
    </row>
    <row r="492" spans="1:18" x14ac:dyDescent="0.25">
      <c r="A492" s="169">
        <v>42726</v>
      </c>
      <c r="B492" s="116">
        <v>28.75</v>
      </c>
      <c r="C492" s="116">
        <v>28.15</v>
      </c>
      <c r="D492" s="116">
        <v>27.524999999999999</v>
      </c>
      <c r="E492" s="116">
        <v>28.75</v>
      </c>
      <c r="F492" s="116">
        <v>56.3</v>
      </c>
      <c r="G492">
        <v>107590</v>
      </c>
      <c r="H492" s="116"/>
      <c r="I492" s="116"/>
      <c r="L492" s="169">
        <v>42726</v>
      </c>
      <c r="M492" s="116">
        <v>28.2</v>
      </c>
      <c r="N492" s="116">
        <v>28.875</v>
      </c>
      <c r="O492" s="116">
        <v>27.55</v>
      </c>
      <c r="P492" s="116">
        <v>28.7</v>
      </c>
      <c r="Q492" s="116">
        <v>56.4</v>
      </c>
      <c r="R492">
        <v>292097</v>
      </c>
    </row>
    <row r="493" spans="1:18" x14ac:dyDescent="0.25">
      <c r="A493" s="169">
        <v>42727</v>
      </c>
      <c r="B493" s="116">
        <v>28.225000000000001</v>
      </c>
      <c r="C493" s="116">
        <v>27.9</v>
      </c>
      <c r="D493" s="116">
        <v>27.65</v>
      </c>
      <c r="E493" s="116">
        <v>28.15</v>
      </c>
      <c r="F493" s="116">
        <v>55.8</v>
      </c>
      <c r="G493">
        <v>103250</v>
      </c>
      <c r="H493" s="116"/>
      <c r="I493" s="116"/>
      <c r="L493" s="169">
        <v>42727</v>
      </c>
      <c r="M493" s="116">
        <v>27.975000000000001</v>
      </c>
      <c r="N493" s="116">
        <v>28.45</v>
      </c>
      <c r="O493" s="116">
        <v>27.6</v>
      </c>
      <c r="P493" s="116">
        <v>28</v>
      </c>
      <c r="Q493" s="116">
        <v>55.95</v>
      </c>
      <c r="R493">
        <v>194051</v>
      </c>
    </row>
    <row r="494" spans="1:18" x14ac:dyDescent="0.25">
      <c r="A494" s="169">
        <v>42730</v>
      </c>
      <c r="B494" s="116">
        <v>28</v>
      </c>
      <c r="C494" s="116">
        <v>27.5</v>
      </c>
      <c r="D494" s="116">
        <v>27.024999999999999</v>
      </c>
      <c r="E494" s="116">
        <v>27.75</v>
      </c>
      <c r="F494" s="116">
        <v>55</v>
      </c>
      <c r="G494">
        <v>36258</v>
      </c>
      <c r="H494" s="116"/>
      <c r="I494" s="116"/>
      <c r="L494" s="169">
        <v>42730</v>
      </c>
      <c r="M494" s="116">
        <v>27.55</v>
      </c>
      <c r="N494" s="116">
        <v>28.024999999999999</v>
      </c>
      <c r="O494" s="116">
        <v>27</v>
      </c>
      <c r="P494" s="116">
        <v>27.6</v>
      </c>
      <c r="Q494" s="116">
        <v>55.1</v>
      </c>
      <c r="R494">
        <v>234051</v>
      </c>
    </row>
    <row r="495" spans="1:18" x14ac:dyDescent="0.25">
      <c r="A495" s="169">
        <v>42731</v>
      </c>
      <c r="B495" s="116">
        <v>27.925000000000001</v>
      </c>
      <c r="C495" s="116">
        <v>27.65</v>
      </c>
      <c r="D495" s="116">
        <v>27.375</v>
      </c>
      <c r="E495" s="116">
        <v>27.55</v>
      </c>
      <c r="F495" s="116">
        <v>55.3</v>
      </c>
      <c r="G495">
        <v>60089</v>
      </c>
      <c r="H495" s="116"/>
      <c r="I495" s="116"/>
      <c r="L495" s="169">
        <v>42731</v>
      </c>
      <c r="M495" s="116">
        <v>27.65</v>
      </c>
      <c r="N495" s="116">
        <v>28.024999999999999</v>
      </c>
      <c r="O495" s="116">
        <v>27.35</v>
      </c>
      <c r="P495" s="116">
        <v>27.774999999999999</v>
      </c>
      <c r="Q495" s="116">
        <v>55.3</v>
      </c>
      <c r="R495">
        <v>129459</v>
      </c>
    </row>
    <row r="496" spans="1:18" x14ac:dyDescent="0.25">
      <c r="A496" s="169">
        <v>42732</v>
      </c>
      <c r="B496" s="116">
        <v>28.1</v>
      </c>
      <c r="C496" s="116">
        <v>27.45</v>
      </c>
      <c r="D496" s="116">
        <v>27.3</v>
      </c>
      <c r="E496" s="116">
        <v>27.85</v>
      </c>
      <c r="F496" s="116">
        <v>54.9</v>
      </c>
      <c r="G496">
        <v>59958</v>
      </c>
      <c r="H496" s="116"/>
      <c r="I496" s="116"/>
      <c r="L496" s="169">
        <v>42732</v>
      </c>
      <c r="M496" s="116">
        <v>27.475000000000001</v>
      </c>
      <c r="N496" s="116">
        <v>28.074999999999999</v>
      </c>
      <c r="O496" s="116">
        <v>27.274999999999999</v>
      </c>
      <c r="P496" s="116">
        <v>27.85</v>
      </c>
      <c r="Q496" s="116">
        <v>54.95</v>
      </c>
      <c r="R496">
        <v>178558</v>
      </c>
    </row>
    <row r="497" spans="1:18" x14ac:dyDescent="0.25">
      <c r="A497" s="169">
        <v>42733</v>
      </c>
      <c r="B497" s="116">
        <v>27.85</v>
      </c>
      <c r="C497" s="116">
        <v>27.65</v>
      </c>
      <c r="D497" s="116">
        <v>27.375</v>
      </c>
      <c r="E497" s="116">
        <v>27.6</v>
      </c>
      <c r="F497" s="116">
        <v>55.3</v>
      </c>
      <c r="G497">
        <v>26724</v>
      </c>
      <c r="H497" s="116"/>
      <c r="I497" s="116"/>
      <c r="L497" s="169">
        <v>42733</v>
      </c>
      <c r="M497" s="116">
        <v>27.574999999999999</v>
      </c>
      <c r="N497" s="116">
        <v>27.85</v>
      </c>
      <c r="O497" s="116">
        <v>27.3</v>
      </c>
      <c r="P497" s="116">
        <v>27.3</v>
      </c>
      <c r="Q497" s="116">
        <v>55.15</v>
      </c>
      <c r="R497">
        <v>99525</v>
      </c>
    </row>
    <row r="498" spans="1:18" x14ac:dyDescent="0.25">
      <c r="A498" s="169">
        <v>42734</v>
      </c>
      <c r="B498" s="116">
        <v>28</v>
      </c>
      <c r="C498" s="116">
        <v>27.6</v>
      </c>
      <c r="D498" s="116">
        <v>27.55</v>
      </c>
      <c r="E498" s="116">
        <v>27.9</v>
      </c>
      <c r="F498" s="116">
        <v>55.2</v>
      </c>
      <c r="G498">
        <v>29832</v>
      </c>
      <c r="H498" s="116"/>
      <c r="I498" s="116"/>
      <c r="L498" s="169">
        <v>42734</v>
      </c>
      <c r="M498" s="116">
        <v>27.675000000000001</v>
      </c>
      <c r="N498" s="116">
        <v>28</v>
      </c>
      <c r="O498" s="116">
        <v>27.5</v>
      </c>
      <c r="P498" s="116">
        <v>27.7</v>
      </c>
      <c r="Q498" s="116">
        <v>55.35</v>
      </c>
      <c r="R498">
        <v>173181</v>
      </c>
    </row>
    <row r="499" spans="1:18" x14ac:dyDescent="0.25">
      <c r="A499" s="169">
        <v>42737</v>
      </c>
      <c r="B499" s="116">
        <v>28.5</v>
      </c>
      <c r="C499" s="116">
        <v>28.175000000000001</v>
      </c>
      <c r="D499" s="116">
        <v>27.65</v>
      </c>
      <c r="E499" s="116">
        <v>27.85</v>
      </c>
      <c r="F499" s="116">
        <v>56.35</v>
      </c>
      <c r="G499">
        <v>34959</v>
      </c>
      <c r="H499" s="116"/>
      <c r="I499" s="116"/>
      <c r="L499" s="169">
        <v>42737</v>
      </c>
      <c r="M499" s="116">
        <v>28.1</v>
      </c>
      <c r="N499" s="116">
        <v>28.45</v>
      </c>
      <c r="O499" s="116">
        <v>27.625</v>
      </c>
      <c r="P499" s="116">
        <v>27.675000000000001</v>
      </c>
      <c r="Q499" s="116">
        <v>56.2</v>
      </c>
      <c r="R499">
        <v>190264</v>
      </c>
    </row>
    <row r="500" spans="1:18" x14ac:dyDescent="0.25">
      <c r="A500" s="169">
        <v>42738</v>
      </c>
      <c r="B500" s="116">
        <v>28.9</v>
      </c>
      <c r="C500" s="116">
        <v>28.3</v>
      </c>
      <c r="D500" s="116">
        <v>28.1</v>
      </c>
      <c r="E500" s="116">
        <v>28.1</v>
      </c>
      <c r="F500" s="116">
        <v>56.6</v>
      </c>
      <c r="G500">
        <v>75777</v>
      </c>
      <c r="H500" s="116"/>
      <c r="I500" s="116"/>
      <c r="L500" s="169">
        <v>42738</v>
      </c>
      <c r="M500" s="116">
        <v>28.425000000000001</v>
      </c>
      <c r="N500" s="116">
        <v>28.9</v>
      </c>
      <c r="O500" s="116">
        <v>27.975000000000001</v>
      </c>
      <c r="P500" s="116">
        <v>28.1</v>
      </c>
      <c r="Q500" s="116">
        <v>56.85</v>
      </c>
      <c r="R500">
        <v>345621</v>
      </c>
    </row>
    <row r="501" spans="1:18" x14ac:dyDescent="0.25">
      <c r="A501" s="169">
        <v>42739</v>
      </c>
      <c r="B501" s="116">
        <v>29.2</v>
      </c>
      <c r="C501" s="116">
        <v>28.85</v>
      </c>
      <c r="D501" s="116">
        <v>28.5</v>
      </c>
      <c r="E501" s="116">
        <v>28.875</v>
      </c>
      <c r="F501" s="116">
        <v>57.7</v>
      </c>
      <c r="G501">
        <v>52177</v>
      </c>
      <c r="H501" s="116"/>
      <c r="I501" s="116"/>
      <c r="L501" s="169">
        <v>42739</v>
      </c>
      <c r="M501" s="116">
        <v>28.925000000000001</v>
      </c>
      <c r="N501" s="116">
        <v>29.25</v>
      </c>
      <c r="O501" s="116">
        <v>28.475000000000001</v>
      </c>
      <c r="P501" s="116">
        <v>28.5</v>
      </c>
      <c r="Q501" s="116">
        <v>57.85</v>
      </c>
      <c r="R501">
        <v>388428</v>
      </c>
    </row>
    <row r="502" spans="1:18" x14ac:dyDescent="0.25">
      <c r="A502" s="169">
        <v>42740</v>
      </c>
      <c r="B502" s="116">
        <v>29.65</v>
      </c>
      <c r="C502" s="116">
        <v>29.25</v>
      </c>
      <c r="D502" s="116">
        <v>28.75</v>
      </c>
      <c r="E502" s="116">
        <v>28.75</v>
      </c>
      <c r="F502" s="116">
        <v>58.5</v>
      </c>
      <c r="G502">
        <v>94184</v>
      </c>
      <c r="H502" s="116"/>
      <c r="I502" s="116"/>
      <c r="L502" s="169">
        <v>42740</v>
      </c>
      <c r="M502" s="116">
        <v>29.25</v>
      </c>
      <c r="N502" s="116">
        <v>29.574999999999999</v>
      </c>
      <c r="O502" s="116">
        <v>28.774999999999999</v>
      </c>
      <c r="P502" s="116">
        <v>29.15</v>
      </c>
      <c r="Q502" s="116">
        <v>58.5</v>
      </c>
      <c r="R502">
        <v>320652</v>
      </c>
    </row>
    <row r="503" spans="1:18" x14ac:dyDescent="0.25">
      <c r="A503" s="169">
        <v>42741</v>
      </c>
      <c r="B503" s="116">
        <v>29.625</v>
      </c>
      <c r="C503" s="116">
        <v>29.05</v>
      </c>
      <c r="D503" s="116">
        <v>28.9</v>
      </c>
      <c r="E503" s="116">
        <v>29.2</v>
      </c>
      <c r="F503" s="116">
        <v>58.1</v>
      </c>
      <c r="G503">
        <v>82567</v>
      </c>
      <c r="H503" s="116"/>
      <c r="I503" s="116"/>
      <c r="L503" s="169">
        <v>42741</v>
      </c>
      <c r="M503" s="116">
        <v>28.95</v>
      </c>
      <c r="N503" s="116">
        <v>29.65</v>
      </c>
      <c r="O503" s="116">
        <v>28.8</v>
      </c>
      <c r="P503" s="116">
        <v>29.175000000000001</v>
      </c>
      <c r="Q503" s="116">
        <v>57.9</v>
      </c>
      <c r="R503">
        <v>240037</v>
      </c>
    </row>
    <row r="504" spans="1:18" x14ac:dyDescent="0.25">
      <c r="A504" s="169">
        <v>42744</v>
      </c>
      <c r="B504" s="116">
        <v>30.175000000000001</v>
      </c>
      <c r="C504" s="116">
        <v>29.824999999999999</v>
      </c>
      <c r="D504" s="116">
        <v>29.05</v>
      </c>
      <c r="E504" s="116">
        <v>29.175000000000001</v>
      </c>
      <c r="F504" s="116">
        <v>59.65</v>
      </c>
      <c r="G504">
        <v>159389</v>
      </c>
      <c r="H504" s="116"/>
      <c r="I504" s="116"/>
      <c r="L504" s="169">
        <v>42744</v>
      </c>
      <c r="M504" s="116">
        <v>29.774999999999999</v>
      </c>
      <c r="N504" s="116">
        <v>30.25</v>
      </c>
      <c r="O504" s="116">
        <v>28.95</v>
      </c>
      <c r="P504" s="116">
        <v>28.95</v>
      </c>
      <c r="Q504" s="116">
        <v>59.55</v>
      </c>
      <c r="R504">
        <v>642798</v>
      </c>
    </row>
    <row r="505" spans="1:18" x14ac:dyDescent="0.25">
      <c r="A505" s="169">
        <v>42745</v>
      </c>
      <c r="B505" s="116">
        <v>30.5</v>
      </c>
      <c r="C505" s="116">
        <v>30.024999999999999</v>
      </c>
      <c r="D505" s="116">
        <v>29.524999999999999</v>
      </c>
      <c r="E505" s="116">
        <v>29.524999999999999</v>
      </c>
      <c r="F505" s="116">
        <v>60.05</v>
      </c>
      <c r="G505">
        <v>175176</v>
      </c>
      <c r="H505" s="116"/>
      <c r="I505" s="116"/>
      <c r="L505" s="169">
        <v>42745</v>
      </c>
      <c r="M505" s="116">
        <v>30.05</v>
      </c>
      <c r="N505" s="116">
        <v>30.45</v>
      </c>
      <c r="O505" s="116">
        <v>29.75</v>
      </c>
      <c r="P505" s="116">
        <v>29.85</v>
      </c>
      <c r="Q505" s="116">
        <v>60.1</v>
      </c>
      <c r="R505">
        <v>309646</v>
      </c>
    </row>
    <row r="506" spans="1:18" x14ac:dyDescent="0.25">
      <c r="A506" s="169">
        <v>42746</v>
      </c>
      <c r="B506" s="116">
        <v>31.4</v>
      </c>
      <c r="C506" s="116">
        <v>30.625</v>
      </c>
      <c r="D506" s="116">
        <v>30.05</v>
      </c>
      <c r="E506" s="116">
        <v>30.55</v>
      </c>
      <c r="F506" s="116">
        <v>61.25</v>
      </c>
      <c r="G506">
        <v>249117</v>
      </c>
      <c r="H506" s="116"/>
      <c r="I506" s="116"/>
      <c r="L506" s="169">
        <v>42746</v>
      </c>
      <c r="M506" s="116">
        <v>30.55</v>
      </c>
      <c r="N506" s="116">
        <v>31.375</v>
      </c>
      <c r="O506" s="116">
        <v>30.05</v>
      </c>
      <c r="P506" s="116">
        <v>30.4</v>
      </c>
      <c r="Q506" s="116">
        <v>61.1</v>
      </c>
      <c r="R506">
        <v>879589</v>
      </c>
    </row>
    <row r="507" spans="1:18" x14ac:dyDescent="0.25">
      <c r="A507" s="169">
        <v>42747</v>
      </c>
      <c r="B507" s="116">
        <v>31.15</v>
      </c>
      <c r="C507" s="116">
        <v>30.4</v>
      </c>
      <c r="D507" s="116">
        <v>30.25</v>
      </c>
      <c r="E507" s="116">
        <v>30.8</v>
      </c>
      <c r="F507" s="116">
        <v>60.8</v>
      </c>
      <c r="G507">
        <v>100833</v>
      </c>
      <c r="H507" s="116"/>
      <c r="I507" s="116"/>
      <c r="L507" s="169">
        <v>42747</v>
      </c>
      <c r="M507" s="116">
        <v>30.425000000000001</v>
      </c>
      <c r="N507" s="116">
        <v>31.2</v>
      </c>
      <c r="O507" s="116">
        <v>30.2</v>
      </c>
      <c r="P507" s="116">
        <v>30.85</v>
      </c>
      <c r="Q507" s="116">
        <v>60.85</v>
      </c>
      <c r="R507">
        <v>404785</v>
      </c>
    </row>
    <row r="508" spans="1:18" x14ac:dyDescent="0.25">
      <c r="A508" s="169">
        <v>42748</v>
      </c>
      <c r="B508" s="116">
        <v>30.7</v>
      </c>
      <c r="C508" s="116">
        <v>30.324999999999999</v>
      </c>
      <c r="D508" s="116">
        <v>30.15</v>
      </c>
      <c r="E508" s="116">
        <v>30.625</v>
      </c>
      <c r="F508" s="116">
        <v>60.65</v>
      </c>
      <c r="G508">
        <v>68371</v>
      </c>
      <c r="H508" s="116"/>
      <c r="I508" s="116"/>
      <c r="L508" s="169">
        <v>42748</v>
      </c>
      <c r="M508" s="116">
        <v>30.3</v>
      </c>
      <c r="N508" s="116">
        <v>30.65</v>
      </c>
      <c r="O508" s="116">
        <v>30.05</v>
      </c>
      <c r="P508" s="116">
        <v>30.5</v>
      </c>
      <c r="Q508" s="116">
        <v>60.6</v>
      </c>
      <c r="R508">
        <v>216124</v>
      </c>
    </row>
    <row r="509" spans="1:18" x14ac:dyDescent="0.25">
      <c r="A509" s="169">
        <v>42751</v>
      </c>
      <c r="B509" s="116">
        <v>31.35</v>
      </c>
      <c r="C509" s="116">
        <v>30.925000000000001</v>
      </c>
      <c r="D509" s="116">
        <v>30.05</v>
      </c>
      <c r="E509" s="116">
        <v>30.074999999999999</v>
      </c>
      <c r="F509" s="116">
        <v>61.85</v>
      </c>
      <c r="G509">
        <v>248198</v>
      </c>
      <c r="H509" s="116"/>
      <c r="I509" s="116"/>
      <c r="L509" s="169">
        <v>42751</v>
      </c>
      <c r="M509" s="116">
        <v>30.95</v>
      </c>
      <c r="N509" s="116">
        <v>31.35</v>
      </c>
      <c r="O509" s="116">
        <v>29.975000000000001</v>
      </c>
      <c r="P509" s="116">
        <v>30.3</v>
      </c>
      <c r="Q509" s="116">
        <v>61.9</v>
      </c>
      <c r="R509">
        <v>372526</v>
      </c>
    </row>
    <row r="510" spans="1:18" x14ac:dyDescent="0.25">
      <c r="A510" s="169">
        <v>42752</v>
      </c>
      <c r="B510" s="116">
        <v>31.375</v>
      </c>
      <c r="C510" s="116">
        <v>30.675000000000001</v>
      </c>
      <c r="D510" s="116">
        <v>30.6</v>
      </c>
      <c r="E510" s="116">
        <v>30.95</v>
      </c>
      <c r="F510" s="116">
        <v>61.35</v>
      </c>
      <c r="G510">
        <v>234958</v>
      </c>
      <c r="H510" s="116"/>
      <c r="I510" s="116"/>
      <c r="L510" s="169">
        <v>42752</v>
      </c>
      <c r="M510" s="116">
        <v>30.725000000000001</v>
      </c>
      <c r="N510" s="116">
        <v>31.375</v>
      </c>
      <c r="O510" s="116">
        <v>30.625</v>
      </c>
      <c r="P510" s="116">
        <v>30.7</v>
      </c>
      <c r="Q510" s="116">
        <v>61.45</v>
      </c>
      <c r="R510">
        <v>297098</v>
      </c>
    </row>
    <row r="511" spans="1:18" x14ac:dyDescent="0.25">
      <c r="A511" s="169">
        <v>42753</v>
      </c>
      <c r="B511" s="116">
        <v>31.6</v>
      </c>
      <c r="C511" s="116">
        <v>30.95</v>
      </c>
      <c r="D511" s="116">
        <v>30.85</v>
      </c>
      <c r="E511" s="116">
        <v>30.9</v>
      </c>
      <c r="F511" s="116">
        <v>61.9</v>
      </c>
      <c r="G511">
        <v>201643</v>
      </c>
      <c r="H511" s="116"/>
      <c r="I511" s="116"/>
      <c r="L511" s="169">
        <v>42753</v>
      </c>
      <c r="M511" s="116">
        <v>30.975000000000001</v>
      </c>
      <c r="N511" s="116">
        <v>31.65</v>
      </c>
      <c r="O511" s="116">
        <v>30.75</v>
      </c>
      <c r="P511" s="116">
        <v>30.925000000000001</v>
      </c>
      <c r="Q511" s="116">
        <v>61.95</v>
      </c>
      <c r="R511">
        <v>489157</v>
      </c>
    </row>
    <row r="512" spans="1:18" x14ac:dyDescent="0.25">
      <c r="A512" s="169">
        <v>42754</v>
      </c>
      <c r="B512" s="116">
        <v>31.35</v>
      </c>
      <c r="C512" s="116">
        <v>30.95</v>
      </c>
      <c r="D512" s="116">
        <v>30.625</v>
      </c>
      <c r="E512" s="116">
        <v>30.9</v>
      </c>
      <c r="F512" s="116">
        <v>61.9</v>
      </c>
      <c r="G512">
        <v>253264</v>
      </c>
      <c r="H512" s="116"/>
      <c r="I512" s="116"/>
      <c r="L512" s="169">
        <v>42754</v>
      </c>
      <c r="M512" s="116">
        <v>30.9</v>
      </c>
      <c r="N512" s="116">
        <v>31.4</v>
      </c>
      <c r="O512" s="116">
        <v>30.65</v>
      </c>
      <c r="P512" s="116">
        <v>30.95</v>
      </c>
      <c r="Q512" s="116">
        <v>61.8</v>
      </c>
      <c r="R512">
        <v>242962</v>
      </c>
    </row>
    <row r="513" spans="1:18" x14ac:dyDescent="0.25">
      <c r="A513" s="169">
        <v>42755</v>
      </c>
      <c r="B513" s="116">
        <v>31.1</v>
      </c>
      <c r="C513" s="116">
        <v>30.074999999999999</v>
      </c>
      <c r="D513" s="116">
        <v>29.824999999999999</v>
      </c>
      <c r="E513" s="116">
        <v>30.95</v>
      </c>
      <c r="F513" s="116">
        <v>60.15</v>
      </c>
      <c r="G513">
        <v>224637</v>
      </c>
      <c r="H513" s="116"/>
      <c r="I513" s="116"/>
      <c r="L513" s="169">
        <v>42755</v>
      </c>
      <c r="M513" s="116">
        <v>30.15</v>
      </c>
      <c r="N513" s="116">
        <v>31.25</v>
      </c>
      <c r="O513" s="116">
        <v>29.824999999999999</v>
      </c>
      <c r="P513" s="116">
        <v>30.75</v>
      </c>
      <c r="Q513" s="116">
        <v>60.3</v>
      </c>
      <c r="R513">
        <v>421033</v>
      </c>
    </row>
    <row r="514" spans="1:18" x14ac:dyDescent="0.25">
      <c r="A514" s="169">
        <v>42758</v>
      </c>
      <c r="B514" s="116">
        <v>30.9</v>
      </c>
      <c r="C514" s="116">
        <v>30.375</v>
      </c>
      <c r="D514" s="116">
        <v>30.024999999999999</v>
      </c>
      <c r="E514" s="116">
        <v>30.024999999999999</v>
      </c>
      <c r="F514" s="116">
        <v>60.75</v>
      </c>
      <c r="G514">
        <v>69379</v>
      </c>
      <c r="H514" s="116"/>
      <c r="I514" s="116"/>
      <c r="L514" s="169">
        <v>42758</v>
      </c>
      <c r="M514" s="116">
        <v>30.45</v>
      </c>
      <c r="N514" s="116">
        <v>30.875</v>
      </c>
      <c r="O514" s="116">
        <v>29.725000000000001</v>
      </c>
      <c r="P514" s="116">
        <v>29.725000000000001</v>
      </c>
      <c r="Q514" s="116">
        <v>60.9</v>
      </c>
      <c r="R514">
        <v>188929</v>
      </c>
    </row>
    <row r="515" spans="1:18" x14ac:dyDescent="0.25">
      <c r="A515" s="169">
        <v>42759</v>
      </c>
      <c r="B515" s="116">
        <v>30.725000000000001</v>
      </c>
      <c r="C515" s="116">
        <v>30.225000000000001</v>
      </c>
      <c r="D515" s="116">
        <v>30.1</v>
      </c>
      <c r="E515" s="116">
        <v>30.7</v>
      </c>
      <c r="F515" s="116">
        <v>60.45</v>
      </c>
      <c r="G515">
        <v>42767</v>
      </c>
      <c r="H515" s="116"/>
      <c r="I515" s="116"/>
      <c r="L515" s="169">
        <v>42759</v>
      </c>
      <c r="M515" s="116">
        <v>30.225000000000001</v>
      </c>
      <c r="N515" s="116">
        <v>30.875</v>
      </c>
      <c r="O515" s="116">
        <v>30.05</v>
      </c>
      <c r="P515" s="116">
        <v>30.75</v>
      </c>
      <c r="Q515" s="116">
        <v>60.45</v>
      </c>
      <c r="R515">
        <v>185299</v>
      </c>
    </row>
    <row r="516" spans="1:18" x14ac:dyDescent="0.25">
      <c r="A516" s="169">
        <v>42760</v>
      </c>
      <c r="B516" s="116">
        <v>31.375</v>
      </c>
      <c r="C516" s="116">
        <v>30.574999999999999</v>
      </c>
      <c r="D516" s="116">
        <v>30.524999999999999</v>
      </c>
      <c r="E516" s="116">
        <v>30.75</v>
      </c>
      <c r="F516" s="116">
        <v>61.15</v>
      </c>
      <c r="G516">
        <v>214948</v>
      </c>
      <c r="H516" s="116"/>
      <c r="I516" s="116"/>
      <c r="L516" s="169">
        <v>42760</v>
      </c>
      <c r="M516" s="116">
        <v>30.55</v>
      </c>
      <c r="N516" s="116">
        <v>31.35</v>
      </c>
      <c r="O516" s="116">
        <v>30.225000000000001</v>
      </c>
      <c r="P516" s="116">
        <v>30.25</v>
      </c>
      <c r="Q516" s="116">
        <v>61.1</v>
      </c>
      <c r="R516">
        <v>590386</v>
      </c>
    </row>
    <row r="517" spans="1:18" x14ac:dyDescent="0.25">
      <c r="A517" s="169">
        <v>42762</v>
      </c>
      <c r="B517" s="116">
        <v>31.274999999999999</v>
      </c>
      <c r="C517" s="116">
        <v>30.1</v>
      </c>
      <c r="D517" s="116">
        <v>30.024999999999999</v>
      </c>
      <c r="E517" s="116">
        <v>30.8</v>
      </c>
      <c r="F517" s="116">
        <v>60.2</v>
      </c>
      <c r="G517">
        <v>155904</v>
      </c>
      <c r="H517" s="116"/>
      <c r="I517" s="116"/>
      <c r="L517" s="169">
        <v>42762</v>
      </c>
      <c r="M517" s="116">
        <v>30.15</v>
      </c>
      <c r="N517" s="116">
        <v>31.25</v>
      </c>
      <c r="O517" s="116">
        <v>30.05</v>
      </c>
      <c r="P517" s="116">
        <v>30.725000000000001</v>
      </c>
      <c r="Q517" s="116">
        <v>60.3</v>
      </c>
      <c r="R517">
        <v>386012</v>
      </c>
    </row>
    <row r="518" spans="1:18" x14ac:dyDescent="0.25">
      <c r="A518" s="169">
        <v>42765</v>
      </c>
      <c r="B518" s="116">
        <v>30.5</v>
      </c>
      <c r="C518" s="116">
        <v>29.6</v>
      </c>
      <c r="D518" s="116">
        <v>29.55</v>
      </c>
      <c r="E518" s="116">
        <v>29.95</v>
      </c>
      <c r="F518" s="116">
        <v>59.2</v>
      </c>
      <c r="G518">
        <v>38967</v>
      </c>
      <c r="H518" s="116"/>
      <c r="I518" s="116"/>
      <c r="L518" s="169">
        <v>42765</v>
      </c>
      <c r="M518" s="116">
        <v>29.574999999999999</v>
      </c>
      <c r="N518" s="116">
        <v>30.45</v>
      </c>
      <c r="O518" s="116">
        <v>29.475000000000001</v>
      </c>
      <c r="P518" s="116">
        <v>30</v>
      </c>
      <c r="Q518" s="116">
        <v>59.15</v>
      </c>
      <c r="R518">
        <v>278457</v>
      </c>
    </row>
    <row r="519" spans="1:18" x14ac:dyDescent="0.25">
      <c r="A519" s="169">
        <v>42766</v>
      </c>
      <c r="B519" s="116">
        <v>29.675000000000001</v>
      </c>
      <c r="C519" s="116">
        <v>28.95</v>
      </c>
      <c r="D519" s="116">
        <v>28.9</v>
      </c>
      <c r="E519" s="116">
        <v>29.574999999999999</v>
      </c>
      <c r="F519" s="116">
        <v>57.9</v>
      </c>
      <c r="G519">
        <v>73468</v>
      </c>
      <c r="H519" s="116"/>
      <c r="I519" s="116"/>
      <c r="L519" s="169">
        <v>42766</v>
      </c>
      <c r="M519" s="116">
        <v>28.925000000000001</v>
      </c>
      <c r="N519" s="116">
        <v>29.725000000000001</v>
      </c>
      <c r="O519" s="116">
        <v>28.824999999999999</v>
      </c>
      <c r="P519" s="116">
        <v>29.65</v>
      </c>
      <c r="Q519" s="116">
        <v>57.85</v>
      </c>
      <c r="R519">
        <v>273690</v>
      </c>
    </row>
    <row r="520" spans="1:18" x14ac:dyDescent="0.25">
      <c r="A520" s="169">
        <v>42767</v>
      </c>
      <c r="B520" s="116">
        <v>29.95</v>
      </c>
      <c r="C520" s="116">
        <v>29.725000000000001</v>
      </c>
      <c r="D520" s="116">
        <v>28.9</v>
      </c>
      <c r="E520" s="116">
        <v>28.975000000000001</v>
      </c>
      <c r="F520" s="116">
        <v>59.45</v>
      </c>
      <c r="G520">
        <v>83095</v>
      </c>
      <c r="H520" s="116"/>
      <c r="I520" s="116"/>
      <c r="L520" s="169">
        <v>42767</v>
      </c>
      <c r="M520" s="116">
        <v>29.675000000000001</v>
      </c>
      <c r="N520" s="116">
        <v>29.925000000000001</v>
      </c>
      <c r="O520" s="116">
        <v>28.824999999999999</v>
      </c>
      <c r="P520" s="116">
        <v>29</v>
      </c>
      <c r="Q520" s="116">
        <v>59.35</v>
      </c>
      <c r="R520">
        <v>239642</v>
      </c>
    </row>
    <row r="521" spans="1:18" x14ac:dyDescent="0.25">
      <c r="A521" s="169">
        <v>42768</v>
      </c>
      <c r="B521" s="116">
        <v>30.4</v>
      </c>
      <c r="C521" s="116">
        <v>30</v>
      </c>
      <c r="D521" s="116">
        <v>29.625</v>
      </c>
      <c r="E521" s="116">
        <v>29.95</v>
      </c>
      <c r="F521" s="116">
        <v>60</v>
      </c>
      <c r="G521">
        <v>80655</v>
      </c>
      <c r="H521" s="116"/>
      <c r="I521" s="116"/>
      <c r="L521" s="169">
        <v>42768</v>
      </c>
      <c r="M521" s="116">
        <v>30.1</v>
      </c>
      <c r="N521" s="116">
        <v>30.45</v>
      </c>
      <c r="O521" s="116">
        <v>29.625</v>
      </c>
      <c r="P521" s="116">
        <v>29.9</v>
      </c>
      <c r="Q521" s="116">
        <v>60.2</v>
      </c>
      <c r="R521">
        <v>297999</v>
      </c>
    </row>
    <row r="522" spans="1:18" x14ac:dyDescent="0.25">
      <c r="A522" s="169">
        <v>42769</v>
      </c>
      <c r="B522" s="116">
        <v>31.324999999999999</v>
      </c>
      <c r="C522" s="116">
        <v>30.35</v>
      </c>
      <c r="D522" s="116">
        <v>30</v>
      </c>
      <c r="E522" s="116">
        <v>30</v>
      </c>
      <c r="F522" s="116">
        <v>60.7</v>
      </c>
      <c r="G522">
        <v>176183</v>
      </c>
      <c r="H522" s="116"/>
      <c r="I522" s="116"/>
      <c r="L522" s="169">
        <v>42769</v>
      </c>
      <c r="M522" s="116">
        <v>30.4</v>
      </c>
      <c r="N522" s="116">
        <v>31.324999999999999</v>
      </c>
      <c r="O522" s="116">
        <v>30.05</v>
      </c>
      <c r="P522" s="116">
        <v>30.1</v>
      </c>
      <c r="Q522" s="116">
        <v>60.8</v>
      </c>
      <c r="R522">
        <v>605630</v>
      </c>
    </row>
    <row r="523" spans="1:18" x14ac:dyDescent="0.25">
      <c r="A523" s="169">
        <v>42772</v>
      </c>
      <c r="B523" s="116">
        <v>30.8</v>
      </c>
      <c r="C523" s="116">
        <v>30.175000000000001</v>
      </c>
      <c r="D523" s="116">
        <v>29.95</v>
      </c>
      <c r="E523" s="116">
        <v>30.625</v>
      </c>
      <c r="F523" s="116">
        <v>60.35</v>
      </c>
      <c r="G523">
        <v>105484</v>
      </c>
      <c r="H523" s="116"/>
      <c r="I523" s="116"/>
      <c r="L523" s="169">
        <v>42772</v>
      </c>
      <c r="M523" s="116">
        <v>30.1</v>
      </c>
      <c r="N523" s="116">
        <v>30.925000000000001</v>
      </c>
      <c r="O523" s="116">
        <v>29.8</v>
      </c>
      <c r="P523" s="116">
        <v>30.7</v>
      </c>
      <c r="Q523" s="116">
        <v>60.2</v>
      </c>
      <c r="R523">
        <v>358858</v>
      </c>
    </row>
    <row r="524" spans="1:18" x14ac:dyDescent="0.25">
      <c r="A524" s="169">
        <v>42773</v>
      </c>
      <c r="B524" s="116">
        <v>30.75</v>
      </c>
      <c r="C524" s="116">
        <v>30.274999999999999</v>
      </c>
      <c r="D524" s="116">
        <v>30.024999999999999</v>
      </c>
      <c r="E524" s="116">
        <v>30.274999999999999</v>
      </c>
      <c r="F524" s="116">
        <v>60.55</v>
      </c>
      <c r="G524">
        <v>99439</v>
      </c>
      <c r="H524" s="116"/>
      <c r="I524" s="116"/>
      <c r="L524" s="169">
        <v>42773</v>
      </c>
      <c r="M524" s="116">
        <v>30.274999999999999</v>
      </c>
      <c r="N524" s="116">
        <v>30.75</v>
      </c>
      <c r="O524" s="116">
        <v>30.024999999999999</v>
      </c>
      <c r="P524" s="116">
        <v>30.05</v>
      </c>
      <c r="Q524" s="116">
        <v>60.55</v>
      </c>
      <c r="R524">
        <v>372662</v>
      </c>
    </row>
    <row r="525" spans="1:18" x14ac:dyDescent="0.25">
      <c r="A525" s="169">
        <v>42774</v>
      </c>
      <c r="B525" s="116">
        <v>31.2</v>
      </c>
      <c r="C525" s="116">
        <v>31.074999999999999</v>
      </c>
      <c r="D525" s="116">
        <v>30.375</v>
      </c>
      <c r="E525" s="116">
        <v>30.425000000000001</v>
      </c>
      <c r="F525" s="116">
        <v>62.15</v>
      </c>
      <c r="G525">
        <v>96595</v>
      </c>
      <c r="H525" s="116"/>
      <c r="I525" s="116"/>
      <c r="L525" s="169">
        <v>42774</v>
      </c>
      <c r="M525" s="116">
        <v>31.1</v>
      </c>
      <c r="N525" s="116">
        <v>31.25</v>
      </c>
      <c r="O525" s="116">
        <v>30.25</v>
      </c>
      <c r="P525" s="116">
        <v>30.25</v>
      </c>
      <c r="Q525" s="116">
        <v>62.2</v>
      </c>
      <c r="R525">
        <v>428869</v>
      </c>
    </row>
    <row r="526" spans="1:18" x14ac:dyDescent="0.25">
      <c r="A526" s="169">
        <v>42775</v>
      </c>
      <c r="B526" s="116">
        <v>35.875</v>
      </c>
      <c r="C526" s="116">
        <v>34.549999999999997</v>
      </c>
      <c r="D526" s="116">
        <v>30.55</v>
      </c>
      <c r="E526" s="116">
        <v>31.45</v>
      </c>
      <c r="F526" s="116">
        <v>69.099999999999994</v>
      </c>
      <c r="G526">
        <v>1551017</v>
      </c>
      <c r="H526" s="116"/>
      <c r="I526" s="116"/>
      <c r="L526" s="169">
        <v>42775</v>
      </c>
      <c r="M526" s="116">
        <v>34.549999999999997</v>
      </c>
      <c r="N526" s="116">
        <v>35.85</v>
      </c>
      <c r="O526" s="116">
        <v>30.55</v>
      </c>
      <c r="P526" s="116">
        <v>31.425000000000001</v>
      </c>
      <c r="Q526" s="116">
        <v>69.099999999999994</v>
      </c>
      <c r="R526">
        <v>8067472</v>
      </c>
    </row>
    <row r="527" spans="1:18" x14ac:dyDescent="0.25">
      <c r="A527" s="169">
        <v>42776</v>
      </c>
      <c r="B527" s="116">
        <v>36.6</v>
      </c>
      <c r="C527" s="116">
        <v>35.450000000000003</v>
      </c>
      <c r="D527" s="116">
        <v>34.35</v>
      </c>
      <c r="E527" s="116">
        <v>35</v>
      </c>
      <c r="F527" s="116">
        <v>70.900000000000006</v>
      </c>
      <c r="G527">
        <v>1549667</v>
      </c>
      <c r="H527" s="116"/>
      <c r="I527" s="116"/>
      <c r="L527" s="169">
        <v>42776</v>
      </c>
      <c r="M527" s="116">
        <v>35.674999999999997</v>
      </c>
      <c r="N527" s="116">
        <v>36.674999999999997</v>
      </c>
      <c r="O527" s="116">
        <v>34.299999999999997</v>
      </c>
      <c r="P527" s="116">
        <v>35</v>
      </c>
      <c r="Q527" s="116">
        <v>71.349999999999994</v>
      </c>
      <c r="R527">
        <v>5873131</v>
      </c>
    </row>
    <row r="528" spans="1:18" x14ac:dyDescent="0.25">
      <c r="A528" s="169">
        <v>42779</v>
      </c>
      <c r="B528" s="116">
        <v>36.075000000000003</v>
      </c>
      <c r="C528" s="116">
        <v>34.700000000000003</v>
      </c>
      <c r="D528" s="116">
        <v>34.15</v>
      </c>
      <c r="E528" s="116">
        <v>36</v>
      </c>
      <c r="F528" s="116">
        <v>69.400000000000006</v>
      </c>
      <c r="G528">
        <v>423097</v>
      </c>
      <c r="H528" s="116"/>
      <c r="I528" s="116"/>
      <c r="L528" s="169">
        <v>42779</v>
      </c>
      <c r="M528" s="116">
        <v>34.774999999999999</v>
      </c>
      <c r="N528" s="116">
        <v>36.1</v>
      </c>
      <c r="O528" s="116">
        <v>33.725000000000001</v>
      </c>
      <c r="P528" s="116">
        <v>35.950000000000003</v>
      </c>
      <c r="Q528" s="116">
        <v>69.55</v>
      </c>
      <c r="R528">
        <v>1328956</v>
      </c>
    </row>
    <row r="529" spans="1:18" x14ac:dyDescent="0.25">
      <c r="A529" s="169">
        <v>42780</v>
      </c>
      <c r="B529" s="116">
        <v>35.450000000000003</v>
      </c>
      <c r="C529" s="116">
        <v>34.200000000000003</v>
      </c>
      <c r="D529" s="116">
        <v>34.075000000000003</v>
      </c>
      <c r="E529" s="116">
        <v>35.450000000000003</v>
      </c>
      <c r="F529" s="116">
        <v>68.400000000000006</v>
      </c>
      <c r="G529">
        <v>284347</v>
      </c>
      <c r="H529" s="116"/>
      <c r="I529" s="116"/>
      <c r="L529" s="169">
        <v>42780</v>
      </c>
      <c r="M529" s="116">
        <v>34.299999999999997</v>
      </c>
      <c r="N529" s="116">
        <v>34.924999999999997</v>
      </c>
      <c r="O529" s="116">
        <v>34</v>
      </c>
      <c r="P529" s="116">
        <v>34.924999999999997</v>
      </c>
      <c r="Q529" s="116">
        <v>68.599999999999994</v>
      </c>
      <c r="R529">
        <v>819131</v>
      </c>
    </row>
    <row r="530" spans="1:18" x14ac:dyDescent="0.25">
      <c r="A530" s="169">
        <v>42781</v>
      </c>
      <c r="B530" s="116">
        <v>34.700000000000003</v>
      </c>
      <c r="C530" s="116">
        <v>32.700000000000003</v>
      </c>
      <c r="D530" s="116">
        <v>32.5</v>
      </c>
      <c r="E530" s="116">
        <v>34.700000000000003</v>
      </c>
      <c r="F530" s="116">
        <v>65.400000000000006</v>
      </c>
      <c r="G530">
        <v>344223</v>
      </c>
      <c r="H530" s="116"/>
      <c r="I530" s="116"/>
      <c r="L530" s="169">
        <v>42781</v>
      </c>
      <c r="M530" s="116">
        <v>32.75</v>
      </c>
      <c r="N530" s="116">
        <v>34.549999999999997</v>
      </c>
      <c r="O530" s="116">
        <v>32.575000000000003</v>
      </c>
      <c r="P530" s="116">
        <v>34.375</v>
      </c>
      <c r="Q530" s="116">
        <v>65.5</v>
      </c>
      <c r="R530">
        <v>830321</v>
      </c>
    </row>
    <row r="531" spans="1:18" x14ac:dyDescent="0.25">
      <c r="A531" s="169">
        <v>42782</v>
      </c>
      <c r="B531" s="116">
        <v>34</v>
      </c>
      <c r="C531" s="116">
        <v>33.825000000000003</v>
      </c>
      <c r="D531" s="116">
        <v>32.75</v>
      </c>
      <c r="E531" s="116">
        <v>32.975000000000001</v>
      </c>
      <c r="F531" s="116">
        <v>67.650000000000006</v>
      </c>
      <c r="G531">
        <v>233561</v>
      </c>
      <c r="H531" s="116"/>
      <c r="I531" s="116"/>
      <c r="L531" s="169">
        <v>42782</v>
      </c>
      <c r="M531" s="116">
        <v>33.9</v>
      </c>
      <c r="N531" s="116">
        <v>34.1</v>
      </c>
      <c r="O531" s="116">
        <v>32.674999999999997</v>
      </c>
      <c r="P531" s="116">
        <v>32.674999999999997</v>
      </c>
      <c r="Q531" s="116">
        <v>67.8</v>
      </c>
      <c r="R531">
        <v>746682</v>
      </c>
    </row>
    <row r="532" spans="1:18" x14ac:dyDescent="0.25">
      <c r="A532" s="169">
        <v>42783</v>
      </c>
      <c r="B532" s="116">
        <v>34.375</v>
      </c>
      <c r="C532" s="116">
        <v>33.125</v>
      </c>
      <c r="D532" s="116">
        <v>33</v>
      </c>
      <c r="E532" s="116">
        <v>34.375</v>
      </c>
      <c r="F532" s="116">
        <v>66.25</v>
      </c>
      <c r="G532">
        <v>138053</v>
      </c>
      <c r="H532" s="116"/>
      <c r="I532" s="116"/>
      <c r="L532" s="169">
        <v>42783</v>
      </c>
      <c r="M532" s="116">
        <v>33.225000000000001</v>
      </c>
      <c r="N532" s="116">
        <v>34</v>
      </c>
      <c r="O532" s="116">
        <v>33.075000000000003</v>
      </c>
      <c r="P532" s="116">
        <v>33.9</v>
      </c>
      <c r="Q532" s="116">
        <v>66.45</v>
      </c>
      <c r="R532">
        <v>470047</v>
      </c>
    </row>
    <row r="533" spans="1:18" x14ac:dyDescent="0.25">
      <c r="A533" s="169">
        <v>42786</v>
      </c>
      <c r="B533" s="116">
        <v>36.1</v>
      </c>
      <c r="C533" s="116">
        <v>34.674999999999997</v>
      </c>
      <c r="D533" s="116">
        <v>33.475000000000001</v>
      </c>
      <c r="E533" s="116">
        <v>33.475000000000001</v>
      </c>
      <c r="F533" s="116">
        <v>69.349999999999994</v>
      </c>
      <c r="G533">
        <v>555888</v>
      </c>
      <c r="H533" s="116"/>
      <c r="I533" s="116"/>
      <c r="L533" s="169">
        <v>42786</v>
      </c>
      <c r="M533" s="116">
        <v>34.575000000000003</v>
      </c>
      <c r="N533" s="116">
        <v>36.1</v>
      </c>
      <c r="O533" s="116">
        <v>33.575000000000003</v>
      </c>
      <c r="P533" s="116">
        <v>33.674999999999997</v>
      </c>
      <c r="Q533" s="116">
        <v>69.150000000000006</v>
      </c>
      <c r="R533">
        <v>2149781</v>
      </c>
    </row>
    <row r="534" spans="1:18" x14ac:dyDescent="0.25">
      <c r="A534" s="169">
        <v>42787</v>
      </c>
      <c r="B534" s="116">
        <v>38.700000000000003</v>
      </c>
      <c r="C534" s="116">
        <v>38</v>
      </c>
      <c r="D534" s="116">
        <v>35.450000000000003</v>
      </c>
      <c r="E534" s="116">
        <v>35.450000000000003</v>
      </c>
      <c r="F534" s="116">
        <v>76</v>
      </c>
      <c r="G534">
        <v>1837312</v>
      </c>
      <c r="H534" s="116"/>
      <c r="I534" s="116"/>
      <c r="L534" s="169">
        <v>42787</v>
      </c>
      <c r="M534" s="116">
        <v>38.049999999999997</v>
      </c>
      <c r="N534" s="116">
        <v>38.825000000000003</v>
      </c>
      <c r="O534" s="116">
        <v>35.5</v>
      </c>
      <c r="P534" s="116">
        <v>35.5</v>
      </c>
      <c r="Q534" s="116">
        <v>76.099999999999994</v>
      </c>
      <c r="R534">
        <v>7797400</v>
      </c>
    </row>
    <row r="535" spans="1:18" x14ac:dyDescent="0.25">
      <c r="A535" s="169">
        <v>42788</v>
      </c>
      <c r="B535" s="116">
        <v>38.15</v>
      </c>
      <c r="C535" s="116">
        <v>37</v>
      </c>
      <c r="D535" s="116">
        <v>36.75</v>
      </c>
      <c r="E535" s="116">
        <v>38</v>
      </c>
      <c r="F535" s="116">
        <v>74</v>
      </c>
      <c r="G535">
        <v>490104</v>
      </c>
      <c r="H535" s="116"/>
      <c r="I535" s="116"/>
      <c r="L535" s="169">
        <v>42788</v>
      </c>
      <c r="M535" s="116">
        <v>37</v>
      </c>
      <c r="N535" s="116">
        <v>38.174999999999997</v>
      </c>
      <c r="O535" s="116">
        <v>36.75</v>
      </c>
      <c r="P535" s="116">
        <v>38.174999999999997</v>
      </c>
      <c r="Q535" s="116">
        <v>74</v>
      </c>
      <c r="R535">
        <v>1840655</v>
      </c>
    </row>
    <row r="536" spans="1:18" x14ac:dyDescent="0.25">
      <c r="A536" s="169">
        <v>42789</v>
      </c>
      <c r="B536" s="116">
        <v>37.35</v>
      </c>
      <c r="C536" s="116">
        <v>36.9</v>
      </c>
      <c r="D536" s="116">
        <v>36.325000000000003</v>
      </c>
      <c r="E536" s="116">
        <v>37.1</v>
      </c>
      <c r="F536" s="116">
        <v>73.8</v>
      </c>
      <c r="G536">
        <v>321976</v>
      </c>
      <c r="H536" s="116"/>
      <c r="I536" s="116"/>
      <c r="L536" s="169">
        <v>42789</v>
      </c>
      <c r="M536" s="116">
        <v>36.825000000000003</v>
      </c>
      <c r="N536" s="116">
        <v>37.375</v>
      </c>
      <c r="O536" s="116">
        <v>36.274999999999999</v>
      </c>
      <c r="P536" s="116">
        <v>37.024999999999999</v>
      </c>
      <c r="Q536" s="116">
        <v>73.650000000000006</v>
      </c>
      <c r="R536">
        <v>1049451</v>
      </c>
    </row>
    <row r="537" spans="1:18" x14ac:dyDescent="0.25">
      <c r="A537" s="169">
        <v>42793</v>
      </c>
      <c r="B537" s="116">
        <v>39.075000000000003</v>
      </c>
      <c r="C537" s="116">
        <v>38.549999999999997</v>
      </c>
      <c r="D537" s="116">
        <v>36.5</v>
      </c>
      <c r="E537" s="116">
        <v>36.75</v>
      </c>
      <c r="F537" s="116">
        <v>77.099999999999994</v>
      </c>
      <c r="G537">
        <v>873247</v>
      </c>
      <c r="H537" s="116"/>
      <c r="I537" s="116"/>
      <c r="L537" s="169">
        <v>42793</v>
      </c>
      <c r="M537" s="116">
        <v>38.625</v>
      </c>
      <c r="N537" s="116">
        <v>39.1</v>
      </c>
      <c r="O537" s="116">
        <v>36.4</v>
      </c>
      <c r="P537" s="116">
        <v>36.625</v>
      </c>
      <c r="Q537" s="116">
        <v>77.25</v>
      </c>
      <c r="R537">
        <v>3572272</v>
      </c>
    </row>
    <row r="538" spans="1:18" x14ac:dyDescent="0.25">
      <c r="A538" s="169">
        <v>42794</v>
      </c>
      <c r="B538" s="116">
        <v>39.6</v>
      </c>
      <c r="C538" s="116">
        <v>38.575000000000003</v>
      </c>
      <c r="D538" s="116">
        <v>38.424999999999997</v>
      </c>
      <c r="E538" s="116">
        <v>38.6</v>
      </c>
      <c r="F538" s="116">
        <v>77.150000000000006</v>
      </c>
      <c r="G538">
        <v>553927</v>
      </c>
      <c r="H538" s="116"/>
      <c r="I538" s="116"/>
      <c r="L538" s="169">
        <v>42794</v>
      </c>
      <c r="M538" s="116">
        <v>38.65</v>
      </c>
      <c r="N538" s="116">
        <v>39.6</v>
      </c>
      <c r="O538" s="116">
        <v>38.450000000000003</v>
      </c>
      <c r="P538" s="116">
        <v>38.5</v>
      </c>
      <c r="Q538" s="116">
        <v>77.3</v>
      </c>
      <c r="R538">
        <v>1957705</v>
      </c>
    </row>
    <row r="539" spans="1:18" x14ac:dyDescent="0.25">
      <c r="A539" s="169">
        <v>42795</v>
      </c>
      <c r="B539" s="116">
        <v>41.625</v>
      </c>
      <c r="C539" s="116">
        <v>40.674999999999997</v>
      </c>
      <c r="D539" s="116">
        <v>38.674999999999997</v>
      </c>
      <c r="E539" s="116">
        <v>38.700000000000003</v>
      </c>
      <c r="F539" s="116">
        <v>81.349999999999994</v>
      </c>
      <c r="G539">
        <v>1276542</v>
      </c>
      <c r="H539" s="116"/>
      <c r="I539" s="116"/>
      <c r="L539" s="169">
        <v>42795</v>
      </c>
      <c r="M539" s="116">
        <v>40.725000000000001</v>
      </c>
      <c r="N539" s="116">
        <v>41.65</v>
      </c>
      <c r="O539" s="116">
        <v>38.575000000000003</v>
      </c>
      <c r="P539" s="116">
        <v>38.625</v>
      </c>
      <c r="Q539" s="116">
        <v>81.45</v>
      </c>
      <c r="R539">
        <v>5848570</v>
      </c>
    </row>
    <row r="540" spans="1:18" x14ac:dyDescent="0.25">
      <c r="A540" s="169">
        <v>42796</v>
      </c>
      <c r="B540" s="116">
        <v>41.7</v>
      </c>
      <c r="C540" s="116">
        <v>39.524999999999999</v>
      </c>
      <c r="D540" s="116">
        <v>39.274999999999999</v>
      </c>
      <c r="E540" s="116">
        <v>41.174999999999997</v>
      </c>
      <c r="F540" s="116">
        <v>79.05</v>
      </c>
      <c r="G540">
        <v>590774</v>
      </c>
      <c r="H540" s="116"/>
      <c r="I540" s="116"/>
      <c r="L540" s="169">
        <v>42796</v>
      </c>
      <c r="M540" s="116">
        <v>39.549999999999997</v>
      </c>
      <c r="N540" s="116">
        <v>41.725000000000001</v>
      </c>
      <c r="O540" s="116">
        <v>39.325000000000003</v>
      </c>
      <c r="P540" s="116">
        <v>41.225000000000001</v>
      </c>
      <c r="Q540" s="116">
        <v>79.099999999999994</v>
      </c>
      <c r="R540">
        <v>2162588</v>
      </c>
    </row>
    <row r="541" spans="1:18" x14ac:dyDescent="0.25">
      <c r="A541" s="169">
        <v>42797</v>
      </c>
      <c r="B541" s="116">
        <v>40.799999999999997</v>
      </c>
      <c r="C541" s="116">
        <v>40.575000000000003</v>
      </c>
      <c r="D541" s="116">
        <v>38.549999999999997</v>
      </c>
      <c r="E541" s="116">
        <v>39.549999999999997</v>
      </c>
      <c r="F541" s="116">
        <v>81.150000000000006</v>
      </c>
      <c r="G541">
        <v>524364</v>
      </c>
      <c r="H541" s="116"/>
      <c r="I541" s="116"/>
      <c r="L541" s="169">
        <v>42797</v>
      </c>
      <c r="M541" s="116">
        <v>40.674999999999997</v>
      </c>
      <c r="N541" s="116">
        <v>40.825000000000003</v>
      </c>
      <c r="O541" s="116">
        <v>38.625</v>
      </c>
      <c r="P541" s="116">
        <v>39.450000000000003</v>
      </c>
      <c r="Q541" s="116">
        <v>81.349999999999994</v>
      </c>
      <c r="R541">
        <v>1857973</v>
      </c>
    </row>
    <row r="542" spans="1:18" x14ac:dyDescent="0.25">
      <c r="A542" s="169">
        <v>42800</v>
      </c>
      <c r="B542" s="116">
        <v>41.5</v>
      </c>
      <c r="C542" s="116">
        <v>41.225000000000001</v>
      </c>
      <c r="D542" s="116">
        <v>40.075000000000003</v>
      </c>
      <c r="E542" s="116">
        <v>40.075000000000003</v>
      </c>
      <c r="F542" s="116">
        <v>82.45</v>
      </c>
      <c r="G542">
        <v>378546</v>
      </c>
      <c r="H542" s="116"/>
      <c r="I542" s="116"/>
      <c r="L542" s="169">
        <v>42800</v>
      </c>
      <c r="M542" s="116">
        <v>41.325000000000003</v>
      </c>
      <c r="N542" s="116">
        <v>41.575000000000003</v>
      </c>
      <c r="O542" s="116">
        <v>40.375</v>
      </c>
      <c r="P542" s="116">
        <v>40.65</v>
      </c>
      <c r="Q542" s="116">
        <v>82.65</v>
      </c>
      <c r="R542">
        <v>1521887</v>
      </c>
    </row>
    <row r="543" spans="1:18" x14ac:dyDescent="0.25">
      <c r="A543" s="169">
        <v>42801</v>
      </c>
      <c r="B543" s="116">
        <v>41.9</v>
      </c>
      <c r="C543" s="116">
        <v>40.950000000000003</v>
      </c>
      <c r="D543" s="116">
        <v>40.75</v>
      </c>
      <c r="E543" s="116">
        <v>41.225000000000001</v>
      </c>
      <c r="F543" s="116">
        <v>81.900000000000006</v>
      </c>
      <c r="G543">
        <v>368055</v>
      </c>
      <c r="H543" s="116"/>
      <c r="I543" s="116"/>
      <c r="L543" s="169">
        <v>42801</v>
      </c>
      <c r="M543" s="116">
        <v>41</v>
      </c>
      <c r="N543" s="116">
        <v>41.9</v>
      </c>
      <c r="O543" s="116">
        <v>40.75</v>
      </c>
      <c r="P543" s="116">
        <v>41.6</v>
      </c>
      <c r="Q543" s="116">
        <v>82</v>
      </c>
      <c r="R543">
        <v>1177482</v>
      </c>
    </row>
    <row r="544" spans="1:18" x14ac:dyDescent="0.25">
      <c r="A544" s="169">
        <v>42802</v>
      </c>
      <c r="B544" s="116">
        <v>41.225000000000001</v>
      </c>
      <c r="C544" s="116">
        <v>40.549999999999997</v>
      </c>
      <c r="D544" s="116">
        <v>39.549999999999997</v>
      </c>
      <c r="E544" s="116">
        <v>41.225000000000001</v>
      </c>
      <c r="F544" s="116">
        <v>81.099999999999994</v>
      </c>
      <c r="G544">
        <v>306164</v>
      </c>
      <c r="H544" s="116"/>
      <c r="I544" s="116"/>
      <c r="L544" s="169">
        <v>42802</v>
      </c>
      <c r="M544" s="116">
        <v>40.674999999999997</v>
      </c>
      <c r="N544" s="116">
        <v>41.25</v>
      </c>
      <c r="O544" s="116">
        <v>39.475000000000001</v>
      </c>
      <c r="P544" s="116">
        <v>41.25</v>
      </c>
      <c r="Q544" s="116">
        <v>81.349999999999994</v>
      </c>
      <c r="R544">
        <v>888211</v>
      </c>
    </row>
    <row r="545" spans="1:18" x14ac:dyDescent="0.25">
      <c r="A545" s="169">
        <v>42803</v>
      </c>
      <c r="B545" s="116">
        <v>41.625</v>
      </c>
      <c r="C545" s="116">
        <v>40.325000000000003</v>
      </c>
      <c r="D545" s="116">
        <v>40.075000000000003</v>
      </c>
      <c r="E545" s="116">
        <v>40.325000000000003</v>
      </c>
      <c r="F545" s="116">
        <v>80.650000000000006</v>
      </c>
      <c r="G545">
        <v>359894</v>
      </c>
      <c r="H545" s="116"/>
      <c r="I545" s="116"/>
      <c r="L545" s="169">
        <v>42803</v>
      </c>
      <c r="M545" s="116">
        <v>40.4</v>
      </c>
      <c r="N545" s="116">
        <v>41.674999999999997</v>
      </c>
      <c r="O545" s="116">
        <v>40.1</v>
      </c>
      <c r="P545" s="116">
        <v>40.5</v>
      </c>
      <c r="Q545" s="116">
        <v>80.8</v>
      </c>
      <c r="R545">
        <v>1116176</v>
      </c>
    </row>
    <row r="546" spans="1:18" x14ac:dyDescent="0.25">
      <c r="A546" s="169">
        <v>42804</v>
      </c>
      <c r="B546" s="116">
        <v>41.274999999999999</v>
      </c>
      <c r="C546" s="116">
        <v>39.75</v>
      </c>
      <c r="D546" s="116">
        <v>39.575000000000003</v>
      </c>
      <c r="E546" s="116">
        <v>41</v>
      </c>
      <c r="F546" s="116">
        <v>79.5</v>
      </c>
      <c r="G546">
        <v>282904</v>
      </c>
      <c r="H546" s="116"/>
      <c r="I546" s="116"/>
      <c r="L546" s="169">
        <v>42804</v>
      </c>
      <c r="M546" s="116">
        <v>39.700000000000003</v>
      </c>
      <c r="N546" s="116">
        <v>41.174999999999997</v>
      </c>
      <c r="O546" s="116">
        <v>39.4</v>
      </c>
      <c r="P546" s="116">
        <v>40.799999999999997</v>
      </c>
      <c r="Q546" s="116">
        <v>79.400000000000006</v>
      </c>
      <c r="R546">
        <v>611365</v>
      </c>
    </row>
    <row r="547" spans="1:18" x14ac:dyDescent="0.25">
      <c r="A547" s="169">
        <v>42808</v>
      </c>
      <c r="B547" s="116">
        <v>40.75</v>
      </c>
      <c r="C547" s="116">
        <v>39.9</v>
      </c>
      <c r="D547" s="116">
        <v>39.85</v>
      </c>
      <c r="E547" s="116">
        <v>39.875</v>
      </c>
      <c r="F547" s="116">
        <v>79.8</v>
      </c>
      <c r="G547">
        <v>224966</v>
      </c>
      <c r="H547" s="116"/>
      <c r="I547" s="116"/>
      <c r="L547" s="169">
        <v>42808</v>
      </c>
      <c r="M547" s="116">
        <v>39.975000000000001</v>
      </c>
      <c r="N547" s="116">
        <v>40.85</v>
      </c>
      <c r="O547" s="116">
        <v>39.9</v>
      </c>
      <c r="P547" s="116">
        <v>40.85</v>
      </c>
      <c r="Q547" s="116">
        <v>79.95</v>
      </c>
      <c r="R547">
        <v>774553</v>
      </c>
    </row>
    <row r="548" spans="1:18" x14ac:dyDescent="0.25">
      <c r="A548" s="169">
        <v>42809</v>
      </c>
      <c r="B548" s="116">
        <v>40.875</v>
      </c>
      <c r="C548" s="116">
        <v>40.424999999999997</v>
      </c>
      <c r="D548" s="116">
        <v>39.625</v>
      </c>
      <c r="E548" s="116">
        <v>40.15</v>
      </c>
      <c r="F548" s="116">
        <v>80.849999999999994</v>
      </c>
      <c r="G548">
        <v>260478</v>
      </c>
      <c r="H548" s="116"/>
      <c r="I548" s="116"/>
      <c r="L548" s="169">
        <v>42809</v>
      </c>
      <c r="M548" s="116">
        <v>40.375</v>
      </c>
      <c r="N548" s="116">
        <v>40.825000000000003</v>
      </c>
      <c r="O548" s="116">
        <v>39.6</v>
      </c>
      <c r="P548" s="116">
        <v>40.075000000000003</v>
      </c>
      <c r="Q548" s="116">
        <v>80.75</v>
      </c>
      <c r="R548">
        <v>1051317</v>
      </c>
    </row>
    <row r="549" spans="1:18" x14ac:dyDescent="0.25">
      <c r="A549" s="169">
        <v>42810</v>
      </c>
      <c r="B549" s="116">
        <v>42.7</v>
      </c>
      <c r="C549" s="116">
        <v>42.25</v>
      </c>
      <c r="D549" s="116">
        <v>40.450000000000003</v>
      </c>
      <c r="E549" s="116">
        <v>40.5</v>
      </c>
      <c r="F549" s="116">
        <v>84.5</v>
      </c>
      <c r="G549">
        <v>855691</v>
      </c>
      <c r="H549" s="116"/>
      <c r="I549" s="116"/>
      <c r="L549" s="169">
        <v>42810</v>
      </c>
      <c r="M549" s="116">
        <v>42.35</v>
      </c>
      <c r="N549" s="116">
        <v>42.75</v>
      </c>
      <c r="O549" s="116">
        <v>40.4</v>
      </c>
      <c r="P549" s="116">
        <v>40.75</v>
      </c>
      <c r="Q549" s="116">
        <v>84.7</v>
      </c>
      <c r="R549">
        <v>3729198</v>
      </c>
    </row>
    <row r="550" spans="1:18" x14ac:dyDescent="0.25">
      <c r="A550" s="169">
        <v>42811</v>
      </c>
      <c r="B550" s="116">
        <v>43.725000000000001</v>
      </c>
      <c r="C550" s="116">
        <v>42.924999999999997</v>
      </c>
      <c r="D550" s="116">
        <v>42.1</v>
      </c>
      <c r="E550" s="116">
        <v>42.75</v>
      </c>
      <c r="F550" s="116">
        <v>85.85</v>
      </c>
      <c r="G550">
        <v>537558</v>
      </c>
      <c r="H550" s="116"/>
      <c r="I550" s="116"/>
      <c r="L550" s="169">
        <v>42811</v>
      </c>
      <c r="M550" s="116">
        <v>43.024999999999999</v>
      </c>
      <c r="N550" s="116">
        <v>43.75</v>
      </c>
      <c r="O550" s="116">
        <v>42.024999999999999</v>
      </c>
      <c r="P550" s="116">
        <v>42.725000000000001</v>
      </c>
      <c r="Q550" s="116">
        <v>86.05</v>
      </c>
      <c r="R550">
        <v>2507926</v>
      </c>
    </row>
    <row r="551" spans="1:18" x14ac:dyDescent="0.25">
      <c r="A551" s="169">
        <v>42814</v>
      </c>
      <c r="B551" s="116">
        <v>43.35</v>
      </c>
      <c r="C551" s="116">
        <v>42.75</v>
      </c>
      <c r="D551" s="116">
        <v>42.524999999999999</v>
      </c>
      <c r="E551" s="116">
        <v>42.9</v>
      </c>
      <c r="F551" s="116">
        <v>85.5</v>
      </c>
      <c r="G551">
        <v>219696</v>
      </c>
      <c r="H551" s="116"/>
      <c r="I551" s="116"/>
      <c r="L551" s="169">
        <v>42814</v>
      </c>
      <c r="M551" s="116">
        <v>42.8</v>
      </c>
      <c r="N551" s="116">
        <v>43.375</v>
      </c>
      <c r="O551" s="116">
        <v>42.5</v>
      </c>
      <c r="P551" s="116">
        <v>43</v>
      </c>
      <c r="Q551" s="116">
        <v>85.6</v>
      </c>
      <c r="R551">
        <v>904413</v>
      </c>
    </row>
    <row r="552" spans="1:18" x14ac:dyDescent="0.25">
      <c r="A552" s="169">
        <v>42815</v>
      </c>
      <c r="B552" s="116">
        <v>43.3</v>
      </c>
      <c r="C552" s="116">
        <v>42.375</v>
      </c>
      <c r="D552" s="116">
        <v>42</v>
      </c>
      <c r="E552" s="116">
        <v>42.8</v>
      </c>
      <c r="F552" s="116">
        <v>84.75</v>
      </c>
      <c r="G552">
        <v>225395</v>
      </c>
      <c r="H552" s="116"/>
      <c r="I552" s="116"/>
      <c r="L552" s="169">
        <v>42815</v>
      </c>
      <c r="M552" s="116">
        <v>42.45</v>
      </c>
      <c r="N552" s="116">
        <v>43.274999999999999</v>
      </c>
      <c r="O552" s="116">
        <v>42.1</v>
      </c>
      <c r="P552" s="116">
        <v>43</v>
      </c>
      <c r="Q552" s="116">
        <v>84.9</v>
      </c>
      <c r="R552">
        <v>802800</v>
      </c>
    </row>
    <row r="553" spans="1:18" x14ac:dyDescent="0.25">
      <c r="A553" s="169">
        <v>42816</v>
      </c>
      <c r="B553" s="116">
        <v>42.4</v>
      </c>
      <c r="C553" s="116">
        <v>41.35</v>
      </c>
      <c r="D553" s="116">
        <v>41.15</v>
      </c>
      <c r="E553" s="116">
        <v>42.2</v>
      </c>
      <c r="F553" s="116">
        <v>82.7</v>
      </c>
      <c r="G553">
        <v>211428</v>
      </c>
      <c r="H553" s="116"/>
      <c r="I553" s="116"/>
      <c r="L553" s="169">
        <v>42816</v>
      </c>
      <c r="M553" s="116">
        <v>41.4</v>
      </c>
      <c r="N553" s="116">
        <v>42.4</v>
      </c>
      <c r="O553" s="116">
        <v>41.25</v>
      </c>
      <c r="P553" s="116">
        <v>42.075000000000003</v>
      </c>
      <c r="Q553" s="116">
        <v>82.8</v>
      </c>
      <c r="R553">
        <v>703150</v>
      </c>
    </row>
    <row r="554" spans="1:18" x14ac:dyDescent="0.25">
      <c r="A554" s="169">
        <v>42817</v>
      </c>
      <c r="B554" s="116">
        <v>42.1</v>
      </c>
      <c r="C554" s="116">
        <v>41.4</v>
      </c>
      <c r="D554" s="116">
        <v>41.2</v>
      </c>
      <c r="E554" s="116">
        <v>41.6</v>
      </c>
      <c r="F554" s="116">
        <v>82.8</v>
      </c>
      <c r="G554">
        <v>308749</v>
      </c>
      <c r="H554" s="116"/>
      <c r="I554" s="116"/>
      <c r="L554" s="169">
        <v>42817</v>
      </c>
      <c r="M554" s="116">
        <v>41.475000000000001</v>
      </c>
      <c r="N554" s="116">
        <v>42.05</v>
      </c>
      <c r="O554" s="116">
        <v>41.25</v>
      </c>
      <c r="P554" s="116">
        <v>41.5</v>
      </c>
      <c r="Q554" s="116">
        <v>82.95</v>
      </c>
      <c r="R554">
        <v>945448</v>
      </c>
    </row>
    <row r="555" spans="1:18" x14ac:dyDescent="0.25">
      <c r="A555" s="169">
        <v>42818</v>
      </c>
      <c r="B555" s="116">
        <v>42.2</v>
      </c>
      <c r="C555" s="116">
        <v>40.825000000000003</v>
      </c>
      <c r="D555" s="116">
        <v>40.5</v>
      </c>
      <c r="E555" s="116">
        <v>41.825000000000003</v>
      </c>
      <c r="F555" s="116">
        <v>81.650000000000006</v>
      </c>
      <c r="G555">
        <v>262949</v>
      </c>
      <c r="H555" s="116"/>
      <c r="I555" s="116"/>
      <c r="L555" s="169">
        <v>42818</v>
      </c>
      <c r="M555" s="116">
        <v>40.774999999999999</v>
      </c>
      <c r="N555" s="116">
        <v>42.174999999999997</v>
      </c>
      <c r="O555" s="116">
        <v>40.524999999999999</v>
      </c>
      <c r="P555" s="116">
        <v>41.65</v>
      </c>
      <c r="Q555" s="116">
        <v>81.55</v>
      </c>
      <c r="R555">
        <v>697803</v>
      </c>
    </row>
    <row r="556" spans="1:18" x14ac:dyDescent="0.25">
      <c r="A556" s="169">
        <v>42821</v>
      </c>
      <c r="B556" s="116">
        <v>41.1</v>
      </c>
      <c r="C556" s="116">
        <v>40.5</v>
      </c>
      <c r="D556" s="116">
        <v>40</v>
      </c>
      <c r="E556" s="116">
        <v>40.450000000000003</v>
      </c>
      <c r="F556" s="116">
        <v>81</v>
      </c>
      <c r="G556">
        <v>144947</v>
      </c>
      <c r="H556" s="116"/>
      <c r="I556" s="116"/>
      <c r="L556" s="169">
        <v>42821</v>
      </c>
      <c r="M556" s="116">
        <v>40.6</v>
      </c>
      <c r="N556" s="116">
        <v>41.125</v>
      </c>
      <c r="O556" s="116">
        <v>40</v>
      </c>
      <c r="P556" s="116">
        <v>40.5</v>
      </c>
      <c r="Q556" s="116">
        <v>81.2</v>
      </c>
      <c r="R556">
        <v>734360</v>
      </c>
    </row>
    <row r="557" spans="1:18" x14ac:dyDescent="0.25">
      <c r="A557" s="169">
        <v>42822</v>
      </c>
      <c r="B557" s="116">
        <v>41.825000000000003</v>
      </c>
      <c r="C557" s="116">
        <v>40.700000000000003</v>
      </c>
      <c r="D557" s="116">
        <v>40.524999999999999</v>
      </c>
      <c r="E557" s="116">
        <v>40.975000000000001</v>
      </c>
      <c r="F557" s="116">
        <v>81.400000000000006</v>
      </c>
      <c r="G557">
        <v>143537</v>
      </c>
      <c r="H557" s="116"/>
      <c r="I557" s="116"/>
      <c r="L557" s="169">
        <v>42822</v>
      </c>
      <c r="M557" s="116">
        <v>40.799999999999997</v>
      </c>
      <c r="N557" s="116">
        <v>41.774999999999999</v>
      </c>
      <c r="O557" s="116">
        <v>40.549999999999997</v>
      </c>
      <c r="P557" s="116">
        <v>40.6</v>
      </c>
      <c r="Q557" s="116">
        <v>81.599999999999994</v>
      </c>
      <c r="R557">
        <v>637364</v>
      </c>
    </row>
    <row r="558" spans="1:18" x14ac:dyDescent="0.25">
      <c r="A558" s="169">
        <v>42823</v>
      </c>
      <c r="B558" s="116">
        <v>41.45</v>
      </c>
      <c r="C558" s="116">
        <v>41.075000000000003</v>
      </c>
      <c r="D558" s="116">
        <v>40.5</v>
      </c>
      <c r="E558" s="116">
        <v>41.075000000000003</v>
      </c>
      <c r="F558" s="116">
        <v>82.15</v>
      </c>
      <c r="G558">
        <v>123648</v>
      </c>
      <c r="H558" s="116"/>
      <c r="I558" s="116"/>
      <c r="L558" s="169">
        <v>42823</v>
      </c>
      <c r="M558" s="116">
        <v>41.225000000000001</v>
      </c>
      <c r="N558" s="116">
        <v>41.575000000000003</v>
      </c>
      <c r="O558" s="116">
        <v>40.725000000000001</v>
      </c>
      <c r="P558" s="116">
        <v>41</v>
      </c>
      <c r="Q558" s="116">
        <v>82.45</v>
      </c>
      <c r="R558">
        <v>820223</v>
      </c>
    </row>
    <row r="559" spans="1:18" x14ac:dyDescent="0.25">
      <c r="A559" s="169">
        <v>42824</v>
      </c>
      <c r="B559" s="116">
        <v>41.9</v>
      </c>
      <c r="C559" s="116">
        <v>40.950000000000003</v>
      </c>
      <c r="D559" s="116">
        <v>40.85</v>
      </c>
      <c r="E559" s="116">
        <v>41.075000000000003</v>
      </c>
      <c r="F559" s="116">
        <v>81.900000000000006</v>
      </c>
      <c r="G559">
        <v>87023</v>
      </c>
      <c r="H559" s="116"/>
      <c r="I559" s="116"/>
      <c r="L559" s="169">
        <v>42824</v>
      </c>
      <c r="M559" s="116">
        <v>41.05</v>
      </c>
      <c r="N559" s="116">
        <v>41.924999999999997</v>
      </c>
      <c r="O559" s="116">
        <v>40.85</v>
      </c>
      <c r="P559" s="116">
        <v>41</v>
      </c>
      <c r="Q559" s="116">
        <v>82.1</v>
      </c>
      <c r="R559">
        <v>375967</v>
      </c>
    </row>
    <row r="560" spans="1:18" x14ac:dyDescent="0.25">
      <c r="A560" s="169">
        <v>42825</v>
      </c>
      <c r="B560" s="116">
        <v>42.625</v>
      </c>
      <c r="C560" s="116">
        <v>41.7</v>
      </c>
      <c r="D560" s="116">
        <v>41.1</v>
      </c>
      <c r="E560" s="116">
        <v>41.1</v>
      </c>
      <c r="F560" s="116">
        <v>83.4</v>
      </c>
      <c r="G560">
        <v>155520</v>
      </c>
      <c r="H560" s="116"/>
      <c r="I560" s="116"/>
      <c r="L560" s="169">
        <v>42825</v>
      </c>
      <c r="M560" s="116">
        <v>41.7</v>
      </c>
      <c r="N560" s="116">
        <v>42.7</v>
      </c>
      <c r="O560" s="116">
        <v>41.1</v>
      </c>
      <c r="P560" s="116">
        <v>41.25</v>
      </c>
      <c r="Q560" s="116">
        <v>83.4</v>
      </c>
      <c r="R560">
        <v>630124</v>
      </c>
    </row>
    <row r="561" spans="1:18" x14ac:dyDescent="0.25">
      <c r="A561" s="169">
        <v>42828</v>
      </c>
      <c r="B561" s="116">
        <v>42.674999999999997</v>
      </c>
      <c r="C561" s="116">
        <v>42.174999999999997</v>
      </c>
      <c r="D561" s="116">
        <v>41.6</v>
      </c>
      <c r="E561" s="116">
        <v>41.6</v>
      </c>
      <c r="F561" s="116">
        <v>84.35</v>
      </c>
      <c r="G561">
        <v>121717</v>
      </c>
      <c r="H561" s="116"/>
      <c r="I561" s="116"/>
      <c r="L561" s="169">
        <v>42828</v>
      </c>
      <c r="M561" s="116">
        <v>42.274999999999999</v>
      </c>
      <c r="N561" s="116">
        <v>42.75</v>
      </c>
      <c r="O561" s="116">
        <v>41.875</v>
      </c>
      <c r="P561" s="116">
        <v>42.075000000000003</v>
      </c>
      <c r="Q561" s="116">
        <v>84.55</v>
      </c>
      <c r="R561">
        <v>576185</v>
      </c>
    </row>
    <row r="562" spans="1:18" x14ac:dyDescent="0.25">
      <c r="A562" s="169">
        <v>42830</v>
      </c>
      <c r="B562" s="116">
        <v>43.1</v>
      </c>
      <c r="C562" s="116">
        <v>42.725000000000001</v>
      </c>
      <c r="D562" s="116">
        <v>42.1</v>
      </c>
      <c r="E562" s="116">
        <v>42.1</v>
      </c>
      <c r="F562" s="116">
        <v>85.45</v>
      </c>
      <c r="G562">
        <v>155516</v>
      </c>
      <c r="H562" s="116"/>
      <c r="I562" s="116"/>
      <c r="L562" s="169">
        <v>42830</v>
      </c>
      <c r="M562" s="116">
        <v>42.85</v>
      </c>
      <c r="N562" s="116">
        <v>43.174999999999997</v>
      </c>
      <c r="O562" s="116">
        <v>42.325000000000003</v>
      </c>
      <c r="P562" s="116">
        <v>42.5</v>
      </c>
      <c r="Q562" s="116">
        <v>85.7</v>
      </c>
      <c r="R562">
        <v>738976</v>
      </c>
    </row>
    <row r="563" spans="1:18" x14ac:dyDescent="0.25">
      <c r="A563" s="169">
        <v>42831</v>
      </c>
      <c r="B563" s="116">
        <v>42.8</v>
      </c>
      <c r="C563" s="116">
        <v>42.2</v>
      </c>
      <c r="D563" s="116">
        <v>41.125</v>
      </c>
      <c r="E563" s="116">
        <v>41.125</v>
      </c>
      <c r="F563" s="116">
        <v>84.4</v>
      </c>
      <c r="G563">
        <v>109873</v>
      </c>
      <c r="H563" s="116"/>
      <c r="I563" s="116"/>
      <c r="L563" s="169">
        <v>42831</v>
      </c>
      <c r="M563" s="116">
        <v>42.225000000000001</v>
      </c>
      <c r="N563" s="116">
        <v>42.875</v>
      </c>
      <c r="O563" s="116">
        <v>41.75</v>
      </c>
      <c r="P563" s="116">
        <v>42.5</v>
      </c>
      <c r="Q563" s="116">
        <v>84.45</v>
      </c>
      <c r="R563">
        <v>492923</v>
      </c>
    </row>
    <row r="564" spans="1:18" x14ac:dyDescent="0.25">
      <c r="A564" s="169">
        <v>42832</v>
      </c>
      <c r="B564" s="116">
        <v>42.4</v>
      </c>
      <c r="C564" s="116">
        <v>40.774999999999999</v>
      </c>
      <c r="D564" s="116">
        <v>40.424999999999997</v>
      </c>
      <c r="E564" s="116">
        <v>42</v>
      </c>
      <c r="F564" s="116">
        <v>81.55</v>
      </c>
      <c r="G564">
        <v>194631</v>
      </c>
      <c r="H564" s="116"/>
      <c r="I564" s="116"/>
      <c r="L564" s="169">
        <v>42832</v>
      </c>
      <c r="M564" s="116">
        <v>40.799999999999997</v>
      </c>
      <c r="N564" s="116">
        <v>42.475000000000001</v>
      </c>
      <c r="O564" s="116">
        <v>40.5</v>
      </c>
      <c r="P564" s="116">
        <v>41.95</v>
      </c>
      <c r="Q564" s="116">
        <v>81.599999999999994</v>
      </c>
      <c r="R564">
        <v>893841</v>
      </c>
    </row>
    <row r="565" spans="1:18" x14ac:dyDescent="0.25">
      <c r="A565" s="169">
        <v>42835</v>
      </c>
      <c r="B565" s="116">
        <v>41.55</v>
      </c>
      <c r="C565" s="116">
        <v>39.950000000000003</v>
      </c>
      <c r="D565" s="116">
        <v>39.65</v>
      </c>
      <c r="E565" s="116">
        <v>41.1</v>
      </c>
      <c r="F565" s="116">
        <v>79.900000000000006</v>
      </c>
      <c r="G565">
        <v>222741</v>
      </c>
      <c r="H565" s="116"/>
      <c r="I565" s="116"/>
      <c r="L565" s="169">
        <v>42835</v>
      </c>
      <c r="M565" s="116">
        <v>39.825000000000003</v>
      </c>
      <c r="N565" s="116">
        <v>41.674999999999997</v>
      </c>
      <c r="O565" s="116">
        <v>39.549999999999997</v>
      </c>
      <c r="P565" s="116">
        <v>41.024999999999999</v>
      </c>
      <c r="Q565" s="116">
        <v>79.650000000000006</v>
      </c>
      <c r="R565">
        <v>997025</v>
      </c>
    </row>
    <row r="566" spans="1:18" x14ac:dyDescent="0.25">
      <c r="A566" s="169">
        <v>42836</v>
      </c>
      <c r="B566" s="116">
        <v>41.25</v>
      </c>
      <c r="C566" s="116">
        <v>40.450000000000003</v>
      </c>
      <c r="D566" s="116">
        <v>40.075000000000003</v>
      </c>
      <c r="E566" s="116">
        <v>40.450000000000003</v>
      </c>
      <c r="F566" s="116">
        <v>80.900000000000006</v>
      </c>
      <c r="G566">
        <v>131669</v>
      </c>
      <c r="H566" s="116"/>
      <c r="I566" s="116"/>
      <c r="L566" s="169">
        <v>42836</v>
      </c>
      <c r="M566" s="116">
        <v>40.549999999999997</v>
      </c>
      <c r="N566" s="116">
        <v>41.25</v>
      </c>
      <c r="O566" s="116">
        <v>40</v>
      </c>
      <c r="P566" s="116">
        <v>40.200000000000003</v>
      </c>
      <c r="Q566" s="116">
        <v>81.099999999999994</v>
      </c>
      <c r="R566">
        <v>634579</v>
      </c>
    </row>
    <row r="567" spans="1:18" x14ac:dyDescent="0.25">
      <c r="A567" s="169">
        <v>42837</v>
      </c>
      <c r="B567" s="116">
        <v>41.15</v>
      </c>
      <c r="C567" s="116">
        <v>39.924999999999997</v>
      </c>
      <c r="D567" s="116">
        <v>39.375</v>
      </c>
      <c r="E567" s="116">
        <v>40.75</v>
      </c>
      <c r="F567" s="116">
        <v>79.849999999999994</v>
      </c>
      <c r="G567">
        <v>145851</v>
      </c>
      <c r="H567" s="116"/>
      <c r="I567" s="116"/>
      <c r="L567" s="169">
        <v>42837</v>
      </c>
      <c r="M567" s="116">
        <v>39.950000000000003</v>
      </c>
      <c r="N567" s="116">
        <v>41.174999999999997</v>
      </c>
      <c r="O567" s="116">
        <v>39.35</v>
      </c>
      <c r="P567" s="116">
        <v>40.625</v>
      </c>
      <c r="Q567" s="116">
        <v>79.900000000000006</v>
      </c>
      <c r="R567">
        <v>778812</v>
      </c>
    </row>
    <row r="568" spans="1:18" x14ac:dyDescent="0.25">
      <c r="A568" s="169">
        <v>42838</v>
      </c>
      <c r="B568" s="116">
        <v>41.024999999999999</v>
      </c>
      <c r="C568" s="116">
        <v>40.024999999999999</v>
      </c>
      <c r="D568" s="116">
        <v>39.75</v>
      </c>
      <c r="E568" s="116">
        <v>40.174999999999997</v>
      </c>
      <c r="F568" s="116">
        <v>80.05</v>
      </c>
      <c r="G568">
        <v>131886</v>
      </c>
      <c r="H568" s="116"/>
      <c r="I568" s="116"/>
      <c r="L568" s="169">
        <v>42838</v>
      </c>
      <c r="M568" s="116">
        <v>40.024999999999999</v>
      </c>
      <c r="N568" s="116">
        <v>41.1</v>
      </c>
      <c r="O568" s="116">
        <v>39.75</v>
      </c>
      <c r="P568" s="116">
        <v>40</v>
      </c>
      <c r="Q568" s="116">
        <v>80.05</v>
      </c>
      <c r="R568">
        <v>568623</v>
      </c>
    </row>
    <row r="569" spans="1:18" x14ac:dyDescent="0.25">
      <c r="A569" s="169">
        <v>42842</v>
      </c>
      <c r="B569" s="116">
        <v>40.825000000000003</v>
      </c>
      <c r="C569" s="116">
        <v>40.475000000000001</v>
      </c>
      <c r="D569" s="116">
        <v>39.950000000000003</v>
      </c>
      <c r="E569" s="116">
        <v>40.075000000000003</v>
      </c>
      <c r="F569" s="116">
        <v>80.95</v>
      </c>
      <c r="G569">
        <v>141842</v>
      </c>
      <c r="H569" s="116"/>
      <c r="I569" s="116"/>
      <c r="L569" s="169">
        <v>42842</v>
      </c>
      <c r="M569" s="116">
        <v>40.524999999999999</v>
      </c>
      <c r="N569" s="116">
        <v>40.799999999999997</v>
      </c>
      <c r="O569" s="116">
        <v>39.9</v>
      </c>
      <c r="P569" s="116">
        <v>40.1</v>
      </c>
      <c r="Q569" s="116">
        <v>81.05</v>
      </c>
      <c r="R569">
        <v>561454</v>
      </c>
    </row>
    <row r="570" spans="1:18" x14ac:dyDescent="0.25">
      <c r="A570" s="169">
        <v>42843</v>
      </c>
      <c r="B570" s="116">
        <v>41.9</v>
      </c>
      <c r="C570" s="116">
        <v>40.174999999999997</v>
      </c>
      <c r="D570" s="116">
        <v>40</v>
      </c>
      <c r="E570" s="116">
        <v>40.700000000000003</v>
      </c>
      <c r="F570" s="116">
        <v>80.349999999999994</v>
      </c>
      <c r="G570">
        <v>172512</v>
      </c>
      <c r="H570" s="116"/>
      <c r="I570" s="116"/>
      <c r="L570" s="169">
        <v>42843</v>
      </c>
      <c r="M570" s="116">
        <v>40.1</v>
      </c>
      <c r="N570" s="116">
        <v>41.975000000000001</v>
      </c>
      <c r="O570" s="116">
        <v>39.825000000000003</v>
      </c>
      <c r="P570" s="116">
        <v>40.524999999999999</v>
      </c>
      <c r="Q570" s="116">
        <v>80.2</v>
      </c>
      <c r="R570">
        <v>855387</v>
      </c>
    </row>
    <row r="571" spans="1:18" x14ac:dyDescent="0.25">
      <c r="A571" s="169">
        <v>42844</v>
      </c>
      <c r="B571" s="116">
        <v>40.4</v>
      </c>
      <c r="C571" s="116">
        <v>40.1</v>
      </c>
      <c r="D571" s="116">
        <v>39.950000000000003</v>
      </c>
      <c r="E571" s="116">
        <v>40.024999999999999</v>
      </c>
      <c r="F571" s="116">
        <v>80.2</v>
      </c>
      <c r="G571">
        <v>57469</v>
      </c>
      <c r="H571" s="116"/>
      <c r="I571" s="116"/>
      <c r="L571" s="169">
        <v>42844</v>
      </c>
      <c r="M571" s="116">
        <v>40.200000000000003</v>
      </c>
      <c r="N571" s="116">
        <v>40.424999999999997</v>
      </c>
      <c r="O571" s="116">
        <v>39.950000000000003</v>
      </c>
      <c r="P571" s="116">
        <v>40.25</v>
      </c>
      <c r="Q571" s="116">
        <v>80.400000000000006</v>
      </c>
      <c r="R571">
        <v>322518</v>
      </c>
    </row>
    <row r="572" spans="1:18" x14ac:dyDescent="0.25">
      <c r="A572" s="169">
        <v>42845</v>
      </c>
      <c r="B572" s="116">
        <v>41.6</v>
      </c>
      <c r="C572" s="116">
        <v>41.25</v>
      </c>
      <c r="D572" s="116">
        <v>40.25</v>
      </c>
      <c r="E572" s="116">
        <v>40.5</v>
      </c>
      <c r="F572" s="116">
        <v>82.5</v>
      </c>
      <c r="G572">
        <v>80149</v>
      </c>
      <c r="H572" s="116"/>
      <c r="I572" s="116"/>
      <c r="L572" s="169">
        <v>42845</v>
      </c>
      <c r="M572" s="116">
        <v>41.3</v>
      </c>
      <c r="N572" s="116">
        <v>41.65</v>
      </c>
      <c r="O572" s="116">
        <v>40.200000000000003</v>
      </c>
      <c r="P572" s="116">
        <v>40.35</v>
      </c>
      <c r="Q572" s="116">
        <v>82.6</v>
      </c>
      <c r="R572">
        <v>554903</v>
      </c>
    </row>
    <row r="573" spans="1:18" x14ac:dyDescent="0.25">
      <c r="A573" s="169">
        <v>42846</v>
      </c>
      <c r="B573" s="116">
        <v>41.9</v>
      </c>
      <c r="C573" s="116">
        <v>41.25</v>
      </c>
      <c r="D573" s="116">
        <v>40.75</v>
      </c>
      <c r="E573" s="116">
        <v>40.75</v>
      </c>
      <c r="F573" s="116">
        <v>82.5</v>
      </c>
      <c r="G573">
        <v>137555</v>
      </c>
      <c r="H573" s="116"/>
      <c r="I573" s="116"/>
      <c r="L573" s="169">
        <v>42846</v>
      </c>
      <c r="M573" s="116">
        <v>41.3</v>
      </c>
      <c r="N573" s="116">
        <v>41.975000000000001</v>
      </c>
      <c r="O573" s="116">
        <v>40.85</v>
      </c>
      <c r="P573" s="116">
        <v>41.475000000000001</v>
      </c>
      <c r="Q573" s="116">
        <v>82.6</v>
      </c>
      <c r="R573">
        <v>673892</v>
      </c>
    </row>
    <row r="574" spans="1:18" x14ac:dyDescent="0.25">
      <c r="A574" s="169">
        <v>42849</v>
      </c>
      <c r="B574" s="116">
        <v>41.5</v>
      </c>
      <c r="C574" s="116">
        <v>40.875</v>
      </c>
      <c r="D574" s="116">
        <v>40.774999999999999</v>
      </c>
      <c r="E574" s="116">
        <v>41.35</v>
      </c>
      <c r="F574" s="116">
        <v>81.75</v>
      </c>
      <c r="G574">
        <v>84642</v>
      </c>
      <c r="H574" s="116"/>
      <c r="I574" s="116"/>
      <c r="L574" s="169">
        <v>42849</v>
      </c>
      <c r="M574" s="116">
        <v>40.9</v>
      </c>
      <c r="N574" s="116">
        <v>41.7</v>
      </c>
      <c r="O574" s="116">
        <v>40.825000000000003</v>
      </c>
      <c r="P574" s="116">
        <v>41.7</v>
      </c>
      <c r="Q574" s="116">
        <v>81.8</v>
      </c>
      <c r="R574">
        <v>369098</v>
      </c>
    </row>
    <row r="575" spans="1:18" x14ac:dyDescent="0.25">
      <c r="A575" s="169">
        <v>42850</v>
      </c>
      <c r="B575" s="116">
        <v>42.3</v>
      </c>
      <c r="C575" s="116">
        <v>41.424999999999997</v>
      </c>
      <c r="D575" s="116">
        <v>41.125</v>
      </c>
      <c r="E575" s="116">
        <v>41.125</v>
      </c>
      <c r="F575" s="116">
        <v>82.85</v>
      </c>
      <c r="G575">
        <v>258869</v>
      </c>
      <c r="H575" s="116"/>
      <c r="I575" s="116"/>
      <c r="L575" s="169">
        <v>42850</v>
      </c>
      <c r="M575" s="116">
        <v>41.424999999999997</v>
      </c>
      <c r="N575" s="116">
        <v>42.325000000000003</v>
      </c>
      <c r="O575" s="116">
        <v>41.024999999999999</v>
      </c>
      <c r="P575" s="116">
        <v>41.024999999999999</v>
      </c>
      <c r="Q575" s="116">
        <v>82.85</v>
      </c>
      <c r="R575">
        <v>957155</v>
      </c>
    </row>
    <row r="576" spans="1:18" x14ac:dyDescent="0.25">
      <c r="A576" s="169">
        <v>42851</v>
      </c>
      <c r="B576" s="116">
        <v>42.024999999999999</v>
      </c>
      <c r="C576" s="116">
        <v>40.85</v>
      </c>
      <c r="D576" s="116">
        <v>40.524999999999999</v>
      </c>
      <c r="E576" s="116">
        <v>41.7</v>
      </c>
      <c r="F576" s="116">
        <v>81.7</v>
      </c>
      <c r="G576">
        <v>97553</v>
      </c>
      <c r="H576" s="116"/>
      <c r="I576" s="116"/>
      <c r="L576" s="169">
        <v>42851</v>
      </c>
      <c r="M576" s="116">
        <v>40.825000000000003</v>
      </c>
      <c r="N576" s="116">
        <v>42.1</v>
      </c>
      <c r="O576" s="116">
        <v>40.524999999999999</v>
      </c>
      <c r="P576" s="116">
        <v>41.65</v>
      </c>
      <c r="Q576" s="116">
        <v>81.650000000000006</v>
      </c>
      <c r="R576">
        <v>406486</v>
      </c>
    </row>
    <row r="577" spans="1:18" x14ac:dyDescent="0.25">
      <c r="A577" s="169">
        <v>42852</v>
      </c>
      <c r="B577" s="116">
        <v>40.85</v>
      </c>
      <c r="C577" s="116">
        <v>40.375</v>
      </c>
      <c r="D577" s="116">
        <v>40.25</v>
      </c>
      <c r="E577" s="116">
        <v>40.700000000000003</v>
      </c>
      <c r="F577" s="116">
        <v>80.75</v>
      </c>
      <c r="G577">
        <v>105839</v>
      </c>
      <c r="H577" s="116"/>
      <c r="I577" s="116"/>
      <c r="L577" s="169">
        <v>42852</v>
      </c>
      <c r="M577" s="116">
        <v>40.325000000000003</v>
      </c>
      <c r="N577" s="116">
        <v>41.2</v>
      </c>
      <c r="O577" s="116">
        <v>40.125</v>
      </c>
      <c r="P577" s="116">
        <v>41.2</v>
      </c>
      <c r="Q577" s="116">
        <v>80.650000000000006</v>
      </c>
      <c r="R577">
        <v>421979</v>
      </c>
    </row>
    <row r="578" spans="1:18" x14ac:dyDescent="0.25">
      <c r="A578" s="169">
        <v>42853</v>
      </c>
      <c r="B578" s="116">
        <v>41.3</v>
      </c>
      <c r="C578" s="116">
        <v>40.5</v>
      </c>
      <c r="D578" s="116">
        <v>40.299999999999997</v>
      </c>
      <c r="E578" s="116">
        <v>40.85</v>
      </c>
      <c r="F578" s="116">
        <v>81</v>
      </c>
      <c r="G578">
        <v>89968</v>
      </c>
      <c r="H578" s="116"/>
      <c r="I578" s="116"/>
      <c r="L578" s="169">
        <v>42853</v>
      </c>
      <c r="M578" s="116">
        <v>40.424999999999997</v>
      </c>
      <c r="N578" s="116">
        <v>41.325000000000003</v>
      </c>
      <c r="O578" s="116">
        <v>40.200000000000003</v>
      </c>
      <c r="P578" s="116">
        <v>40.5</v>
      </c>
      <c r="Q578" s="116">
        <v>80.849999999999994</v>
      </c>
      <c r="R578">
        <v>473513</v>
      </c>
    </row>
    <row r="579" spans="1:18" x14ac:dyDescent="0.25">
      <c r="A579" s="169">
        <v>42857</v>
      </c>
      <c r="B579" s="116">
        <v>40.75</v>
      </c>
      <c r="C579" s="116">
        <v>40.075000000000003</v>
      </c>
      <c r="D579" s="116">
        <v>39.799999999999997</v>
      </c>
      <c r="E579" s="116">
        <v>40.75</v>
      </c>
      <c r="F579" s="116">
        <v>80.150000000000006</v>
      </c>
      <c r="G579">
        <v>62842</v>
      </c>
      <c r="H579" s="116"/>
      <c r="I579" s="116"/>
      <c r="L579" s="169">
        <v>42857</v>
      </c>
      <c r="M579" s="116">
        <v>40.15</v>
      </c>
      <c r="N579" s="116">
        <v>40.75</v>
      </c>
      <c r="O579" s="116">
        <v>39.774999999999999</v>
      </c>
      <c r="P579" s="116">
        <v>40.5</v>
      </c>
      <c r="Q579" s="116">
        <v>80.3</v>
      </c>
      <c r="R579">
        <v>283957</v>
      </c>
    </row>
    <row r="580" spans="1:18" x14ac:dyDescent="0.25">
      <c r="A580" s="169">
        <v>42858</v>
      </c>
      <c r="B580" s="116">
        <v>40.799999999999997</v>
      </c>
      <c r="C580" s="116">
        <v>40.5</v>
      </c>
      <c r="D580" s="116">
        <v>40.049999999999997</v>
      </c>
      <c r="E580" s="116">
        <v>40.274999999999999</v>
      </c>
      <c r="F580" s="116">
        <v>81</v>
      </c>
      <c r="G580">
        <v>75207</v>
      </c>
      <c r="H580" s="116"/>
      <c r="I580" s="116"/>
      <c r="L580" s="169">
        <v>42858</v>
      </c>
      <c r="M580" s="116">
        <v>40.6</v>
      </c>
      <c r="N580" s="116">
        <v>40.9</v>
      </c>
      <c r="O580" s="116">
        <v>40.049999999999997</v>
      </c>
      <c r="P580" s="116">
        <v>40.375</v>
      </c>
      <c r="Q580" s="116">
        <v>81.2</v>
      </c>
      <c r="R580">
        <v>405400</v>
      </c>
    </row>
    <row r="581" spans="1:18" x14ac:dyDescent="0.25">
      <c r="A581" s="169">
        <v>42859</v>
      </c>
      <c r="B581" s="116">
        <v>41.475000000000001</v>
      </c>
      <c r="C581" s="116">
        <v>40.6</v>
      </c>
      <c r="D581" s="116">
        <v>40.375</v>
      </c>
      <c r="E581" s="116">
        <v>40.875</v>
      </c>
      <c r="F581" s="116">
        <v>81.2</v>
      </c>
      <c r="G581">
        <v>166160</v>
      </c>
      <c r="H581" s="116"/>
      <c r="I581" s="116"/>
      <c r="L581" s="169">
        <v>42859</v>
      </c>
      <c r="M581" s="116">
        <v>40.375</v>
      </c>
      <c r="N581" s="116">
        <v>41.274999999999999</v>
      </c>
      <c r="O581" s="116">
        <v>40.225000000000001</v>
      </c>
      <c r="P581" s="116">
        <v>40.85</v>
      </c>
      <c r="Q581" s="116">
        <v>80.75</v>
      </c>
      <c r="R581">
        <v>580426</v>
      </c>
    </row>
    <row r="582" spans="1:18" x14ac:dyDescent="0.25">
      <c r="A582" s="169">
        <v>42860</v>
      </c>
      <c r="B582" s="116">
        <v>40.5</v>
      </c>
      <c r="C582" s="116">
        <v>39.799999999999997</v>
      </c>
      <c r="D582" s="116">
        <v>39.549999999999997</v>
      </c>
      <c r="E582" s="116">
        <v>40.5</v>
      </c>
      <c r="F582" s="116">
        <v>79.599999999999994</v>
      </c>
      <c r="G582">
        <v>136198</v>
      </c>
      <c r="H582" s="116"/>
      <c r="I582" s="116"/>
      <c r="L582" s="169">
        <v>42860</v>
      </c>
      <c r="M582" s="116">
        <v>39.85</v>
      </c>
      <c r="N582" s="116">
        <v>40.5</v>
      </c>
      <c r="O582" s="116">
        <v>39.625</v>
      </c>
      <c r="P582" s="116">
        <v>40.5</v>
      </c>
      <c r="Q582" s="116">
        <v>79.7</v>
      </c>
      <c r="R582">
        <v>332772</v>
      </c>
    </row>
    <row r="583" spans="1:18" x14ac:dyDescent="0.25">
      <c r="A583" s="169">
        <v>42863</v>
      </c>
      <c r="B583" s="116">
        <v>40.25</v>
      </c>
      <c r="C583" s="116">
        <v>39.625</v>
      </c>
      <c r="D583" s="116">
        <v>39.450000000000003</v>
      </c>
      <c r="E583" s="116">
        <v>40.1</v>
      </c>
      <c r="F583" s="116">
        <v>79.25</v>
      </c>
      <c r="G583">
        <v>79374</v>
      </c>
      <c r="H583" s="116"/>
      <c r="I583" s="116"/>
      <c r="L583" s="169">
        <v>42863</v>
      </c>
      <c r="M583" s="116">
        <v>39.65</v>
      </c>
      <c r="N583" s="116">
        <v>40.35</v>
      </c>
      <c r="O583" s="116">
        <v>39.424999999999997</v>
      </c>
      <c r="P583" s="116">
        <v>40.200000000000003</v>
      </c>
      <c r="Q583" s="116">
        <v>79.3</v>
      </c>
      <c r="R583">
        <v>358088</v>
      </c>
    </row>
    <row r="584" spans="1:18" x14ac:dyDescent="0.25">
      <c r="A584" s="169">
        <v>42864</v>
      </c>
      <c r="B584" s="116">
        <v>40.5</v>
      </c>
      <c r="C584" s="116">
        <v>39.725000000000001</v>
      </c>
      <c r="D584" s="116">
        <v>39.549999999999997</v>
      </c>
      <c r="E584" s="116">
        <v>39.825000000000003</v>
      </c>
      <c r="F584" s="116">
        <v>79.45</v>
      </c>
      <c r="G584">
        <v>90730</v>
      </c>
      <c r="H584" s="116"/>
      <c r="I584" s="116"/>
      <c r="L584" s="169">
        <v>42864</v>
      </c>
      <c r="M584" s="116">
        <v>39.700000000000003</v>
      </c>
      <c r="N584" s="116">
        <v>40.549999999999997</v>
      </c>
      <c r="O584" s="116">
        <v>39.524999999999999</v>
      </c>
      <c r="P584" s="116">
        <v>39.950000000000003</v>
      </c>
      <c r="Q584" s="116">
        <v>79.400000000000006</v>
      </c>
      <c r="R584">
        <v>341887</v>
      </c>
    </row>
    <row r="585" spans="1:18" x14ac:dyDescent="0.25">
      <c r="A585" s="169">
        <v>42865</v>
      </c>
      <c r="B585" s="116">
        <v>40.799999999999997</v>
      </c>
      <c r="C585" s="116">
        <v>40.075000000000003</v>
      </c>
      <c r="D585" s="116">
        <v>39.774999999999999</v>
      </c>
      <c r="E585" s="116">
        <v>39.774999999999999</v>
      </c>
      <c r="F585" s="116">
        <v>80.150000000000006</v>
      </c>
      <c r="G585">
        <v>125748</v>
      </c>
      <c r="H585" s="116"/>
      <c r="I585" s="116"/>
      <c r="L585" s="169">
        <v>42865</v>
      </c>
      <c r="M585" s="116">
        <v>40.125</v>
      </c>
      <c r="N585" s="116">
        <v>40.9</v>
      </c>
      <c r="O585" s="116">
        <v>39.799999999999997</v>
      </c>
      <c r="P585" s="116">
        <v>39.975000000000001</v>
      </c>
      <c r="Q585" s="116">
        <v>80.25</v>
      </c>
      <c r="R585">
        <v>487225</v>
      </c>
    </row>
    <row r="586" spans="1:18" x14ac:dyDescent="0.25">
      <c r="A586" s="169">
        <v>42866</v>
      </c>
      <c r="B586" s="116">
        <v>40.85</v>
      </c>
      <c r="C586" s="116">
        <v>40.200000000000003</v>
      </c>
      <c r="D586" s="116">
        <v>40.024999999999999</v>
      </c>
      <c r="E586" s="116">
        <v>40.274999999999999</v>
      </c>
      <c r="F586" s="116">
        <v>80.400000000000006</v>
      </c>
      <c r="G586">
        <v>116921</v>
      </c>
      <c r="H586" s="116"/>
      <c r="I586" s="116"/>
      <c r="L586" s="169">
        <v>42866</v>
      </c>
      <c r="M586" s="116">
        <v>40.299999999999997</v>
      </c>
      <c r="N586" s="116">
        <v>40.85</v>
      </c>
      <c r="O586" s="116">
        <v>40.075000000000003</v>
      </c>
      <c r="P586" s="116">
        <v>40.25</v>
      </c>
      <c r="Q586" s="116">
        <v>80.599999999999994</v>
      </c>
      <c r="R586">
        <v>342726</v>
      </c>
    </row>
    <row r="587" spans="1:18" x14ac:dyDescent="0.25">
      <c r="A587" s="169">
        <v>42867</v>
      </c>
      <c r="B587" s="116">
        <v>40.575000000000003</v>
      </c>
      <c r="C587" s="116">
        <v>39.85</v>
      </c>
      <c r="D587" s="116">
        <v>39.700000000000003</v>
      </c>
      <c r="E587" s="116">
        <v>40.475000000000001</v>
      </c>
      <c r="F587" s="116">
        <v>79.7</v>
      </c>
      <c r="G587">
        <v>60356</v>
      </c>
      <c r="H587" s="116"/>
      <c r="I587" s="116"/>
      <c r="L587" s="169">
        <v>42867</v>
      </c>
      <c r="M587" s="116">
        <v>39.875</v>
      </c>
      <c r="N587" s="116">
        <v>40.6</v>
      </c>
      <c r="O587" s="116">
        <v>39.65</v>
      </c>
      <c r="P587" s="116">
        <v>40.450000000000003</v>
      </c>
      <c r="Q587" s="116">
        <v>79.75</v>
      </c>
      <c r="R587">
        <v>297905</v>
      </c>
    </row>
    <row r="588" spans="1:18" x14ac:dyDescent="0.25">
      <c r="A588" s="169">
        <v>42870</v>
      </c>
      <c r="B588" s="116">
        <v>40.799999999999997</v>
      </c>
      <c r="C588" s="116">
        <v>40.424999999999997</v>
      </c>
      <c r="D588" s="116">
        <v>40</v>
      </c>
      <c r="E588" s="116">
        <v>40.075000000000003</v>
      </c>
      <c r="F588" s="116">
        <v>80.849999999999994</v>
      </c>
      <c r="G588">
        <v>95314</v>
      </c>
      <c r="H588" s="116"/>
      <c r="I588" s="116"/>
      <c r="L588" s="169">
        <v>42870</v>
      </c>
      <c r="M588" s="116">
        <v>40.5</v>
      </c>
      <c r="N588" s="116">
        <v>40.85</v>
      </c>
      <c r="O588" s="116">
        <v>39.975000000000001</v>
      </c>
      <c r="P588" s="116">
        <v>40.024999999999999</v>
      </c>
      <c r="Q588" s="116">
        <v>81</v>
      </c>
      <c r="R588">
        <v>317070</v>
      </c>
    </row>
    <row r="589" spans="1:18" x14ac:dyDescent="0.25">
      <c r="A589" s="169">
        <v>42871</v>
      </c>
      <c r="B589" s="116">
        <v>40.85</v>
      </c>
      <c r="C589" s="116">
        <v>40.325000000000003</v>
      </c>
      <c r="D589" s="116">
        <v>40.174999999999997</v>
      </c>
      <c r="E589" s="116">
        <v>40.549999999999997</v>
      </c>
      <c r="F589" s="116">
        <v>80.650000000000006</v>
      </c>
      <c r="G589">
        <v>69257</v>
      </c>
      <c r="H589" s="116"/>
      <c r="I589" s="116"/>
      <c r="L589" s="169">
        <v>42871</v>
      </c>
      <c r="M589" s="116">
        <v>40.35</v>
      </c>
      <c r="N589" s="116">
        <v>40.85</v>
      </c>
      <c r="O589" s="116">
        <v>40.1</v>
      </c>
      <c r="P589" s="116">
        <v>40.65</v>
      </c>
      <c r="Q589" s="116">
        <v>80.7</v>
      </c>
      <c r="R589">
        <v>453708</v>
      </c>
    </row>
    <row r="590" spans="1:18" x14ac:dyDescent="0.25">
      <c r="A590" s="169">
        <v>42872</v>
      </c>
      <c r="B590" s="116">
        <v>40.4</v>
      </c>
      <c r="C590" s="116">
        <v>40.075000000000003</v>
      </c>
      <c r="D590" s="116">
        <v>39.975000000000001</v>
      </c>
      <c r="E590" s="116">
        <v>40.299999999999997</v>
      </c>
      <c r="F590" s="116">
        <v>80.150000000000006</v>
      </c>
      <c r="G590">
        <v>57465</v>
      </c>
      <c r="H590" s="116"/>
      <c r="I590" s="116"/>
      <c r="L590" s="169">
        <v>42872</v>
      </c>
      <c r="M590" s="116">
        <v>40.1</v>
      </c>
      <c r="N590" s="116">
        <v>40.5</v>
      </c>
      <c r="O590" s="116">
        <v>40.024999999999999</v>
      </c>
      <c r="P590" s="116">
        <v>40.274999999999999</v>
      </c>
      <c r="Q590" s="116">
        <v>80.2</v>
      </c>
      <c r="R590">
        <v>231437</v>
      </c>
    </row>
    <row r="591" spans="1:18" x14ac:dyDescent="0.25">
      <c r="A591" s="169">
        <v>42873</v>
      </c>
      <c r="B591" s="116">
        <v>40.1</v>
      </c>
      <c r="C591" s="116">
        <v>39.549999999999997</v>
      </c>
      <c r="D591" s="116">
        <v>39.325000000000003</v>
      </c>
      <c r="E591" s="116">
        <v>39.5</v>
      </c>
      <c r="F591" s="116">
        <v>79.099999999999994</v>
      </c>
      <c r="G591">
        <v>62781</v>
      </c>
      <c r="H591" s="116"/>
      <c r="I591" s="116"/>
      <c r="L591" s="169">
        <v>42873</v>
      </c>
      <c r="M591" s="116">
        <v>39.450000000000003</v>
      </c>
      <c r="N591" s="116">
        <v>40.125</v>
      </c>
      <c r="O591" s="116">
        <v>39.225000000000001</v>
      </c>
      <c r="P591" s="116">
        <v>39.950000000000003</v>
      </c>
      <c r="Q591" s="116">
        <v>78.900000000000006</v>
      </c>
      <c r="R591">
        <v>363882</v>
      </c>
    </row>
    <row r="592" spans="1:18" x14ac:dyDescent="0.25">
      <c r="A592" s="169">
        <v>42874</v>
      </c>
      <c r="B592" s="116">
        <v>40</v>
      </c>
      <c r="C592" s="116">
        <v>39.075000000000003</v>
      </c>
      <c r="D592" s="116">
        <v>38.5</v>
      </c>
      <c r="E592" s="116">
        <v>39.875</v>
      </c>
      <c r="F592" s="116">
        <v>78.150000000000006</v>
      </c>
      <c r="G592">
        <v>230755</v>
      </c>
      <c r="H592" s="116"/>
      <c r="I592" s="116"/>
      <c r="L592" s="169">
        <v>42874</v>
      </c>
      <c r="M592" s="116">
        <v>39.049999999999997</v>
      </c>
      <c r="N592" s="116">
        <v>40.1</v>
      </c>
      <c r="O592" s="116">
        <v>38.424999999999997</v>
      </c>
      <c r="P592" s="116">
        <v>39.524999999999999</v>
      </c>
      <c r="Q592" s="116">
        <v>78.099999999999994</v>
      </c>
      <c r="R592">
        <v>297131</v>
      </c>
    </row>
    <row r="593" spans="1:18" x14ac:dyDescent="0.25">
      <c r="A593" s="169">
        <v>42877</v>
      </c>
      <c r="B593" s="116">
        <v>39.575000000000003</v>
      </c>
      <c r="C593" s="116">
        <v>37.799999999999997</v>
      </c>
      <c r="D593" s="116">
        <v>37.674999999999997</v>
      </c>
      <c r="E593" s="116">
        <v>39.575000000000003</v>
      </c>
      <c r="F593" s="116">
        <v>75.599999999999994</v>
      </c>
      <c r="G593">
        <v>78568</v>
      </c>
      <c r="H593" s="116"/>
      <c r="I593" s="116"/>
      <c r="L593" s="169">
        <v>42877</v>
      </c>
      <c r="M593" s="116">
        <v>37.799999999999997</v>
      </c>
      <c r="N593" s="116">
        <v>39.725000000000001</v>
      </c>
      <c r="O593" s="116">
        <v>37.575000000000003</v>
      </c>
      <c r="P593" s="116">
        <v>39.450000000000003</v>
      </c>
      <c r="Q593" s="116">
        <v>75.599999999999994</v>
      </c>
      <c r="R593">
        <v>299345</v>
      </c>
    </row>
    <row r="594" spans="1:18" x14ac:dyDescent="0.25">
      <c r="A594" s="169">
        <v>42878</v>
      </c>
      <c r="B594" s="116">
        <v>38.1</v>
      </c>
      <c r="C594" s="116">
        <v>37.024999999999999</v>
      </c>
      <c r="D594" s="116">
        <v>36.475000000000001</v>
      </c>
      <c r="E594" s="116">
        <v>38.1</v>
      </c>
      <c r="F594" s="116">
        <v>74.05</v>
      </c>
      <c r="G594">
        <v>123040</v>
      </c>
      <c r="H594" s="116"/>
      <c r="I594" s="116"/>
      <c r="L594" s="169">
        <v>42878</v>
      </c>
      <c r="M594" s="116">
        <v>37.1</v>
      </c>
      <c r="N594" s="116">
        <v>38.049999999999997</v>
      </c>
      <c r="O594" s="116">
        <v>36.549999999999997</v>
      </c>
      <c r="P594" s="116">
        <v>38.049999999999997</v>
      </c>
      <c r="Q594" s="116">
        <v>74.2</v>
      </c>
      <c r="R594">
        <v>328552</v>
      </c>
    </row>
    <row r="595" spans="1:18" x14ac:dyDescent="0.25">
      <c r="A595" s="169">
        <v>42879</v>
      </c>
      <c r="B595" s="116">
        <v>37.6</v>
      </c>
      <c r="C595" s="116">
        <v>36.575000000000003</v>
      </c>
      <c r="D595" s="116">
        <v>36.475000000000001</v>
      </c>
      <c r="E595" s="116">
        <v>37.225000000000001</v>
      </c>
      <c r="F595" s="116">
        <v>73.150000000000006</v>
      </c>
      <c r="G595">
        <v>82739</v>
      </c>
      <c r="H595" s="116"/>
      <c r="I595" s="116"/>
      <c r="L595" s="169">
        <v>42879</v>
      </c>
      <c r="M595" s="116">
        <v>36.625</v>
      </c>
      <c r="N595" s="116">
        <v>37.65</v>
      </c>
      <c r="O595" s="116">
        <v>36.4</v>
      </c>
      <c r="P595" s="116">
        <v>37.424999999999997</v>
      </c>
      <c r="Q595" s="116">
        <v>73.25</v>
      </c>
      <c r="R595">
        <v>463711</v>
      </c>
    </row>
    <row r="596" spans="1:18" x14ac:dyDescent="0.25">
      <c r="A596" s="169">
        <v>42880</v>
      </c>
      <c r="B596" s="116">
        <v>38.15</v>
      </c>
      <c r="C596" s="116">
        <v>37.975000000000001</v>
      </c>
      <c r="D596" s="116">
        <v>36.75</v>
      </c>
      <c r="E596" s="116">
        <v>36.924999999999997</v>
      </c>
      <c r="F596" s="116">
        <v>75.95</v>
      </c>
      <c r="G596">
        <v>60435</v>
      </c>
      <c r="H596" s="116"/>
      <c r="I596" s="116"/>
      <c r="L596" s="169">
        <v>42880</v>
      </c>
      <c r="M596" s="116">
        <v>38</v>
      </c>
      <c r="N596" s="116">
        <v>38.200000000000003</v>
      </c>
      <c r="O596" s="116">
        <v>36.700000000000003</v>
      </c>
      <c r="P596" s="116">
        <v>36.950000000000003</v>
      </c>
      <c r="Q596" s="116">
        <v>76</v>
      </c>
      <c r="R596">
        <v>323708</v>
      </c>
    </row>
    <row r="597" spans="1:18" x14ac:dyDescent="0.25">
      <c r="A597" s="169">
        <v>42881</v>
      </c>
      <c r="B597" s="116">
        <v>39.5</v>
      </c>
      <c r="C597" s="116">
        <v>39.325000000000003</v>
      </c>
      <c r="D597" s="116">
        <v>38.4</v>
      </c>
      <c r="E597" s="116">
        <v>38.5</v>
      </c>
      <c r="F597" s="116">
        <v>78.650000000000006</v>
      </c>
      <c r="G597">
        <v>84268</v>
      </c>
      <c r="H597" s="116"/>
      <c r="I597" s="116"/>
      <c r="L597" s="169">
        <v>42881</v>
      </c>
      <c r="M597" s="116">
        <v>39.424999999999997</v>
      </c>
      <c r="N597" s="116">
        <v>39.6</v>
      </c>
      <c r="O597" s="116">
        <v>38.125</v>
      </c>
      <c r="P597" s="116">
        <v>38.125</v>
      </c>
      <c r="Q597" s="116">
        <v>78.849999999999994</v>
      </c>
      <c r="R597">
        <v>511486</v>
      </c>
    </row>
    <row r="598" spans="1:18" x14ac:dyDescent="0.25">
      <c r="A598" s="169">
        <v>42884</v>
      </c>
      <c r="B598" s="116">
        <v>40</v>
      </c>
      <c r="C598" s="116">
        <v>38.024999999999999</v>
      </c>
      <c r="D598" s="116">
        <v>36.549999999999997</v>
      </c>
      <c r="E598" s="116">
        <v>39.774999999999999</v>
      </c>
      <c r="F598" s="116">
        <v>76.05</v>
      </c>
      <c r="G598">
        <v>297532</v>
      </c>
      <c r="H598" s="116"/>
      <c r="I598" s="116"/>
      <c r="L598" s="169">
        <v>42884</v>
      </c>
      <c r="M598" s="116">
        <v>38.075000000000003</v>
      </c>
      <c r="N598" s="116">
        <v>39.950000000000003</v>
      </c>
      <c r="O598" s="116">
        <v>36.4</v>
      </c>
      <c r="P598" s="116">
        <v>39.475000000000001</v>
      </c>
      <c r="Q598" s="116">
        <v>76.150000000000006</v>
      </c>
      <c r="R598">
        <v>1690487</v>
      </c>
    </row>
    <row r="599" spans="1:18" x14ac:dyDescent="0.25">
      <c r="A599" s="169">
        <v>42885</v>
      </c>
      <c r="B599" s="116">
        <v>37.65</v>
      </c>
      <c r="C599" s="116">
        <v>36.6</v>
      </c>
      <c r="D599" s="116">
        <v>36.25</v>
      </c>
      <c r="E599" s="116">
        <v>37</v>
      </c>
      <c r="F599" s="116">
        <v>73.2</v>
      </c>
      <c r="G599">
        <v>221051</v>
      </c>
      <c r="H599" s="116"/>
      <c r="I599" s="116"/>
      <c r="L599" s="169">
        <v>42885</v>
      </c>
      <c r="M599" s="116">
        <v>36.875</v>
      </c>
      <c r="N599" s="116">
        <v>37.65</v>
      </c>
      <c r="O599" s="116">
        <v>36.274999999999999</v>
      </c>
      <c r="P599" s="116">
        <v>37.15</v>
      </c>
      <c r="Q599" s="116">
        <v>73.75</v>
      </c>
      <c r="R599">
        <v>628919</v>
      </c>
    </row>
    <row r="600" spans="1:18" x14ac:dyDescent="0.25">
      <c r="A600" s="169">
        <v>42886</v>
      </c>
      <c r="B600" s="116">
        <v>37.475000000000001</v>
      </c>
      <c r="C600" s="116">
        <v>36.65</v>
      </c>
      <c r="D600" s="116">
        <v>36.5</v>
      </c>
      <c r="E600" s="116">
        <v>36.799999999999997</v>
      </c>
      <c r="F600" s="116">
        <v>73.3</v>
      </c>
      <c r="G600">
        <v>104198</v>
      </c>
      <c r="H600" s="116"/>
      <c r="I600" s="116"/>
      <c r="L600" s="169">
        <v>42886</v>
      </c>
      <c r="M600" s="116">
        <v>36.575000000000003</v>
      </c>
      <c r="N600" s="116">
        <v>37.450000000000003</v>
      </c>
      <c r="O600" s="116">
        <v>36.450000000000003</v>
      </c>
      <c r="P600" s="116">
        <v>37.25</v>
      </c>
      <c r="Q600" s="116">
        <v>73.150000000000006</v>
      </c>
      <c r="R600">
        <v>284339</v>
      </c>
    </row>
    <row r="601" spans="1:18" x14ac:dyDescent="0.25">
      <c r="A601" s="169">
        <v>42887</v>
      </c>
      <c r="B601" s="116">
        <v>37.200000000000003</v>
      </c>
      <c r="C601" s="116">
        <v>36.85</v>
      </c>
      <c r="D601" s="116">
        <v>36.65</v>
      </c>
      <c r="E601" s="116">
        <v>36.700000000000003</v>
      </c>
      <c r="F601" s="116">
        <v>73.7</v>
      </c>
      <c r="G601">
        <v>29649</v>
      </c>
      <c r="H601" s="116"/>
      <c r="I601" s="116"/>
      <c r="L601" s="169">
        <v>42887</v>
      </c>
      <c r="M601" s="116">
        <v>36.799999999999997</v>
      </c>
      <c r="N601" s="116">
        <v>37.225000000000001</v>
      </c>
      <c r="O601" s="116">
        <v>36.625</v>
      </c>
      <c r="P601" s="116">
        <v>36.75</v>
      </c>
      <c r="Q601" s="116">
        <v>73.599999999999994</v>
      </c>
      <c r="R601">
        <v>169867</v>
      </c>
    </row>
    <row r="602" spans="1:18" x14ac:dyDescent="0.25">
      <c r="A602" s="169">
        <v>42888</v>
      </c>
      <c r="B602" s="116">
        <v>37.15</v>
      </c>
      <c r="C602" s="116">
        <v>36.575000000000003</v>
      </c>
      <c r="D602" s="116">
        <v>36.524999999999999</v>
      </c>
      <c r="E602" s="116">
        <v>37</v>
      </c>
      <c r="F602" s="116">
        <v>73.150000000000006</v>
      </c>
      <c r="G602">
        <v>65335</v>
      </c>
      <c r="H602" s="116"/>
      <c r="I602" s="116"/>
      <c r="L602" s="169">
        <v>42888</v>
      </c>
      <c r="M602" s="116">
        <v>36.5</v>
      </c>
      <c r="N602" s="116">
        <v>37.125</v>
      </c>
      <c r="O602" s="116">
        <v>36.375</v>
      </c>
      <c r="P602" s="116">
        <v>37.1</v>
      </c>
      <c r="Q602" s="116">
        <v>73</v>
      </c>
      <c r="R602">
        <v>338928</v>
      </c>
    </row>
    <row r="603" spans="1:18" x14ac:dyDescent="0.25">
      <c r="A603" s="169">
        <v>42891</v>
      </c>
      <c r="B603" s="116">
        <v>36.799999999999997</v>
      </c>
      <c r="C603" s="116">
        <v>36.299999999999997</v>
      </c>
      <c r="D603" s="116">
        <v>36.15</v>
      </c>
      <c r="E603" s="116">
        <v>36.549999999999997</v>
      </c>
      <c r="F603" s="116">
        <v>72.599999999999994</v>
      </c>
      <c r="G603">
        <v>39274</v>
      </c>
      <c r="H603" s="116"/>
      <c r="I603" s="116"/>
      <c r="L603" s="169">
        <v>42891</v>
      </c>
      <c r="M603" s="116">
        <v>36.299999999999997</v>
      </c>
      <c r="N603" s="116">
        <v>36.825000000000003</v>
      </c>
      <c r="O603" s="116">
        <v>36.225000000000001</v>
      </c>
      <c r="P603" s="116">
        <v>36.799999999999997</v>
      </c>
      <c r="Q603" s="116">
        <v>72.599999999999994</v>
      </c>
      <c r="R603">
        <v>173789</v>
      </c>
    </row>
    <row r="604" spans="1:18" x14ac:dyDescent="0.25">
      <c r="A604" s="169">
        <v>42892</v>
      </c>
      <c r="B604" s="116">
        <v>38.15</v>
      </c>
      <c r="C604" s="116">
        <v>36.975000000000001</v>
      </c>
      <c r="D604" s="116">
        <v>36.4</v>
      </c>
      <c r="E604" s="116">
        <v>36.4</v>
      </c>
      <c r="F604" s="116">
        <v>73.95</v>
      </c>
      <c r="G604">
        <v>152540</v>
      </c>
      <c r="H604" s="116"/>
      <c r="I604" s="116"/>
      <c r="L604" s="169">
        <v>42892</v>
      </c>
      <c r="M604" s="116">
        <v>36.924999999999997</v>
      </c>
      <c r="N604" s="116">
        <v>38.125</v>
      </c>
      <c r="O604" s="116">
        <v>36.299999999999997</v>
      </c>
      <c r="P604" s="116">
        <v>36.299999999999997</v>
      </c>
      <c r="Q604" s="116">
        <v>73.849999999999994</v>
      </c>
      <c r="R604">
        <v>563177</v>
      </c>
    </row>
    <row r="605" spans="1:18" x14ac:dyDescent="0.25">
      <c r="A605" s="169">
        <v>42893</v>
      </c>
      <c r="B605" s="116">
        <v>37.075000000000003</v>
      </c>
      <c r="C605" s="116">
        <v>36.725000000000001</v>
      </c>
      <c r="D605" s="116">
        <v>36.35</v>
      </c>
      <c r="E605" s="116">
        <v>36.9</v>
      </c>
      <c r="F605" s="116">
        <v>73.45</v>
      </c>
      <c r="G605">
        <v>53540</v>
      </c>
      <c r="H605" s="116"/>
      <c r="I605" s="116"/>
      <c r="L605" s="169">
        <v>42893</v>
      </c>
      <c r="M605" s="116">
        <v>36.6</v>
      </c>
      <c r="N605" s="116">
        <v>37.15</v>
      </c>
      <c r="O605" s="116">
        <v>36.35</v>
      </c>
      <c r="P605" s="116">
        <v>37</v>
      </c>
      <c r="Q605" s="116">
        <v>73.2</v>
      </c>
      <c r="R605">
        <v>281976</v>
      </c>
    </row>
    <row r="606" spans="1:18" x14ac:dyDescent="0.25">
      <c r="A606" s="169">
        <v>42894</v>
      </c>
      <c r="B606" s="116">
        <v>37.274999999999999</v>
      </c>
      <c r="C606" s="116">
        <v>36.924999999999997</v>
      </c>
      <c r="D606" s="116">
        <v>36.4</v>
      </c>
      <c r="E606" s="116">
        <v>36.950000000000003</v>
      </c>
      <c r="F606" s="116">
        <v>73.849999999999994</v>
      </c>
      <c r="G606">
        <v>60796</v>
      </c>
      <c r="H606" s="116"/>
      <c r="I606" s="116"/>
      <c r="L606" s="169">
        <v>42894</v>
      </c>
      <c r="M606" s="116">
        <v>36.975000000000001</v>
      </c>
      <c r="N606" s="116">
        <v>37.299999999999997</v>
      </c>
      <c r="O606" s="116">
        <v>36.274999999999999</v>
      </c>
      <c r="P606" s="116">
        <v>36.700000000000003</v>
      </c>
      <c r="Q606" s="116">
        <v>73.95</v>
      </c>
      <c r="R606">
        <v>302080</v>
      </c>
    </row>
    <row r="607" spans="1:18" x14ac:dyDescent="0.25">
      <c r="A607" s="169">
        <v>42895</v>
      </c>
      <c r="B607" s="116">
        <v>37.450000000000003</v>
      </c>
      <c r="C607" s="116">
        <v>36.924999999999997</v>
      </c>
      <c r="D607" s="116">
        <v>36.700000000000003</v>
      </c>
      <c r="E607" s="116">
        <v>36.725000000000001</v>
      </c>
      <c r="F607" s="116">
        <v>73.849999999999994</v>
      </c>
      <c r="G607">
        <v>52150</v>
      </c>
      <c r="H607" s="116"/>
      <c r="I607" s="116"/>
      <c r="L607" s="169">
        <v>42895</v>
      </c>
      <c r="M607" s="116">
        <v>36.950000000000003</v>
      </c>
      <c r="N607" s="116">
        <v>37.450000000000003</v>
      </c>
      <c r="O607" s="116">
        <v>36.725000000000001</v>
      </c>
      <c r="P607" s="116">
        <v>36.950000000000003</v>
      </c>
      <c r="Q607" s="116">
        <v>73.900000000000006</v>
      </c>
      <c r="R607">
        <v>219196</v>
      </c>
    </row>
    <row r="608" spans="1:18" x14ac:dyDescent="0.25">
      <c r="A608" s="169">
        <v>42898</v>
      </c>
      <c r="B608" s="116">
        <v>37.5</v>
      </c>
      <c r="C608" s="116">
        <v>36.950000000000003</v>
      </c>
      <c r="D608" s="116">
        <v>36.725000000000001</v>
      </c>
      <c r="E608" s="116">
        <v>37</v>
      </c>
      <c r="F608" s="116">
        <v>73.900000000000006</v>
      </c>
      <c r="G608">
        <v>50386</v>
      </c>
      <c r="H608" s="116"/>
      <c r="I608" s="116"/>
      <c r="L608" s="169">
        <v>42898</v>
      </c>
      <c r="M608" s="116">
        <v>36.975000000000001</v>
      </c>
      <c r="N608" s="116">
        <v>37.5</v>
      </c>
      <c r="O608" s="116">
        <v>36.725000000000001</v>
      </c>
      <c r="P608" s="116">
        <v>37.35</v>
      </c>
      <c r="Q608" s="116">
        <v>73.95</v>
      </c>
      <c r="R608">
        <v>208822</v>
      </c>
    </row>
    <row r="609" spans="1:18" x14ac:dyDescent="0.25">
      <c r="A609" s="169">
        <v>42899</v>
      </c>
      <c r="B609" s="116">
        <v>37.450000000000003</v>
      </c>
      <c r="C609" s="116">
        <v>37.125</v>
      </c>
      <c r="D609" s="116">
        <v>37</v>
      </c>
      <c r="E609" s="116">
        <v>37</v>
      </c>
      <c r="F609" s="116">
        <v>74.25</v>
      </c>
      <c r="G609">
        <v>49398</v>
      </c>
      <c r="H609" s="116"/>
      <c r="I609" s="116"/>
      <c r="L609" s="169">
        <v>42899</v>
      </c>
      <c r="M609" s="116">
        <v>37.174999999999997</v>
      </c>
      <c r="N609" s="116">
        <v>37.4</v>
      </c>
      <c r="O609" s="116">
        <v>36.975000000000001</v>
      </c>
      <c r="P609" s="116">
        <v>37</v>
      </c>
      <c r="Q609" s="116">
        <v>74.349999999999994</v>
      </c>
      <c r="R609">
        <v>160112</v>
      </c>
    </row>
    <row r="610" spans="1:18" x14ac:dyDescent="0.25">
      <c r="A610" s="169">
        <v>42900</v>
      </c>
      <c r="B610" s="116">
        <v>37.1</v>
      </c>
      <c r="C610" s="116">
        <v>36.725000000000001</v>
      </c>
      <c r="D610" s="116">
        <v>36.5</v>
      </c>
      <c r="E610" s="116">
        <v>36.5</v>
      </c>
      <c r="F610" s="116">
        <v>73.45</v>
      </c>
      <c r="G610">
        <v>17907</v>
      </c>
      <c r="H610" s="116"/>
      <c r="I610" s="116"/>
      <c r="L610" s="169">
        <v>42900</v>
      </c>
      <c r="M610" s="116">
        <v>36.700000000000003</v>
      </c>
      <c r="N610" s="116">
        <v>37.25</v>
      </c>
      <c r="O610" s="116">
        <v>36.549999999999997</v>
      </c>
      <c r="P610" s="116">
        <v>37.174999999999997</v>
      </c>
      <c r="Q610" s="116">
        <v>73.400000000000006</v>
      </c>
      <c r="R610">
        <v>312460</v>
      </c>
    </row>
    <row r="611" spans="1:18" x14ac:dyDescent="0.25">
      <c r="A611" s="169">
        <v>42901</v>
      </c>
      <c r="B611" s="116">
        <v>39.299999999999997</v>
      </c>
      <c r="C611" s="116">
        <v>37.774999999999999</v>
      </c>
      <c r="D611" s="116">
        <v>37.4</v>
      </c>
      <c r="E611" s="116">
        <v>37.575000000000003</v>
      </c>
      <c r="F611" s="116">
        <v>75.55</v>
      </c>
      <c r="G611">
        <v>464882</v>
      </c>
      <c r="H611" s="116"/>
      <c r="I611" s="116"/>
      <c r="L611" s="169">
        <v>42901</v>
      </c>
      <c r="M611" s="116">
        <v>37.75</v>
      </c>
      <c r="N611" s="116">
        <v>39.25</v>
      </c>
      <c r="O611" s="116">
        <v>37.4</v>
      </c>
      <c r="P611" s="116">
        <v>37.5</v>
      </c>
      <c r="Q611" s="116">
        <v>75.5</v>
      </c>
      <c r="R611">
        <v>2079590</v>
      </c>
    </row>
    <row r="612" spans="1:18" x14ac:dyDescent="0.25">
      <c r="A612" s="169">
        <v>42902</v>
      </c>
      <c r="B612" s="116">
        <v>41.825000000000003</v>
      </c>
      <c r="C612" s="116">
        <v>41.2</v>
      </c>
      <c r="D612" s="116">
        <v>37.575000000000003</v>
      </c>
      <c r="E612" s="116">
        <v>38.174999999999997</v>
      </c>
      <c r="F612" s="116">
        <v>82.4</v>
      </c>
      <c r="G612">
        <v>922176</v>
      </c>
      <c r="H612" s="116"/>
      <c r="I612" s="116"/>
      <c r="L612" s="169">
        <v>42902</v>
      </c>
      <c r="M612" s="116">
        <v>41.2</v>
      </c>
      <c r="N612" s="116">
        <v>41.9</v>
      </c>
      <c r="O612" s="116">
        <v>37.5</v>
      </c>
      <c r="P612" s="116">
        <v>37.950000000000003</v>
      </c>
      <c r="Q612" s="116">
        <v>82.4</v>
      </c>
      <c r="R612">
        <v>4031771</v>
      </c>
    </row>
    <row r="613" spans="1:18" x14ac:dyDescent="0.25">
      <c r="A613" s="169">
        <v>42905</v>
      </c>
      <c r="B613" s="116">
        <v>43.4</v>
      </c>
      <c r="C613" s="116">
        <v>42.274999999999999</v>
      </c>
      <c r="D613" s="116">
        <v>41.25</v>
      </c>
      <c r="E613" s="116">
        <v>41.25</v>
      </c>
      <c r="F613" s="116">
        <v>84.55</v>
      </c>
      <c r="G613">
        <v>571468</v>
      </c>
      <c r="H613" s="116"/>
      <c r="I613" s="116"/>
      <c r="L613" s="169">
        <v>42905</v>
      </c>
      <c r="M613" s="116">
        <v>42.424999999999997</v>
      </c>
      <c r="N613" s="116">
        <v>43.475000000000001</v>
      </c>
      <c r="O613" s="116">
        <v>41.25</v>
      </c>
      <c r="P613" s="116">
        <v>41.274999999999999</v>
      </c>
      <c r="Q613" s="116">
        <v>84.85</v>
      </c>
      <c r="R613">
        <v>2224625</v>
      </c>
    </row>
    <row r="614" spans="1:18" x14ac:dyDescent="0.25">
      <c r="A614" s="169">
        <v>42906</v>
      </c>
      <c r="B614" s="116">
        <v>45.174999999999997</v>
      </c>
      <c r="C614" s="116">
        <v>44.85</v>
      </c>
      <c r="D614" s="116">
        <v>42.325000000000003</v>
      </c>
      <c r="E614" s="116">
        <v>42.674999999999997</v>
      </c>
      <c r="F614" s="116">
        <v>89.7</v>
      </c>
      <c r="G614">
        <v>951626</v>
      </c>
      <c r="H614" s="116"/>
      <c r="I614" s="116"/>
      <c r="L614" s="169">
        <v>42906</v>
      </c>
      <c r="M614" s="116">
        <v>44.825000000000003</v>
      </c>
      <c r="N614" s="116">
        <v>45.2</v>
      </c>
      <c r="O614" s="116">
        <v>42.3</v>
      </c>
      <c r="P614" s="116">
        <v>42.55</v>
      </c>
      <c r="Q614" s="116">
        <v>89.65</v>
      </c>
      <c r="R614">
        <v>4212831</v>
      </c>
    </row>
    <row r="615" spans="1:18" x14ac:dyDescent="0.25">
      <c r="A615" s="169">
        <v>42907</v>
      </c>
      <c r="B615" s="116">
        <v>46.174999999999997</v>
      </c>
      <c r="C615" s="116">
        <v>44.85</v>
      </c>
      <c r="D615" s="116">
        <v>44.625</v>
      </c>
      <c r="E615" s="116">
        <v>45.45</v>
      </c>
      <c r="F615" s="116">
        <v>89.7</v>
      </c>
      <c r="G615">
        <v>784552</v>
      </c>
      <c r="H615" s="116"/>
      <c r="I615" s="116"/>
      <c r="L615" s="169">
        <v>42907</v>
      </c>
      <c r="M615" s="116">
        <v>44.85</v>
      </c>
      <c r="N615" s="116">
        <v>46.1</v>
      </c>
      <c r="O615" s="116">
        <v>44.55</v>
      </c>
      <c r="P615" s="116">
        <v>45.375</v>
      </c>
      <c r="Q615" s="116">
        <v>89.7</v>
      </c>
      <c r="R615">
        <v>3444152</v>
      </c>
    </row>
    <row r="616" spans="1:18" x14ac:dyDescent="0.25">
      <c r="A616" s="169">
        <v>42908</v>
      </c>
      <c r="B616" s="116">
        <v>45.774999999999999</v>
      </c>
      <c r="C616" s="116">
        <v>43.25</v>
      </c>
      <c r="D616" s="116">
        <v>43</v>
      </c>
      <c r="E616" s="116">
        <v>45.274999999999999</v>
      </c>
      <c r="F616" s="116">
        <v>86.5</v>
      </c>
      <c r="G616">
        <v>351459</v>
      </c>
      <c r="H616" s="116"/>
      <c r="I616" s="116"/>
      <c r="L616" s="169">
        <v>42908</v>
      </c>
      <c r="M616" s="116">
        <v>43.125</v>
      </c>
      <c r="N616" s="116">
        <v>45.75</v>
      </c>
      <c r="O616" s="116">
        <v>42.85</v>
      </c>
      <c r="P616" s="116">
        <v>45</v>
      </c>
      <c r="Q616" s="116">
        <v>86.25</v>
      </c>
      <c r="R616">
        <v>1810677</v>
      </c>
    </row>
    <row r="617" spans="1:18" x14ac:dyDescent="0.25">
      <c r="A617" s="169">
        <v>42909</v>
      </c>
      <c r="B617" s="116">
        <v>43.575000000000003</v>
      </c>
      <c r="C617" s="116">
        <v>41.1</v>
      </c>
      <c r="D617" s="116">
        <v>40.799999999999997</v>
      </c>
      <c r="E617" s="116">
        <v>43.475000000000001</v>
      </c>
      <c r="F617" s="116">
        <v>82.2</v>
      </c>
      <c r="G617">
        <v>307030</v>
      </c>
      <c r="H617" s="116"/>
      <c r="I617" s="116"/>
      <c r="L617" s="169">
        <v>42909</v>
      </c>
      <c r="M617" s="116">
        <v>41.05</v>
      </c>
      <c r="N617" s="116">
        <v>43.625</v>
      </c>
      <c r="O617" s="116">
        <v>40.75</v>
      </c>
      <c r="P617" s="116">
        <v>43.375</v>
      </c>
      <c r="Q617" s="116">
        <v>82.1</v>
      </c>
      <c r="R617">
        <v>1736435</v>
      </c>
    </row>
    <row r="618" spans="1:18" x14ac:dyDescent="0.25">
      <c r="A618" s="169">
        <v>42913</v>
      </c>
      <c r="B618" s="116">
        <v>41.8</v>
      </c>
      <c r="C618" s="116">
        <v>41.225000000000001</v>
      </c>
      <c r="D618" s="116">
        <v>40.5</v>
      </c>
      <c r="E618" s="116">
        <v>41.274999999999999</v>
      </c>
      <c r="F618" s="116">
        <v>82.45</v>
      </c>
      <c r="G618">
        <v>124003</v>
      </c>
      <c r="H618" s="116"/>
      <c r="I618" s="116"/>
      <c r="L618" s="169">
        <v>42913</v>
      </c>
      <c r="M618" s="116">
        <v>41.15</v>
      </c>
      <c r="N618" s="116">
        <v>41.75</v>
      </c>
      <c r="O618" s="116">
        <v>40.5</v>
      </c>
      <c r="P618" s="116">
        <v>41.35</v>
      </c>
      <c r="Q618" s="116">
        <v>82.3</v>
      </c>
      <c r="R618">
        <v>791727</v>
      </c>
    </row>
    <row r="619" spans="1:18" x14ac:dyDescent="0.25">
      <c r="A619" s="169">
        <v>42914</v>
      </c>
      <c r="B619" s="116">
        <v>42.6</v>
      </c>
      <c r="C619" s="116">
        <v>42.1</v>
      </c>
      <c r="D619" s="116">
        <v>40.65</v>
      </c>
      <c r="E619" s="116">
        <v>40.975000000000001</v>
      </c>
      <c r="F619" s="116">
        <v>84.2</v>
      </c>
      <c r="G619">
        <v>212916</v>
      </c>
      <c r="H619" s="116"/>
      <c r="I619" s="116"/>
      <c r="L619" s="169">
        <v>42914</v>
      </c>
      <c r="M619" s="116">
        <v>42.125</v>
      </c>
      <c r="N619" s="116">
        <v>42.7</v>
      </c>
      <c r="O619" s="116">
        <v>40.575000000000003</v>
      </c>
      <c r="P619" s="116">
        <v>40.85</v>
      </c>
      <c r="Q619" s="116">
        <v>84.25</v>
      </c>
      <c r="R619">
        <v>983572</v>
      </c>
    </row>
    <row r="620" spans="1:18" x14ac:dyDescent="0.25">
      <c r="A620" s="169">
        <v>42915</v>
      </c>
      <c r="B620" s="116">
        <v>44</v>
      </c>
      <c r="C620" s="116">
        <v>42.625</v>
      </c>
      <c r="D620" s="116">
        <v>42.35</v>
      </c>
      <c r="E620" s="116">
        <v>42.825000000000003</v>
      </c>
      <c r="F620" s="116">
        <v>85.25</v>
      </c>
      <c r="G620">
        <v>323744</v>
      </c>
      <c r="H620" s="116"/>
      <c r="I620" s="116"/>
      <c r="L620" s="169">
        <v>42915</v>
      </c>
      <c r="M620" s="116">
        <v>42.7</v>
      </c>
      <c r="N620" s="116">
        <v>43.9</v>
      </c>
      <c r="O620" s="116">
        <v>42.35</v>
      </c>
      <c r="P620" s="116">
        <v>42.7</v>
      </c>
      <c r="Q620" s="116">
        <v>85.4</v>
      </c>
      <c r="R620">
        <v>1464684</v>
      </c>
    </row>
    <row r="621" spans="1:18" x14ac:dyDescent="0.25">
      <c r="A621" s="169">
        <v>42916</v>
      </c>
      <c r="B621" s="116">
        <v>42.825000000000003</v>
      </c>
      <c r="C621" s="116">
        <v>41.975000000000001</v>
      </c>
      <c r="D621" s="116">
        <v>41.75</v>
      </c>
      <c r="E621" s="116">
        <v>42.424999999999997</v>
      </c>
      <c r="F621" s="116">
        <v>83.95</v>
      </c>
      <c r="G621">
        <v>179413</v>
      </c>
      <c r="H621" s="116"/>
      <c r="I621" s="116"/>
      <c r="L621" s="169">
        <v>42916</v>
      </c>
      <c r="M621" s="116">
        <v>42</v>
      </c>
      <c r="N621" s="116">
        <v>42.75</v>
      </c>
      <c r="O621" s="116">
        <v>41.674999999999997</v>
      </c>
      <c r="P621" s="116">
        <v>42.5</v>
      </c>
      <c r="Q621" s="116">
        <v>84</v>
      </c>
      <c r="R621">
        <v>693299</v>
      </c>
    </row>
    <row r="622" spans="1:18" x14ac:dyDescent="0.25">
      <c r="A622" s="169">
        <v>42919</v>
      </c>
      <c r="B622" s="116">
        <v>43.25</v>
      </c>
      <c r="C622" s="116">
        <v>43.075000000000003</v>
      </c>
      <c r="D622" s="116">
        <v>42.225000000000001</v>
      </c>
      <c r="E622" s="116">
        <v>42.7</v>
      </c>
      <c r="F622" s="116">
        <v>86.15</v>
      </c>
      <c r="G622">
        <v>161803</v>
      </c>
      <c r="H622" s="116"/>
      <c r="I622" s="116"/>
      <c r="L622" s="169">
        <v>42919</v>
      </c>
      <c r="M622" s="116">
        <v>43.1</v>
      </c>
      <c r="N622" s="116">
        <v>43.25</v>
      </c>
      <c r="O622" s="116">
        <v>42.25</v>
      </c>
      <c r="P622" s="116">
        <v>42.3</v>
      </c>
      <c r="Q622" s="116">
        <v>86.2</v>
      </c>
      <c r="R622">
        <v>916835</v>
      </c>
    </row>
    <row r="623" spans="1:18" x14ac:dyDescent="0.25">
      <c r="A623" s="169">
        <v>42920</v>
      </c>
      <c r="B623" s="116">
        <v>44.274999999999999</v>
      </c>
      <c r="C623" s="116">
        <v>44.05</v>
      </c>
      <c r="D623" s="116">
        <v>42.924999999999997</v>
      </c>
      <c r="E623" s="116">
        <v>43.45</v>
      </c>
      <c r="F623" s="116">
        <v>88.1</v>
      </c>
      <c r="G623">
        <v>350395</v>
      </c>
      <c r="H623" s="116"/>
      <c r="I623" s="116"/>
      <c r="L623" s="169">
        <v>42920</v>
      </c>
      <c r="M623" s="116">
        <v>44.05</v>
      </c>
      <c r="N623" s="116">
        <v>44.35</v>
      </c>
      <c r="O623" s="116">
        <v>42.9</v>
      </c>
      <c r="P623" s="116">
        <v>43.225000000000001</v>
      </c>
      <c r="Q623" s="116">
        <v>88.1</v>
      </c>
      <c r="R623">
        <v>1620709</v>
      </c>
    </row>
    <row r="624" spans="1:18" x14ac:dyDescent="0.25">
      <c r="A624" s="169">
        <v>42921</v>
      </c>
      <c r="B624" s="116">
        <v>44.975000000000001</v>
      </c>
      <c r="C624" s="116">
        <v>44.65</v>
      </c>
      <c r="D624" s="116">
        <v>43.95</v>
      </c>
      <c r="E624" s="116">
        <v>44.35</v>
      </c>
      <c r="F624" s="116">
        <v>89.3</v>
      </c>
      <c r="G624">
        <v>205993</v>
      </c>
      <c r="H624" s="116"/>
      <c r="I624" s="116"/>
      <c r="L624" s="169">
        <v>42921</v>
      </c>
      <c r="M624" s="116">
        <v>44.725000000000001</v>
      </c>
      <c r="N624" s="116">
        <v>44.95</v>
      </c>
      <c r="O624" s="116">
        <v>43.95</v>
      </c>
      <c r="P624" s="116">
        <v>44.325000000000003</v>
      </c>
      <c r="Q624" s="116">
        <v>89.45</v>
      </c>
      <c r="R624">
        <v>1183619</v>
      </c>
    </row>
    <row r="625" spans="1:18" x14ac:dyDescent="0.25">
      <c r="A625" s="169">
        <v>42922</v>
      </c>
      <c r="B625" s="116">
        <v>45.424999999999997</v>
      </c>
      <c r="C625" s="116">
        <v>43.825000000000003</v>
      </c>
      <c r="D625" s="116">
        <v>43.674999999999997</v>
      </c>
      <c r="E625" s="116">
        <v>45.05</v>
      </c>
      <c r="F625" s="116">
        <v>87.65</v>
      </c>
      <c r="G625">
        <v>158947</v>
      </c>
      <c r="H625" s="116"/>
      <c r="I625" s="116"/>
      <c r="L625" s="169">
        <v>42922</v>
      </c>
      <c r="M625" s="116">
        <v>43.875</v>
      </c>
      <c r="N625" s="116">
        <v>45.4</v>
      </c>
      <c r="O625" s="116">
        <v>43.75</v>
      </c>
      <c r="P625" s="116">
        <v>45.075000000000003</v>
      </c>
      <c r="Q625" s="116">
        <v>87.75</v>
      </c>
      <c r="R625">
        <v>917544</v>
      </c>
    </row>
    <row r="626" spans="1:18" x14ac:dyDescent="0.25">
      <c r="A626" s="169">
        <v>42923</v>
      </c>
      <c r="B626" s="116">
        <v>44.375</v>
      </c>
      <c r="C626" s="116">
        <v>43.2</v>
      </c>
      <c r="D626" s="116">
        <v>43.024999999999999</v>
      </c>
      <c r="E626" s="116">
        <v>44.3</v>
      </c>
      <c r="F626" s="116">
        <v>86.4</v>
      </c>
      <c r="G626">
        <v>130512</v>
      </c>
      <c r="H626" s="116"/>
      <c r="I626" s="116"/>
      <c r="L626" s="169">
        <v>42923</v>
      </c>
      <c r="M626" s="116">
        <v>43.174999999999997</v>
      </c>
      <c r="N626" s="116">
        <v>44.325000000000003</v>
      </c>
      <c r="O626" s="116">
        <v>43.024999999999999</v>
      </c>
      <c r="P626" s="116">
        <v>43.75</v>
      </c>
      <c r="Q626" s="116">
        <v>86.35</v>
      </c>
      <c r="R626">
        <v>601917</v>
      </c>
    </row>
    <row r="627" spans="1:18" x14ac:dyDescent="0.25">
      <c r="A627" s="169">
        <v>42926</v>
      </c>
      <c r="B627" s="116">
        <v>44.85</v>
      </c>
      <c r="C627" s="116">
        <v>43.924999999999997</v>
      </c>
      <c r="D627" s="116">
        <v>43.125</v>
      </c>
      <c r="E627" s="116">
        <v>43.475000000000001</v>
      </c>
      <c r="F627" s="116">
        <v>87.85</v>
      </c>
      <c r="G627">
        <v>241081</v>
      </c>
      <c r="H627" s="116"/>
      <c r="I627" s="116"/>
      <c r="L627" s="169">
        <v>42926</v>
      </c>
      <c r="M627" s="116">
        <v>43.95</v>
      </c>
      <c r="N627" s="116">
        <v>45.024999999999999</v>
      </c>
      <c r="O627" s="116">
        <v>42.875</v>
      </c>
      <c r="P627" s="116">
        <v>44</v>
      </c>
      <c r="Q627" s="116">
        <v>87.9</v>
      </c>
      <c r="R627">
        <v>366583</v>
      </c>
    </row>
    <row r="628" spans="1:18" x14ac:dyDescent="0.25">
      <c r="A628" s="169">
        <v>42927</v>
      </c>
      <c r="B628" s="116">
        <v>44.4</v>
      </c>
      <c r="C628" s="116">
        <v>43.125</v>
      </c>
      <c r="D628" s="116">
        <v>43</v>
      </c>
      <c r="E628" s="116">
        <v>44.35</v>
      </c>
      <c r="F628" s="116">
        <v>86.25</v>
      </c>
      <c r="G628">
        <v>96539</v>
      </c>
      <c r="H628" s="116"/>
      <c r="I628" s="116"/>
      <c r="L628" s="169">
        <v>42927</v>
      </c>
      <c r="M628" s="116">
        <v>43.125</v>
      </c>
      <c r="N628" s="116">
        <v>44.35</v>
      </c>
      <c r="O628" s="116">
        <v>43</v>
      </c>
      <c r="P628" s="116">
        <v>44.35</v>
      </c>
      <c r="Q628" s="116">
        <v>86.25</v>
      </c>
      <c r="R628">
        <v>497649</v>
      </c>
    </row>
    <row r="629" spans="1:18" x14ac:dyDescent="0.25">
      <c r="A629" s="169">
        <v>42928</v>
      </c>
      <c r="B629" s="116">
        <v>44.6</v>
      </c>
      <c r="C629" s="116">
        <v>43.774999999999999</v>
      </c>
      <c r="D629" s="116">
        <v>43.325000000000003</v>
      </c>
      <c r="E629" s="116">
        <v>43.45</v>
      </c>
      <c r="F629" s="116">
        <v>87.55</v>
      </c>
      <c r="G629">
        <v>137997</v>
      </c>
      <c r="H629" s="116"/>
      <c r="I629" s="116"/>
      <c r="L629" s="169">
        <v>42928</v>
      </c>
      <c r="M629" s="116">
        <v>43.8</v>
      </c>
      <c r="N629" s="116">
        <v>44.65</v>
      </c>
      <c r="O629" s="116">
        <v>43.274999999999999</v>
      </c>
      <c r="P629" s="116">
        <v>43.274999999999999</v>
      </c>
      <c r="Q629" s="116">
        <v>87.6</v>
      </c>
      <c r="R629">
        <v>785059</v>
      </c>
    </row>
    <row r="630" spans="1:18" x14ac:dyDescent="0.25">
      <c r="A630" s="169">
        <v>42929</v>
      </c>
      <c r="B630" s="116">
        <v>44.424999999999997</v>
      </c>
      <c r="C630" s="116">
        <v>43</v>
      </c>
      <c r="D630" s="116">
        <v>42.75</v>
      </c>
      <c r="E630" s="116">
        <v>44.424999999999997</v>
      </c>
      <c r="F630" s="116">
        <v>86</v>
      </c>
      <c r="G630">
        <v>180511</v>
      </c>
      <c r="H630" s="116"/>
      <c r="I630" s="116"/>
      <c r="L630" s="169">
        <v>42929</v>
      </c>
      <c r="M630" s="116">
        <v>42.975000000000001</v>
      </c>
      <c r="N630" s="116">
        <v>44.375</v>
      </c>
      <c r="O630" s="116">
        <v>42.825000000000003</v>
      </c>
      <c r="P630" s="116">
        <v>44.35</v>
      </c>
      <c r="Q630" s="116">
        <v>85.95</v>
      </c>
      <c r="R630">
        <v>677494</v>
      </c>
    </row>
    <row r="631" spans="1:18" x14ac:dyDescent="0.25">
      <c r="A631" s="169">
        <v>42930</v>
      </c>
      <c r="B631" s="116">
        <v>43.7</v>
      </c>
      <c r="C631" s="116">
        <v>42.15</v>
      </c>
      <c r="D631" s="116">
        <v>42.024999999999999</v>
      </c>
      <c r="E631" s="116">
        <v>43.25</v>
      </c>
      <c r="F631" s="116">
        <v>84.3</v>
      </c>
      <c r="G631">
        <v>130000</v>
      </c>
      <c r="H631" s="116"/>
      <c r="I631" s="116"/>
      <c r="L631" s="169">
        <v>42930</v>
      </c>
      <c r="M631" s="116">
        <v>42.25</v>
      </c>
      <c r="N631" s="116">
        <v>43.65</v>
      </c>
      <c r="O631" s="116">
        <v>42.05</v>
      </c>
      <c r="P631" s="116">
        <v>43.174999999999997</v>
      </c>
      <c r="Q631" s="116">
        <v>84.5</v>
      </c>
      <c r="R631">
        <v>522873</v>
      </c>
    </row>
    <row r="632" spans="1:18" x14ac:dyDescent="0.25">
      <c r="A632" s="169">
        <v>42933</v>
      </c>
      <c r="B632" s="116">
        <v>43.3</v>
      </c>
      <c r="C632" s="116">
        <v>41.65</v>
      </c>
      <c r="D632" s="116">
        <v>41.2</v>
      </c>
      <c r="E632" s="116">
        <v>43.25</v>
      </c>
      <c r="F632" s="116">
        <v>83.3</v>
      </c>
      <c r="G632">
        <v>205278</v>
      </c>
      <c r="H632" s="116"/>
      <c r="I632" s="116"/>
      <c r="L632" s="169">
        <v>42933</v>
      </c>
      <c r="M632" s="116">
        <v>41.5</v>
      </c>
      <c r="N632" s="116">
        <v>43.325000000000003</v>
      </c>
      <c r="O632" s="116">
        <v>41.25</v>
      </c>
      <c r="P632" s="116">
        <v>42.05</v>
      </c>
      <c r="Q632" s="116">
        <v>83</v>
      </c>
      <c r="R632">
        <v>1062095</v>
      </c>
    </row>
    <row r="633" spans="1:18" x14ac:dyDescent="0.25">
      <c r="A633" s="169">
        <v>42934</v>
      </c>
      <c r="B633" s="116">
        <v>42.85</v>
      </c>
      <c r="C633" s="116">
        <v>42.55</v>
      </c>
      <c r="D633" s="116">
        <v>41.1</v>
      </c>
      <c r="E633" s="116">
        <v>41.4</v>
      </c>
      <c r="F633" s="116">
        <v>85.1</v>
      </c>
      <c r="G633">
        <v>194927</v>
      </c>
      <c r="H633" s="116"/>
      <c r="I633" s="116"/>
      <c r="L633" s="169">
        <v>42934</v>
      </c>
      <c r="M633" s="116">
        <v>42.55</v>
      </c>
      <c r="N633" s="116">
        <v>42.95</v>
      </c>
      <c r="O633" s="116">
        <v>41.125</v>
      </c>
      <c r="P633" s="116">
        <v>41.674999999999997</v>
      </c>
      <c r="Q633" s="116">
        <v>85.1</v>
      </c>
      <c r="R633">
        <v>1177801</v>
      </c>
    </row>
    <row r="634" spans="1:18" x14ac:dyDescent="0.25">
      <c r="A634" s="169">
        <v>42935</v>
      </c>
      <c r="B634" s="116">
        <v>45.65</v>
      </c>
      <c r="C634" s="116">
        <v>45.25</v>
      </c>
      <c r="D634" s="116">
        <v>42.65</v>
      </c>
      <c r="E634" s="116">
        <v>42.95</v>
      </c>
      <c r="F634" s="116">
        <v>90.5</v>
      </c>
      <c r="G634">
        <v>470106</v>
      </c>
      <c r="H634" s="116"/>
      <c r="I634" s="116"/>
      <c r="L634" s="169">
        <v>42935</v>
      </c>
      <c r="M634" s="116">
        <v>45.25</v>
      </c>
      <c r="N634" s="116">
        <v>45.725000000000001</v>
      </c>
      <c r="O634" s="116">
        <v>42.6</v>
      </c>
      <c r="P634" s="116">
        <v>42.924999999999997</v>
      </c>
      <c r="Q634" s="116">
        <v>90.5</v>
      </c>
      <c r="R634">
        <v>2818762</v>
      </c>
    </row>
    <row r="635" spans="1:18" x14ac:dyDescent="0.25">
      <c r="A635" s="169">
        <v>42936</v>
      </c>
      <c r="B635" s="116">
        <v>47.95</v>
      </c>
      <c r="C635" s="116">
        <v>47.45</v>
      </c>
      <c r="D635" s="116">
        <v>45.075000000000003</v>
      </c>
      <c r="E635" s="116">
        <v>45.8</v>
      </c>
      <c r="F635" s="116">
        <v>94.9</v>
      </c>
      <c r="G635">
        <v>1132858</v>
      </c>
      <c r="H635" s="116"/>
      <c r="I635" s="116"/>
      <c r="L635" s="169">
        <v>42936</v>
      </c>
      <c r="M635" s="116">
        <v>47.55</v>
      </c>
      <c r="N635" s="116">
        <v>48</v>
      </c>
      <c r="O635" s="116">
        <v>45.075000000000003</v>
      </c>
      <c r="P635" s="116">
        <v>45.75</v>
      </c>
      <c r="Q635" s="116">
        <v>95.1</v>
      </c>
      <c r="R635">
        <v>5077466</v>
      </c>
    </row>
    <row r="636" spans="1:18" x14ac:dyDescent="0.25">
      <c r="A636" s="169">
        <v>42937</v>
      </c>
      <c r="B636" s="116">
        <v>48</v>
      </c>
      <c r="C636" s="116">
        <v>46.8</v>
      </c>
      <c r="D636" s="116">
        <v>46.25</v>
      </c>
      <c r="E636" s="116">
        <v>47.75</v>
      </c>
      <c r="F636" s="116">
        <v>93.6</v>
      </c>
      <c r="G636">
        <v>391691</v>
      </c>
      <c r="H636" s="116"/>
      <c r="I636" s="116"/>
      <c r="L636" s="169">
        <v>42937</v>
      </c>
      <c r="M636" s="116">
        <v>46.85</v>
      </c>
      <c r="N636" s="116">
        <v>48</v>
      </c>
      <c r="O636" s="116">
        <v>46.25</v>
      </c>
      <c r="P636" s="116">
        <v>47.45</v>
      </c>
      <c r="Q636" s="116">
        <v>93.7</v>
      </c>
      <c r="R636">
        <v>1577131</v>
      </c>
    </row>
    <row r="637" spans="1:18" x14ac:dyDescent="0.25">
      <c r="A637" s="169">
        <v>42940</v>
      </c>
      <c r="B637" s="116">
        <v>49.4</v>
      </c>
      <c r="C637" s="116">
        <v>48.524999999999999</v>
      </c>
      <c r="D637" s="116">
        <v>46.9</v>
      </c>
      <c r="E637" s="116">
        <v>47.15</v>
      </c>
      <c r="F637" s="116">
        <v>97.05</v>
      </c>
      <c r="G637">
        <v>640719</v>
      </c>
      <c r="H637" s="116"/>
      <c r="I637" s="116"/>
      <c r="L637" s="169">
        <v>42940</v>
      </c>
      <c r="M637" s="116">
        <v>48.475000000000001</v>
      </c>
      <c r="N637" s="116">
        <v>49.45</v>
      </c>
      <c r="O637" s="116">
        <v>46.875</v>
      </c>
      <c r="P637" s="116">
        <v>47.125</v>
      </c>
      <c r="Q637" s="116">
        <v>96.95</v>
      </c>
      <c r="R637">
        <v>2989401</v>
      </c>
    </row>
    <row r="638" spans="1:18" x14ac:dyDescent="0.25">
      <c r="A638" s="169">
        <v>42941</v>
      </c>
      <c r="B638" s="116">
        <v>49.975000000000001</v>
      </c>
      <c r="C638" s="116">
        <v>48.174999999999997</v>
      </c>
      <c r="D638" s="116">
        <v>47.274999999999999</v>
      </c>
      <c r="E638" s="116">
        <v>48.9</v>
      </c>
      <c r="F638" s="116">
        <v>96.35</v>
      </c>
      <c r="G638">
        <v>354528</v>
      </c>
      <c r="H638" s="116"/>
      <c r="I638" s="116"/>
      <c r="L638" s="169">
        <v>42941</v>
      </c>
      <c r="M638" s="116">
        <v>48.325000000000003</v>
      </c>
      <c r="N638" s="116">
        <v>50</v>
      </c>
      <c r="O638" s="116">
        <v>47.274999999999999</v>
      </c>
      <c r="P638" s="116">
        <v>48.8</v>
      </c>
      <c r="Q638" s="116">
        <v>96.65</v>
      </c>
      <c r="R638">
        <v>1859689</v>
      </c>
    </row>
    <row r="639" spans="1:18" x14ac:dyDescent="0.25">
      <c r="A639" s="169">
        <v>42942</v>
      </c>
      <c r="B639" s="116">
        <v>50.825000000000003</v>
      </c>
      <c r="C639" s="116">
        <v>49.475000000000001</v>
      </c>
      <c r="D639" s="116">
        <v>48.35</v>
      </c>
      <c r="E639" s="116">
        <v>48.75</v>
      </c>
      <c r="F639" s="116">
        <v>98.95</v>
      </c>
      <c r="G639">
        <v>673245</v>
      </c>
      <c r="H639" s="116"/>
      <c r="I639" s="116"/>
      <c r="L639" s="169">
        <v>42942</v>
      </c>
      <c r="M639" s="116">
        <v>49.65</v>
      </c>
      <c r="N639" s="116">
        <v>50.85</v>
      </c>
      <c r="O639" s="116">
        <v>48</v>
      </c>
      <c r="P639" s="116">
        <v>48.5</v>
      </c>
      <c r="Q639" s="116">
        <v>99.3</v>
      </c>
      <c r="R639">
        <v>3302337</v>
      </c>
    </row>
    <row r="640" spans="1:18" x14ac:dyDescent="0.25">
      <c r="A640" s="169">
        <v>42943</v>
      </c>
      <c r="B640" s="116">
        <v>50.55</v>
      </c>
      <c r="C640" s="116">
        <v>47.924999999999997</v>
      </c>
      <c r="D640" s="116">
        <v>47.524999999999999</v>
      </c>
      <c r="E640" s="116">
        <v>49.35</v>
      </c>
      <c r="F640" s="116">
        <v>95.85</v>
      </c>
      <c r="G640">
        <v>357772</v>
      </c>
      <c r="H640" s="116"/>
      <c r="I640" s="116"/>
      <c r="L640" s="169">
        <v>42943</v>
      </c>
      <c r="M640" s="116">
        <v>47.924999999999997</v>
      </c>
      <c r="N640" s="116">
        <v>50.625</v>
      </c>
      <c r="O640" s="116">
        <v>47.5</v>
      </c>
      <c r="P640" s="116">
        <v>49.8</v>
      </c>
      <c r="Q640" s="116">
        <v>95.85</v>
      </c>
      <c r="R640">
        <v>1841340</v>
      </c>
    </row>
    <row r="641" spans="1:18" x14ac:dyDescent="0.25">
      <c r="A641" s="169">
        <v>42944</v>
      </c>
      <c r="B641" s="116">
        <v>49.95</v>
      </c>
      <c r="C641" s="116">
        <v>49.65</v>
      </c>
      <c r="D641" s="116">
        <v>47.524999999999999</v>
      </c>
      <c r="E641" s="116">
        <v>47.75</v>
      </c>
      <c r="F641" s="116">
        <v>99.3</v>
      </c>
      <c r="G641">
        <v>311173</v>
      </c>
      <c r="H641" s="116"/>
      <c r="I641" s="116"/>
      <c r="L641" s="169">
        <v>42944</v>
      </c>
      <c r="M641" s="116">
        <v>49.625</v>
      </c>
      <c r="N641" s="116">
        <v>49.975000000000001</v>
      </c>
      <c r="O641" s="116">
        <v>47.5</v>
      </c>
      <c r="P641" s="116">
        <v>47.75</v>
      </c>
      <c r="Q641" s="116">
        <v>99.25</v>
      </c>
      <c r="R641">
        <v>1606596</v>
      </c>
    </row>
    <row r="642" spans="1:18" x14ac:dyDescent="0.25">
      <c r="A642" s="169">
        <v>42947</v>
      </c>
      <c r="B642" s="116">
        <v>51.924999999999997</v>
      </c>
      <c r="C642" s="116">
        <v>51.25</v>
      </c>
      <c r="D642" s="116">
        <v>48.75</v>
      </c>
      <c r="E642" s="116">
        <v>49.9</v>
      </c>
      <c r="F642" s="116">
        <v>102.5</v>
      </c>
      <c r="G642">
        <v>711511</v>
      </c>
      <c r="H642" s="116"/>
      <c r="I642" s="116"/>
      <c r="L642" s="169">
        <v>42947</v>
      </c>
      <c r="M642" s="116">
        <v>51.35</v>
      </c>
      <c r="N642" s="116">
        <v>51.85</v>
      </c>
      <c r="O642" s="116">
        <v>48.6</v>
      </c>
      <c r="P642" s="116">
        <v>49.85</v>
      </c>
      <c r="Q642" s="116">
        <v>102.7</v>
      </c>
      <c r="R642">
        <v>2936083</v>
      </c>
    </row>
    <row r="643" spans="1:18" x14ac:dyDescent="0.25">
      <c r="A643" s="169">
        <v>42948</v>
      </c>
      <c r="B643" s="116">
        <v>53.45</v>
      </c>
      <c r="C643" s="116">
        <v>52.65</v>
      </c>
      <c r="D643" s="116">
        <v>51.25</v>
      </c>
      <c r="E643" s="116">
        <v>51.75</v>
      </c>
      <c r="F643" s="116">
        <v>105.3</v>
      </c>
      <c r="G643">
        <v>657883</v>
      </c>
      <c r="H643" s="116"/>
      <c r="I643" s="116"/>
      <c r="L643" s="169">
        <v>42948</v>
      </c>
      <c r="M643" s="116">
        <v>52.75</v>
      </c>
      <c r="N643" s="116">
        <v>53.55</v>
      </c>
      <c r="O643" s="116">
        <v>51.2</v>
      </c>
      <c r="P643" s="116">
        <v>51.75</v>
      </c>
      <c r="Q643" s="116">
        <v>105.5</v>
      </c>
      <c r="R643">
        <v>3531650</v>
      </c>
    </row>
    <row r="644" spans="1:18" x14ac:dyDescent="0.25">
      <c r="A644" s="169">
        <v>42949</v>
      </c>
      <c r="B644" s="116">
        <v>53.9</v>
      </c>
      <c r="C644" s="116">
        <v>52.825000000000003</v>
      </c>
      <c r="D644" s="116">
        <v>52.1</v>
      </c>
      <c r="E644" s="116">
        <v>53</v>
      </c>
      <c r="F644" s="116">
        <v>105.65</v>
      </c>
      <c r="G644">
        <v>494899</v>
      </c>
      <c r="H644" s="116"/>
      <c r="I644" s="116"/>
      <c r="L644" s="169">
        <v>42949</v>
      </c>
      <c r="M644" s="116">
        <v>53</v>
      </c>
      <c r="N644" s="116">
        <v>53.85</v>
      </c>
      <c r="O644" s="116">
        <v>52.05</v>
      </c>
      <c r="P644" s="116">
        <v>53</v>
      </c>
      <c r="Q644" s="116">
        <v>106</v>
      </c>
      <c r="R644">
        <v>2163750</v>
      </c>
    </row>
    <row r="645" spans="1:18" x14ac:dyDescent="0.25">
      <c r="A645" s="169">
        <v>42950</v>
      </c>
      <c r="B645" s="116">
        <v>52.975000000000001</v>
      </c>
      <c r="C645" s="116">
        <v>47.274999999999999</v>
      </c>
      <c r="D645" s="116">
        <v>46.45</v>
      </c>
      <c r="E645" s="116">
        <v>52.75</v>
      </c>
      <c r="F645" s="116">
        <v>94.55</v>
      </c>
      <c r="G645">
        <v>847385</v>
      </c>
      <c r="H645" s="116"/>
      <c r="I645" s="116"/>
      <c r="L645" s="169">
        <v>42950</v>
      </c>
      <c r="M645" s="116">
        <v>47.174999999999997</v>
      </c>
      <c r="N645" s="116">
        <v>52.975000000000001</v>
      </c>
      <c r="O645" s="116">
        <v>46.5</v>
      </c>
      <c r="P645" s="116">
        <v>52.875</v>
      </c>
      <c r="Q645" s="116">
        <v>94.35</v>
      </c>
      <c r="R645">
        <v>3852116</v>
      </c>
    </row>
    <row r="646" spans="1:18" x14ac:dyDescent="0.25">
      <c r="A646" s="169">
        <v>42951</v>
      </c>
      <c r="B646" s="116">
        <v>47.35</v>
      </c>
      <c r="C646" s="116">
        <v>46.625</v>
      </c>
      <c r="D646" s="116">
        <v>44.725000000000001</v>
      </c>
      <c r="E646" s="116">
        <v>45.9</v>
      </c>
      <c r="F646" s="116">
        <v>93.25</v>
      </c>
      <c r="G646">
        <v>660471</v>
      </c>
      <c r="H646" s="116"/>
      <c r="I646" s="116"/>
      <c r="L646" s="169">
        <v>42951</v>
      </c>
      <c r="M646" s="116">
        <v>46.7</v>
      </c>
      <c r="N646" s="116">
        <v>47.45</v>
      </c>
      <c r="O646" s="116">
        <v>44.625</v>
      </c>
      <c r="P646" s="116">
        <v>45.5</v>
      </c>
      <c r="Q646" s="116">
        <v>93.4</v>
      </c>
      <c r="R646">
        <v>3164955</v>
      </c>
    </row>
    <row r="647" spans="1:18" x14ac:dyDescent="0.25">
      <c r="A647" s="169">
        <v>42954</v>
      </c>
      <c r="B647" s="116">
        <v>48.625</v>
      </c>
      <c r="C647" s="116">
        <v>48.05</v>
      </c>
      <c r="D647" s="116">
        <v>46.55</v>
      </c>
      <c r="E647" s="116">
        <v>46.55</v>
      </c>
      <c r="F647" s="116">
        <v>96.1</v>
      </c>
      <c r="G647">
        <v>317196</v>
      </c>
      <c r="H647" s="116"/>
      <c r="I647" s="116"/>
      <c r="L647" s="169">
        <v>42954</v>
      </c>
      <c r="M647" s="116">
        <v>48.1</v>
      </c>
      <c r="N647" s="116">
        <v>48.7</v>
      </c>
      <c r="O647" s="116">
        <v>46.7</v>
      </c>
      <c r="P647" s="116">
        <v>47.15</v>
      </c>
      <c r="Q647" s="116">
        <v>96.2</v>
      </c>
      <c r="R647">
        <v>1219084</v>
      </c>
    </row>
    <row r="648" spans="1:18" x14ac:dyDescent="0.25">
      <c r="A648" s="169">
        <v>42955</v>
      </c>
      <c r="B648" s="116">
        <v>48.5</v>
      </c>
      <c r="C648" s="116">
        <v>46.45</v>
      </c>
      <c r="D648" s="116">
        <v>46.25</v>
      </c>
      <c r="E648" s="116">
        <v>48.075000000000003</v>
      </c>
      <c r="F648" s="116">
        <v>92.9</v>
      </c>
      <c r="G648">
        <v>166998</v>
      </c>
      <c r="H648" s="116"/>
      <c r="I648" s="116"/>
      <c r="L648" s="169">
        <v>42955</v>
      </c>
      <c r="M648" s="116">
        <v>46.55</v>
      </c>
      <c r="N648" s="116">
        <v>48.55</v>
      </c>
      <c r="O648" s="116">
        <v>46.3</v>
      </c>
      <c r="P648" s="116">
        <v>48.475000000000001</v>
      </c>
      <c r="Q648" s="116">
        <v>93.1</v>
      </c>
      <c r="R648">
        <v>986704</v>
      </c>
    </row>
    <row r="649" spans="1:18" x14ac:dyDescent="0.25">
      <c r="A649" s="169">
        <v>42956</v>
      </c>
      <c r="B649" s="116">
        <v>47.1</v>
      </c>
      <c r="C649" s="116">
        <v>46.3</v>
      </c>
      <c r="D649" s="116">
        <v>43.924999999999997</v>
      </c>
      <c r="E649" s="116">
        <v>46.5</v>
      </c>
      <c r="F649" s="116">
        <v>92.6</v>
      </c>
      <c r="G649">
        <v>240611</v>
      </c>
      <c r="H649" s="116"/>
      <c r="I649" s="116"/>
      <c r="L649" s="169">
        <v>42956</v>
      </c>
      <c r="M649" s="116">
        <v>46.4</v>
      </c>
      <c r="N649" s="116">
        <v>47.174999999999997</v>
      </c>
      <c r="O649" s="116">
        <v>44.774999999999999</v>
      </c>
      <c r="P649" s="116">
        <v>46.424999999999997</v>
      </c>
      <c r="Q649" s="116">
        <v>92.8</v>
      </c>
      <c r="R649">
        <v>1141120</v>
      </c>
    </row>
    <row r="650" spans="1:18" x14ac:dyDescent="0.25">
      <c r="A650" s="169">
        <v>42957</v>
      </c>
      <c r="B650" s="116">
        <v>46.4</v>
      </c>
      <c r="C650" s="116">
        <v>44.7</v>
      </c>
      <c r="D650" s="116">
        <v>44.05</v>
      </c>
      <c r="E650" s="116">
        <v>46.4</v>
      </c>
      <c r="F650" s="116">
        <v>89.4</v>
      </c>
      <c r="G650">
        <v>218630</v>
      </c>
      <c r="H650" s="116"/>
      <c r="I650" s="116"/>
      <c r="L650" s="169">
        <v>42957</v>
      </c>
      <c r="M650" s="116">
        <v>44.95</v>
      </c>
      <c r="N650" s="116">
        <v>46.45</v>
      </c>
      <c r="O650" s="116">
        <v>44.274999999999999</v>
      </c>
      <c r="P650" s="116">
        <v>46.45</v>
      </c>
      <c r="Q650" s="116">
        <v>89.9</v>
      </c>
      <c r="R650">
        <v>1081477</v>
      </c>
    </row>
    <row r="651" spans="1:18" x14ac:dyDescent="0.25">
      <c r="A651" s="169">
        <v>42958</v>
      </c>
      <c r="B651" s="116">
        <v>44.95</v>
      </c>
      <c r="C651" s="116">
        <v>44.2</v>
      </c>
      <c r="D651" s="116">
        <v>42.55</v>
      </c>
      <c r="E651" s="116">
        <v>44.05</v>
      </c>
      <c r="F651" s="116">
        <v>88.4</v>
      </c>
      <c r="G651">
        <v>184772</v>
      </c>
      <c r="H651" s="116"/>
      <c r="I651" s="116"/>
      <c r="L651" s="169">
        <v>42958</v>
      </c>
      <c r="M651" s="116">
        <v>44.274999999999999</v>
      </c>
      <c r="N651" s="116">
        <v>44.95</v>
      </c>
      <c r="O651" s="116">
        <v>42.7</v>
      </c>
      <c r="P651" s="116">
        <v>44</v>
      </c>
      <c r="Q651" s="116">
        <v>88.55</v>
      </c>
      <c r="R651">
        <v>754239</v>
      </c>
    </row>
    <row r="652" spans="1:18" x14ac:dyDescent="0.25">
      <c r="A652" s="169">
        <v>42961</v>
      </c>
      <c r="B652" s="116">
        <v>46.5</v>
      </c>
      <c r="C652" s="116">
        <v>46.2</v>
      </c>
      <c r="D652" s="116">
        <v>44.274999999999999</v>
      </c>
      <c r="E652" s="116">
        <v>44.274999999999999</v>
      </c>
      <c r="F652" s="116">
        <v>92.4</v>
      </c>
      <c r="G652">
        <v>191788</v>
      </c>
      <c r="H652" s="116"/>
      <c r="I652" s="116"/>
      <c r="L652" s="169">
        <v>42961</v>
      </c>
      <c r="M652" s="116">
        <v>46.274999999999999</v>
      </c>
      <c r="N652" s="116">
        <v>46.65</v>
      </c>
      <c r="O652" s="116">
        <v>44.375</v>
      </c>
      <c r="P652" s="116">
        <v>44.774999999999999</v>
      </c>
      <c r="Q652" s="116">
        <v>92.55</v>
      </c>
      <c r="R652">
        <v>521459</v>
      </c>
    </row>
    <row r="653" spans="1:18" x14ac:dyDescent="0.25">
      <c r="A653" s="169">
        <v>42963</v>
      </c>
      <c r="B653" s="116">
        <v>47.25</v>
      </c>
      <c r="C653" s="116">
        <v>46.625</v>
      </c>
      <c r="D653" s="116">
        <v>45.25</v>
      </c>
      <c r="E653" s="116">
        <v>46.5</v>
      </c>
      <c r="F653" s="116">
        <v>93.25</v>
      </c>
      <c r="G653">
        <v>203995</v>
      </c>
      <c r="H653" s="116"/>
      <c r="I653" s="116"/>
      <c r="L653" s="169">
        <v>42963</v>
      </c>
      <c r="M653" s="116">
        <v>46.725000000000001</v>
      </c>
      <c r="N653" s="116">
        <v>47.3</v>
      </c>
      <c r="O653" s="116">
        <v>45.225000000000001</v>
      </c>
      <c r="P653" s="116">
        <v>46.65</v>
      </c>
      <c r="Q653" s="116">
        <v>93.45</v>
      </c>
      <c r="R653">
        <v>570992</v>
      </c>
    </row>
    <row r="654" spans="1:18" x14ac:dyDescent="0.25">
      <c r="A654" s="169">
        <v>42964</v>
      </c>
      <c r="B654" s="116">
        <v>47.475000000000001</v>
      </c>
      <c r="C654" s="116">
        <v>45.6</v>
      </c>
      <c r="D654" s="116">
        <v>45.25</v>
      </c>
      <c r="E654" s="116">
        <v>46.975000000000001</v>
      </c>
      <c r="F654" s="116">
        <v>91.2</v>
      </c>
      <c r="G654">
        <v>136925</v>
      </c>
      <c r="H654" s="116"/>
      <c r="I654" s="116"/>
      <c r="L654" s="169">
        <v>42964</v>
      </c>
      <c r="M654" s="116">
        <v>45.575000000000003</v>
      </c>
      <c r="N654" s="116">
        <v>47.5</v>
      </c>
      <c r="O654" s="116">
        <v>45.2</v>
      </c>
      <c r="P654" s="116">
        <v>46.95</v>
      </c>
      <c r="Q654" s="116">
        <v>91.15</v>
      </c>
      <c r="R654">
        <v>698621</v>
      </c>
    </row>
    <row r="655" spans="1:18" x14ac:dyDescent="0.25">
      <c r="A655" s="169">
        <v>42965</v>
      </c>
      <c r="B655" s="116">
        <v>46.3</v>
      </c>
      <c r="C655" s="116">
        <v>46.05</v>
      </c>
      <c r="D655" s="116">
        <v>45.225000000000001</v>
      </c>
      <c r="E655" s="116">
        <v>45.25</v>
      </c>
      <c r="F655" s="116">
        <v>92.1</v>
      </c>
      <c r="G655">
        <v>145154</v>
      </c>
      <c r="H655" s="116"/>
      <c r="I655" s="116"/>
      <c r="L655" s="169">
        <v>42965</v>
      </c>
      <c r="M655" s="116">
        <v>46.174999999999997</v>
      </c>
      <c r="N655" s="116">
        <v>46.45</v>
      </c>
      <c r="O655" s="116">
        <v>45.15</v>
      </c>
      <c r="P655" s="116">
        <v>45.25</v>
      </c>
      <c r="Q655" s="116">
        <v>92.35</v>
      </c>
      <c r="R655">
        <v>552867</v>
      </c>
    </row>
    <row r="656" spans="1:18" x14ac:dyDescent="0.25">
      <c r="A656" s="169">
        <v>42968</v>
      </c>
      <c r="B656" s="116">
        <v>46.875</v>
      </c>
      <c r="C656" s="116">
        <v>45.274999999999999</v>
      </c>
      <c r="D656" s="116">
        <v>45</v>
      </c>
      <c r="E656" s="116">
        <v>46.5</v>
      </c>
      <c r="F656" s="116">
        <v>90.55</v>
      </c>
      <c r="G656">
        <v>125887</v>
      </c>
      <c r="H656" s="116"/>
      <c r="I656" s="116"/>
      <c r="L656" s="169">
        <v>42968</v>
      </c>
      <c r="M656" s="116">
        <v>45.375</v>
      </c>
      <c r="N656" s="116">
        <v>46.875</v>
      </c>
      <c r="O656" s="116">
        <v>45.075000000000003</v>
      </c>
      <c r="P656" s="116">
        <v>46.575000000000003</v>
      </c>
      <c r="Q656" s="116">
        <v>90.75</v>
      </c>
      <c r="R656">
        <v>586502</v>
      </c>
    </row>
    <row r="657" spans="1:18" x14ac:dyDescent="0.25">
      <c r="A657" s="169">
        <v>42969</v>
      </c>
      <c r="B657" s="116">
        <v>46.35</v>
      </c>
      <c r="C657" s="116">
        <v>45.1</v>
      </c>
      <c r="D657" s="116">
        <v>44.924999999999997</v>
      </c>
      <c r="E657" s="116">
        <v>45.75</v>
      </c>
      <c r="F657" s="116">
        <v>90.2</v>
      </c>
      <c r="G657">
        <v>129801</v>
      </c>
      <c r="H657" s="116"/>
      <c r="I657" s="116"/>
      <c r="L657" s="169">
        <v>42969</v>
      </c>
      <c r="M657" s="116">
        <v>45.174999999999997</v>
      </c>
      <c r="N657" s="116">
        <v>46.375</v>
      </c>
      <c r="O657" s="116">
        <v>44.924999999999997</v>
      </c>
      <c r="P657" s="116">
        <v>45.75</v>
      </c>
      <c r="Q657" s="116">
        <v>90.35</v>
      </c>
      <c r="R657">
        <v>556977</v>
      </c>
    </row>
    <row r="658" spans="1:18" x14ac:dyDescent="0.25">
      <c r="A658" s="169">
        <v>42970</v>
      </c>
      <c r="B658" s="116">
        <v>45.924999999999997</v>
      </c>
      <c r="C658" s="116">
        <v>45.424999999999997</v>
      </c>
      <c r="D658" s="116">
        <v>45.174999999999997</v>
      </c>
      <c r="E658" s="116">
        <v>45.55</v>
      </c>
      <c r="F658" s="116">
        <v>90.85</v>
      </c>
      <c r="G658">
        <v>95260</v>
      </c>
      <c r="H658" s="116"/>
      <c r="I658" s="116"/>
      <c r="L658" s="169">
        <v>42970</v>
      </c>
      <c r="M658" s="116">
        <v>45.375</v>
      </c>
      <c r="N658" s="116">
        <v>45.924999999999997</v>
      </c>
      <c r="O658" s="116">
        <v>45.05</v>
      </c>
      <c r="P658" s="116">
        <v>45.4</v>
      </c>
      <c r="Q658" s="116">
        <v>90.75</v>
      </c>
      <c r="R658">
        <v>488801</v>
      </c>
    </row>
    <row r="659" spans="1:18" x14ac:dyDescent="0.25">
      <c r="A659" s="169">
        <v>42971</v>
      </c>
      <c r="B659" s="116">
        <v>46.575000000000003</v>
      </c>
      <c r="C659" s="116">
        <v>45.95</v>
      </c>
      <c r="D659" s="116">
        <v>45.125</v>
      </c>
      <c r="E659" s="116">
        <v>45.575000000000003</v>
      </c>
      <c r="F659" s="116">
        <v>91.9</v>
      </c>
      <c r="G659">
        <v>140728</v>
      </c>
      <c r="H659" s="116"/>
      <c r="I659" s="116"/>
      <c r="L659" s="169">
        <v>42971</v>
      </c>
      <c r="M659" s="116">
        <v>45.8</v>
      </c>
      <c r="N659" s="116">
        <v>46.575000000000003</v>
      </c>
      <c r="O659" s="116">
        <v>45.125</v>
      </c>
      <c r="P659" s="116">
        <v>45.6</v>
      </c>
      <c r="Q659" s="116">
        <v>91.6</v>
      </c>
      <c r="R659">
        <v>740380</v>
      </c>
    </row>
    <row r="660" spans="1:18" x14ac:dyDescent="0.25">
      <c r="A660" s="169">
        <v>42975</v>
      </c>
      <c r="B660" s="116">
        <v>46.15</v>
      </c>
      <c r="C660" s="116">
        <v>45.774999999999999</v>
      </c>
      <c r="D660" s="116">
        <v>45.5</v>
      </c>
      <c r="E660" s="116">
        <v>46.125</v>
      </c>
      <c r="F660" s="116">
        <v>91.55</v>
      </c>
      <c r="G660">
        <v>52863</v>
      </c>
      <c r="H660" s="116"/>
      <c r="I660" s="116"/>
      <c r="L660" s="169">
        <v>42975</v>
      </c>
      <c r="M660" s="116">
        <v>45.6</v>
      </c>
      <c r="N660" s="116">
        <v>46.45</v>
      </c>
      <c r="O660" s="116">
        <v>45.4</v>
      </c>
      <c r="P660" s="116">
        <v>46.125</v>
      </c>
      <c r="Q660" s="116">
        <v>91.2</v>
      </c>
      <c r="R660">
        <v>343093</v>
      </c>
    </row>
    <row r="661" spans="1:18" x14ac:dyDescent="0.25">
      <c r="A661" s="169">
        <v>42976</v>
      </c>
      <c r="B661" s="116">
        <v>47.174999999999997</v>
      </c>
      <c r="C661" s="116">
        <v>45.575000000000003</v>
      </c>
      <c r="D661" s="116">
        <v>45.3</v>
      </c>
      <c r="E661" s="116">
        <v>45.75</v>
      </c>
      <c r="F661" s="116">
        <v>91.15</v>
      </c>
      <c r="G661">
        <v>173106</v>
      </c>
      <c r="H661" s="116"/>
      <c r="I661" s="116"/>
      <c r="L661" s="169">
        <v>42976</v>
      </c>
      <c r="M661" s="116">
        <v>45.575000000000003</v>
      </c>
      <c r="N661" s="116">
        <v>47.25</v>
      </c>
      <c r="O661" s="116">
        <v>45.3</v>
      </c>
      <c r="P661" s="116">
        <v>45.6</v>
      </c>
      <c r="Q661" s="116">
        <v>91.15</v>
      </c>
      <c r="R661">
        <v>1012836</v>
      </c>
    </row>
    <row r="662" spans="1:18" x14ac:dyDescent="0.25">
      <c r="A662" s="169">
        <v>42977</v>
      </c>
      <c r="B662" s="116">
        <v>47.35</v>
      </c>
      <c r="C662" s="116">
        <v>46.35</v>
      </c>
      <c r="D662" s="116">
        <v>46</v>
      </c>
      <c r="E662" s="116">
        <v>46</v>
      </c>
      <c r="F662" s="116">
        <v>92.7</v>
      </c>
      <c r="G662">
        <v>139998</v>
      </c>
      <c r="H662" s="116"/>
      <c r="I662" s="116"/>
      <c r="L662" s="169">
        <v>42977</v>
      </c>
      <c r="M662" s="116">
        <v>46.424999999999997</v>
      </c>
      <c r="N662" s="116">
        <v>47.375</v>
      </c>
      <c r="O662" s="116">
        <v>46</v>
      </c>
      <c r="P662" s="116">
        <v>46.05</v>
      </c>
      <c r="Q662" s="116">
        <v>92.85</v>
      </c>
      <c r="R662">
        <v>794505</v>
      </c>
    </row>
    <row r="663" spans="1:18" x14ac:dyDescent="0.25">
      <c r="A663" s="169">
        <v>42978</v>
      </c>
      <c r="B663" s="116">
        <v>49</v>
      </c>
      <c r="C663" s="116">
        <v>48.475000000000001</v>
      </c>
      <c r="D663" s="116">
        <v>46.174999999999997</v>
      </c>
      <c r="E663" s="116">
        <v>46.424999999999997</v>
      </c>
      <c r="F663" s="116">
        <v>96.95</v>
      </c>
      <c r="G663">
        <v>249182</v>
      </c>
      <c r="H663" s="116"/>
      <c r="I663" s="116"/>
      <c r="L663" s="169">
        <v>42978</v>
      </c>
      <c r="M663" s="116">
        <v>48.524999999999999</v>
      </c>
      <c r="N663" s="116">
        <v>48.95</v>
      </c>
      <c r="O663" s="116">
        <v>46.274999999999999</v>
      </c>
      <c r="P663" s="116">
        <v>46.5</v>
      </c>
      <c r="Q663" s="116">
        <v>97.05</v>
      </c>
      <c r="R663">
        <v>1507665</v>
      </c>
    </row>
    <row r="664" spans="1:18" x14ac:dyDescent="0.25">
      <c r="A664" s="169">
        <v>42979</v>
      </c>
      <c r="B664" s="116">
        <v>49.35</v>
      </c>
      <c r="C664" s="116">
        <v>48.55</v>
      </c>
      <c r="D664" s="116">
        <v>48.024999999999999</v>
      </c>
      <c r="E664" s="116">
        <v>49.1</v>
      </c>
      <c r="F664" s="116">
        <v>97.1</v>
      </c>
      <c r="G664">
        <v>225772</v>
      </c>
      <c r="H664" s="116"/>
      <c r="I664" s="116"/>
      <c r="L664" s="169">
        <v>42979</v>
      </c>
      <c r="M664" s="116">
        <v>48.75</v>
      </c>
      <c r="N664" s="116">
        <v>49.35</v>
      </c>
      <c r="O664" s="116">
        <v>47.95</v>
      </c>
      <c r="P664" s="116">
        <v>49.25</v>
      </c>
      <c r="Q664" s="116">
        <v>97.5</v>
      </c>
      <c r="R664">
        <v>1340652</v>
      </c>
    </row>
    <row r="665" spans="1:18" x14ac:dyDescent="0.25">
      <c r="A665" s="169">
        <v>42982</v>
      </c>
      <c r="B665" s="116">
        <v>55.35</v>
      </c>
      <c r="C665" s="116">
        <v>54.2</v>
      </c>
      <c r="D665" s="116">
        <v>47.9</v>
      </c>
      <c r="E665" s="116">
        <v>48.55</v>
      </c>
      <c r="F665" s="116">
        <v>108.4</v>
      </c>
      <c r="G665">
        <v>1429685</v>
      </c>
      <c r="H665" s="116"/>
      <c r="I665" s="116"/>
      <c r="L665" s="169">
        <v>42982</v>
      </c>
      <c r="M665" s="116">
        <v>54.225000000000001</v>
      </c>
      <c r="N665" s="116">
        <v>55.4</v>
      </c>
      <c r="O665" s="116">
        <v>47.8</v>
      </c>
      <c r="P665" s="116">
        <v>48.774999999999999</v>
      </c>
      <c r="Q665" s="116">
        <v>108.45</v>
      </c>
      <c r="R665">
        <v>5752912</v>
      </c>
    </row>
    <row r="666" spans="1:18" x14ac:dyDescent="0.25">
      <c r="A666" s="169">
        <v>42983</v>
      </c>
      <c r="B666" s="116">
        <v>55.125</v>
      </c>
      <c r="C666" s="116">
        <v>52.975000000000001</v>
      </c>
      <c r="D666" s="116">
        <v>52.3</v>
      </c>
      <c r="E666" s="116">
        <v>54.625</v>
      </c>
      <c r="F666" s="116">
        <v>105.95</v>
      </c>
      <c r="G666">
        <v>654701</v>
      </c>
      <c r="H666" s="116"/>
      <c r="I666" s="116"/>
      <c r="L666" s="169">
        <v>42983</v>
      </c>
      <c r="M666" s="116">
        <v>53.05</v>
      </c>
      <c r="N666" s="116">
        <v>55.1</v>
      </c>
      <c r="O666" s="116">
        <v>52.15</v>
      </c>
      <c r="P666" s="116">
        <v>54.25</v>
      </c>
      <c r="Q666" s="116">
        <v>106.1</v>
      </c>
      <c r="R666">
        <v>2898841</v>
      </c>
    </row>
    <row r="667" spans="1:18" x14ac:dyDescent="0.25">
      <c r="A667" s="169">
        <v>42984</v>
      </c>
      <c r="B667" s="116">
        <v>55</v>
      </c>
      <c r="C667" s="116">
        <v>53.625</v>
      </c>
      <c r="D667" s="116">
        <v>52.475000000000001</v>
      </c>
      <c r="E667" s="116">
        <v>53.25</v>
      </c>
      <c r="F667" s="116">
        <v>107.25</v>
      </c>
      <c r="G667">
        <v>458574</v>
      </c>
      <c r="H667" s="116"/>
      <c r="I667" s="116"/>
      <c r="L667" s="169">
        <v>42984</v>
      </c>
      <c r="M667" s="116">
        <v>53.674999999999997</v>
      </c>
      <c r="N667" s="116">
        <v>55.25</v>
      </c>
      <c r="O667" s="116">
        <v>52.35</v>
      </c>
      <c r="P667" s="116">
        <v>52.95</v>
      </c>
      <c r="Q667" s="116">
        <v>107.35</v>
      </c>
      <c r="R667">
        <v>2849165</v>
      </c>
    </row>
    <row r="668" spans="1:18" x14ac:dyDescent="0.25">
      <c r="A668" s="169">
        <v>42985</v>
      </c>
      <c r="B668" s="116">
        <v>55.924999999999997</v>
      </c>
      <c r="C668" s="116">
        <v>54.075000000000003</v>
      </c>
      <c r="D668" s="116">
        <v>53.55</v>
      </c>
      <c r="E668" s="116">
        <v>54</v>
      </c>
      <c r="F668" s="116">
        <v>108.15</v>
      </c>
      <c r="G668">
        <v>536085</v>
      </c>
      <c r="H668" s="116"/>
      <c r="I668" s="116"/>
      <c r="L668" s="169">
        <v>42985</v>
      </c>
      <c r="M668" s="116">
        <v>54.2</v>
      </c>
      <c r="N668" s="116">
        <v>55.875</v>
      </c>
      <c r="O668" s="116">
        <v>53.55</v>
      </c>
      <c r="P668" s="116">
        <v>53.975000000000001</v>
      </c>
      <c r="Q668" s="116">
        <v>108.4</v>
      </c>
      <c r="R668">
        <v>2472285</v>
      </c>
    </row>
    <row r="669" spans="1:18" x14ac:dyDescent="0.25">
      <c r="A669" s="169">
        <v>42986</v>
      </c>
      <c r="B669" s="116">
        <v>56.2</v>
      </c>
      <c r="C669" s="116">
        <v>55.024999999999999</v>
      </c>
      <c r="D669" s="116">
        <v>54.125</v>
      </c>
      <c r="E669" s="116">
        <v>54.45</v>
      </c>
      <c r="F669" s="116">
        <v>110.05</v>
      </c>
      <c r="G669">
        <v>447018</v>
      </c>
      <c r="H669" s="116"/>
      <c r="I669" s="116"/>
      <c r="L669" s="169">
        <v>42986</v>
      </c>
      <c r="M669" s="116">
        <v>55.075000000000003</v>
      </c>
      <c r="N669" s="116">
        <v>56.225000000000001</v>
      </c>
      <c r="O669" s="116">
        <v>54.05</v>
      </c>
      <c r="P669" s="116">
        <v>54.65</v>
      </c>
      <c r="Q669" s="116">
        <v>110.15</v>
      </c>
      <c r="R669">
        <v>2296097</v>
      </c>
    </row>
    <row r="670" spans="1:18" x14ac:dyDescent="0.25">
      <c r="A670" s="169">
        <v>42989</v>
      </c>
      <c r="B670" s="116">
        <v>57.2</v>
      </c>
      <c r="C670" s="116">
        <v>55.674999999999997</v>
      </c>
      <c r="D670" s="116">
        <v>55.024999999999999</v>
      </c>
      <c r="E670" s="116">
        <v>56</v>
      </c>
      <c r="F670" s="116">
        <v>111.35</v>
      </c>
      <c r="G670">
        <v>333138</v>
      </c>
      <c r="H670" s="116"/>
      <c r="I670" s="116"/>
      <c r="L670" s="169">
        <v>42989</v>
      </c>
      <c r="M670" s="116">
        <v>55.774999999999999</v>
      </c>
      <c r="N670" s="116">
        <v>57.2</v>
      </c>
      <c r="O670" s="116">
        <v>55</v>
      </c>
      <c r="P670" s="116">
        <v>55.75</v>
      </c>
      <c r="Q670" s="116">
        <v>111.55</v>
      </c>
      <c r="R670">
        <v>1906939</v>
      </c>
    </row>
    <row r="671" spans="1:18" x14ac:dyDescent="0.25">
      <c r="A671" s="169">
        <v>42990</v>
      </c>
      <c r="B671" s="116">
        <v>56.4</v>
      </c>
      <c r="C671" s="116">
        <v>55.6</v>
      </c>
      <c r="D671" s="116">
        <v>55.1</v>
      </c>
      <c r="E671" s="116">
        <v>56.2</v>
      </c>
      <c r="F671" s="116">
        <v>111.2</v>
      </c>
      <c r="G671">
        <v>193791</v>
      </c>
      <c r="H671" s="116"/>
      <c r="I671" s="116"/>
      <c r="L671" s="169">
        <v>42990</v>
      </c>
      <c r="M671" s="116">
        <v>55.625</v>
      </c>
      <c r="N671" s="116">
        <v>56.45</v>
      </c>
      <c r="O671" s="116">
        <v>55</v>
      </c>
      <c r="P671" s="116">
        <v>56.3</v>
      </c>
      <c r="Q671" s="116">
        <v>111.25</v>
      </c>
      <c r="R671">
        <v>1134206</v>
      </c>
    </row>
    <row r="672" spans="1:18" x14ac:dyDescent="0.25">
      <c r="A672" s="169">
        <v>42991</v>
      </c>
      <c r="B672" s="116">
        <v>55.65</v>
      </c>
      <c r="C672" s="116">
        <v>54.024999999999999</v>
      </c>
      <c r="D672" s="116">
        <v>53.8</v>
      </c>
      <c r="E672" s="116">
        <v>55.575000000000003</v>
      </c>
      <c r="F672" s="116">
        <v>108.05</v>
      </c>
      <c r="G672">
        <v>136981</v>
      </c>
      <c r="H672" s="116"/>
      <c r="I672" s="116"/>
      <c r="L672" s="169">
        <v>42991</v>
      </c>
      <c r="M672" s="116">
        <v>54.125</v>
      </c>
      <c r="N672" s="116">
        <v>55.9</v>
      </c>
      <c r="O672" s="116">
        <v>53.85</v>
      </c>
      <c r="P672" s="116">
        <v>55.75</v>
      </c>
      <c r="Q672" s="116">
        <v>108.25</v>
      </c>
      <c r="R672">
        <v>1125333</v>
      </c>
    </row>
    <row r="673" spans="1:18" x14ac:dyDescent="0.25">
      <c r="A673" s="169">
        <v>42992</v>
      </c>
      <c r="B673" s="116">
        <v>54.3</v>
      </c>
      <c r="C673" s="116">
        <v>52.85</v>
      </c>
      <c r="D673" s="116">
        <v>52.35</v>
      </c>
      <c r="E673" s="116">
        <v>54.3</v>
      </c>
      <c r="F673" s="116">
        <v>105.7</v>
      </c>
      <c r="G673">
        <v>146937</v>
      </c>
      <c r="H673" s="116"/>
      <c r="I673" s="116"/>
      <c r="L673" s="169">
        <v>42992</v>
      </c>
      <c r="M673" s="116">
        <v>52.825000000000003</v>
      </c>
      <c r="N673" s="116">
        <v>54.4</v>
      </c>
      <c r="O673" s="116">
        <v>52.2</v>
      </c>
      <c r="P673" s="116">
        <v>54.4</v>
      </c>
      <c r="Q673" s="116">
        <v>105.65</v>
      </c>
      <c r="R673">
        <v>855353</v>
      </c>
    </row>
    <row r="674" spans="1:18" x14ac:dyDescent="0.25">
      <c r="A674" s="169">
        <v>42993</v>
      </c>
      <c r="B674" s="116">
        <v>54</v>
      </c>
      <c r="C674" s="116">
        <v>53.25</v>
      </c>
      <c r="D674" s="116">
        <v>50.75</v>
      </c>
      <c r="E674" s="116">
        <v>52.25</v>
      </c>
      <c r="F674" s="116">
        <v>106.5</v>
      </c>
      <c r="G674">
        <v>291830</v>
      </c>
      <c r="H674" s="116"/>
      <c r="I674" s="116"/>
      <c r="L674" s="169">
        <v>42993</v>
      </c>
      <c r="M674" s="116">
        <v>53.2</v>
      </c>
      <c r="N674" s="116">
        <v>54.1</v>
      </c>
      <c r="O674" s="116">
        <v>50.625</v>
      </c>
      <c r="P674" s="116">
        <v>52.25</v>
      </c>
      <c r="Q674" s="116">
        <v>106.4</v>
      </c>
      <c r="R674">
        <v>2043473</v>
      </c>
    </row>
    <row r="675" spans="1:18" x14ac:dyDescent="0.25">
      <c r="A675" s="169">
        <v>42996</v>
      </c>
      <c r="B675" s="116">
        <v>54.4</v>
      </c>
      <c r="C675" s="116">
        <v>53.8</v>
      </c>
      <c r="D675" s="116">
        <v>52.6</v>
      </c>
      <c r="E675" s="116">
        <v>53.1</v>
      </c>
      <c r="F675" s="116">
        <v>107.6</v>
      </c>
      <c r="G675">
        <v>169852</v>
      </c>
      <c r="H675" s="116"/>
      <c r="I675" s="116"/>
      <c r="L675" s="169">
        <v>42996</v>
      </c>
      <c r="M675" s="116">
        <v>53.8</v>
      </c>
      <c r="N675" s="116">
        <v>54.45</v>
      </c>
      <c r="O675" s="116">
        <v>52.55</v>
      </c>
      <c r="P675" s="116">
        <v>53.7</v>
      </c>
      <c r="Q675" s="116">
        <v>107.6</v>
      </c>
      <c r="R675">
        <v>1158112</v>
      </c>
    </row>
    <row r="676" spans="1:18" x14ac:dyDescent="0.25">
      <c r="A676" s="169">
        <v>42997</v>
      </c>
      <c r="B676" s="116">
        <v>59.9</v>
      </c>
      <c r="C676" s="116">
        <v>58.25</v>
      </c>
      <c r="D676" s="116">
        <v>53.174999999999997</v>
      </c>
      <c r="E676" s="116">
        <v>53.5</v>
      </c>
      <c r="F676" s="116">
        <v>116.5</v>
      </c>
      <c r="G676">
        <v>1254969</v>
      </c>
      <c r="H676" s="116"/>
      <c r="I676" s="116"/>
      <c r="L676" s="169">
        <v>42997</v>
      </c>
      <c r="M676" s="116">
        <v>58.1</v>
      </c>
      <c r="N676" s="116">
        <v>59.924999999999997</v>
      </c>
      <c r="O676" s="116">
        <v>53.2</v>
      </c>
      <c r="P676" s="116">
        <v>53.65</v>
      </c>
      <c r="Q676" s="116">
        <v>116.2</v>
      </c>
      <c r="R676">
        <v>6607094</v>
      </c>
    </row>
    <row r="677" spans="1:18" x14ac:dyDescent="0.25">
      <c r="A677" s="169">
        <v>42998</v>
      </c>
      <c r="B677" s="116">
        <v>61.325000000000003</v>
      </c>
      <c r="C677" s="116">
        <v>59</v>
      </c>
      <c r="D677" s="116">
        <v>58.2</v>
      </c>
      <c r="E677" s="116">
        <v>58.5</v>
      </c>
      <c r="F677" s="116">
        <v>118</v>
      </c>
      <c r="G677">
        <v>800339</v>
      </c>
      <c r="H677" s="116"/>
      <c r="I677" s="116"/>
      <c r="L677" s="169">
        <v>42998</v>
      </c>
      <c r="M677" s="116">
        <v>58.975000000000001</v>
      </c>
      <c r="N677" s="116">
        <v>61.25</v>
      </c>
      <c r="O677" s="116">
        <v>58.1</v>
      </c>
      <c r="P677" s="116">
        <v>58.674999999999997</v>
      </c>
      <c r="Q677" s="116">
        <v>117.95</v>
      </c>
      <c r="R677">
        <v>3651881</v>
      </c>
    </row>
    <row r="678" spans="1:18" x14ac:dyDescent="0.25">
      <c r="A678" s="169">
        <v>42999</v>
      </c>
      <c r="B678" s="116">
        <v>60.65</v>
      </c>
      <c r="C678" s="116">
        <v>59.825000000000003</v>
      </c>
      <c r="D678" s="116">
        <v>55.274999999999999</v>
      </c>
      <c r="E678" s="116">
        <v>59.2</v>
      </c>
      <c r="F678" s="116">
        <v>119.65</v>
      </c>
      <c r="G678">
        <v>490220</v>
      </c>
      <c r="H678" s="116"/>
      <c r="I678" s="116"/>
      <c r="L678" s="169">
        <v>42999</v>
      </c>
      <c r="M678" s="116">
        <v>59.85</v>
      </c>
      <c r="N678" s="116">
        <v>60.75</v>
      </c>
      <c r="O678" s="116">
        <v>55.05</v>
      </c>
      <c r="P678" s="116">
        <v>59.1</v>
      </c>
      <c r="Q678" s="116">
        <v>119.7</v>
      </c>
      <c r="R678">
        <v>2421617</v>
      </c>
    </row>
    <row r="679" spans="1:18" x14ac:dyDescent="0.25">
      <c r="A679" s="169">
        <v>43000</v>
      </c>
      <c r="B679" s="116">
        <v>61.45</v>
      </c>
      <c r="C679" s="116">
        <v>58.475000000000001</v>
      </c>
      <c r="D679" s="116">
        <v>57.85</v>
      </c>
      <c r="E679" s="116">
        <v>59.95</v>
      </c>
      <c r="F679" s="116">
        <v>116.95</v>
      </c>
      <c r="G679">
        <v>656587</v>
      </c>
      <c r="H679" s="116"/>
      <c r="I679" s="116"/>
      <c r="L679" s="169">
        <v>43000</v>
      </c>
      <c r="M679" s="116">
        <v>58.524999999999999</v>
      </c>
      <c r="N679" s="116">
        <v>61.5</v>
      </c>
      <c r="O679" s="116">
        <v>57.825000000000003</v>
      </c>
      <c r="P679" s="116">
        <v>59.7</v>
      </c>
      <c r="Q679" s="116">
        <v>117.05</v>
      </c>
      <c r="R679">
        <v>2941892</v>
      </c>
    </row>
    <row r="680" spans="1:18" x14ac:dyDescent="0.25">
      <c r="A680" s="169">
        <v>43003</v>
      </c>
      <c r="B680" s="116">
        <v>58.75</v>
      </c>
      <c r="C680" s="116">
        <v>55.475000000000001</v>
      </c>
      <c r="D680" s="116">
        <v>54.125</v>
      </c>
      <c r="E680" s="116">
        <v>58.3</v>
      </c>
      <c r="F680" s="116">
        <v>110.95</v>
      </c>
      <c r="G680">
        <v>262690</v>
      </c>
      <c r="H680" s="116"/>
      <c r="I680" s="116"/>
      <c r="L680" s="169">
        <v>43003</v>
      </c>
      <c r="M680" s="116">
        <v>55.625</v>
      </c>
      <c r="N680" s="116">
        <v>58.7</v>
      </c>
      <c r="O680" s="116">
        <v>54.1</v>
      </c>
      <c r="P680" s="116">
        <v>58.5</v>
      </c>
      <c r="Q680" s="116">
        <v>111.25</v>
      </c>
      <c r="R680">
        <v>1127522</v>
      </c>
    </row>
    <row r="681" spans="1:18" x14ac:dyDescent="0.25">
      <c r="A681" s="169">
        <v>43004</v>
      </c>
      <c r="B681" s="116">
        <v>58.024999999999999</v>
      </c>
      <c r="C681" s="116">
        <v>56.85</v>
      </c>
      <c r="D681" s="116">
        <v>55.55</v>
      </c>
      <c r="E681" s="116">
        <v>56.25</v>
      </c>
      <c r="F681" s="116">
        <v>113.7</v>
      </c>
      <c r="G681">
        <v>229876</v>
      </c>
      <c r="H681" s="116"/>
      <c r="I681" s="116"/>
      <c r="L681" s="169">
        <v>43004</v>
      </c>
      <c r="M681" s="116">
        <v>56.9</v>
      </c>
      <c r="N681" s="116">
        <v>57.975000000000001</v>
      </c>
      <c r="O681" s="116">
        <v>55.524999999999999</v>
      </c>
      <c r="P681" s="116">
        <v>56.3</v>
      </c>
      <c r="Q681" s="116">
        <v>113.8</v>
      </c>
      <c r="R681">
        <v>1039229</v>
      </c>
    </row>
    <row r="682" spans="1:18" x14ac:dyDescent="0.25">
      <c r="A682" s="169">
        <v>43005</v>
      </c>
      <c r="B682" s="116">
        <v>58.725000000000001</v>
      </c>
      <c r="C682" s="116">
        <v>54.075000000000003</v>
      </c>
      <c r="D682" s="116">
        <v>53.475000000000001</v>
      </c>
      <c r="E682" s="116">
        <v>57.25</v>
      </c>
      <c r="F682" s="116">
        <v>108.15</v>
      </c>
      <c r="G682">
        <v>301560</v>
      </c>
      <c r="H682" s="116"/>
      <c r="I682" s="116"/>
      <c r="L682" s="169">
        <v>43005</v>
      </c>
      <c r="M682" s="116">
        <v>54.15</v>
      </c>
      <c r="N682" s="116">
        <v>58.7</v>
      </c>
      <c r="O682" s="116">
        <v>53.5</v>
      </c>
      <c r="P682" s="116">
        <v>57.45</v>
      </c>
      <c r="Q682" s="116">
        <v>108.3</v>
      </c>
      <c r="R682">
        <v>1082310</v>
      </c>
    </row>
    <row r="683" spans="1:18" x14ac:dyDescent="0.25">
      <c r="A683" s="169">
        <v>43006</v>
      </c>
      <c r="B683" s="116">
        <v>56.4</v>
      </c>
      <c r="C683" s="116">
        <v>55.424999999999997</v>
      </c>
      <c r="D683" s="116">
        <v>53.774999999999999</v>
      </c>
      <c r="E683" s="116">
        <v>53.774999999999999</v>
      </c>
      <c r="F683" s="116">
        <v>110.85</v>
      </c>
      <c r="G683">
        <v>250721</v>
      </c>
      <c r="H683" s="116"/>
      <c r="I683" s="116"/>
      <c r="L683" s="169">
        <v>43006</v>
      </c>
      <c r="M683" s="116">
        <v>55.475000000000001</v>
      </c>
      <c r="N683" s="116">
        <v>56.475000000000001</v>
      </c>
      <c r="O683" s="116">
        <v>54.125</v>
      </c>
      <c r="P683" s="116">
        <v>54.5</v>
      </c>
      <c r="Q683" s="116">
        <v>110.95</v>
      </c>
      <c r="R683">
        <v>792462</v>
      </c>
    </row>
    <row r="684" spans="1:18" x14ac:dyDescent="0.25">
      <c r="A684" s="169">
        <v>43007</v>
      </c>
      <c r="B684" s="116">
        <v>57.95</v>
      </c>
      <c r="C684" s="116">
        <v>56.3</v>
      </c>
      <c r="D684" s="116">
        <v>55.9</v>
      </c>
      <c r="E684" s="116">
        <v>56.024999999999999</v>
      </c>
      <c r="F684" s="116">
        <v>112.6</v>
      </c>
      <c r="G684">
        <v>277191</v>
      </c>
      <c r="H684" s="116"/>
      <c r="I684" s="116"/>
      <c r="L684" s="169">
        <v>43007</v>
      </c>
      <c r="M684" s="116">
        <v>56.2</v>
      </c>
      <c r="N684" s="116">
        <v>57.9</v>
      </c>
      <c r="O684" s="116">
        <v>55.8</v>
      </c>
      <c r="P684" s="116">
        <v>55.95</v>
      </c>
      <c r="Q684" s="116">
        <v>112.4</v>
      </c>
      <c r="R684">
        <v>906494</v>
      </c>
    </row>
    <row r="685" spans="1:18" x14ac:dyDescent="0.25">
      <c r="A685" s="169">
        <v>43011</v>
      </c>
      <c r="B685" s="116">
        <v>57.475000000000001</v>
      </c>
      <c r="C685" s="116">
        <v>56.274999999999999</v>
      </c>
      <c r="D685" s="116">
        <v>55.75</v>
      </c>
      <c r="E685" s="116">
        <v>56.8</v>
      </c>
      <c r="F685" s="116">
        <v>112.55</v>
      </c>
      <c r="G685">
        <v>229681</v>
      </c>
      <c r="H685" s="116"/>
      <c r="I685" s="116"/>
      <c r="L685" s="169">
        <v>43011</v>
      </c>
      <c r="M685" s="116">
        <v>56.35</v>
      </c>
      <c r="N685" s="116">
        <v>57.45</v>
      </c>
      <c r="O685" s="116">
        <v>55.75</v>
      </c>
      <c r="P685" s="116">
        <v>56.725000000000001</v>
      </c>
      <c r="Q685" s="116">
        <v>112.7</v>
      </c>
      <c r="R685">
        <v>492578</v>
      </c>
    </row>
    <row r="686" spans="1:18" x14ac:dyDescent="0.25">
      <c r="A686" s="169">
        <v>43012</v>
      </c>
      <c r="B686" s="116">
        <v>59.924999999999997</v>
      </c>
      <c r="C686" s="116">
        <v>57.8</v>
      </c>
      <c r="D686" s="116">
        <v>56.4</v>
      </c>
      <c r="E686" s="116">
        <v>56.5</v>
      </c>
      <c r="F686" s="116">
        <v>115.6</v>
      </c>
      <c r="G686">
        <v>368089</v>
      </c>
      <c r="H686" s="116"/>
      <c r="I686" s="116"/>
      <c r="L686" s="169">
        <v>43012</v>
      </c>
      <c r="M686" s="116">
        <v>58.075000000000003</v>
      </c>
      <c r="N686" s="116">
        <v>60</v>
      </c>
      <c r="O686" s="116">
        <v>56.375</v>
      </c>
      <c r="P686" s="116">
        <v>56.6</v>
      </c>
      <c r="Q686" s="116">
        <v>116.15</v>
      </c>
      <c r="R686">
        <v>2269198</v>
      </c>
    </row>
    <row r="687" spans="1:18" x14ac:dyDescent="0.25">
      <c r="A687" s="169">
        <v>43013</v>
      </c>
      <c r="B687" s="116">
        <v>61.15</v>
      </c>
      <c r="C687" s="116">
        <v>59.325000000000003</v>
      </c>
      <c r="D687" s="116">
        <v>58.2</v>
      </c>
      <c r="E687" s="116">
        <v>58.25</v>
      </c>
      <c r="F687" s="116">
        <v>118.65</v>
      </c>
      <c r="G687">
        <v>625037</v>
      </c>
      <c r="H687" s="116"/>
      <c r="I687" s="116"/>
      <c r="L687" s="169">
        <v>43013</v>
      </c>
      <c r="M687" s="116">
        <v>59.325000000000003</v>
      </c>
      <c r="N687" s="116">
        <v>61.174999999999997</v>
      </c>
      <c r="O687" s="116">
        <v>58.2</v>
      </c>
      <c r="P687" s="116">
        <v>58.3</v>
      </c>
      <c r="Q687" s="116">
        <v>118.65</v>
      </c>
      <c r="R687">
        <v>2498901</v>
      </c>
    </row>
    <row r="688" spans="1:18" x14ac:dyDescent="0.25">
      <c r="A688" s="169">
        <v>43014</v>
      </c>
      <c r="B688" s="116">
        <v>61.75</v>
      </c>
      <c r="C688" s="116">
        <v>60.524999999999999</v>
      </c>
      <c r="D688" s="116">
        <v>58.8</v>
      </c>
      <c r="E688" s="116">
        <v>58.8</v>
      </c>
      <c r="F688" s="116">
        <v>121.05</v>
      </c>
      <c r="G688">
        <v>407922</v>
      </c>
      <c r="H688" s="116"/>
      <c r="I688" s="116"/>
      <c r="L688" s="169">
        <v>43014</v>
      </c>
      <c r="M688" s="116">
        <v>60.674999999999997</v>
      </c>
      <c r="N688" s="116">
        <v>61.75</v>
      </c>
      <c r="O688" s="116">
        <v>59.8</v>
      </c>
      <c r="P688" s="116">
        <v>60</v>
      </c>
      <c r="Q688" s="116">
        <v>121.35</v>
      </c>
      <c r="R688">
        <v>1920072</v>
      </c>
    </row>
    <row r="689" spans="1:18" x14ac:dyDescent="0.25">
      <c r="A689" s="169">
        <v>43017</v>
      </c>
      <c r="B689" s="116">
        <v>61.75</v>
      </c>
      <c r="C689" s="116">
        <v>59.475000000000001</v>
      </c>
      <c r="D689" s="116">
        <v>59.125</v>
      </c>
      <c r="E689" s="116">
        <v>60.5</v>
      </c>
      <c r="F689" s="116">
        <v>118.95</v>
      </c>
      <c r="G689">
        <v>280210</v>
      </c>
      <c r="H689" s="116"/>
      <c r="I689" s="116"/>
      <c r="L689" s="169">
        <v>43017</v>
      </c>
      <c r="M689" s="116">
        <v>59.575000000000003</v>
      </c>
      <c r="N689" s="116">
        <v>61.75</v>
      </c>
      <c r="O689" s="116">
        <v>59.25</v>
      </c>
      <c r="P689" s="116">
        <v>60.1</v>
      </c>
      <c r="Q689" s="116">
        <v>119.15</v>
      </c>
      <c r="R689">
        <v>1027870</v>
      </c>
    </row>
    <row r="690" spans="1:18" x14ac:dyDescent="0.25">
      <c r="A690" s="169">
        <v>43018</v>
      </c>
      <c r="B690" s="116">
        <v>61.5</v>
      </c>
      <c r="C690" s="116">
        <v>60.424999999999997</v>
      </c>
      <c r="D690" s="116">
        <v>58.65</v>
      </c>
      <c r="E690" s="116">
        <v>59.75</v>
      </c>
      <c r="F690" s="116">
        <v>120.85</v>
      </c>
      <c r="G690">
        <v>343027</v>
      </c>
      <c r="H690" s="116"/>
      <c r="I690" s="116"/>
      <c r="L690" s="169">
        <v>43018</v>
      </c>
      <c r="M690" s="116">
        <v>60.575000000000003</v>
      </c>
      <c r="N690" s="116">
        <v>61.5</v>
      </c>
      <c r="O690" s="116">
        <v>58.625</v>
      </c>
      <c r="P690" s="116">
        <v>59.3</v>
      </c>
      <c r="Q690" s="116">
        <v>121.15</v>
      </c>
      <c r="R690">
        <v>1391600</v>
      </c>
    </row>
    <row r="691" spans="1:18" x14ac:dyDescent="0.25">
      <c r="A691" s="169">
        <v>43019</v>
      </c>
      <c r="B691" s="116">
        <v>61.475000000000001</v>
      </c>
      <c r="C691" s="116">
        <v>58.5</v>
      </c>
      <c r="D691" s="116">
        <v>57.05</v>
      </c>
      <c r="E691" s="116">
        <v>60.75</v>
      </c>
      <c r="F691" s="116">
        <v>117</v>
      </c>
      <c r="G691">
        <v>359309</v>
      </c>
      <c r="H691" s="116"/>
      <c r="I691" s="116"/>
      <c r="L691" s="169">
        <v>43019</v>
      </c>
      <c r="M691" s="116">
        <v>58.674999999999997</v>
      </c>
      <c r="N691" s="116">
        <v>61.475000000000001</v>
      </c>
      <c r="O691" s="116">
        <v>57.15</v>
      </c>
      <c r="P691" s="116">
        <v>61.1</v>
      </c>
      <c r="Q691" s="116">
        <v>117.35</v>
      </c>
      <c r="R691">
        <v>2276202</v>
      </c>
    </row>
    <row r="692" spans="1:18" x14ac:dyDescent="0.25">
      <c r="A692" s="169">
        <v>43020</v>
      </c>
      <c r="B692" s="116">
        <v>62.774999999999999</v>
      </c>
      <c r="C692" s="116">
        <v>62</v>
      </c>
      <c r="D692" s="116">
        <v>58.35</v>
      </c>
      <c r="E692" s="116">
        <v>59.45</v>
      </c>
      <c r="F692" s="116">
        <v>124</v>
      </c>
      <c r="G692">
        <v>682817</v>
      </c>
      <c r="H692" s="116"/>
      <c r="I692" s="116"/>
      <c r="L692" s="169">
        <v>43020</v>
      </c>
      <c r="M692" s="116">
        <v>61.975000000000001</v>
      </c>
      <c r="N692" s="116">
        <v>62.725000000000001</v>
      </c>
      <c r="O692" s="116">
        <v>58.2</v>
      </c>
      <c r="P692" s="116">
        <v>59.375</v>
      </c>
      <c r="Q692" s="116">
        <v>123.95</v>
      </c>
      <c r="R692">
        <v>4761213</v>
      </c>
    </row>
    <row r="693" spans="1:18" x14ac:dyDescent="0.25">
      <c r="A693" s="169">
        <v>43021</v>
      </c>
      <c r="B693" s="116">
        <v>63.4</v>
      </c>
      <c r="C693" s="116">
        <v>61.45</v>
      </c>
      <c r="D693" s="116">
        <v>60.9</v>
      </c>
      <c r="E693" s="116">
        <v>62.6</v>
      </c>
      <c r="F693" s="116">
        <v>122.9</v>
      </c>
      <c r="G693">
        <v>448808</v>
      </c>
      <c r="H693" s="116"/>
      <c r="I693" s="116"/>
      <c r="L693" s="169">
        <v>43021</v>
      </c>
      <c r="M693" s="116">
        <v>61.575000000000003</v>
      </c>
      <c r="N693" s="116">
        <v>63.475000000000001</v>
      </c>
      <c r="O693" s="116">
        <v>61.05</v>
      </c>
      <c r="P693" s="116">
        <v>62.3</v>
      </c>
      <c r="Q693" s="116">
        <v>123.15</v>
      </c>
      <c r="R693">
        <v>2698887</v>
      </c>
    </row>
    <row r="694" spans="1:18" x14ac:dyDescent="0.25">
      <c r="A694" s="169">
        <v>43024</v>
      </c>
      <c r="B694" s="116">
        <v>62.45</v>
      </c>
      <c r="C694" s="116">
        <v>59.55</v>
      </c>
      <c r="D694" s="116">
        <v>58.774999999999999</v>
      </c>
      <c r="E694" s="116">
        <v>61.6</v>
      </c>
      <c r="F694" s="116">
        <v>119.1</v>
      </c>
      <c r="G694">
        <v>234861</v>
      </c>
      <c r="H694" s="116"/>
      <c r="I694" s="116"/>
      <c r="L694" s="169">
        <v>43024</v>
      </c>
      <c r="M694" s="116">
        <v>59.625</v>
      </c>
      <c r="N694" s="116">
        <v>62.1</v>
      </c>
      <c r="O694" s="116">
        <v>58.825000000000003</v>
      </c>
      <c r="P694" s="116">
        <v>62.1</v>
      </c>
      <c r="Q694" s="116">
        <v>119.25</v>
      </c>
      <c r="R694">
        <v>1373883</v>
      </c>
    </row>
    <row r="695" spans="1:18" x14ac:dyDescent="0.25">
      <c r="A695" s="169">
        <v>43025</v>
      </c>
      <c r="B695" s="116">
        <v>60.25</v>
      </c>
      <c r="C695" s="116">
        <v>59.524999999999999</v>
      </c>
      <c r="D695" s="116">
        <v>58.975000000000001</v>
      </c>
      <c r="E695" s="116">
        <v>60.125</v>
      </c>
      <c r="F695" s="116">
        <v>119.05</v>
      </c>
      <c r="G695">
        <v>171968</v>
      </c>
      <c r="H695" s="116"/>
      <c r="I695" s="116"/>
      <c r="L695" s="169">
        <v>43025</v>
      </c>
      <c r="M695" s="116">
        <v>59.5</v>
      </c>
      <c r="N695" s="116">
        <v>60.174999999999997</v>
      </c>
      <c r="O695" s="116">
        <v>58.8</v>
      </c>
      <c r="P695" s="116">
        <v>59.725000000000001</v>
      </c>
      <c r="Q695" s="116">
        <v>119</v>
      </c>
      <c r="R695">
        <v>766640</v>
      </c>
    </row>
    <row r="696" spans="1:18" x14ac:dyDescent="0.25">
      <c r="A696" s="169">
        <v>43026</v>
      </c>
      <c r="B696" s="116">
        <v>59.725000000000001</v>
      </c>
      <c r="C696" s="116">
        <v>58.05</v>
      </c>
      <c r="D696" s="116">
        <v>57.875</v>
      </c>
      <c r="E696" s="116">
        <v>59.524999999999999</v>
      </c>
      <c r="F696" s="116">
        <v>116.1</v>
      </c>
      <c r="G696">
        <v>212814</v>
      </c>
      <c r="H696" s="116"/>
      <c r="I696" s="116"/>
      <c r="L696" s="169">
        <v>43026</v>
      </c>
      <c r="M696" s="116">
        <v>57.924999999999997</v>
      </c>
      <c r="N696" s="116">
        <v>59.6</v>
      </c>
      <c r="O696" s="116">
        <v>57.7</v>
      </c>
      <c r="P696" s="116">
        <v>59.45</v>
      </c>
      <c r="Q696" s="116">
        <v>115.85</v>
      </c>
      <c r="R696">
        <v>856512</v>
      </c>
    </row>
    <row r="697" spans="1:18" x14ac:dyDescent="0.25">
      <c r="A697" s="169">
        <v>43027</v>
      </c>
      <c r="B697" s="116">
        <v>58.75</v>
      </c>
      <c r="C697" s="116">
        <v>57.875</v>
      </c>
      <c r="D697" s="116">
        <v>57.25</v>
      </c>
      <c r="E697" s="116">
        <v>58.5</v>
      </c>
      <c r="F697" s="116">
        <v>115.75</v>
      </c>
      <c r="G697">
        <v>58631</v>
      </c>
      <c r="H697" s="116"/>
      <c r="I697" s="116"/>
      <c r="L697" s="169">
        <v>43027</v>
      </c>
      <c r="M697" s="116">
        <v>57.625</v>
      </c>
      <c r="N697" s="116">
        <v>58.7</v>
      </c>
      <c r="O697" s="116">
        <v>57.024999999999999</v>
      </c>
      <c r="P697" s="116">
        <v>58.125</v>
      </c>
      <c r="Q697" s="116">
        <v>115.25</v>
      </c>
      <c r="R697">
        <v>319160</v>
      </c>
    </row>
    <row r="698" spans="1:18" x14ac:dyDescent="0.25">
      <c r="A698" s="169">
        <v>43031</v>
      </c>
      <c r="B698" s="116">
        <v>58.8</v>
      </c>
      <c r="C698" s="116">
        <v>57.674999999999997</v>
      </c>
      <c r="D698" s="116">
        <v>57.1</v>
      </c>
      <c r="E698" s="116">
        <v>57.95</v>
      </c>
      <c r="F698" s="116">
        <v>115.35</v>
      </c>
      <c r="G698">
        <v>232063</v>
      </c>
      <c r="H698" s="116"/>
      <c r="I698" s="116"/>
      <c r="L698" s="169">
        <v>43031</v>
      </c>
      <c r="M698" s="116">
        <v>57.725000000000001</v>
      </c>
      <c r="N698" s="116">
        <v>58.7</v>
      </c>
      <c r="O698" s="116">
        <v>57</v>
      </c>
      <c r="P698" s="116">
        <v>58.35</v>
      </c>
      <c r="Q698" s="116">
        <v>115.45</v>
      </c>
      <c r="R698">
        <v>844155</v>
      </c>
    </row>
    <row r="699" spans="1:18" x14ac:dyDescent="0.25">
      <c r="A699" s="169">
        <v>43032</v>
      </c>
      <c r="B699" s="116">
        <v>60.1</v>
      </c>
      <c r="C699" s="116">
        <v>59.45</v>
      </c>
      <c r="D699" s="116">
        <v>57.8</v>
      </c>
      <c r="E699" s="116">
        <v>57.95</v>
      </c>
      <c r="F699" s="116">
        <v>118.9</v>
      </c>
      <c r="G699">
        <v>270357</v>
      </c>
      <c r="H699" s="116"/>
      <c r="I699" s="116"/>
      <c r="L699" s="169">
        <v>43032</v>
      </c>
      <c r="M699" s="116">
        <v>59.375</v>
      </c>
      <c r="N699" s="116">
        <v>60</v>
      </c>
      <c r="O699" s="116">
        <v>57.7</v>
      </c>
      <c r="P699" s="116">
        <v>58</v>
      </c>
      <c r="Q699" s="116">
        <v>118.75</v>
      </c>
      <c r="R699">
        <v>1259926</v>
      </c>
    </row>
    <row r="700" spans="1:18" x14ac:dyDescent="0.25">
      <c r="A700" s="169">
        <v>43033</v>
      </c>
      <c r="B700" s="116">
        <v>60.2</v>
      </c>
      <c r="C700" s="116">
        <v>58.625</v>
      </c>
      <c r="D700" s="116">
        <v>58.15</v>
      </c>
      <c r="E700" s="116">
        <v>60.2</v>
      </c>
      <c r="F700" s="116">
        <v>117.25</v>
      </c>
      <c r="G700">
        <v>199531</v>
      </c>
      <c r="H700" s="116"/>
      <c r="I700" s="116"/>
      <c r="L700" s="169">
        <v>43033</v>
      </c>
      <c r="M700" s="116">
        <v>58.674999999999997</v>
      </c>
      <c r="N700" s="116">
        <v>60.174999999999997</v>
      </c>
      <c r="O700" s="116">
        <v>58.15</v>
      </c>
      <c r="P700" s="116">
        <v>60</v>
      </c>
      <c r="Q700" s="116">
        <v>117.35</v>
      </c>
      <c r="R700">
        <v>931091</v>
      </c>
    </row>
    <row r="701" spans="1:18" x14ac:dyDescent="0.25">
      <c r="A701" s="169">
        <v>43034</v>
      </c>
      <c r="B701" s="116">
        <v>59.75</v>
      </c>
      <c r="C701" s="116">
        <v>59</v>
      </c>
      <c r="D701" s="116">
        <v>58.5</v>
      </c>
      <c r="E701" s="116">
        <v>58.725000000000001</v>
      </c>
      <c r="F701" s="116">
        <v>118</v>
      </c>
      <c r="G701">
        <v>139869</v>
      </c>
      <c r="H701" s="116"/>
      <c r="I701" s="116"/>
      <c r="L701" s="169">
        <v>43034</v>
      </c>
      <c r="M701" s="116">
        <v>59.15</v>
      </c>
      <c r="N701" s="116">
        <v>59.825000000000003</v>
      </c>
      <c r="O701" s="116">
        <v>58.35</v>
      </c>
      <c r="P701" s="116">
        <v>58.85</v>
      </c>
      <c r="Q701" s="116">
        <v>118.3</v>
      </c>
      <c r="R701">
        <v>521134</v>
      </c>
    </row>
    <row r="702" spans="1:18" x14ac:dyDescent="0.25">
      <c r="A702" s="169">
        <v>43035</v>
      </c>
      <c r="B702" s="116">
        <v>61.375</v>
      </c>
      <c r="C702" s="116">
        <v>59.35</v>
      </c>
      <c r="D702" s="116">
        <v>58.825000000000003</v>
      </c>
      <c r="E702" s="116">
        <v>59.274999999999999</v>
      </c>
      <c r="F702" s="116">
        <v>118.7</v>
      </c>
      <c r="G702">
        <v>152995</v>
      </c>
      <c r="H702" s="116"/>
      <c r="I702" s="116"/>
      <c r="L702" s="169">
        <v>43035</v>
      </c>
      <c r="M702" s="116">
        <v>59.45</v>
      </c>
      <c r="N702" s="116">
        <v>61.375</v>
      </c>
      <c r="O702" s="116">
        <v>58.75</v>
      </c>
      <c r="P702" s="116">
        <v>59.45</v>
      </c>
      <c r="Q702" s="116">
        <v>118.9</v>
      </c>
      <c r="R702">
        <v>915695</v>
      </c>
    </row>
    <row r="703" spans="1:18" x14ac:dyDescent="0.25">
      <c r="A703" s="169">
        <v>43038</v>
      </c>
      <c r="B703" s="116">
        <v>61.4</v>
      </c>
      <c r="C703" s="116">
        <v>60.424999999999997</v>
      </c>
      <c r="D703" s="116">
        <v>59.4</v>
      </c>
      <c r="E703" s="116">
        <v>60.024999999999999</v>
      </c>
      <c r="F703" s="116">
        <v>120.85</v>
      </c>
      <c r="G703">
        <v>152188</v>
      </c>
      <c r="H703" s="116"/>
      <c r="I703" s="116"/>
      <c r="L703" s="169">
        <v>43038</v>
      </c>
      <c r="M703" s="116">
        <v>60.475000000000001</v>
      </c>
      <c r="N703" s="116">
        <v>61.45</v>
      </c>
      <c r="O703" s="116">
        <v>59.5</v>
      </c>
      <c r="P703" s="116">
        <v>59.95</v>
      </c>
      <c r="Q703" s="116">
        <v>120.95</v>
      </c>
      <c r="R703">
        <v>990747</v>
      </c>
    </row>
    <row r="704" spans="1:18" x14ac:dyDescent="0.25">
      <c r="A704" s="169">
        <v>43039</v>
      </c>
      <c r="B704" s="116">
        <v>63.6</v>
      </c>
      <c r="C704" s="116">
        <v>62.575000000000003</v>
      </c>
      <c r="D704" s="116">
        <v>59.1</v>
      </c>
      <c r="E704" s="116">
        <v>60.625</v>
      </c>
      <c r="F704" s="116">
        <v>125.15</v>
      </c>
      <c r="G704">
        <v>525030</v>
      </c>
      <c r="H704" s="116"/>
      <c r="I704" s="116"/>
      <c r="L704" s="169">
        <v>43039</v>
      </c>
      <c r="M704" s="116">
        <v>62.4</v>
      </c>
      <c r="N704" s="116">
        <v>63.625</v>
      </c>
      <c r="O704" s="116">
        <v>59.05</v>
      </c>
      <c r="P704" s="116">
        <v>60.85</v>
      </c>
      <c r="Q704" s="116">
        <v>124.8</v>
      </c>
      <c r="R704">
        <v>2827867</v>
      </c>
    </row>
    <row r="705" spans="1:18" x14ac:dyDescent="0.25">
      <c r="A705" s="169">
        <v>43040</v>
      </c>
      <c r="B705" s="116">
        <v>64</v>
      </c>
      <c r="C705" s="116">
        <v>61.475000000000001</v>
      </c>
      <c r="D705" s="116">
        <v>60.75</v>
      </c>
      <c r="E705" s="116">
        <v>62.5</v>
      </c>
      <c r="F705" s="116">
        <v>122.95</v>
      </c>
      <c r="G705">
        <v>308153</v>
      </c>
      <c r="H705" s="116"/>
      <c r="I705" s="116"/>
      <c r="L705" s="169">
        <v>43040</v>
      </c>
      <c r="M705" s="116">
        <v>61.35</v>
      </c>
      <c r="N705" s="116">
        <v>64.150000000000006</v>
      </c>
      <c r="O705" s="116">
        <v>60.5</v>
      </c>
      <c r="P705" s="116">
        <v>62.5</v>
      </c>
      <c r="Q705" s="116">
        <v>122.7</v>
      </c>
      <c r="R705">
        <v>1922153</v>
      </c>
    </row>
    <row r="706" spans="1:18" x14ac:dyDescent="0.25">
      <c r="A706" s="169">
        <v>43041</v>
      </c>
      <c r="B706" s="116">
        <v>62.4</v>
      </c>
      <c r="C706" s="116">
        <v>60.774999999999999</v>
      </c>
      <c r="D706" s="116">
        <v>60.5</v>
      </c>
      <c r="E706" s="116">
        <v>61</v>
      </c>
      <c r="F706" s="116">
        <v>121.55</v>
      </c>
      <c r="G706">
        <v>246250</v>
      </c>
      <c r="H706" s="116"/>
      <c r="I706" s="116"/>
      <c r="L706" s="169">
        <v>43041</v>
      </c>
      <c r="M706" s="116">
        <v>60.9</v>
      </c>
      <c r="N706" s="116">
        <v>62.375</v>
      </c>
      <c r="O706" s="116">
        <v>60.674999999999997</v>
      </c>
      <c r="P706" s="116">
        <v>61.75</v>
      </c>
      <c r="Q706" s="116">
        <v>121.8</v>
      </c>
      <c r="R706">
        <v>736639</v>
      </c>
    </row>
    <row r="707" spans="1:18" x14ac:dyDescent="0.25">
      <c r="A707" s="169">
        <v>43042</v>
      </c>
      <c r="B707" s="116">
        <v>63</v>
      </c>
      <c r="C707" s="116">
        <v>61.125</v>
      </c>
      <c r="D707" s="116">
        <v>60.5</v>
      </c>
      <c r="E707" s="116">
        <v>61.325000000000003</v>
      </c>
      <c r="F707" s="116">
        <v>122.25</v>
      </c>
      <c r="G707">
        <v>400134</v>
      </c>
      <c r="H707" s="116"/>
      <c r="I707" s="116"/>
      <c r="L707" s="169">
        <v>43042</v>
      </c>
      <c r="M707" s="116">
        <v>61.2</v>
      </c>
      <c r="N707" s="116">
        <v>63.05</v>
      </c>
      <c r="O707" s="116">
        <v>60.674999999999997</v>
      </c>
      <c r="P707" s="116">
        <v>61.3</v>
      </c>
      <c r="Q707" s="116">
        <v>122.4</v>
      </c>
      <c r="R707">
        <v>1231203</v>
      </c>
    </row>
    <row r="708" spans="1:18" x14ac:dyDescent="0.25">
      <c r="A708" s="169">
        <v>43045</v>
      </c>
      <c r="B708" s="116">
        <v>61.75</v>
      </c>
      <c r="C708" s="116">
        <v>60.674999999999997</v>
      </c>
      <c r="D708" s="116">
        <v>60.25</v>
      </c>
      <c r="E708" s="116">
        <v>61.25</v>
      </c>
      <c r="F708" s="116">
        <v>121.35</v>
      </c>
      <c r="G708">
        <v>321545</v>
      </c>
      <c r="H708" s="116"/>
      <c r="I708" s="116"/>
      <c r="L708" s="169">
        <v>43045</v>
      </c>
      <c r="M708" s="116">
        <v>60.725000000000001</v>
      </c>
      <c r="N708" s="116">
        <v>61.75</v>
      </c>
      <c r="O708" s="116">
        <v>60.5</v>
      </c>
      <c r="P708" s="116">
        <v>61.1</v>
      </c>
      <c r="Q708" s="116">
        <v>121.45</v>
      </c>
      <c r="R708">
        <v>716654</v>
      </c>
    </row>
    <row r="709" spans="1:18" x14ac:dyDescent="0.25">
      <c r="A709" s="169">
        <v>43046</v>
      </c>
      <c r="B709" s="116">
        <v>61.274999999999999</v>
      </c>
      <c r="C709" s="116">
        <v>58</v>
      </c>
      <c r="D709" s="116">
        <v>57.55</v>
      </c>
      <c r="E709" s="116">
        <v>61</v>
      </c>
      <c r="F709" s="116">
        <v>116</v>
      </c>
      <c r="G709">
        <v>336732</v>
      </c>
      <c r="H709" s="116"/>
      <c r="I709" s="116"/>
      <c r="L709" s="169">
        <v>43046</v>
      </c>
      <c r="M709" s="116">
        <v>58.075000000000003</v>
      </c>
      <c r="N709" s="116">
        <v>61.225000000000001</v>
      </c>
      <c r="O709" s="116">
        <v>57.6</v>
      </c>
      <c r="P709" s="116">
        <v>61.05</v>
      </c>
      <c r="Q709" s="116">
        <v>116.15</v>
      </c>
      <c r="R709">
        <v>1045687</v>
      </c>
    </row>
    <row r="710" spans="1:18" x14ac:dyDescent="0.25">
      <c r="A710" s="169">
        <v>43047</v>
      </c>
      <c r="B710" s="116">
        <v>58.774999999999999</v>
      </c>
      <c r="C710" s="116">
        <v>56.2</v>
      </c>
      <c r="D710" s="116">
        <v>55</v>
      </c>
      <c r="E710" s="116">
        <v>58.5</v>
      </c>
      <c r="F710" s="116">
        <v>112.4</v>
      </c>
      <c r="G710">
        <v>356539</v>
      </c>
      <c r="H710" s="116"/>
      <c r="I710" s="116"/>
      <c r="L710" s="169">
        <v>43047</v>
      </c>
      <c r="M710" s="116">
        <v>56.5</v>
      </c>
      <c r="N710" s="116">
        <v>59.3</v>
      </c>
      <c r="O710" s="116">
        <v>56.075000000000003</v>
      </c>
      <c r="P710" s="116">
        <v>59.3</v>
      </c>
      <c r="Q710" s="116">
        <v>113</v>
      </c>
      <c r="R710">
        <v>1194335</v>
      </c>
    </row>
    <row r="711" spans="1:18" x14ac:dyDescent="0.25">
      <c r="A711" s="169">
        <v>43048</v>
      </c>
      <c r="B711" s="116">
        <v>59</v>
      </c>
      <c r="C711" s="116">
        <v>57.65</v>
      </c>
      <c r="D711" s="116">
        <v>56.5</v>
      </c>
      <c r="E711" s="116">
        <v>57</v>
      </c>
      <c r="F711" s="116">
        <v>115.3</v>
      </c>
      <c r="G711">
        <v>244095</v>
      </c>
      <c r="H711" s="116"/>
      <c r="I711" s="116"/>
      <c r="L711" s="169">
        <v>43048</v>
      </c>
      <c r="M711" s="116">
        <v>57.825000000000003</v>
      </c>
      <c r="N711" s="116">
        <v>59.1</v>
      </c>
      <c r="O711" s="116">
        <v>56.45</v>
      </c>
      <c r="P711" s="116">
        <v>56.9</v>
      </c>
      <c r="Q711" s="116">
        <v>115.65</v>
      </c>
      <c r="R711">
        <v>815874</v>
      </c>
    </row>
    <row r="712" spans="1:18" x14ac:dyDescent="0.25">
      <c r="A712" s="169">
        <v>43049</v>
      </c>
      <c r="B712" s="116">
        <v>59.45</v>
      </c>
      <c r="C712" s="116">
        <v>58.975000000000001</v>
      </c>
      <c r="D712" s="116">
        <v>57.524999999999999</v>
      </c>
      <c r="E712" s="116">
        <v>57.524999999999999</v>
      </c>
      <c r="F712" s="116">
        <v>117.95</v>
      </c>
      <c r="G712">
        <v>151625</v>
      </c>
      <c r="H712" s="116"/>
      <c r="I712" s="116"/>
      <c r="L712" s="169">
        <v>43049</v>
      </c>
      <c r="M712" s="116">
        <v>59.075000000000003</v>
      </c>
      <c r="N712" s="116">
        <v>59.575000000000003</v>
      </c>
      <c r="O712" s="116">
        <v>57.5</v>
      </c>
      <c r="P712" s="116">
        <v>57.95</v>
      </c>
      <c r="Q712" s="116">
        <v>118.15</v>
      </c>
      <c r="R712">
        <v>894758</v>
      </c>
    </row>
    <row r="713" spans="1:18" x14ac:dyDescent="0.25">
      <c r="A713" s="169">
        <v>43052</v>
      </c>
      <c r="B713" s="116">
        <v>60.475000000000001</v>
      </c>
      <c r="C713" s="116">
        <v>57.475000000000001</v>
      </c>
      <c r="D713" s="116">
        <v>57.075000000000003</v>
      </c>
      <c r="E713" s="116">
        <v>59.475000000000001</v>
      </c>
      <c r="F713" s="116">
        <v>114.95</v>
      </c>
      <c r="G713">
        <v>179778</v>
      </c>
      <c r="H713" s="116"/>
      <c r="I713" s="116"/>
      <c r="L713" s="169">
        <v>43052</v>
      </c>
      <c r="M713" s="116">
        <v>57.45</v>
      </c>
      <c r="N713" s="116">
        <v>60.45</v>
      </c>
      <c r="O713" s="116">
        <v>57.05</v>
      </c>
      <c r="P713" s="116">
        <v>59.375</v>
      </c>
      <c r="Q713" s="116">
        <v>114.9</v>
      </c>
      <c r="R713">
        <v>634582</v>
      </c>
    </row>
    <row r="714" spans="1:18" x14ac:dyDescent="0.25">
      <c r="A714" s="169">
        <v>43053</v>
      </c>
      <c r="B714" s="116">
        <v>59.2</v>
      </c>
      <c r="C714" s="116">
        <v>58.75</v>
      </c>
      <c r="D714" s="116">
        <v>56.1</v>
      </c>
      <c r="E714" s="116">
        <v>58</v>
      </c>
      <c r="F714" s="116">
        <v>117.5</v>
      </c>
      <c r="G714">
        <v>180159</v>
      </c>
      <c r="H714" s="116"/>
      <c r="I714" s="116"/>
      <c r="L714" s="169">
        <v>43053</v>
      </c>
      <c r="M714" s="116">
        <v>58.825000000000003</v>
      </c>
      <c r="N714" s="116">
        <v>59.35</v>
      </c>
      <c r="O714" s="116">
        <v>57.725000000000001</v>
      </c>
      <c r="P714" s="116">
        <v>57.95</v>
      </c>
      <c r="Q714" s="116">
        <v>117.65</v>
      </c>
      <c r="R714">
        <v>802082</v>
      </c>
    </row>
    <row r="715" spans="1:18" x14ac:dyDescent="0.25">
      <c r="A715" s="169">
        <v>43054</v>
      </c>
      <c r="B715" s="116">
        <v>58.95</v>
      </c>
      <c r="C715" s="116">
        <v>57.225000000000001</v>
      </c>
      <c r="D715" s="116">
        <v>56.3</v>
      </c>
      <c r="E715" s="116">
        <v>58.9</v>
      </c>
      <c r="F715" s="116">
        <v>114.45</v>
      </c>
      <c r="G715">
        <v>152485</v>
      </c>
      <c r="H715" s="116"/>
      <c r="I715" s="116"/>
      <c r="L715" s="169">
        <v>43054</v>
      </c>
      <c r="M715" s="116">
        <v>57.125</v>
      </c>
      <c r="N715" s="116">
        <v>59.125</v>
      </c>
      <c r="O715" s="116">
        <v>56.05</v>
      </c>
      <c r="P715" s="116">
        <v>58.5</v>
      </c>
      <c r="Q715" s="116">
        <v>114.25</v>
      </c>
      <c r="R715">
        <v>702151</v>
      </c>
    </row>
    <row r="716" spans="1:18" x14ac:dyDescent="0.25">
      <c r="A716" s="169">
        <v>43055</v>
      </c>
      <c r="B716" s="116">
        <v>58.424999999999997</v>
      </c>
      <c r="C716" s="116">
        <v>57.9</v>
      </c>
      <c r="D716" s="116">
        <v>57.225000000000001</v>
      </c>
      <c r="E716" s="116">
        <v>57.6</v>
      </c>
      <c r="F716" s="116">
        <v>115.8</v>
      </c>
      <c r="G716">
        <v>127115</v>
      </c>
      <c r="H716" s="116"/>
      <c r="I716" s="116"/>
      <c r="L716" s="169">
        <v>43055</v>
      </c>
      <c r="M716" s="116">
        <v>58</v>
      </c>
      <c r="N716" s="116">
        <v>58.5</v>
      </c>
      <c r="O716" s="116">
        <v>57.174999999999997</v>
      </c>
      <c r="P716" s="116">
        <v>57.3</v>
      </c>
      <c r="Q716" s="116">
        <v>116</v>
      </c>
      <c r="R716">
        <v>570208</v>
      </c>
    </row>
    <row r="717" spans="1:18" x14ac:dyDescent="0.25">
      <c r="A717" s="169">
        <v>43056</v>
      </c>
      <c r="B717" s="116">
        <v>60.225000000000001</v>
      </c>
      <c r="C717" s="116">
        <v>59.524999999999999</v>
      </c>
      <c r="D717" s="116">
        <v>58.375</v>
      </c>
      <c r="E717" s="116">
        <v>58.674999999999997</v>
      </c>
      <c r="F717" s="116">
        <v>119.05</v>
      </c>
      <c r="G717">
        <v>212456</v>
      </c>
      <c r="H717" s="116"/>
      <c r="I717" s="116"/>
      <c r="L717" s="169">
        <v>43056</v>
      </c>
      <c r="M717" s="116">
        <v>59.625</v>
      </c>
      <c r="N717" s="116">
        <v>60.325000000000003</v>
      </c>
      <c r="O717" s="116">
        <v>58.4</v>
      </c>
      <c r="P717" s="116">
        <v>58.4</v>
      </c>
      <c r="Q717" s="116">
        <v>119.25</v>
      </c>
      <c r="R717">
        <v>776039</v>
      </c>
    </row>
    <row r="718" spans="1:18" x14ac:dyDescent="0.25">
      <c r="A718" s="169">
        <v>43059</v>
      </c>
      <c r="B718" s="116">
        <v>60</v>
      </c>
      <c r="C718" s="116">
        <v>59.6</v>
      </c>
      <c r="D718" s="116">
        <v>58.85</v>
      </c>
      <c r="E718" s="116">
        <v>59.75</v>
      </c>
      <c r="F718" s="116">
        <v>119.2</v>
      </c>
      <c r="G718">
        <v>76796</v>
      </c>
      <c r="H718" s="116"/>
      <c r="I718" s="116"/>
      <c r="L718" s="169">
        <v>43059</v>
      </c>
      <c r="M718" s="116">
        <v>59.6</v>
      </c>
      <c r="N718" s="116">
        <v>59.95</v>
      </c>
      <c r="O718" s="116">
        <v>58.75</v>
      </c>
      <c r="P718" s="116">
        <v>59.1</v>
      </c>
      <c r="Q718" s="116">
        <v>119.2</v>
      </c>
      <c r="R718">
        <v>450965</v>
      </c>
    </row>
    <row r="719" spans="1:18" x14ac:dyDescent="0.25">
      <c r="A719" s="169">
        <v>43060</v>
      </c>
      <c r="B719" s="116">
        <v>62.075000000000003</v>
      </c>
      <c r="C719" s="116">
        <v>60.674999999999997</v>
      </c>
      <c r="D719" s="116">
        <v>59.55</v>
      </c>
      <c r="E719" s="116">
        <v>59.975000000000001</v>
      </c>
      <c r="F719" s="116">
        <v>121.35</v>
      </c>
      <c r="G719">
        <v>242495</v>
      </c>
      <c r="H719" s="116"/>
      <c r="I719" s="116"/>
      <c r="L719" s="169">
        <v>43060</v>
      </c>
      <c r="M719" s="116">
        <v>60.625</v>
      </c>
      <c r="N719" s="116">
        <v>62.15</v>
      </c>
      <c r="O719" s="116">
        <v>59.524999999999999</v>
      </c>
      <c r="P719" s="116">
        <v>59.75</v>
      </c>
      <c r="Q719" s="116">
        <v>121.25</v>
      </c>
      <c r="R719">
        <v>1204728</v>
      </c>
    </row>
    <row r="720" spans="1:18" x14ac:dyDescent="0.25">
      <c r="A720" s="169">
        <v>43061</v>
      </c>
      <c r="B720" s="116">
        <v>63.125</v>
      </c>
      <c r="C720" s="116">
        <v>62.7</v>
      </c>
      <c r="D720" s="116">
        <v>60</v>
      </c>
      <c r="E720" s="116">
        <v>61</v>
      </c>
      <c r="F720" s="116">
        <v>125.4</v>
      </c>
      <c r="G720">
        <v>295425</v>
      </c>
      <c r="H720" s="116"/>
      <c r="I720" s="116"/>
      <c r="L720" s="169">
        <v>43061</v>
      </c>
      <c r="M720" s="116">
        <v>62.825000000000003</v>
      </c>
      <c r="N720" s="116">
        <v>63.25</v>
      </c>
      <c r="O720" s="116">
        <v>60.1</v>
      </c>
      <c r="P720" s="116">
        <v>61</v>
      </c>
      <c r="Q720" s="116">
        <v>125.65</v>
      </c>
      <c r="R720">
        <v>1252396</v>
      </c>
    </row>
    <row r="721" spans="1:18" x14ac:dyDescent="0.25">
      <c r="A721" s="169">
        <v>43062</v>
      </c>
      <c r="B721" s="116">
        <v>66.8</v>
      </c>
      <c r="C721" s="116">
        <v>63.75</v>
      </c>
      <c r="D721" s="116">
        <v>62.75</v>
      </c>
      <c r="E721" s="116">
        <v>63.05</v>
      </c>
      <c r="F721" s="116">
        <v>127.5</v>
      </c>
      <c r="G721">
        <v>720847</v>
      </c>
      <c r="H721" s="116"/>
      <c r="I721" s="116"/>
      <c r="L721" s="169">
        <v>43062</v>
      </c>
      <c r="M721" s="116">
        <v>63.8</v>
      </c>
      <c r="N721" s="116">
        <v>66.849999999999994</v>
      </c>
      <c r="O721" s="116">
        <v>62.65</v>
      </c>
      <c r="P721" s="116">
        <v>63.05</v>
      </c>
      <c r="Q721" s="116">
        <v>127.6</v>
      </c>
      <c r="R721">
        <v>3845290</v>
      </c>
    </row>
    <row r="722" spans="1:18" x14ac:dyDescent="0.25">
      <c r="A722" s="169">
        <v>43063</v>
      </c>
      <c r="B722" s="116">
        <v>65.95</v>
      </c>
      <c r="C722" s="116">
        <v>64.174999999999997</v>
      </c>
      <c r="D722" s="116">
        <v>63.5</v>
      </c>
      <c r="E722" s="116">
        <v>63.55</v>
      </c>
      <c r="F722" s="116">
        <v>128.35</v>
      </c>
      <c r="G722">
        <v>391130</v>
      </c>
      <c r="H722" s="116"/>
      <c r="I722" s="116"/>
      <c r="L722" s="169">
        <v>43063</v>
      </c>
      <c r="M722" s="116">
        <v>64</v>
      </c>
      <c r="N722" s="116">
        <v>65.900000000000006</v>
      </c>
      <c r="O722" s="116">
        <v>63.35</v>
      </c>
      <c r="P722" s="116">
        <v>63.825000000000003</v>
      </c>
      <c r="Q722" s="116">
        <v>128</v>
      </c>
      <c r="R722">
        <v>1942033</v>
      </c>
    </row>
    <row r="723" spans="1:18" x14ac:dyDescent="0.25">
      <c r="A723" s="169">
        <v>43066</v>
      </c>
      <c r="B723" s="116">
        <v>65.099999999999994</v>
      </c>
      <c r="C723" s="116">
        <v>63.55</v>
      </c>
      <c r="D723" s="116">
        <v>62.5</v>
      </c>
      <c r="E723" s="116">
        <v>64.174999999999997</v>
      </c>
      <c r="F723" s="116">
        <v>127.1</v>
      </c>
      <c r="G723">
        <v>269023</v>
      </c>
      <c r="H723" s="116"/>
      <c r="I723" s="116"/>
      <c r="L723" s="169">
        <v>43066</v>
      </c>
      <c r="M723" s="116">
        <v>63.674999999999997</v>
      </c>
      <c r="N723" s="116">
        <v>65.25</v>
      </c>
      <c r="O723" s="116">
        <v>62.65</v>
      </c>
      <c r="P723" s="116">
        <v>64</v>
      </c>
      <c r="Q723" s="116">
        <v>127.35</v>
      </c>
      <c r="R723">
        <v>1018743</v>
      </c>
    </row>
    <row r="724" spans="1:18" x14ac:dyDescent="0.25">
      <c r="A724" s="169">
        <v>43067</v>
      </c>
      <c r="B724" s="116">
        <v>64.400000000000006</v>
      </c>
      <c r="C724" s="116">
        <v>62.9</v>
      </c>
      <c r="D724" s="116">
        <v>62.45</v>
      </c>
      <c r="E724" s="116">
        <v>63.924999999999997</v>
      </c>
      <c r="F724" s="116">
        <v>125.8</v>
      </c>
      <c r="G724">
        <v>228731</v>
      </c>
      <c r="H724" s="116"/>
      <c r="I724" s="116"/>
      <c r="L724" s="169">
        <v>43067</v>
      </c>
      <c r="M724" s="116">
        <v>62.774999999999999</v>
      </c>
      <c r="N724" s="116">
        <v>64.45</v>
      </c>
      <c r="O724" s="116">
        <v>62.125</v>
      </c>
      <c r="P724" s="116">
        <v>63.85</v>
      </c>
      <c r="Q724" s="116">
        <v>125.55</v>
      </c>
      <c r="R724">
        <v>869053</v>
      </c>
    </row>
    <row r="725" spans="1:18" x14ac:dyDescent="0.25">
      <c r="A725" s="169">
        <v>43068</v>
      </c>
      <c r="B725" s="116">
        <v>65.400000000000006</v>
      </c>
      <c r="C725" s="116">
        <v>63.35</v>
      </c>
      <c r="D725" s="116">
        <v>62.725000000000001</v>
      </c>
      <c r="E725" s="116">
        <v>63.95</v>
      </c>
      <c r="F725" s="116">
        <v>126.7</v>
      </c>
      <c r="G725">
        <v>369644</v>
      </c>
      <c r="H725" s="116"/>
      <c r="I725" s="116"/>
      <c r="L725" s="169">
        <v>43068</v>
      </c>
      <c r="M725" s="116">
        <v>63.25</v>
      </c>
      <c r="N725" s="116">
        <v>65.3</v>
      </c>
      <c r="O725" s="116">
        <v>62.65</v>
      </c>
      <c r="P725" s="116">
        <v>63.2</v>
      </c>
      <c r="Q725" s="116">
        <v>126.5</v>
      </c>
      <c r="R725">
        <v>2730351</v>
      </c>
    </row>
    <row r="726" spans="1:18" x14ac:dyDescent="0.25">
      <c r="A726" s="169">
        <v>43069</v>
      </c>
      <c r="B726" s="116">
        <v>63.875</v>
      </c>
      <c r="C726" s="116">
        <v>62.75</v>
      </c>
      <c r="D726" s="116">
        <v>62.125</v>
      </c>
      <c r="E726" s="116">
        <v>63</v>
      </c>
      <c r="F726" s="116">
        <v>125.5</v>
      </c>
      <c r="G726">
        <v>176784</v>
      </c>
      <c r="H726" s="116"/>
      <c r="I726" s="116"/>
      <c r="L726" s="169">
        <v>43069</v>
      </c>
      <c r="M726" s="116">
        <v>62.9</v>
      </c>
      <c r="N726" s="116">
        <v>63.9</v>
      </c>
      <c r="O726" s="116">
        <v>61.95</v>
      </c>
      <c r="P726" s="116">
        <v>63.05</v>
      </c>
      <c r="Q726" s="116">
        <v>125.8</v>
      </c>
      <c r="R726">
        <v>1965127</v>
      </c>
    </row>
    <row r="727" spans="1:18" x14ac:dyDescent="0.25">
      <c r="A727" s="169">
        <v>43070</v>
      </c>
      <c r="B727" s="116">
        <v>63.35</v>
      </c>
      <c r="C727" s="116">
        <v>60.125</v>
      </c>
      <c r="D727" s="116">
        <v>59.6</v>
      </c>
      <c r="E727" s="116">
        <v>62.5</v>
      </c>
      <c r="F727" s="116">
        <v>120.25</v>
      </c>
      <c r="G727">
        <v>248703</v>
      </c>
      <c r="H727" s="116"/>
      <c r="I727" s="116"/>
      <c r="L727" s="169">
        <v>43070</v>
      </c>
      <c r="M727" s="116">
        <v>60</v>
      </c>
      <c r="N727" s="116">
        <v>63.325000000000003</v>
      </c>
      <c r="O727" s="116">
        <v>59.475000000000001</v>
      </c>
      <c r="P727" s="116">
        <v>62.7</v>
      </c>
      <c r="Q727" s="116">
        <v>120</v>
      </c>
      <c r="R727">
        <v>855496</v>
      </c>
    </row>
    <row r="728" spans="1:18" x14ac:dyDescent="0.25">
      <c r="A728" s="169">
        <v>43073</v>
      </c>
      <c r="B728" s="116">
        <v>60.774999999999999</v>
      </c>
      <c r="C728" s="116">
        <v>58.8</v>
      </c>
      <c r="D728" s="116">
        <v>58.575000000000003</v>
      </c>
      <c r="E728" s="116">
        <v>60.174999999999997</v>
      </c>
      <c r="F728" s="116">
        <v>117.6</v>
      </c>
      <c r="G728">
        <v>175523</v>
      </c>
      <c r="H728" s="116"/>
      <c r="I728" s="116"/>
      <c r="L728" s="169">
        <v>43073</v>
      </c>
      <c r="M728" s="116">
        <v>58.95</v>
      </c>
      <c r="N728" s="116">
        <v>60.875</v>
      </c>
      <c r="O728" s="116">
        <v>58.524999999999999</v>
      </c>
      <c r="P728" s="116">
        <v>60.35</v>
      </c>
      <c r="Q728" s="116">
        <v>117.9</v>
      </c>
      <c r="R728">
        <v>595906</v>
      </c>
    </row>
    <row r="729" spans="1:18" x14ac:dyDescent="0.25">
      <c r="A729" s="169">
        <v>43074</v>
      </c>
      <c r="B729" s="116">
        <v>59</v>
      </c>
      <c r="C729" s="116">
        <v>58.125</v>
      </c>
      <c r="D729" s="116">
        <v>57.424999999999997</v>
      </c>
      <c r="E729" s="116">
        <v>58.3</v>
      </c>
      <c r="F729" s="116">
        <v>116.25</v>
      </c>
      <c r="G729">
        <v>325764</v>
      </c>
      <c r="H729" s="116"/>
      <c r="I729" s="116"/>
      <c r="L729" s="169">
        <v>43074</v>
      </c>
      <c r="M729" s="116">
        <v>57.924999999999997</v>
      </c>
      <c r="N729" s="116">
        <v>58.7</v>
      </c>
      <c r="O729" s="116">
        <v>57.4</v>
      </c>
      <c r="P729" s="116">
        <v>58.7</v>
      </c>
      <c r="Q729" s="116">
        <v>115.85</v>
      </c>
      <c r="R729">
        <v>636341</v>
      </c>
    </row>
    <row r="730" spans="1:18" x14ac:dyDescent="0.25">
      <c r="A730" s="169">
        <v>43075</v>
      </c>
      <c r="B730" s="116">
        <v>58.1</v>
      </c>
      <c r="C730" s="116">
        <v>57.45</v>
      </c>
      <c r="D730" s="116">
        <v>57.25</v>
      </c>
      <c r="E730" s="116">
        <v>58</v>
      </c>
      <c r="F730" s="116">
        <v>114.9</v>
      </c>
      <c r="G730">
        <v>132119</v>
      </c>
      <c r="H730" s="116"/>
      <c r="I730" s="116"/>
      <c r="L730" s="169">
        <v>43075</v>
      </c>
      <c r="M730" s="116">
        <v>57.55</v>
      </c>
      <c r="N730" s="116">
        <v>58.1</v>
      </c>
      <c r="O730" s="116">
        <v>57.1</v>
      </c>
      <c r="P730" s="116">
        <v>57.8</v>
      </c>
      <c r="Q730" s="116">
        <v>115.1</v>
      </c>
      <c r="R730">
        <v>513059</v>
      </c>
    </row>
    <row r="731" spans="1:18" x14ac:dyDescent="0.25">
      <c r="A731" s="169">
        <v>43076</v>
      </c>
      <c r="B731" s="116">
        <v>58.1</v>
      </c>
      <c r="C731" s="116">
        <v>57.325000000000003</v>
      </c>
      <c r="D731" s="116">
        <v>57.15</v>
      </c>
      <c r="E731" s="116">
        <v>57.4</v>
      </c>
      <c r="F731" s="116">
        <v>114.65</v>
      </c>
      <c r="G731">
        <v>119672</v>
      </c>
      <c r="H731" s="116"/>
      <c r="I731" s="116"/>
      <c r="L731" s="169">
        <v>43076</v>
      </c>
      <c r="M731" s="116">
        <v>57.35</v>
      </c>
      <c r="N731" s="116">
        <v>58.15</v>
      </c>
      <c r="O731" s="116">
        <v>57.125</v>
      </c>
      <c r="P731" s="116">
        <v>57.924999999999997</v>
      </c>
      <c r="Q731" s="116">
        <v>114.7</v>
      </c>
      <c r="R731">
        <v>610018</v>
      </c>
    </row>
    <row r="732" spans="1:18" x14ac:dyDescent="0.25">
      <c r="A732" s="169">
        <v>43077</v>
      </c>
      <c r="B732" s="116">
        <v>58.55</v>
      </c>
      <c r="C732" s="116">
        <v>57.45</v>
      </c>
      <c r="D732" s="116">
        <v>57.25</v>
      </c>
      <c r="E732" s="116">
        <v>57.7</v>
      </c>
      <c r="F732" s="116">
        <v>114.9</v>
      </c>
      <c r="G732">
        <v>101652</v>
      </c>
      <c r="H732" s="116"/>
      <c r="I732" s="116"/>
      <c r="L732" s="169">
        <v>43077</v>
      </c>
      <c r="M732" s="116">
        <v>57.274999999999999</v>
      </c>
      <c r="N732" s="116">
        <v>58.475000000000001</v>
      </c>
      <c r="O732" s="116">
        <v>57.05</v>
      </c>
      <c r="P732" s="116">
        <v>57.625</v>
      </c>
      <c r="Q732" s="116">
        <v>114.55</v>
      </c>
      <c r="R732">
        <v>654605</v>
      </c>
    </row>
    <row r="733" spans="1:18" x14ac:dyDescent="0.25">
      <c r="A733" s="169">
        <v>43080</v>
      </c>
      <c r="B733" s="116">
        <v>58.524999999999999</v>
      </c>
      <c r="C733" s="116">
        <v>57.3</v>
      </c>
      <c r="D733" s="116">
        <v>57.2</v>
      </c>
      <c r="E733" s="116">
        <v>57.95</v>
      </c>
      <c r="F733" s="116">
        <v>114.6</v>
      </c>
      <c r="G733">
        <v>67729</v>
      </c>
      <c r="H733" s="116"/>
      <c r="I733" s="116"/>
      <c r="L733" s="169">
        <v>43080</v>
      </c>
      <c r="M733" s="116">
        <v>57.424999999999997</v>
      </c>
      <c r="N733" s="116">
        <v>58.4</v>
      </c>
      <c r="O733" s="116">
        <v>57.3</v>
      </c>
      <c r="P733" s="116">
        <v>57.875</v>
      </c>
      <c r="Q733" s="116">
        <v>114.85</v>
      </c>
      <c r="R733">
        <v>429450</v>
      </c>
    </row>
    <row r="734" spans="1:18" x14ac:dyDescent="0.25">
      <c r="A734" s="169">
        <v>43081</v>
      </c>
      <c r="B734" s="116">
        <v>60.375</v>
      </c>
      <c r="C734" s="116">
        <v>58.125</v>
      </c>
      <c r="D734" s="116">
        <v>57.15</v>
      </c>
      <c r="E734" s="116">
        <v>57.75</v>
      </c>
      <c r="F734" s="116">
        <v>116.25</v>
      </c>
      <c r="G734">
        <v>197390</v>
      </c>
      <c r="H734" s="116"/>
      <c r="I734" s="116"/>
      <c r="L734" s="169">
        <v>43081</v>
      </c>
      <c r="M734" s="116">
        <v>58.024999999999999</v>
      </c>
      <c r="N734" s="116">
        <v>60.3</v>
      </c>
      <c r="O734" s="116">
        <v>57.174999999999997</v>
      </c>
      <c r="P734" s="116">
        <v>57.65</v>
      </c>
      <c r="Q734" s="116">
        <v>116.05</v>
      </c>
      <c r="R734">
        <v>1424481</v>
      </c>
    </row>
    <row r="735" spans="1:18" x14ac:dyDescent="0.25">
      <c r="A735" s="169">
        <v>43082</v>
      </c>
      <c r="B735" s="116">
        <v>58.9</v>
      </c>
      <c r="C735" s="116">
        <v>57</v>
      </c>
      <c r="D735" s="116">
        <v>56.75</v>
      </c>
      <c r="E735" s="116">
        <v>58.375</v>
      </c>
      <c r="F735" s="116">
        <v>114</v>
      </c>
      <c r="G735">
        <v>77557</v>
      </c>
      <c r="H735" s="116"/>
      <c r="I735" s="116"/>
      <c r="L735" s="169">
        <v>43082</v>
      </c>
      <c r="M735" s="116">
        <v>57.1</v>
      </c>
      <c r="N735" s="116">
        <v>58.9</v>
      </c>
      <c r="O735" s="116">
        <v>56.5</v>
      </c>
      <c r="P735" s="116">
        <v>58.4</v>
      </c>
      <c r="Q735" s="116">
        <v>114.2</v>
      </c>
      <c r="R735">
        <v>495309</v>
      </c>
    </row>
    <row r="736" spans="1:18" x14ac:dyDescent="0.25">
      <c r="A736" s="169">
        <v>43083</v>
      </c>
      <c r="B736" s="116">
        <v>58.3</v>
      </c>
      <c r="C736" s="116">
        <v>57.274999999999999</v>
      </c>
      <c r="D736" s="116">
        <v>56.625</v>
      </c>
      <c r="E736" s="116">
        <v>57.575000000000003</v>
      </c>
      <c r="F736" s="116">
        <v>114.55</v>
      </c>
      <c r="G736">
        <v>70877</v>
      </c>
      <c r="H736" s="116"/>
      <c r="I736" s="116"/>
      <c r="L736" s="169">
        <v>43083</v>
      </c>
      <c r="M736" s="116">
        <v>57.274999999999999</v>
      </c>
      <c r="N736" s="116">
        <v>58.4</v>
      </c>
      <c r="O736" s="116">
        <v>56.524999999999999</v>
      </c>
      <c r="P736" s="116">
        <v>57.55</v>
      </c>
      <c r="Q736" s="116">
        <v>114.55</v>
      </c>
      <c r="R736">
        <v>748035</v>
      </c>
    </row>
    <row r="737" spans="1:18" x14ac:dyDescent="0.25">
      <c r="A737" s="169">
        <v>43084</v>
      </c>
      <c r="B737" s="116">
        <v>58.05</v>
      </c>
      <c r="C737" s="116">
        <v>57.3</v>
      </c>
      <c r="D737" s="116">
        <v>57.1</v>
      </c>
      <c r="E737" s="116">
        <v>57.95</v>
      </c>
      <c r="F737" s="116">
        <v>114.6</v>
      </c>
      <c r="G737">
        <v>49328</v>
      </c>
      <c r="H737" s="116"/>
      <c r="I737" s="116"/>
      <c r="L737" s="169">
        <v>43084</v>
      </c>
      <c r="M737" s="116">
        <v>57.274999999999999</v>
      </c>
      <c r="N737" s="116">
        <v>58.15</v>
      </c>
      <c r="O737" s="116">
        <v>57</v>
      </c>
      <c r="P737" s="116">
        <v>57.774999999999999</v>
      </c>
      <c r="Q737" s="116">
        <v>114.55</v>
      </c>
      <c r="R737">
        <v>540645</v>
      </c>
    </row>
    <row r="738" spans="1:18" x14ac:dyDescent="0.25">
      <c r="A738" s="169">
        <v>43087</v>
      </c>
      <c r="B738" s="116">
        <v>58.075000000000003</v>
      </c>
      <c r="C738" s="116">
        <v>56.924999999999997</v>
      </c>
      <c r="D738" s="116">
        <v>54.35</v>
      </c>
      <c r="E738" s="116">
        <v>56.95</v>
      </c>
      <c r="F738" s="116">
        <v>113.85</v>
      </c>
      <c r="G738">
        <v>167113</v>
      </c>
      <c r="H738" s="116"/>
      <c r="I738" s="116"/>
      <c r="L738" s="169">
        <v>43087</v>
      </c>
      <c r="M738" s="116">
        <v>56.924999999999997</v>
      </c>
      <c r="N738" s="116">
        <v>58</v>
      </c>
      <c r="O738" s="116">
        <v>54.5</v>
      </c>
      <c r="P738" s="116">
        <v>56.7</v>
      </c>
      <c r="Q738" s="116">
        <v>113.85</v>
      </c>
      <c r="R738">
        <v>651434</v>
      </c>
    </row>
    <row r="739" spans="1:18" x14ac:dyDescent="0.25">
      <c r="A739" s="169">
        <v>43088</v>
      </c>
      <c r="B739" s="116">
        <v>57.7</v>
      </c>
      <c r="C739" s="116">
        <v>57.024999999999999</v>
      </c>
      <c r="D739" s="116">
        <v>56.75</v>
      </c>
      <c r="E739" s="116">
        <v>57.35</v>
      </c>
      <c r="F739" s="116">
        <v>114.05</v>
      </c>
      <c r="G739">
        <v>125809</v>
      </c>
      <c r="H739" s="116"/>
      <c r="I739" s="116"/>
      <c r="L739" s="169">
        <v>43088</v>
      </c>
      <c r="M739" s="116">
        <v>57.075000000000003</v>
      </c>
      <c r="N739" s="116">
        <v>57.825000000000003</v>
      </c>
      <c r="O739" s="116">
        <v>56.774999999999999</v>
      </c>
      <c r="P739" s="116">
        <v>57.4</v>
      </c>
      <c r="Q739" s="116">
        <v>114.15</v>
      </c>
      <c r="R739">
        <v>691296</v>
      </c>
    </row>
    <row r="740" spans="1:18" x14ac:dyDescent="0.25">
      <c r="A740" s="169">
        <v>43089</v>
      </c>
      <c r="B740" s="116">
        <v>59.95</v>
      </c>
      <c r="C740" s="116">
        <v>58.274999999999999</v>
      </c>
      <c r="D740" s="116">
        <v>57.3</v>
      </c>
      <c r="E740" s="116">
        <v>57.375</v>
      </c>
      <c r="F740" s="116">
        <v>116.55</v>
      </c>
      <c r="G740">
        <v>297514</v>
      </c>
      <c r="H740" s="116"/>
      <c r="I740" s="116"/>
      <c r="L740" s="169">
        <v>43089</v>
      </c>
      <c r="M740" s="116">
        <v>58.1</v>
      </c>
      <c r="N740" s="116">
        <v>59.875</v>
      </c>
      <c r="O740" s="116">
        <v>57.25</v>
      </c>
      <c r="P740" s="116">
        <v>57.25</v>
      </c>
      <c r="Q740" s="116">
        <v>116.2</v>
      </c>
      <c r="R740">
        <v>2174640</v>
      </c>
    </row>
    <row r="741" spans="1:18" x14ac:dyDescent="0.25">
      <c r="A741" s="169">
        <v>43090</v>
      </c>
      <c r="B741" s="116">
        <v>64.2</v>
      </c>
      <c r="C741" s="116">
        <v>62.45</v>
      </c>
      <c r="D741" s="116">
        <v>58.325000000000003</v>
      </c>
      <c r="E741" s="116">
        <v>58.475000000000001</v>
      </c>
      <c r="F741" s="116">
        <v>124.9</v>
      </c>
      <c r="G741">
        <v>578479</v>
      </c>
      <c r="H741" s="116"/>
      <c r="I741" s="116"/>
      <c r="L741" s="169">
        <v>43090</v>
      </c>
      <c r="M741" s="116">
        <v>62.4</v>
      </c>
      <c r="N741" s="116">
        <v>64.2</v>
      </c>
      <c r="O741" s="116">
        <v>58.25</v>
      </c>
      <c r="P741" s="116">
        <v>58.5</v>
      </c>
      <c r="Q741" s="116">
        <v>124.8</v>
      </c>
      <c r="R741">
        <v>3958708</v>
      </c>
    </row>
    <row r="742" spans="1:18" x14ac:dyDescent="0.25">
      <c r="A742" s="169">
        <v>43091</v>
      </c>
      <c r="B742" s="116">
        <v>66.099999999999994</v>
      </c>
      <c r="C742" s="116">
        <v>63.225000000000001</v>
      </c>
      <c r="D742" s="116">
        <v>62.75</v>
      </c>
      <c r="E742" s="116">
        <v>62.774999999999999</v>
      </c>
      <c r="F742" s="116">
        <v>126.45</v>
      </c>
      <c r="G742">
        <v>410947</v>
      </c>
      <c r="H742" s="116"/>
      <c r="I742" s="116"/>
      <c r="L742" s="169">
        <v>43091</v>
      </c>
      <c r="M742" s="116">
        <v>63.2</v>
      </c>
      <c r="N742" s="116">
        <v>66.2</v>
      </c>
      <c r="O742" s="116">
        <v>62.625</v>
      </c>
      <c r="P742" s="116">
        <v>62.875</v>
      </c>
      <c r="Q742" s="116">
        <v>126.4</v>
      </c>
      <c r="R742">
        <v>3328130</v>
      </c>
    </row>
    <row r="743" spans="1:18" x14ac:dyDescent="0.25">
      <c r="A743" s="169">
        <v>43095</v>
      </c>
      <c r="B743" s="116">
        <v>68.2</v>
      </c>
      <c r="C743" s="116">
        <v>66.974999999999994</v>
      </c>
      <c r="D743" s="116">
        <v>62</v>
      </c>
      <c r="E743" s="116">
        <v>63.575000000000003</v>
      </c>
      <c r="F743" s="116">
        <v>133.94999999999999</v>
      </c>
      <c r="G743">
        <v>770776</v>
      </c>
      <c r="H743" s="116"/>
      <c r="I743" s="116"/>
      <c r="L743" s="169">
        <v>43095</v>
      </c>
      <c r="M743" s="116">
        <v>67.125</v>
      </c>
      <c r="N743" s="116">
        <v>68.2</v>
      </c>
      <c r="O743" s="116">
        <v>62.024999999999999</v>
      </c>
      <c r="P743" s="116">
        <v>63.424999999999997</v>
      </c>
      <c r="Q743" s="116">
        <v>134.25</v>
      </c>
      <c r="R743">
        <v>5268606</v>
      </c>
    </row>
    <row r="744" spans="1:18" x14ac:dyDescent="0.25">
      <c r="A744" s="169">
        <v>43096</v>
      </c>
      <c r="B744" s="116">
        <v>70.900000000000006</v>
      </c>
      <c r="C744" s="116">
        <v>68.2</v>
      </c>
      <c r="D744" s="116">
        <v>66.95</v>
      </c>
      <c r="E744" s="116">
        <v>67.25</v>
      </c>
      <c r="F744" s="116">
        <v>136.4</v>
      </c>
      <c r="G744">
        <v>657249</v>
      </c>
      <c r="H744" s="116"/>
      <c r="I744" s="116"/>
      <c r="L744" s="169">
        <v>43096</v>
      </c>
      <c r="M744" s="116">
        <v>68.424999999999997</v>
      </c>
      <c r="N744" s="116">
        <v>70.924999999999997</v>
      </c>
      <c r="O744" s="116">
        <v>66.900000000000006</v>
      </c>
      <c r="P744" s="116">
        <v>67.5</v>
      </c>
      <c r="Q744" s="116">
        <v>136.85</v>
      </c>
      <c r="R744">
        <v>3771118</v>
      </c>
    </row>
    <row r="745" spans="1:18" x14ac:dyDescent="0.25">
      <c r="A745" s="169">
        <v>43097</v>
      </c>
      <c r="B745" s="116">
        <v>69.924999999999997</v>
      </c>
      <c r="C745" s="116">
        <v>69.275000000000006</v>
      </c>
      <c r="D745" s="116">
        <v>67.5</v>
      </c>
      <c r="E745" s="116">
        <v>68.25</v>
      </c>
      <c r="F745" s="116">
        <v>138.55000000000001</v>
      </c>
      <c r="G745">
        <v>384994</v>
      </c>
      <c r="H745" s="116"/>
      <c r="I745" s="116"/>
      <c r="L745" s="169">
        <v>43097</v>
      </c>
      <c r="M745" s="116">
        <v>68.924999999999997</v>
      </c>
      <c r="N745" s="116">
        <v>69.95</v>
      </c>
      <c r="O745" s="116">
        <v>67.55</v>
      </c>
      <c r="P745" s="116">
        <v>68.674999999999997</v>
      </c>
      <c r="Q745" s="116">
        <v>137.85</v>
      </c>
      <c r="R745">
        <v>2242548</v>
      </c>
    </row>
    <row r="746" spans="1:18" x14ac:dyDescent="0.25">
      <c r="A746" s="169">
        <v>43098</v>
      </c>
      <c r="B746" s="116">
        <v>71.900000000000006</v>
      </c>
      <c r="C746" s="116">
        <v>70</v>
      </c>
      <c r="D746" s="116">
        <v>68.5</v>
      </c>
      <c r="E746" s="116">
        <v>69.05</v>
      </c>
      <c r="F746" s="116">
        <v>140</v>
      </c>
      <c r="G746">
        <v>317702</v>
      </c>
      <c r="H746" s="116"/>
      <c r="I746" s="116"/>
      <c r="L746" s="169">
        <v>43098</v>
      </c>
      <c r="M746" s="116">
        <v>69.924999999999997</v>
      </c>
      <c r="N746" s="116">
        <v>71.849999999999994</v>
      </c>
      <c r="O746" s="116">
        <v>68.349999999999994</v>
      </c>
      <c r="P746" s="116">
        <v>69</v>
      </c>
      <c r="Q746" s="116">
        <v>139.85</v>
      </c>
      <c r="R746">
        <v>2704718</v>
      </c>
    </row>
    <row r="747" spans="1:18" x14ac:dyDescent="0.25">
      <c r="A747" s="169">
        <v>43101</v>
      </c>
      <c r="B747" s="116">
        <v>73.900000000000006</v>
      </c>
      <c r="C747" s="116">
        <v>71.099999999999994</v>
      </c>
      <c r="D747" s="116">
        <v>70.5</v>
      </c>
      <c r="E747" s="116">
        <v>71</v>
      </c>
      <c r="F747" s="116">
        <v>142.19999999999999</v>
      </c>
      <c r="G747">
        <v>502976</v>
      </c>
      <c r="H747" s="116"/>
      <c r="I747" s="116"/>
      <c r="L747" s="169">
        <v>43101</v>
      </c>
      <c r="M747" s="116">
        <v>71.25</v>
      </c>
      <c r="N747" s="116">
        <v>74</v>
      </c>
      <c r="O747" s="116">
        <v>70.55</v>
      </c>
      <c r="P747" s="116">
        <v>70.575000000000003</v>
      </c>
      <c r="Q747" s="116">
        <v>142.5</v>
      </c>
      <c r="R747">
        <v>3383118</v>
      </c>
    </row>
    <row r="748" spans="1:18" x14ac:dyDescent="0.25">
      <c r="A748" s="169">
        <v>43102</v>
      </c>
      <c r="B748" s="116">
        <v>72.375</v>
      </c>
      <c r="C748" s="116">
        <v>71.424999999999997</v>
      </c>
      <c r="D748" s="116">
        <v>68.625</v>
      </c>
      <c r="E748" s="116">
        <v>71.5</v>
      </c>
      <c r="F748" s="116">
        <v>142.85</v>
      </c>
      <c r="G748">
        <v>299711</v>
      </c>
      <c r="H748" s="116"/>
      <c r="I748" s="116"/>
      <c r="L748" s="169">
        <v>43102</v>
      </c>
      <c r="M748" s="116">
        <v>71.224999999999994</v>
      </c>
      <c r="N748" s="116">
        <v>72.349999999999994</v>
      </c>
      <c r="O748" s="116">
        <v>68.525000000000006</v>
      </c>
      <c r="P748" s="116">
        <v>71.775000000000006</v>
      </c>
      <c r="Q748" s="116">
        <v>142.44999999999999</v>
      </c>
      <c r="R748">
        <v>1525425</v>
      </c>
    </row>
    <row r="749" spans="1:18" x14ac:dyDescent="0.25">
      <c r="A749" s="169">
        <v>43103</v>
      </c>
      <c r="B749" s="116">
        <v>77.900000000000006</v>
      </c>
      <c r="C749" s="116">
        <v>75.25</v>
      </c>
      <c r="D749" s="116">
        <v>71.625</v>
      </c>
      <c r="E749" s="116">
        <v>71.8</v>
      </c>
      <c r="F749" s="116">
        <v>150.5</v>
      </c>
      <c r="G749">
        <v>840916</v>
      </c>
      <c r="H749" s="116"/>
      <c r="I749" s="116"/>
      <c r="L749" s="169">
        <v>43103</v>
      </c>
      <c r="M749" s="116">
        <v>75.075000000000003</v>
      </c>
      <c r="N749" s="116">
        <v>77.8</v>
      </c>
      <c r="O749" s="116">
        <v>71.599999999999994</v>
      </c>
      <c r="P749" s="116">
        <v>71.95</v>
      </c>
      <c r="Q749" s="116">
        <v>150.15</v>
      </c>
      <c r="R749">
        <v>5194896</v>
      </c>
    </row>
    <row r="750" spans="1:18" x14ac:dyDescent="0.25">
      <c r="A750" s="169">
        <v>43104</v>
      </c>
      <c r="B750" s="116">
        <v>82.45</v>
      </c>
      <c r="C750" s="116">
        <v>81.825000000000003</v>
      </c>
      <c r="D750" s="116">
        <v>75.775000000000006</v>
      </c>
      <c r="E750" s="116">
        <v>75.775000000000006</v>
      </c>
      <c r="F750" s="116">
        <v>163.65</v>
      </c>
      <c r="G750">
        <v>1010056</v>
      </c>
      <c r="H750" s="116"/>
      <c r="I750" s="116"/>
      <c r="L750" s="169">
        <v>43104</v>
      </c>
      <c r="M750" s="116">
        <v>81.875</v>
      </c>
      <c r="N750" s="116">
        <v>82.625</v>
      </c>
      <c r="O750" s="116">
        <v>75.825000000000003</v>
      </c>
      <c r="P750" s="116">
        <v>76.05</v>
      </c>
      <c r="Q750" s="116">
        <v>163.75</v>
      </c>
      <c r="R750">
        <v>6558332</v>
      </c>
    </row>
    <row r="751" spans="1:18" x14ac:dyDescent="0.25">
      <c r="A751" s="169">
        <v>43105</v>
      </c>
      <c r="B751" s="116">
        <v>83.125</v>
      </c>
      <c r="C751" s="116">
        <v>79.974999999999994</v>
      </c>
      <c r="D751" s="116">
        <v>79.400000000000006</v>
      </c>
      <c r="E751" s="116">
        <v>82.2</v>
      </c>
      <c r="F751" s="116">
        <v>159.94999999999999</v>
      </c>
      <c r="G751">
        <v>514448</v>
      </c>
      <c r="H751" s="116"/>
      <c r="I751" s="116"/>
      <c r="L751" s="169">
        <v>43105</v>
      </c>
      <c r="M751" s="116">
        <v>79.875</v>
      </c>
      <c r="N751" s="116">
        <v>83.2</v>
      </c>
      <c r="O751" s="116">
        <v>79.05</v>
      </c>
      <c r="P751" s="116">
        <v>83</v>
      </c>
      <c r="Q751" s="116">
        <v>159.75</v>
      </c>
      <c r="R751">
        <v>3329617</v>
      </c>
    </row>
    <row r="752" spans="1:18" x14ac:dyDescent="0.25">
      <c r="A752" s="169">
        <v>43108</v>
      </c>
      <c r="B752" s="116">
        <v>82.525000000000006</v>
      </c>
      <c r="C752" s="116">
        <v>80.974999999999994</v>
      </c>
      <c r="D752" s="116">
        <v>80.2</v>
      </c>
      <c r="E752" s="116">
        <v>80.5</v>
      </c>
      <c r="F752" s="116">
        <v>161.94999999999999</v>
      </c>
      <c r="G752">
        <v>260172</v>
      </c>
      <c r="H752" s="116"/>
      <c r="I752" s="116"/>
      <c r="L752" s="169">
        <v>43108</v>
      </c>
      <c r="M752" s="116">
        <v>80.924999999999997</v>
      </c>
      <c r="N752" s="116">
        <v>82.625</v>
      </c>
      <c r="O752" s="116">
        <v>80.05</v>
      </c>
      <c r="P752" s="116">
        <v>81</v>
      </c>
      <c r="Q752" s="116">
        <v>161.85</v>
      </c>
      <c r="R752">
        <v>2119338</v>
      </c>
    </row>
    <row r="753" spans="1:18" x14ac:dyDescent="0.25">
      <c r="A753" s="169">
        <v>43109</v>
      </c>
      <c r="B753" s="116">
        <v>82.775000000000006</v>
      </c>
      <c r="C753" s="116">
        <v>82.2</v>
      </c>
      <c r="D753" s="116">
        <v>78.099999999999994</v>
      </c>
      <c r="E753" s="116">
        <v>81.05</v>
      </c>
      <c r="F753" s="116">
        <v>164.4</v>
      </c>
      <c r="G753">
        <v>397766</v>
      </c>
      <c r="H753" s="116"/>
      <c r="I753" s="116"/>
      <c r="L753" s="169">
        <v>43109</v>
      </c>
      <c r="M753" s="116">
        <v>82.224999999999994</v>
      </c>
      <c r="N753" s="116">
        <v>82.95</v>
      </c>
      <c r="O753" s="116">
        <v>78.075000000000003</v>
      </c>
      <c r="P753" s="116">
        <v>81.25</v>
      </c>
      <c r="Q753" s="116">
        <v>164.45</v>
      </c>
      <c r="R753">
        <v>2490485</v>
      </c>
    </row>
    <row r="754" spans="1:18" x14ac:dyDescent="0.25">
      <c r="A754" s="169">
        <v>43110</v>
      </c>
      <c r="B754" s="116">
        <v>82.95</v>
      </c>
      <c r="C754" s="116">
        <v>80.8</v>
      </c>
      <c r="D754" s="116">
        <v>79</v>
      </c>
      <c r="E754" s="116">
        <v>82.95</v>
      </c>
      <c r="F754" s="116">
        <v>161.6</v>
      </c>
      <c r="G754">
        <v>302255</v>
      </c>
      <c r="H754" s="116"/>
      <c r="I754" s="116"/>
      <c r="L754" s="169">
        <v>43110</v>
      </c>
      <c r="M754" s="116">
        <v>80.674999999999997</v>
      </c>
      <c r="N754" s="116">
        <v>82.474999999999994</v>
      </c>
      <c r="O754" s="116">
        <v>78.75</v>
      </c>
      <c r="P754" s="116">
        <v>82.224999999999994</v>
      </c>
      <c r="Q754" s="116">
        <v>161.35</v>
      </c>
      <c r="R754">
        <v>2421398</v>
      </c>
    </row>
    <row r="755" spans="1:18" x14ac:dyDescent="0.25">
      <c r="A755" s="169">
        <v>43111</v>
      </c>
      <c r="B755" s="116">
        <v>89.2</v>
      </c>
      <c r="C755" s="116">
        <v>84.775000000000006</v>
      </c>
      <c r="D755" s="116">
        <v>81.05</v>
      </c>
      <c r="E755" s="116">
        <v>81.05</v>
      </c>
      <c r="F755" s="116">
        <v>169.55</v>
      </c>
      <c r="G755">
        <v>1400387</v>
      </c>
      <c r="H755" s="116"/>
      <c r="I755" s="116"/>
      <c r="L755" s="169">
        <v>43111</v>
      </c>
      <c r="M755" s="116">
        <v>84.4</v>
      </c>
      <c r="N755" s="116">
        <v>89.125</v>
      </c>
      <c r="O755" s="116">
        <v>80.924999999999997</v>
      </c>
      <c r="P755" s="116">
        <v>81</v>
      </c>
      <c r="Q755" s="116">
        <v>168.8</v>
      </c>
      <c r="R755">
        <v>6797733</v>
      </c>
    </row>
    <row r="756" spans="1:18" x14ac:dyDescent="0.25">
      <c r="A756" s="169">
        <v>43112</v>
      </c>
      <c r="B756" s="116">
        <v>88.3</v>
      </c>
      <c r="C756" s="116">
        <v>86.05</v>
      </c>
      <c r="D756" s="116">
        <v>81.825000000000003</v>
      </c>
      <c r="E756" s="116">
        <v>85.65</v>
      </c>
      <c r="F756" s="116">
        <v>172.1</v>
      </c>
      <c r="G756">
        <v>861861</v>
      </c>
      <c r="H756" s="116"/>
      <c r="I756" s="116"/>
      <c r="L756" s="169">
        <v>43112</v>
      </c>
      <c r="M756" s="116">
        <v>86.7</v>
      </c>
      <c r="N756" s="116">
        <v>88.375</v>
      </c>
      <c r="O756" s="116">
        <v>81.8</v>
      </c>
      <c r="P756" s="116">
        <v>85.4</v>
      </c>
      <c r="Q756" s="116">
        <v>173.4</v>
      </c>
      <c r="R756">
        <v>4119496</v>
      </c>
    </row>
    <row r="757" spans="1:18" x14ac:dyDescent="0.25">
      <c r="A757" s="169">
        <v>43115</v>
      </c>
      <c r="B757" s="116">
        <v>89.9</v>
      </c>
      <c r="C757" s="116">
        <v>87.575000000000003</v>
      </c>
      <c r="D757" s="116">
        <v>84.9</v>
      </c>
      <c r="E757" s="116">
        <v>87.174999999999997</v>
      </c>
      <c r="F757" s="116">
        <v>175.15</v>
      </c>
      <c r="G757">
        <v>670090</v>
      </c>
      <c r="H757" s="116"/>
      <c r="I757" s="116"/>
      <c r="L757" s="169">
        <v>43115</v>
      </c>
      <c r="M757" s="116">
        <v>87.575000000000003</v>
      </c>
      <c r="N757" s="116">
        <v>90.025000000000006</v>
      </c>
      <c r="O757" s="116">
        <v>84.7</v>
      </c>
      <c r="P757" s="116">
        <v>86.75</v>
      </c>
      <c r="Q757" s="116">
        <v>175.15</v>
      </c>
      <c r="R757">
        <v>3591970</v>
      </c>
    </row>
    <row r="758" spans="1:18" x14ac:dyDescent="0.25">
      <c r="A758" s="169">
        <v>43116</v>
      </c>
      <c r="B758" s="116">
        <v>89.05</v>
      </c>
      <c r="C758" s="116">
        <v>84.724999999999994</v>
      </c>
      <c r="D758" s="116">
        <v>84.125</v>
      </c>
      <c r="E758" s="116">
        <v>87.95</v>
      </c>
      <c r="F758" s="116">
        <v>169.45</v>
      </c>
      <c r="G758">
        <v>481489</v>
      </c>
      <c r="H758" s="116"/>
      <c r="I758" s="116"/>
      <c r="L758" s="169">
        <v>43116</v>
      </c>
      <c r="M758" s="116">
        <v>84.674999999999997</v>
      </c>
      <c r="N758" s="116">
        <v>88.9</v>
      </c>
      <c r="O758" s="116">
        <v>84.15</v>
      </c>
      <c r="P758" s="116">
        <v>87.974999999999994</v>
      </c>
      <c r="Q758" s="116">
        <v>169.35</v>
      </c>
      <c r="R758">
        <v>2793807</v>
      </c>
    </row>
    <row r="759" spans="1:18" x14ac:dyDescent="0.25">
      <c r="A759" s="169">
        <v>43117</v>
      </c>
      <c r="B759" s="116">
        <v>85.7</v>
      </c>
      <c r="C759" s="116">
        <v>83.875</v>
      </c>
      <c r="D759" s="116">
        <v>79.474999999999994</v>
      </c>
      <c r="E759" s="116">
        <v>85.474999999999994</v>
      </c>
      <c r="F759" s="116">
        <v>167.75</v>
      </c>
      <c r="G759">
        <v>431407</v>
      </c>
      <c r="H759" s="116"/>
      <c r="I759" s="116"/>
      <c r="L759" s="169">
        <v>43117</v>
      </c>
      <c r="M759" s="116">
        <v>83.924999999999997</v>
      </c>
      <c r="N759" s="116">
        <v>85.625</v>
      </c>
      <c r="O759" s="116">
        <v>79.5</v>
      </c>
      <c r="P759" s="116">
        <v>84.65</v>
      </c>
      <c r="Q759" s="116">
        <v>167.85</v>
      </c>
      <c r="R759">
        <v>2207593</v>
      </c>
    </row>
    <row r="760" spans="1:18" x14ac:dyDescent="0.25">
      <c r="A760" s="169">
        <v>43118</v>
      </c>
      <c r="B760" s="116">
        <v>86.025000000000006</v>
      </c>
      <c r="C760" s="116">
        <v>77.474999999999994</v>
      </c>
      <c r="D760" s="116">
        <v>76.900000000000006</v>
      </c>
      <c r="E760" s="116">
        <v>84.9</v>
      </c>
      <c r="F760" s="116">
        <v>154.94999999999999</v>
      </c>
      <c r="G760">
        <v>570994</v>
      </c>
      <c r="H760" s="116"/>
      <c r="I760" s="116"/>
      <c r="L760" s="169">
        <v>43118</v>
      </c>
      <c r="M760" s="116">
        <v>77.400000000000006</v>
      </c>
      <c r="N760" s="116">
        <v>86</v>
      </c>
      <c r="O760" s="116">
        <v>76.625</v>
      </c>
      <c r="P760" s="116">
        <v>84.6</v>
      </c>
      <c r="Q760" s="116">
        <v>154.80000000000001</v>
      </c>
      <c r="R760">
        <v>2503634</v>
      </c>
    </row>
    <row r="761" spans="1:18" x14ac:dyDescent="0.25">
      <c r="A761" s="169">
        <v>43119</v>
      </c>
      <c r="B761" s="116">
        <v>79.375</v>
      </c>
      <c r="C761" s="116">
        <v>78.724999999999994</v>
      </c>
      <c r="D761" s="116">
        <v>75.400000000000006</v>
      </c>
      <c r="E761" s="116">
        <v>77.95</v>
      </c>
      <c r="F761" s="116">
        <v>157.44999999999999</v>
      </c>
      <c r="G761">
        <v>367667</v>
      </c>
      <c r="H761" s="116"/>
      <c r="I761" s="116"/>
      <c r="L761" s="169">
        <v>43119</v>
      </c>
      <c r="M761" s="116">
        <v>78.875</v>
      </c>
      <c r="N761" s="116">
        <v>79.349999999999994</v>
      </c>
      <c r="O761" s="116">
        <v>75.5</v>
      </c>
      <c r="P761" s="116">
        <v>77.5</v>
      </c>
      <c r="Q761" s="116">
        <v>157.75</v>
      </c>
      <c r="R761">
        <v>2170474</v>
      </c>
    </row>
    <row r="762" spans="1:18" x14ac:dyDescent="0.25">
      <c r="A762" s="169">
        <v>43122</v>
      </c>
      <c r="B762" s="116">
        <v>84.85</v>
      </c>
      <c r="C762" s="116">
        <v>82.825000000000003</v>
      </c>
      <c r="D762" s="116">
        <v>78.674999999999997</v>
      </c>
      <c r="E762" s="116">
        <v>79.05</v>
      </c>
      <c r="F762" s="116">
        <v>165.65</v>
      </c>
      <c r="G762">
        <v>577581</v>
      </c>
      <c r="H762" s="116"/>
      <c r="I762" s="116"/>
      <c r="L762" s="169">
        <v>43122</v>
      </c>
      <c r="M762" s="116">
        <v>82.65</v>
      </c>
      <c r="N762" s="116">
        <v>84.875</v>
      </c>
      <c r="O762" s="116">
        <v>78.55</v>
      </c>
      <c r="P762" s="116">
        <v>78.95</v>
      </c>
      <c r="Q762" s="116">
        <v>165.3</v>
      </c>
      <c r="R762">
        <v>4487418</v>
      </c>
    </row>
    <row r="763" spans="1:18" x14ac:dyDescent="0.25">
      <c r="A763" s="169">
        <v>43123</v>
      </c>
      <c r="B763" s="116">
        <v>88.875</v>
      </c>
      <c r="C763" s="116">
        <v>87.325000000000003</v>
      </c>
      <c r="D763" s="116">
        <v>82.775000000000006</v>
      </c>
      <c r="E763" s="116">
        <v>83.5</v>
      </c>
      <c r="F763" s="116">
        <v>174.65</v>
      </c>
      <c r="G763">
        <v>884530</v>
      </c>
      <c r="H763" s="116"/>
      <c r="I763" s="116"/>
      <c r="L763" s="169">
        <v>43123</v>
      </c>
      <c r="M763" s="116">
        <v>87.55</v>
      </c>
      <c r="N763" s="116">
        <v>88.85</v>
      </c>
      <c r="O763" s="116">
        <v>82.625</v>
      </c>
      <c r="P763" s="116">
        <v>83.3</v>
      </c>
      <c r="Q763" s="116">
        <v>175.1</v>
      </c>
      <c r="R763">
        <v>4313999</v>
      </c>
    </row>
    <row r="764" spans="1:18" x14ac:dyDescent="0.25">
      <c r="A764" s="169">
        <v>43124</v>
      </c>
      <c r="B764" s="116">
        <v>91</v>
      </c>
      <c r="C764" s="116">
        <v>84.1</v>
      </c>
      <c r="D764" s="116">
        <v>81.424999999999997</v>
      </c>
      <c r="E764" s="116">
        <v>88.424999999999997</v>
      </c>
      <c r="F764" s="116">
        <v>168.2</v>
      </c>
      <c r="G764">
        <v>1514102</v>
      </c>
      <c r="H764" s="116"/>
      <c r="I764" s="116"/>
      <c r="L764" s="169">
        <v>43124</v>
      </c>
      <c r="M764" s="116">
        <v>84.05</v>
      </c>
      <c r="N764" s="116">
        <v>91.125</v>
      </c>
      <c r="O764" s="116">
        <v>81.150000000000006</v>
      </c>
      <c r="P764" s="116">
        <v>88</v>
      </c>
      <c r="Q764" s="116">
        <v>168.1</v>
      </c>
      <c r="R764">
        <v>6265664</v>
      </c>
    </row>
    <row r="765" spans="1:18" x14ac:dyDescent="0.25">
      <c r="A765" s="169">
        <v>43125</v>
      </c>
      <c r="B765" s="116">
        <v>84</v>
      </c>
      <c r="C765" s="116">
        <v>77.400000000000006</v>
      </c>
      <c r="D765" s="116">
        <v>76.400000000000006</v>
      </c>
      <c r="E765" s="116">
        <v>82.5</v>
      </c>
      <c r="F765" s="116">
        <v>154.80000000000001</v>
      </c>
      <c r="G765">
        <v>776833</v>
      </c>
      <c r="H765" s="116"/>
      <c r="I765" s="116"/>
      <c r="L765" s="169">
        <v>43125</v>
      </c>
      <c r="M765" s="116">
        <v>77.474999999999994</v>
      </c>
      <c r="N765" s="116">
        <v>84.125</v>
      </c>
      <c r="O765" s="116">
        <v>76.325000000000003</v>
      </c>
      <c r="P765" s="116">
        <v>82.174999999999997</v>
      </c>
      <c r="Q765" s="116">
        <v>154.94999999999999</v>
      </c>
      <c r="R765">
        <v>4010528</v>
      </c>
    </row>
    <row r="766" spans="1:18" x14ac:dyDescent="0.25">
      <c r="A766" s="169">
        <v>43129</v>
      </c>
      <c r="B766" s="116">
        <v>79.825000000000003</v>
      </c>
      <c r="C766" s="116">
        <v>76.3</v>
      </c>
      <c r="D766" s="116">
        <v>76</v>
      </c>
      <c r="E766" s="116">
        <v>78.825000000000003</v>
      </c>
      <c r="F766" s="116">
        <v>152.6</v>
      </c>
      <c r="G766">
        <v>291868</v>
      </c>
      <c r="H766" s="116"/>
      <c r="I766" s="116"/>
      <c r="L766" s="169">
        <v>43129</v>
      </c>
      <c r="M766" s="116">
        <v>76.400000000000006</v>
      </c>
      <c r="N766" s="116">
        <v>79.924999999999997</v>
      </c>
      <c r="O766" s="116">
        <v>76.05</v>
      </c>
      <c r="P766" s="116">
        <v>78.400000000000006</v>
      </c>
      <c r="Q766" s="116">
        <v>152.80000000000001</v>
      </c>
      <c r="R766">
        <v>2239170</v>
      </c>
    </row>
    <row r="767" spans="1:18" x14ac:dyDescent="0.25">
      <c r="A767" s="169">
        <v>43130</v>
      </c>
      <c r="B767" s="116">
        <v>77.775000000000006</v>
      </c>
      <c r="C767" s="116">
        <v>76.775000000000006</v>
      </c>
      <c r="D767" s="116">
        <v>74.625</v>
      </c>
      <c r="E767" s="116">
        <v>76.5</v>
      </c>
      <c r="F767" s="116">
        <v>153.55000000000001</v>
      </c>
      <c r="G767">
        <v>238242</v>
      </c>
      <c r="H767" s="116"/>
      <c r="I767" s="116"/>
      <c r="L767" s="169">
        <v>43130</v>
      </c>
      <c r="M767" s="116">
        <v>77.025000000000006</v>
      </c>
      <c r="N767" s="116">
        <v>77.650000000000006</v>
      </c>
      <c r="O767" s="116">
        <v>74.55</v>
      </c>
      <c r="P767" s="116">
        <v>76</v>
      </c>
      <c r="Q767" s="116">
        <v>154.05000000000001</v>
      </c>
      <c r="R767">
        <v>1490081</v>
      </c>
    </row>
    <row r="768" spans="1:18" x14ac:dyDescent="0.25">
      <c r="A768" s="169">
        <v>43131</v>
      </c>
      <c r="B768" s="116">
        <v>78.575000000000003</v>
      </c>
      <c r="C768" s="116">
        <v>74.75</v>
      </c>
      <c r="D768" s="116">
        <v>74.099999999999994</v>
      </c>
      <c r="E768" s="116">
        <v>76.924999999999997</v>
      </c>
      <c r="F768" s="116">
        <v>149.5</v>
      </c>
      <c r="G768">
        <v>291725</v>
      </c>
      <c r="H768" s="116"/>
      <c r="I768" s="116"/>
      <c r="L768" s="169">
        <v>43131</v>
      </c>
      <c r="M768" s="116">
        <v>74.525000000000006</v>
      </c>
      <c r="N768" s="116">
        <v>78</v>
      </c>
      <c r="O768" s="116">
        <v>73.924999999999997</v>
      </c>
      <c r="P768" s="116">
        <v>77.025000000000006</v>
      </c>
      <c r="Q768" s="116">
        <v>149.05000000000001</v>
      </c>
      <c r="R768">
        <v>1739257</v>
      </c>
    </row>
    <row r="769" spans="1:18" x14ac:dyDescent="0.25">
      <c r="A769" s="169">
        <v>43132</v>
      </c>
      <c r="B769" s="116">
        <v>78</v>
      </c>
      <c r="C769" s="116">
        <v>75.599999999999994</v>
      </c>
      <c r="D769" s="116">
        <v>68.5</v>
      </c>
      <c r="E769" s="116">
        <v>74.7</v>
      </c>
      <c r="F769" s="116">
        <v>151.19999999999999</v>
      </c>
      <c r="G769">
        <v>662573</v>
      </c>
      <c r="H769" s="116"/>
      <c r="I769" s="116"/>
      <c r="L769" s="169">
        <v>43132</v>
      </c>
      <c r="M769" s="116">
        <v>75.875</v>
      </c>
      <c r="N769" s="116">
        <v>77.599999999999994</v>
      </c>
      <c r="O769" s="116">
        <v>68.674999999999997</v>
      </c>
      <c r="P769" s="116">
        <v>74.55</v>
      </c>
      <c r="Q769" s="116">
        <v>151.75</v>
      </c>
      <c r="R769">
        <v>2954460</v>
      </c>
    </row>
    <row r="770" spans="1:18" x14ac:dyDescent="0.25">
      <c r="A770" s="169">
        <v>43133</v>
      </c>
      <c r="B770" s="116">
        <v>73.849999999999994</v>
      </c>
      <c r="C770" s="116">
        <v>65.599999999999994</v>
      </c>
      <c r="D770" s="116">
        <v>64.5</v>
      </c>
      <c r="E770" s="116">
        <v>73.5</v>
      </c>
      <c r="F770" s="116">
        <v>131.19999999999999</v>
      </c>
      <c r="G770">
        <v>1310855</v>
      </c>
      <c r="H770" s="116"/>
      <c r="I770" s="116"/>
      <c r="L770" s="169">
        <v>43133</v>
      </c>
      <c r="M770" s="116">
        <v>65.5</v>
      </c>
      <c r="N770" s="116">
        <v>73.900000000000006</v>
      </c>
      <c r="O770" s="116">
        <v>64.55</v>
      </c>
      <c r="P770" s="116">
        <v>73.775000000000006</v>
      </c>
      <c r="Q770" s="116">
        <v>131</v>
      </c>
      <c r="R770">
        <v>5472141</v>
      </c>
    </row>
    <row r="771" spans="1:18" x14ac:dyDescent="0.25">
      <c r="A771" s="169">
        <v>43136</v>
      </c>
      <c r="B771" s="116">
        <v>68.75</v>
      </c>
      <c r="C771" s="116">
        <v>68.275000000000006</v>
      </c>
      <c r="D771" s="116">
        <v>60.075000000000003</v>
      </c>
      <c r="E771" s="116">
        <v>62.9</v>
      </c>
      <c r="F771" s="116">
        <v>136.55000000000001</v>
      </c>
      <c r="G771">
        <v>841364</v>
      </c>
      <c r="H771" s="116"/>
      <c r="I771" s="116"/>
      <c r="L771" s="169">
        <v>43136</v>
      </c>
      <c r="M771" s="116">
        <v>68.45</v>
      </c>
      <c r="N771" s="116">
        <v>68.974999999999994</v>
      </c>
      <c r="O771" s="116">
        <v>60.024999999999999</v>
      </c>
      <c r="P771" s="116">
        <v>62.45</v>
      </c>
      <c r="Q771" s="116">
        <v>136.9</v>
      </c>
      <c r="R771">
        <v>3989205</v>
      </c>
    </row>
    <row r="772" spans="1:18" x14ac:dyDescent="0.25">
      <c r="A772" s="169">
        <v>43137</v>
      </c>
      <c r="B772" s="116">
        <v>67.3</v>
      </c>
      <c r="C772" s="116">
        <v>66</v>
      </c>
      <c r="D772" s="116">
        <v>57.8</v>
      </c>
      <c r="E772" s="116">
        <v>59</v>
      </c>
      <c r="F772" s="116">
        <v>132</v>
      </c>
      <c r="G772">
        <v>800488</v>
      </c>
      <c r="H772" s="116"/>
      <c r="I772" s="116"/>
      <c r="L772" s="169">
        <v>43137</v>
      </c>
      <c r="M772" s="116">
        <v>66</v>
      </c>
      <c r="N772" s="116">
        <v>67.5</v>
      </c>
      <c r="O772" s="116">
        <v>57.424999999999997</v>
      </c>
      <c r="P772" s="116">
        <v>58</v>
      </c>
      <c r="Q772" s="116">
        <v>132</v>
      </c>
      <c r="R772">
        <v>4209604</v>
      </c>
    </row>
    <row r="773" spans="1:18" x14ac:dyDescent="0.25">
      <c r="A773" s="169">
        <v>43138</v>
      </c>
      <c r="B773" s="116">
        <v>69.849999999999994</v>
      </c>
      <c r="C773" s="116">
        <v>65</v>
      </c>
      <c r="D773" s="116">
        <v>64.2</v>
      </c>
      <c r="E773" s="116">
        <v>67.05</v>
      </c>
      <c r="F773" s="116">
        <v>130</v>
      </c>
      <c r="G773">
        <v>438943</v>
      </c>
      <c r="H773" s="116"/>
      <c r="I773" s="116"/>
      <c r="L773" s="169">
        <v>43138</v>
      </c>
      <c r="M773" s="116">
        <v>64.8</v>
      </c>
      <c r="N773" s="116">
        <v>69.95</v>
      </c>
      <c r="O773" s="116">
        <v>63.924999999999997</v>
      </c>
      <c r="P773" s="116">
        <v>67.3</v>
      </c>
      <c r="Q773" s="116">
        <v>129.6</v>
      </c>
      <c r="R773">
        <v>2855419</v>
      </c>
    </row>
    <row r="774" spans="1:18" x14ac:dyDescent="0.25">
      <c r="A774" s="169">
        <v>43139</v>
      </c>
      <c r="B774" s="116">
        <v>68.650000000000006</v>
      </c>
      <c r="C774" s="116">
        <v>67.45</v>
      </c>
      <c r="D774" s="116">
        <v>64.849999999999994</v>
      </c>
      <c r="E774" s="116">
        <v>65.224999999999994</v>
      </c>
      <c r="F774" s="116">
        <v>134.9</v>
      </c>
      <c r="G774">
        <v>463695</v>
      </c>
      <c r="H774" s="116"/>
      <c r="I774" s="116"/>
      <c r="L774" s="169">
        <v>43139</v>
      </c>
      <c r="M774" s="116">
        <v>67.45</v>
      </c>
      <c r="N774" s="116">
        <v>68.625</v>
      </c>
      <c r="O774" s="116">
        <v>65</v>
      </c>
      <c r="P774" s="116">
        <v>65.075000000000003</v>
      </c>
      <c r="Q774" s="116">
        <v>134.9</v>
      </c>
      <c r="R774">
        <v>3646727</v>
      </c>
    </row>
    <row r="775" spans="1:18" x14ac:dyDescent="0.25">
      <c r="A775" s="169">
        <v>43140</v>
      </c>
      <c r="B775" s="116">
        <v>68.349999999999994</v>
      </c>
      <c r="C775" s="116">
        <v>67.099999999999994</v>
      </c>
      <c r="D775" s="116">
        <v>63.375</v>
      </c>
      <c r="E775" s="116">
        <v>65.5</v>
      </c>
      <c r="F775" s="116">
        <v>134.19999999999999</v>
      </c>
      <c r="G775">
        <v>359879</v>
      </c>
      <c r="H775" s="116"/>
      <c r="I775" s="116"/>
      <c r="L775" s="169">
        <v>43140</v>
      </c>
      <c r="M775" s="116">
        <v>67.025000000000006</v>
      </c>
      <c r="N775" s="116">
        <v>68.349999999999994</v>
      </c>
      <c r="O775" s="116">
        <v>62.8</v>
      </c>
      <c r="P775" s="116">
        <v>65</v>
      </c>
      <c r="Q775" s="116">
        <v>134.05000000000001</v>
      </c>
      <c r="R775">
        <v>2297630</v>
      </c>
    </row>
    <row r="776" spans="1:18" x14ac:dyDescent="0.25">
      <c r="A776" s="169">
        <v>43143</v>
      </c>
      <c r="B776" s="116">
        <v>70.900000000000006</v>
      </c>
      <c r="C776" s="116">
        <v>70.05</v>
      </c>
      <c r="D776" s="116">
        <v>67.575000000000003</v>
      </c>
      <c r="E776" s="116">
        <v>67.900000000000006</v>
      </c>
      <c r="F776" s="116">
        <v>140.1</v>
      </c>
      <c r="G776">
        <v>380238</v>
      </c>
      <c r="H776" s="116"/>
      <c r="I776" s="116"/>
      <c r="L776" s="169">
        <v>43143</v>
      </c>
      <c r="M776" s="116">
        <v>69.924999999999997</v>
      </c>
      <c r="N776" s="116">
        <v>70.900000000000006</v>
      </c>
      <c r="O776" s="116">
        <v>67.5</v>
      </c>
      <c r="P776" s="116">
        <v>67.974999999999994</v>
      </c>
      <c r="Q776" s="116">
        <v>139.85</v>
      </c>
      <c r="R776">
        <v>2193796</v>
      </c>
    </row>
    <row r="777" spans="1:18" x14ac:dyDescent="0.25">
      <c r="A777" s="169">
        <v>43145</v>
      </c>
      <c r="B777" s="116">
        <v>72.3</v>
      </c>
      <c r="C777" s="116">
        <v>70.224999999999994</v>
      </c>
      <c r="D777" s="116">
        <v>69.900000000000006</v>
      </c>
      <c r="E777" s="116">
        <v>70.75</v>
      </c>
      <c r="F777" s="116">
        <v>140.44999999999999</v>
      </c>
      <c r="G777">
        <v>435121</v>
      </c>
      <c r="H777" s="116"/>
      <c r="I777" s="116"/>
      <c r="L777" s="169">
        <v>43145</v>
      </c>
      <c r="M777" s="116">
        <v>70.125</v>
      </c>
      <c r="N777" s="116">
        <v>72.349999999999994</v>
      </c>
      <c r="O777" s="116">
        <v>69.625</v>
      </c>
      <c r="P777" s="116">
        <v>70.75</v>
      </c>
      <c r="Q777" s="116">
        <v>140.25</v>
      </c>
      <c r="R777">
        <v>1744540</v>
      </c>
    </row>
    <row r="778" spans="1:18" x14ac:dyDescent="0.25">
      <c r="A778" s="169">
        <v>43146</v>
      </c>
      <c r="B778" s="116">
        <v>71.75</v>
      </c>
      <c r="C778" s="116">
        <v>67.650000000000006</v>
      </c>
      <c r="D778" s="116">
        <v>67.150000000000006</v>
      </c>
      <c r="E778" s="116">
        <v>70.75</v>
      </c>
      <c r="F778" s="116">
        <v>135.30000000000001</v>
      </c>
      <c r="G778">
        <v>292774</v>
      </c>
      <c r="H778" s="116"/>
      <c r="I778" s="116"/>
      <c r="L778" s="169">
        <v>43146</v>
      </c>
      <c r="M778" s="116">
        <v>67.775000000000006</v>
      </c>
      <c r="N778" s="116">
        <v>71.7</v>
      </c>
      <c r="O778" s="116">
        <v>67.25</v>
      </c>
      <c r="P778" s="116">
        <v>70.625</v>
      </c>
      <c r="Q778" s="116">
        <v>135.55000000000001</v>
      </c>
      <c r="R778">
        <v>1227760</v>
      </c>
    </row>
    <row r="779" spans="1:18" x14ac:dyDescent="0.25">
      <c r="A779" s="169">
        <v>43147</v>
      </c>
      <c r="B779" s="116">
        <v>69.5</v>
      </c>
      <c r="C779" s="116">
        <v>66.150000000000006</v>
      </c>
      <c r="D779" s="116">
        <v>65.05</v>
      </c>
      <c r="E779" s="116">
        <v>67.650000000000006</v>
      </c>
      <c r="F779" s="116">
        <v>132.30000000000001</v>
      </c>
      <c r="G779">
        <v>230683</v>
      </c>
      <c r="H779" s="116"/>
      <c r="I779" s="116"/>
      <c r="L779" s="169">
        <v>43147</v>
      </c>
      <c r="M779" s="116">
        <v>66.224999999999994</v>
      </c>
      <c r="N779" s="116">
        <v>69.400000000000006</v>
      </c>
      <c r="O779" s="116">
        <v>64.974999999999994</v>
      </c>
      <c r="P779" s="116">
        <v>68.5</v>
      </c>
      <c r="Q779" s="116">
        <v>132.44999999999999</v>
      </c>
      <c r="R779">
        <v>1171499</v>
      </c>
    </row>
    <row r="780" spans="1:18" x14ac:dyDescent="0.25">
      <c r="A780" s="169">
        <v>43150</v>
      </c>
      <c r="B780" s="116">
        <v>66.775000000000006</v>
      </c>
      <c r="C780" s="116">
        <v>63.524999999999999</v>
      </c>
      <c r="D780" s="116">
        <v>62</v>
      </c>
      <c r="E780" s="116">
        <v>66</v>
      </c>
      <c r="F780" s="116">
        <v>127.05</v>
      </c>
      <c r="G780">
        <v>295736</v>
      </c>
      <c r="H780" s="116"/>
      <c r="I780" s="116"/>
      <c r="L780" s="169">
        <v>43150</v>
      </c>
      <c r="M780" s="116">
        <v>63.475000000000001</v>
      </c>
      <c r="N780" s="116">
        <v>66.75</v>
      </c>
      <c r="O780" s="116">
        <v>61.75</v>
      </c>
      <c r="P780" s="116">
        <v>66.75</v>
      </c>
      <c r="Q780" s="116">
        <v>126.95</v>
      </c>
      <c r="R780">
        <v>1538311</v>
      </c>
    </row>
    <row r="781" spans="1:18" x14ac:dyDescent="0.25">
      <c r="A781" s="169">
        <v>43151</v>
      </c>
      <c r="B781" s="116">
        <v>67.900000000000006</v>
      </c>
      <c r="C781" s="116">
        <v>66.924999999999997</v>
      </c>
      <c r="D781" s="116">
        <v>63</v>
      </c>
      <c r="E781" s="116">
        <v>63.5</v>
      </c>
      <c r="F781" s="116">
        <v>133.85</v>
      </c>
      <c r="G781">
        <v>413073</v>
      </c>
      <c r="H781" s="116"/>
      <c r="I781" s="116"/>
      <c r="L781" s="169">
        <v>43151</v>
      </c>
      <c r="M781" s="116">
        <v>66.900000000000006</v>
      </c>
      <c r="N781" s="116">
        <v>68</v>
      </c>
      <c r="O781" s="116">
        <v>62.725000000000001</v>
      </c>
      <c r="P781" s="116">
        <v>63.5</v>
      </c>
      <c r="Q781" s="116">
        <v>133.80000000000001</v>
      </c>
      <c r="R781">
        <v>2066432</v>
      </c>
    </row>
    <row r="782" spans="1:18" x14ac:dyDescent="0.25">
      <c r="A782" s="169">
        <v>43152</v>
      </c>
      <c r="B782" s="116">
        <v>68.95</v>
      </c>
      <c r="C782" s="116">
        <v>68.150000000000006</v>
      </c>
      <c r="D782" s="116">
        <v>66.724999999999994</v>
      </c>
      <c r="E782" s="116">
        <v>68.075000000000003</v>
      </c>
      <c r="F782" s="116">
        <v>136.30000000000001</v>
      </c>
      <c r="G782">
        <v>246066</v>
      </c>
      <c r="H782" s="116"/>
      <c r="I782" s="116"/>
      <c r="L782" s="169">
        <v>43152</v>
      </c>
      <c r="M782" s="116">
        <v>68.2</v>
      </c>
      <c r="N782" s="116">
        <v>68.95</v>
      </c>
      <c r="O782" s="116">
        <v>66.525000000000006</v>
      </c>
      <c r="P782" s="116">
        <v>67.95</v>
      </c>
      <c r="Q782" s="116">
        <v>136.4</v>
      </c>
      <c r="R782">
        <v>1523773</v>
      </c>
    </row>
    <row r="783" spans="1:18" x14ac:dyDescent="0.25">
      <c r="A783" s="169">
        <v>43153</v>
      </c>
      <c r="B783" s="116">
        <v>68.95</v>
      </c>
      <c r="C783" s="116">
        <v>67.2</v>
      </c>
      <c r="D783" s="116">
        <v>66.25</v>
      </c>
      <c r="E783" s="116">
        <v>67.2</v>
      </c>
      <c r="F783" s="116">
        <v>134.4</v>
      </c>
      <c r="G783">
        <v>141510</v>
      </c>
      <c r="H783" s="116"/>
      <c r="I783" s="116"/>
      <c r="L783" s="169">
        <v>43153</v>
      </c>
      <c r="M783" s="116">
        <v>67.125</v>
      </c>
      <c r="N783" s="116">
        <v>68.924999999999997</v>
      </c>
      <c r="O783" s="116">
        <v>66.099999999999994</v>
      </c>
      <c r="P783" s="116">
        <v>67.075000000000003</v>
      </c>
      <c r="Q783" s="116">
        <v>134.25</v>
      </c>
      <c r="R783">
        <v>961087</v>
      </c>
    </row>
    <row r="784" spans="1:18" x14ac:dyDescent="0.25">
      <c r="A784" s="169">
        <v>43154</v>
      </c>
      <c r="B784" s="116">
        <v>69.75</v>
      </c>
      <c r="C784" s="116">
        <v>69.2</v>
      </c>
      <c r="D784" s="116">
        <v>66.5</v>
      </c>
      <c r="E784" s="116">
        <v>67.5</v>
      </c>
      <c r="F784" s="116">
        <v>138.4</v>
      </c>
      <c r="G784">
        <v>202781</v>
      </c>
      <c r="H784" s="116"/>
      <c r="I784" s="116"/>
      <c r="L784" s="169">
        <v>43154</v>
      </c>
      <c r="M784" s="116">
        <v>69.349999999999994</v>
      </c>
      <c r="N784" s="116">
        <v>70</v>
      </c>
      <c r="O784" s="116">
        <v>66.7</v>
      </c>
      <c r="P784" s="116">
        <v>67.650000000000006</v>
      </c>
      <c r="Q784" s="116">
        <v>138.69999999999999</v>
      </c>
      <c r="R784">
        <v>1483251</v>
      </c>
    </row>
    <row r="785" spans="1:18" x14ac:dyDescent="0.25">
      <c r="A785" s="169">
        <v>43157</v>
      </c>
      <c r="B785" s="116">
        <v>72.150000000000006</v>
      </c>
      <c r="C785" s="116">
        <v>70.95</v>
      </c>
      <c r="D785" s="116">
        <v>69</v>
      </c>
      <c r="E785" s="116">
        <v>69</v>
      </c>
      <c r="F785" s="116">
        <v>141.9</v>
      </c>
      <c r="G785">
        <v>236701</v>
      </c>
      <c r="H785" s="116"/>
      <c r="I785" s="116"/>
      <c r="L785" s="169">
        <v>43157</v>
      </c>
      <c r="M785" s="116">
        <v>71.099999999999994</v>
      </c>
      <c r="N785" s="116">
        <v>72.25</v>
      </c>
      <c r="O785" s="116">
        <v>69.325000000000003</v>
      </c>
      <c r="P785" s="116">
        <v>69.875</v>
      </c>
      <c r="Q785" s="116">
        <v>142.19999999999999</v>
      </c>
      <c r="R785">
        <v>1471458</v>
      </c>
    </row>
    <row r="786" spans="1:18" x14ac:dyDescent="0.25">
      <c r="A786" s="169">
        <v>43158</v>
      </c>
      <c r="B786" s="116">
        <v>71.75</v>
      </c>
      <c r="C786" s="116">
        <v>69.125</v>
      </c>
      <c r="D786" s="116">
        <v>68.8</v>
      </c>
      <c r="E786" s="116">
        <v>71.5</v>
      </c>
      <c r="F786" s="116">
        <v>138.25</v>
      </c>
      <c r="G786">
        <v>132567</v>
      </c>
      <c r="H786" s="116"/>
      <c r="I786" s="116"/>
      <c r="L786" s="169">
        <v>43158</v>
      </c>
      <c r="M786" s="116">
        <v>69.125</v>
      </c>
      <c r="N786" s="116">
        <v>71.650000000000006</v>
      </c>
      <c r="O786" s="116">
        <v>68.55</v>
      </c>
      <c r="P786" s="116">
        <v>71.275000000000006</v>
      </c>
      <c r="Q786" s="116">
        <v>138.25</v>
      </c>
      <c r="R786">
        <v>896552</v>
      </c>
    </row>
    <row r="787" spans="1:18" x14ac:dyDescent="0.25">
      <c r="A787" s="169">
        <v>43159</v>
      </c>
      <c r="B787" s="116">
        <v>69.525000000000006</v>
      </c>
      <c r="C787" s="116">
        <v>69.099999999999994</v>
      </c>
      <c r="D787" s="116">
        <v>67.625</v>
      </c>
      <c r="E787" s="116">
        <v>68.5</v>
      </c>
      <c r="F787" s="116">
        <v>138.19999999999999</v>
      </c>
      <c r="G787">
        <v>149459</v>
      </c>
      <c r="H787" s="116"/>
      <c r="I787" s="116"/>
      <c r="L787" s="169">
        <v>43159</v>
      </c>
      <c r="M787" s="116">
        <v>69.174999999999997</v>
      </c>
      <c r="N787" s="116">
        <v>69.5</v>
      </c>
      <c r="O787" s="116">
        <v>67.599999999999994</v>
      </c>
      <c r="P787" s="116">
        <v>68.05</v>
      </c>
      <c r="Q787" s="116">
        <v>138.35</v>
      </c>
      <c r="R787">
        <v>996756</v>
      </c>
    </row>
    <row r="788" spans="1:18" x14ac:dyDescent="0.25">
      <c r="A788" s="169">
        <v>43160</v>
      </c>
      <c r="B788" s="116">
        <v>70.3</v>
      </c>
      <c r="C788" s="116">
        <v>67.575000000000003</v>
      </c>
      <c r="D788" s="116">
        <v>67.05</v>
      </c>
      <c r="E788" s="116">
        <v>68.5</v>
      </c>
      <c r="F788" s="116">
        <v>135.15</v>
      </c>
      <c r="G788">
        <v>151801</v>
      </c>
      <c r="H788" s="116"/>
      <c r="I788" s="116"/>
      <c r="L788" s="169">
        <v>43160</v>
      </c>
      <c r="M788" s="116">
        <v>67.474999999999994</v>
      </c>
      <c r="N788" s="116">
        <v>70.275000000000006</v>
      </c>
      <c r="O788" s="116">
        <v>67</v>
      </c>
      <c r="P788" s="116">
        <v>68.625</v>
      </c>
      <c r="Q788" s="116">
        <v>134.94999999999999</v>
      </c>
      <c r="R788">
        <v>765950</v>
      </c>
    </row>
    <row r="789" spans="1:18" x14ac:dyDescent="0.25">
      <c r="A789" s="169">
        <v>43164</v>
      </c>
      <c r="B789" s="116">
        <v>67.325000000000003</v>
      </c>
      <c r="C789" s="116">
        <v>65.525000000000006</v>
      </c>
      <c r="D789" s="116">
        <v>63.674999999999997</v>
      </c>
      <c r="E789" s="116">
        <v>67.25</v>
      </c>
      <c r="F789" s="116">
        <v>131.05000000000001</v>
      </c>
      <c r="G789">
        <v>245790</v>
      </c>
      <c r="H789" s="116"/>
      <c r="I789" s="116"/>
      <c r="L789" s="169">
        <v>43164</v>
      </c>
      <c r="M789" s="116">
        <v>65.5</v>
      </c>
      <c r="N789" s="116">
        <v>67.474999999999994</v>
      </c>
      <c r="O789" s="116">
        <v>63.65</v>
      </c>
      <c r="P789" s="116">
        <v>66.75</v>
      </c>
      <c r="Q789" s="116">
        <v>131</v>
      </c>
      <c r="R789">
        <v>1591635</v>
      </c>
    </row>
    <row r="790" spans="1:18" x14ac:dyDescent="0.25">
      <c r="A790" s="169">
        <v>43165</v>
      </c>
      <c r="B790" s="116">
        <v>68.5</v>
      </c>
      <c r="C790" s="116">
        <v>65</v>
      </c>
      <c r="D790" s="116">
        <v>64.5</v>
      </c>
      <c r="E790" s="116">
        <v>66.5</v>
      </c>
      <c r="F790" s="116">
        <v>130</v>
      </c>
      <c r="G790">
        <v>155833</v>
      </c>
      <c r="H790" s="116"/>
      <c r="I790" s="116"/>
      <c r="L790" s="169">
        <v>43165</v>
      </c>
      <c r="M790" s="116">
        <v>64.849999999999994</v>
      </c>
      <c r="N790" s="116">
        <v>68.525000000000006</v>
      </c>
      <c r="O790" s="116">
        <v>64.25</v>
      </c>
      <c r="P790" s="116">
        <v>66.5</v>
      </c>
      <c r="Q790" s="116">
        <v>129.69999999999999</v>
      </c>
      <c r="R790">
        <v>903960</v>
      </c>
    </row>
    <row r="791" spans="1:18" x14ac:dyDescent="0.25">
      <c r="A791" s="169">
        <v>43166</v>
      </c>
      <c r="B791" s="116">
        <v>65.625</v>
      </c>
      <c r="C791" s="116">
        <v>62.225000000000001</v>
      </c>
      <c r="D791" s="116">
        <v>61.875</v>
      </c>
      <c r="E791" s="116">
        <v>65.625</v>
      </c>
      <c r="F791" s="116">
        <v>124.45</v>
      </c>
      <c r="G791">
        <v>302895</v>
      </c>
      <c r="H791" s="116"/>
      <c r="I791" s="116"/>
      <c r="L791" s="169">
        <v>43166</v>
      </c>
      <c r="M791" s="116">
        <v>62.174999999999997</v>
      </c>
      <c r="N791" s="116">
        <v>65.400000000000006</v>
      </c>
      <c r="O791" s="116">
        <v>61.924999999999997</v>
      </c>
      <c r="P791" s="116">
        <v>64.75</v>
      </c>
      <c r="Q791" s="116">
        <v>124.35</v>
      </c>
      <c r="R791">
        <v>1367784</v>
      </c>
    </row>
    <row r="792" spans="1:18" x14ac:dyDescent="0.25">
      <c r="A792" s="169">
        <v>43167</v>
      </c>
      <c r="B792" s="116">
        <v>63.924999999999997</v>
      </c>
      <c r="C792" s="116">
        <v>62.45</v>
      </c>
      <c r="D792" s="116">
        <v>60.375</v>
      </c>
      <c r="E792" s="116">
        <v>63.1</v>
      </c>
      <c r="F792" s="116">
        <v>124.9</v>
      </c>
      <c r="G792">
        <v>244587</v>
      </c>
      <c r="H792" s="116"/>
      <c r="I792" s="116"/>
      <c r="L792" s="169">
        <v>43167</v>
      </c>
      <c r="M792" s="116">
        <v>62.575000000000003</v>
      </c>
      <c r="N792" s="116">
        <v>64</v>
      </c>
      <c r="O792" s="116">
        <v>60.25</v>
      </c>
      <c r="P792" s="116">
        <v>63.25</v>
      </c>
      <c r="Q792" s="116">
        <v>125.15</v>
      </c>
      <c r="R792">
        <v>1723235</v>
      </c>
    </row>
    <row r="793" spans="1:18" x14ac:dyDescent="0.25">
      <c r="A793" s="169">
        <v>43168</v>
      </c>
      <c r="B793" s="116">
        <v>63.325000000000003</v>
      </c>
      <c r="C793" s="116">
        <v>60.475000000000001</v>
      </c>
      <c r="D793" s="116">
        <v>60</v>
      </c>
      <c r="E793" s="116">
        <v>63.05</v>
      </c>
      <c r="F793" s="116">
        <v>120.95</v>
      </c>
      <c r="G793">
        <v>186585</v>
      </c>
      <c r="H793" s="116"/>
      <c r="I793" s="116"/>
      <c r="L793" s="169">
        <v>43168</v>
      </c>
      <c r="M793" s="116">
        <v>60.625</v>
      </c>
      <c r="N793" s="116">
        <v>63.3</v>
      </c>
      <c r="O793" s="116">
        <v>60.1</v>
      </c>
      <c r="P793" s="116">
        <v>62.85</v>
      </c>
      <c r="Q793" s="116">
        <v>121.25</v>
      </c>
      <c r="R793">
        <v>1017918</v>
      </c>
    </row>
    <row r="794" spans="1:18" x14ac:dyDescent="0.25">
      <c r="A794" s="169">
        <v>43171</v>
      </c>
      <c r="B794" s="116">
        <v>61.875</v>
      </c>
      <c r="C794" s="116">
        <v>59.1</v>
      </c>
      <c r="D794" s="116">
        <v>58.25</v>
      </c>
      <c r="E794" s="116">
        <v>61.5</v>
      </c>
      <c r="F794" s="116">
        <v>118.2</v>
      </c>
      <c r="G794">
        <v>208751</v>
      </c>
      <c r="H794" s="116"/>
      <c r="I794" s="116"/>
      <c r="L794" s="169">
        <v>43171</v>
      </c>
      <c r="M794" s="116">
        <v>59.125</v>
      </c>
      <c r="N794" s="116">
        <v>61.825000000000003</v>
      </c>
      <c r="O794" s="116">
        <v>58.075000000000003</v>
      </c>
      <c r="P794" s="116">
        <v>61.65</v>
      </c>
      <c r="Q794" s="116">
        <v>118.25</v>
      </c>
      <c r="R794">
        <v>1166314</v>
      </c>
    </row>
    <row r="795" spans="1:18" x14ac:dyDescent="0.25">
      <c r="A795" s="169">
        <v>43172</v>
      </c>
      <c r="B795" s="116">
        <v>62.1</v>
      </c>
      <c r="C795" s="116">
        <v>61.65</v>
      </c>
      <c r="D795" s="116">
        <v>58.9</v>
      </c>
      <c r="E795" s="116">
        <v>59.075000000000003</v>
      </c>
      <c r="F795" s="116">
        <v>123.3</v>
      </c>
      <c r="G795">
        <v>223482</v>
      </c>
      <c r="H795" s="116"/>
      <c r="I795" s="116"/>
      <c r="L795" s="169">
        <v>43172</v>
      </c>
      <c r="M795" s="116">
        <v>61.65</v>
      </c>
      <c r="N795" s="116">
        <v>62.125</v>
      </c>
      <c r="O795" s="116">
        <v>59.2</v>
      </c>
      <c r="P795" s="116">
        <v>59.225000000000001</v>
      </c>
      <c r="Q795" s="116">
        <v>123.3</v>
      </c>
      <c r="R795">
        <v>1591282</v>
      </c>
    </row>
    <row r="796" spans="1:18" x14ac:dyDescent="0.25">
      <c r="A796" s="169">
        <v>43173</v>
      </c>
      <c r="B796" s="116">
        <v>62.15</v>
      </c>
      <c r="C796" s="116">
        <v>61.725000000000001</v>
      </c>
      <c r="D796" s="116">
        <v>60.75</v>
      </c>
      <c r="E796" s="116">
        <v>61.4</v>
      </c>
      <c r="F796" s="116">
        <v>123.45</v>
      </c>
      <c r="G796">
        <v>329340</v>
      </c>
      <c r="H796" s="116"/>
      <c r="I796" s="116"/>
      <c r="L796" s="169">
        <v>43173</v>
      </c>
      <c r="M796" s="116">
        <v>61.55</v>
      </c>
      <c r="N796" s="116">
        <v>62.174999999999997</v>
      </c>
      <c r="O796" s="116">
        <v>60.625</v>
      </c>
      <c r="P796" s="116">
        <v>61.5</v>
      </c>
      <c r="Q796" s="116">
        <v>123.1</v>
      </c>
      <c r="R796">
        <v>1356407</v>
      </c>
    </row>
    <row r="797" spans="1:18" x14ac:dyDescent="0.25">
      <c r="A797" s="169">
        <v>43174</v>
      </c>
      <c r="B797" s="116">
        <v>65.75</v>
      </c>
      <c r="C797" s="116">
        <v>64.099999999999994</v>
      </c>
      <c r="D797" s="116">
        <v>61.5</v>
      </c>
      <c r="E797" s="116">
        <v>61.6</v>
      </c>
      <c r="F797" s="116">
        <v>128.19999999999999</v>
      </c>
      <c r="G797">
        <v>320948</v>
      </c>
      <c r="H797" s="116"/>
      <c r="I797" s="116"/>
      <c r="L797" s="169">
        <v>43174</v>
      </c>
      <c r="M797" s="116">
        <v>63.975000000000001</v>
      </c>
      <c r="N797" s="116">
        <v>65.7</v>
      </c>
      <c r="O797" s="116">
        <v>61.5</v>
      </c>
      <c r="P797" s="116">
        <v>61.5</v>
      </c>
      <c r="Q797" s="116">
        <v>127.95</v>
      </c>
      <c r="R797">
        <v>2245663</v>
      </c>
    </row>
    <row r="798" spans="1:18" x14ac:dyDescent="0.25">
      <c r="A798" s="169">
        <v>43175</v>
      </c>
      <c r="B798" s="116">
        <v>65.400000000000006</v>
      </c>
      <c r="C798" s="116">
        <v>63.225000000000001</v>
      </c>
      <c r="D798" s="116">
        <v>62.55</v>
      </c>
      <c r="E798" s="116">
        <v>64.25</v>
      </c>
      <c r="F798" s="116">
        <v>126.45</v>
      </c>
      <c r="G798">
        <v>209880</v>
      </c>
      <c r="H798" s="116"/>
      <c r="I798" s="116"/>
      <c r="L798" s="169">
        <v>43175</v>
      </c>
      <c r="M798" s="116">
        <v>63.274999999999999</v>
      </c>
      <c r="N798" s="116">
        <v>65.5</v>
      </c>
      <c r="O798" s="116">
        <v>62.55</v>
      </c>
      <c r="P798" s="116">
        <v>64.05</v>
      </c>
      <c r="Q798" s="116">
        <v>126.55</v>
      </c>
      <c r="R798">
        <v>1510230</v>
      </c>
    </row>
    <row r="799" spans="1:18" x14ac:dyDescent="0.25">
      <c r="A799" s="169">
        <v>43178</v>
      </c>
      <c r="B799" s="116">
        <v>63.875</v>
      </c>
      <c r="C799" s="116">
        <v>60.674999999999997</v>
      </c>
      <c r="D799" s="116">
        <v>60.325000000000003</v>
      </c>
      <c r="E799" s="116">
        <v>63.75</v>
      </c>
      <c r="F799" s="116">
        <v>121.35</v>
      </c>
      <c r="G799">
        <v>144528</v>
      </c>
      <c r="H799" s="116"/>
      <c r="I799" s="116"/>
      <c r="L799" s="169">
        <v>43178</v>
      </c>
      <c r="M799" s="116">
        <v>60.575000000000003</v>
      </c>
      <c r="N799" s="116">
        <v>63.875</v>
      </c>
      <c r="O799" s="116">
        <v>60.1</v>
      </c>
      <c r="P799" s="116">
        <v>63.6</v>
      </c>
      <c r="Q799" s="116">
        <v>121.15</v>
      </c>
      <c r="R799">
        <v>1025051</v>
      </c>
    </row>
    <row r="800" spans="1:18" x14ac:dyDescent="0.25">
      <c r="A800" s="169">
        <v>43179</v>
      </c>
      <c r="B800" s="116">
        <v>62.45</v>
      </c>
      <c r="C800" s="116">
        <v>60.274999999999999</v>
      </c>
      <c r="D800" s="116">
        <v>59.25</v>
      </c>
      <c r="E800" s="116">
        <v>60.325000000000003</v>
      </c>
      <c r="F800" s="116">
        <v>120.55</v>
      </c>
      <c r="G800">
        <v>169743</v>
      </c>
      <c r="H800" s="116"/>
      <c r="I800" s="116"/>
      <c r="L800" s="169">
        <v>43179</v>
      </c>
      <c r="M800" s="116">
        <v>60.424999999999997</v>
      </c>
      <c r="N800" s="116">
        <v>62.475000000000001</v>
      </c>
      <c r="O800" s="116">
        <v>59.55</v>
      </c>
      <c r="P800" s="116">
        <v>60.524999999999999</v>
      </c>
      <c r="Q800" s="116">
        <v>120.85</v>
      </c>
      <c r="R800">
        <v>989378</v>
      </c>
    </row>
    <row r="801" spans="1:18" x14ac:dyDescent="0.25">
      <c r="A801" s="169">
        <v>43180</v>
      </c>
      <c r="B801" s="116">
        <v>63</v>
      </c>
      <c r="C801" s="116">
        <v>61.45</v>
      </c>
      <c r="D801" s="116">
        <v>61.15</v>
      </c>
      <c r="E801" s="116">
        <v>61.375</v>
      </c>
      <c r="F801" s="116">
        <v>122.9</v>
      </c>
      <c r="G801">
        <v>148211</v>
      </c>
      <c r="H801" s="116"/>
      <c r="I801" s="116"/>
      <c r="L801" s="169">
        <v>43180</v>
      </c>
      <c r="M801" s="116">
        <v>61.6</v>
      </c>
      <c r="N801" s="116">
        <v>63.15</v>
      </c>
      <c r="O801" s="116">
        <v>61.075000000000003</v>
      </c>
      <c r="P801" s="116">
        <v>61.075000000000003</v>
      </c>
      <c r="Q801" s="116">
        <v>123.2</v>
      </c>
      <c r="R801">
        <v>1057332</v>
      </c>
    </row>
    <row r="802" spans="1:18" x14ac:dyDescent="0.25">
      <c r="A802" s="169">
        <v>43181</v>
      </c>
      <c r="B802" s="116">
        <v>62.45</v>
      </c>
      <c r="C802" s="116">
        <v>60.05</v>
      </c>
      <c r="D802" s="116">
        <v>59.85</v>
      </c>
      <c r="E802" s="116">
        <v>61.55</v>
      </c>
      <c r="F802" s="116">
        <v>120.1</v>
      </c>
      <c r="G802">
        <v>155075</v>
      </c>
      <c r="H802" s="116"/>
      <c r="I802" s="116"/>
      <c r="L802" s="169">
        <v>43181</v>
      </c>
      <c r="M802" s="116">
        <v>60.1</v>
      </c>
      <c r="N802" s="116">
        <v>62.375</v>
      </c>
      <c r="O802" s="116">
        <v>59.9</v>
      </c>
      <c r="P802" s="116">
        <v>61.725000000000001</v>
      </c>
      <c r="Q802" s="116">
        <v>120.2</v>
      </c>
      <c r="R802">
        <v>784527</v>
      </c>
    </row>
    <row r="803" spans="1:18" x14ac:dyDescent="0.25">
      <c r="A803" s="169">
        <v>43182</v>
      </c>
      <c r="B803" s="116">
        <v>59.125</v>
      </c>
      <c r="C803" s="116">
        <v>57.8</v>
      </c>
      <c r="D803" s="116">
        <v>57.5</v>
      </c>
      <c r="E803" s="116">
        <v>58.5</v>
      </c>
      <c r="F803" s="116">
        <v>115.6</v>
      </c>
      <c r="G803">
        <v>131208</v>
      </c>
      <c r="H803" s="116"/>
      <c r="I803" s="116"/>
      <c r="L803" s="169">
        <v>43182</v>
      </c>
      <c r="M803" s="116">
        <v>57.7</v>
      </c>
      <c r="N803" s="116">
        <v>59.125</v>
      </c>
      <c r="O803" s="116">
        <v>57.5</v>
      </c>
      <c r="P803" s="116">
        <v>58.15</v>
      </c>
      <c r="Q803" s="116">
        <v>115.4</v>
      </c>
      <c r="R803">
        <v>1149574</v>
      </c>
    </row>
    <row r="804" spans="1:18" x14ac:dyDescent="0.25">
      <c r="A804" s="169">
        <v>43185</v>
      </c>
      <c r="B804" s="116">
        <v>59.65</v>
      </c>
      <c r="C804" s="116">
        <v>59.174999999999997</v>
      </c>
      <c r="D804" s="116">
        <v>56.8</v>
      </c>
      <c r="E804" s="116">
        <v>57</v>
      </c>
      <c r="F804" s="116">
        <v>118.35</v>
      </c>
      <c r="G804">
        <v>176313</v>
      </c>
      <c r="H804" s="116"/>
      <c r="I804" s="116"/>
      <c r="L804" s="169">
        <v>43185</v>
      </c>
      <c r="M804" s="116">
        <v>59.274999999999999</v>
      </c>
      <c r="N804" s="116">
        <v>59.9</v>
      </c>
      <c r="O804" s="116">
        <v>56.774999999999999</v>
      </c>
      <c r="P804" s="116">
        <v>57.975000000000001</v>
      </c>
      <c r="Q804" s="116">
        <v>118.55</v>
      </c>
      <c r="R804">
        <v>1437436</v>
      </c>
    </row>
    <row r="805" spans="1:18" x14ac:dyDescent="0.25">
      <c r="A805" s="169">
        <v>43186</v>
      </c>
      <c r="B805" s="116">
        <v>61.9</v>
      </c>
      <c r="C805" s="116">
        <v>61.375</v>
      </c>
      <c r="D805" s="116">
        <v>59.75</v>
      </c>
      <c r="E805" s="116">
        <v>59.75</v>
      </c>
      <c r="F805" s="116">
        <v>122.75</v>
      </c>
      <c r="G805">
        <v>139495</v>
      </c>
      <c r="H805" s="116"/>
      <c r="I805" s="116"/>
      <c r="L805" s="169">
        <v>43186</v>
      </c>
      <c r="M805" s="116">
        <v>61.3</v>
      </c>
      <c r="N805" s="116">
        <v>61.95</v>
      </c>
      <c r="O805" s="116">
        <v>60.125</v>
      </c>
      <c r="P805" s="116">
        <v>60.35</v>
      </c>
      <c r="Q805" s="116">
        <v>122.6</v>
      </c>
      <c r="R805">
        <v>1006094</v>
      </c>
    </row>
    <row r="806" spans="1:18" x14ac:dyDescent="0.25">
      <c r="A806" s="169">
        <v>43187</v>
      </c>
      <c r="B806" s="116">
        <v>61.174999999999997</v>
      </c>
      <c r="C806" s="116">
        <v>59.5</v>
      </c>
      <c r="D806" s="116">
        <v>58.8</v>
      </c>
      <c r="E806" s="116">
        <v>60.575000000000003</v>
      </c>
      <c r="F806" s="116">
        <v>119</v>
      </c>
      <c r="G806">
        <v>121349</v>
      </c>
      <c r="H806" s="116"/>
      <c r="I806" s="116"/>
      <c r="L806" s="169">
        <v>43187</v>
      </c>
      <c r="M806" s="116">
        <v>59.375</v>
      </c>
      <c r="N806" s="116">
        <v>61.2</v>
      </c>
      <c r="O806" s="116">
        <v>58.75</v>
      </c>
      <c r="P806" s="116">
        <v>60.875</v>
      </c>
      <c r="Q806" s="116">
        <v>118.75</v>
      </c>
      <c r="R806">
        <v>622593</v>
      </c>
    </row>
    <row r="807" spans="1:18" x14ac:dyDescent="0.25">
      <c r="A807" s="169">
        <v>43192</v>
      </c>
      <c r="B807" s="116">
        <v>62.25</v>
      </c>
      <c r="C807" s="116">
        <v>61.9</v>
      </c>
      <c r="D807" s="116">
        <v>60.125</v>
      </c>
      <c r="E807" s="116">
        <v>60.4</v>
      </c>
      <c r="F807" s="116">
        <v>123.8</v>
      </c>
      <c r="G807">
        <v>126886</v>
      </c>
      <c r="H807" s="116"/>
      <c r="I807" s="116"/>
      <c r="L807" s="169">
        <v>43192</v>
      </c>
      <c r="M807" s="116">
        <v>62</v>
      </c>
      <c r="N807" s="116">
        <v>62.35</v>
      </c>
      <c r="O807" s="116">
        <v>60.125</v>
      </c>
      <c r="P807" s="116">
        <v>60.575000000000003</v>
      </c>
      <c r="Q807" s="116">
        <v>124</v>
      </c>
      <c r="R807">
        <v>798909</v>
      </c>
    </row>
    <row r="808" spans="1:18" x14ac:dyDescent="0.25">
      <c r="A808" s="169">
        <v>43193</v>
      </c>
      <c r="B808" s="116">
        <v>64.25</v>
      </c>
      <c r="C808" s="116">
        <v>63.975000000000001</v>
      </c>
      <c r="D808" s="116">
        <v>60.2</v>
      </c>
      <c r="E808" s="116">
        <v>61.5</v>
      </c>
      <c r="F808" s="116">
        <v>127.95</v>
      </c>
      <c r="G808">
        <v>259777</v>
      </c>
      <c r="H808" s="116"/>
      <c r="I808" s="116"/>
      <c r="L808" s="169">
        <v>43193</v>
      </c>
      <c r="M808" s="116">
        <v>64.099999999999994</v>
      </c>
      <c r="N808" s="116">
        <v>64.45</v>
      </c>
      <c r="O808" s="116">
        <v>60.05</v>
      </c>
      <c r="P808" s="116">
        <v>61.375</v>
      </c>
      <c r="Q808" s="116">
        <v>128.19999999999999</v>
      </c>
      <c r="R808">
        <v>1612449</v>
      </c>
    </row>
    <row r="809" spans="1:18" x14ac:dyDescent="0.25">
      <c r="A809" s="169">
        <v>43194</v>
      </c>
      <c r="B809" s="116">
        <v>65.375</v>
      </c>
      <c r="C809" s="116">
        <v>61.725000000000001</v>
      </c>
      <c r="D809" s="116">
        <v>61.375</v>
      </c>
      <c r="E809" s="116">
        <v>64.650000000000006</v>
      </c>
      <c r="F809" s="116">
        <v>123.45</v>
      </c>
      <c r="G809">
        <v>295085</v>
      </c>
      <c r="H809" s="116"/>
      <c r="I809" s="116"/>
      <c r="L809" s="169">
        <v>43194</v>
      </c>
      <c r="M809" s="116">
        <v>61.8</v>
      </c>
      <c r="N809" s="116">
        <v>65.349999999999994</v>
      </c>
      <c r="O809" s="116">
        <v>61.5</v>
      </c>
      <c r="P809" s="116">
        <v>64.025000000000006</v>
      </c>
      <c r="Q809" s="116">
        <v>123.6</v>
      </c>
      <c r="R809">
        <v>1435938</v>
      </c>
    </row>
    <row r="810" spans="1:18" x14ac:dyDescent="0.25">
      <c r="A810" s="169">
        <v>43195</v>
      </c>
      <c r="B810" s="116">
        <v>64.2</v>
      </c>
      <c r="C810" s="116">
        <v>63.5</v>
      </c>
      <c r="D810" s="116">
        <v>62.924999999999997</v>
      </c>
      <c r="E810" s="116">
        <v>63</v>
      </c>
      <c r="F810" s="116">
        <v>127</v>
      </c>
      <c r="G810">
        <v>125708</v>
      </c>
      <c r="H810" s="116"/>
      <c r="I810" s="116"/>
      <c r="L810" s="169">
        <v>43195</v>
      </c>
      <c r="M810" s="116">
        <v>63.55</v>
      </c>
      <c r="N810" s="116">
        <v>64.224999999999994</v>
      </c>
      <c r="O810" s="116">
        <v>62.774999999999999</v>
      </c>
      <c r="P810" s="116">
        <v>63.6</v>
      </c>
      <c r="Q810" s="116">
        <v>127.1</v>
      </c>
      <c r="R810">
        <v>938842</v>
      </c>
    </row>
    <row r="811" spans="1:18" x14ac:dyDescent="0.25">
      <c r="A811" s="169">
        <v>43196</v>
      </c>
      <c r="B811" s="116">
        <v>63.975000000000001</v>
      </c>
      <c r="C811" s="116">
        <v>63</v>
      </c>
      <c r="D811" s="116">
        <v>62.2</v>
      </c>
      <c r="E811" s="116">
        <v>63.975000000000001</v>
      </c>
      <c r="F811" s="116">
        <v>126</v>
      </c>
      <c r="G811">
        <v>120787</v>
      </c>
      <c r="H811" s="116"/>
      <c r="I811" s="116"/>
      <c r="L811" s="169">
        <v>43196</v>
      </c>
      <c r="M811" s="116">
        <v>62.9</v>
      </c>
      <c r="N811" s="116">
        <v>63.774999999999999</v>
      </c>
      <c r="O811" s="116">
        <v>62.125</v>
      </c>
      <c r="P811" s="116">
        <v>63.774999999999999</v>
      </c>
      <c r="Q811" s="116">
        <v>125.8</v>
      </c>
      <c r="R811">
        <v>671627</v>
      </c>
    </row>
    <row r="812" spans="1:18" x14ac:dyDescent="0.25">
      <c r="A812" s="169">
        <v>43199</v>
      </c>
      <c r="B812" s="116">
        <v>64.55</v>
      </c>
      <c r="C812" s="116">
        <v>63.2</v>
      </c>
      <c r="D812" s="116">
        <v>62.65</v>
      </c>
      <c r="E812" s="116">
        <v>62.65</v>
      </c>
      <c r="F812" s="116">
        <v>126.4</v>
      </c>
      <c r="G812">
        <v>99027</v>
      </c>
      <c r="H812" s="116"/>
      <c r="I812" s="116"/>
      <c r="L812" s="169">
        <v>43199</v>
      </c>
      <c r="M812" s="116">
        <v>63.225000000000001</v>
      </c>
      <c r="N812" s="116">
        <v>64.7</v>
      </c>
      <c r="O812" s="116">
        <v>62.674999999999997</v>
      </c>
      <c r="P812" s="116">
        <v>62.85</v>
      </c>
      <c r="Q812" s="116">
        <v>126.45</v>
      </c>
      <c r="R812">
        <v>946269</v>
      </c>
    </row>
    <row r="813" spans="1:18" x14ac:dyDescent="0.25">
      <c r="A813" s="169">
        <v>43200</v>
      </c>
      <c r="B813" s="116">
        <v>64.2</v>
      </c>
      <c r="C813" s="116">
        <v>62.7</v>
      </c>
      <c r="D813" s="116">
        <v>62.4</v>
      </c>
      <c r="E813" s="116">
        <v>63</v>
      </c>
      <c r="F813" s="116">
        <v>125.4</v>
      </c>
      <c r="G813">
        <v>173828</v>
      </c>
      <c r="H813" s="116"/>
      <c r="I813" s="116"/>
      <c r="L813" s="169">
        <v>43200</v>
      </c>
      <c r="M813" s="116">
        <v>62.975000000000001</v>
      </c>
      <c r="N813" s="116">
        <v>64.275000000000006</v>
      </c>
      <c r="O813" s="116">
        <v>62.274999999999999</v>
      </c>
      <c r="P813" s="116">
        <v>63.5</v>
      </c>
      <c r="Q813" s="116">
        <v>125.95</v>
      </c>
      <c r="R813">
        <v>933242</v>
      </c>
    </row>
    <row r="814" spans="1:18" x14ac:dyDescent="0.25">
      <c r="A814" s="169">
        <v>43201</v>
      </c>
      <c r="B814" s="116">
        <v>64.25</v>
      </c>
      <c r="C814" s="116">
        <v>63.75</v>
      </c>
      <c r="D814" s="116">
        <v>62.825000000000003</v>
      </c>
      <c r="E814" s="116">
        <v>62.825000000000003</v>
      </c>
      <c r="F814" s="116">
        <v>127.5</v>
      </c>
      <c r="G814">
        <v>123252</v>
      </c>
      <c r="H814" s="116"/>
      <c r="I814" s="116"/>
      <c r="L814" s="169">
        <v>43201</v>
      </c>
      <c r="M814" s="116">
        <v>63.8</v>
      </c>
      <c r="N814" s="116">
        <v>64.5</v>
      </c>
      <c r="O814" s="116">
        <v>62.774999999999999</v>
      </c>
      <c r="P814" s="116">
        <v>63.075000000000003</v>
      </c>
      <c r="Q814" s="116">
        <v>127.6</v>
      </c>
      <c r="R814">
        <v>1085368</v>
      </c>
    </row>
    <row r="815" spans="1:18" x14ac:dyDescent="0.25">
      <c r="A815" s="169">
        <v>43202</v>
      </c>
      <c r="B815" s="116">
        <v>65.05</v>
      </c>
      <c r="C815" s="116">
        <v>63.95</v>
      </c>
      <c r="D815" s="116">
        <v>63.575000000000003</v>
      </c>
      <c r="E815" s="116">
        <v>63.575000000000003</v>
      </c>
      <c r="F815" s="116">
        <v>127.9</v>
      </c>
      <c r="G815">
        <v>94284</v>
      </c>
      <c r="H815" s="116"/>
      <c r="I815" s="116"/>
      <c r="L815" s="169">
        <v>43202</v>
      </c>
      <c r="M815" s="116">
        <v>64.099999999999994</v>
      </c>
      <c r="N815" s="116">
        <v>65.2</v>
      </c>
      <c r="O815" s="116">
        <v>63.625</v>
      </c>
      <c r="P815" s="116">
        <v>64.025000000000006</v>
      </c>
      <c r="Q815" s="116">
        <v>128.19999999999999</v>
      </c>
      <c r="R815">
        <v>1120869</v>
      </c>
    </row>
    <row r="816" spans="1:18" x14ac:dyDescent="0.25">
      <c r="A816" s="169">
        <v>43203</v>
      </c>
      <c r="B816" s="116">
        <v>68.150000000000006</v>
      </c>
      <c r="C816" s="116">
        <v>65.650000000000006</v>
      </c>
      <c r="D816" s="116">
        <v>63.575000000000003</v>
      </c>
      <c r="E816" s="116">
        <v>63.575000000000003</v>
      </c>
      <c r="F816" s="116">
        <v>131.30000000000001</v>
      </c>
      <c r="G816">
        <v>338775</v>
      </c>
      <c r="H816" s="116"/>
      <c r="I816" s="116"/>
      <c r="L816" s="169">
        <v>43203</v>
      </c>
      <c r="M816" s="116">
        <v>65.724999999999994</v>
      </c>
      <c r="N816" s="116">
        <v>68.174999999999997</v>
      </c>
      <c r="O816" s="116">
        <v>64.325000000000003</v>
      </c>
      <c r="P816" s="116">
        <v>64.5</v>
      </c>
      <c r="Q816" s="116">
        <v>131.44999999999999</v>
      </c>
      <c r="R816">
        <v>3056835</v>
      </c>
    </row>
    <row r="817" spans="1:18" x14ac:dyDescent="0.25">
      <c r="A817" s="169">
        <v>43206</v>
      </c>
      <c r="B817" s="116">
        <v>67.75</v>
      </c>
      <c r="C817" s="116">
        <v>67.575000000000003</v>
      </c>
      <c r="D817" s="116">
        <v>64.974999999999994</v>
      </c>
      <c r="E817" s="116">
        <v>65.75</v>
      </c>
      <c r="F817" s="116">
        <v>135.15</v>
      </c>
      <c r="G817">
        <v>174236</v>
      </c>
      <c r="H817" s="116"/>
      <c r="I817" s="116"/>
      <c r="L817" s="169">
        <v>43206</v>
      </c>
      <c r="M817" s="116">
        <v>67.625</v>
      </c>
      <c r="N817" s="116">
        <v>67.875</v>
      </c>
      <c r="O817" s="116">
        <v>65.025000000000006</v>
      </c>
      <c r="P817" s="116">
        <v>65.025000000000006</v>
      </c>
      <c r="Q817" s="116">
        <v>135.25</v>
      </c>
      <c r="R817">
        <v>1509906</v>
      </c>
    </row>
    <row r="818" spans="1:18" x14ac:dyDescent="0.25">
      <c r="A818" s="169">
        <v>43207</v>
      </c>
      <c r="B818" s="116">
        <v>68.349999999999994</v>
      </c>
      <c r="C818" s="116">
        <v>66.400000000000006</v>
      </c>
      <c r="D818" s="116">
        <v>66.099999999999994</v>
      </c>
      <c r="E818" s="116">
        <v>68</v>
      </c>
      <c r="F818" s="116">
        <v>132.80000000000001</v>
      </c>
      <c r="G818">
        <v>132857</v>
      </c>
      <c r="H818" s="116"/>
      <c r="I818" s="116"/>
      <c r="L818" s="169">
        <v>43207</v>
      </c>
      <c r="M818" s="116">
        <v>66.375</v>
      </c>
      <c r="N818" s="116">
        <v>68.75</v>
      </c>
      <c r="O818" s="116">
        <v>66</v>
      </c>
      <c r="P818" s="116">
        <v>67.924999999999997</v>
      </c>
      <c r="Q818" s="116">
        <v>132.75</v>
      </c>
      <c r="R818">
        <v>1160263</v>
      </c>
    </row>
    <row r="819" spans="1:18" x14ac:dyDescent="0.25">
      <c r="A819" s="169">
        <v>43208</v>
      </c>
      <c r="B819" s="116">
        <v>67.325000000000003</v>
      </c>
      <c r="C819" s="116">
        <v>65.325000000000003</v>
      </c>
      <c r="D819" s="116">
        <v>65.05</v>
      </c>
      <c r="E819" s="116">
        <v>66.724999999999994</v>
      </c>
      <c r="F819" s="116">
        <v>130.65</v>
      </c>
      <c r="G819">
        <v>125093</v>
      </c>
      <c r="H819" s="116"/>
      <c r="I819" s="116"/>
      <c r="L819" s="169">
        <v>43208</v>
      </c>
      <c r="M819" s="116">
        <v>65.275000000000006</v>
      </c>
      <c r="N819" s="116">
        <v>67.3</v>
      </c>
      <c r="O819" s="116">
        <v>64.849999999999994</v>
      </c>
      <c r="P819" s="116">
        <v>66.650000000000006</v>
      </c>
      <c r="Q819" s="116">
        <v>130.55000000000001</v>
      </c>
      <c r="R819">
        <v>1164541</v>
      </c>
    </row>
    <row r="820" spans="1:18" x14ac:dyDescent="0.25">
      <c r="A820" s="169">
        <v>43209</v>
      </c>
      <c r="B820" s="116">
        <v>67</v>
      </c>
      <c r="C820" s="116">
        <v>66.3</v>
      </c>
      <c r="D820" s="116">
        <v>65</v>
      </c>
      <c r="E820" s="116">
        <v>65.8</v>
      </c>
      <c r="F820" s="116">
        <v>132.6</v>
      </c>
      <c r="G820">
        <v>139958</v>
      </c>
      <c r="H820" s="116"/>
      <c r="I820" s="116"/>
      <c r="L820" s="169">
        <v>43209</v>
      </c>
      <c r="M820" s="116">
        <v>66.275000000000006</v>
      </c>
      <c r="N820" s="116">
        <v>67.150000000000006</v>
      </c>
      <c r="O820" s="116">
        <v>64.775000000000006</v>
      </c>
      <c r="P820" s="116">
        <v>65.825000000000003</v>
      </c>
      <c r="Q820" s="116">
        <v>132.55000000000001</v>
      </c>
      <c r="R820">
        <v>1263068</v>
      </c>
    </row>
    <row r="821" spans="1:18" x14ac:dyDescent="0.25">
      <c r="A821" s="169">
        <v>43210</v>
      </c>
      <c r="B821" s="116">
        <v>66.224999999999994</v>
      </c>
      <c r="C821" s="116">
        <v>64.875</v>
      </c>
      <c r="D821" s="116">
        <v>64.3</v>
      </c>
      <c r="E821" s="116">
        <v>65.625</v>
      </c>
      <c r="F821" s="116">
        <v>129.75</v>
      </c>
      <c r="G821">
        <v>96282</v>
      </c>
      <c r="H821" s="116"/>
      <c r="I821" s="116"/>
      <c r="L821" s="169">
        <v>43210</v>
      </c>
      <c r="M821" s="116">
        <v>64.849999999999994</v>
      </c>
      <c r="N821" s="116">
        <v>66.224999999999994</v>
      </c>
      <c r="O821" s="116">
        <v>64.2</v>
      </c>
      <c r="P821" s="116">
        <v>66.05</v>
      </c>
      <c r="Q821" s="116">
        <v>129.69999999999999</v>
      </c>
      <c r="R821">
        <v>1128457</v>
      </c>
    </row>
    <row r="822" spans="1:18" x14ac:dyDescent="0.25">
      <c r="A822" s="169">
        <v>43213</v>
      </c>
      <c r="B822" s="116">
        <v>65</v>
      </c>
      <c r="C822" s="116">
        <v>63.85</v>
      </c>
      <c r="D822" s="116">
        <v>63.6</v>
      </c>
      <c r="E822" s="116">
        <v>64</v>
      </c>
      <c r="F822" s="116">
        <v>127.7</v>
      </c>
      <c r="G822">
        <v>115825</v>
      </c>
      <c r="H822" s="116"/>
      <c r="I822" s="116"/>
      <c r="L822" s="169">
        <v>43213</v>
      </c>
      <c r="M822" s="116">
        <v>63.975000000000001</v>
      </c>
      <c r="N822" s="116">
        <v>65</v>
      </c>
      <c r="O822" s="116">
        <v>63.75</v>
      </c>
      <c r="P822" s="116">
        <v>64.525000000000006</v>
      </c>
      <c r="Q822" s="116">
        <v>127.95</v>
      </c>
      <c r="R822">
        <v>893382</v>
      </c>
    </row>
    <row r="823" spans="1:18" x14ac:dyDescent="0.25">
      <c r="A823" s="169">
        <v>43214</v>
      </c>
      <c r="B823" s="116">
        <v>65.7</v>
      </c>
      <c r="C823" s="116">
        <v>65.099999999999994</v>
      </c>
      <c r="D823" s="116">
        <v>63.5</v>
      </c>
      <c r="E823" s="116">
        <v>63.5</v>
      </c>
      <c r="F823" s="116">
        <v>130.19999999999999</v>
      </c>
      <c r="G823">
        <v>104571</v>
      </c>
      <c r="H823" s="116"/>
      <c r="I823" s="116"/>
      <c r="L823" s="169">
        <v>43214</v>
      </c>
      <c r="M823" s="116">
        <v>65.125</v>
      </c>
      <c r="N823" s="116">
        <v>65.724999999999994</v>
      </c>
      <c r="O823" s="116">
        <v>63.65</v>
      </c>
      <c r="P823" s="116">
        <v>63.75</v>
      </c>
      <c r="Q823" s="116">
        <v>130.25</v>
      </c>
      <c r="R823">
        <v>1306908</v>
      </c>
    </row>
    <row r="824" spans="1:18" x14ac:dyDescent="0.25">
      <c r="A824" s="169">
        <v>43215</v>
      </c>
      <c r="B824" s="116">
        <v>65</v>
      </c>
      <c r="C824" s="116">
        <v>62.35</v>
      </c>
      <c r="D824" s="116">
        <v>62</v>
      </c>
      <c r="E824" s="116">
        <v>65</v>
      </c>
      <c r="F824" s="116">
        <v>124.7</v>
      </c>
      <c r="G824">
        <v>110055</v>
      </c>
      <c r="H824" s="116"/>
      <c r="I824" s="116"/>
      <c r="L824" s="169">
        <v>43215</v>
      </c>
      <c r="M824" s="116">
        <v>62.174999999999997</v>
      </c>
      <c r="N824" s="116">
        <v>64.875</v>
      </c>
      <c r="O824" s="116">
        <v>61.875</v>
      </c>
      <c r="P824" s="116">
        <v>64.875</v>
      </c>
      <c r="Q824" s="116">
        <v>124.35</v>
      </c>
      <c r="R824">
        <v>1160700</v>
      </c>
    </row>
    <row r="825" spans="1:18" x14ac:dyDescent="0.25">
      <c r="A825" s="169">
        <v>43216</v>
      </c>
      <c r="B825" s="116">
        <v>62.575000000000003</v>
      </c>
      <c r="C825" s="116">
        <v>60.5</v>
      </c>
      <c r="D825" s="116">
        <v>60.15</v>
      </c>
      <c r="E825" s="116">
        <v>62.575000000000003</v>
      </c>
      <c r="F825" s="116">
        <v>121</v>
      </c>
      <c r="G825">
        <v>138389</v>
      </c>
      <c r="H825" s="116"/>
      <c r="I825" s="116"/>
      <c r="L825" s="169">
        <v>43216</v>
      </c>
      <c r="M825" s="116">
        <v>60.4</v>
      </c>
      <c r="N825" s="116">
        <v>62.55</v>
      </c>
      <c r="O825" s="116">
        <v>60.024999999999999</v>
      </c>
      <c r="P825" s="116">
        <v>62.45</v>
      </c>
      <c r="Q825" s="116">
        <v>120.8</v>
      </c>
      <c r="R825">
        <v>1200528</v>
      </c>
    </row>
    <row r="826" spans="1:18" x14ac:dyDescent="0.25">
      <c r="A826" s="169">
        <v>43217</v>
      </c>
      <c r="B826" s="116">
        <v>62.075000000000003</v>
      </c>
      <c r="C826" s="116">
        <v>60.95</v>
      </c>
      <c r="D826" s="116">
        <v>60.5</v>
      </c>
      <c r="E826" s="116">
        <v>60.5</v>
      </c>
      <c r="F826" s="116">
        <v>121.9</v>
      </c>
      <c r="G826">
        <v>66499</v>
      </c>
      <c r="H826" s="116"/>
      <c r="I826" s="116"/>
      <c r="L826" s="169">
        <v>43217</v>
      </c>
      <c r="M826" s="116">
        <v>60.85</v>
      </c>
      <c r="N826" s="116">
        <v>62.125</v>
      </c>
      <c r="O826" s="116">
        <v>60.55</v>
      </c>
      <c r="P826" s="116">
        <v>60.725000000000001</v>
      </c>
      <c r="Q826" s="116">
        <v>121.7</v>
      </c>
      <c r="R826">
        <v>768024</v>
      </c>
    </row>
    <row r="827" spans="1:18" x14ac:dyDescent="0.25">
      <c r="A827" s="169">
        <v>43220</v>
      </c>
      <c r="B827" s="116">
        <v>62.424999999999997</v>
      </c>
      <c r="C827" s="116">
        <v>61.75</v>
      </c>
      <c r="D827" s="116">
        <v>61.05</v>
      </c>
      <c r="E827" s="116">
        <v>61.05</v>
      </c>
      <c r="F827" s="116">
        <v>123.5</v>
      </c>
      <c r="G827">
        <v>127027</v>
      </c>
      <c r="H827" s="116"/>
      <c r="I827" s="116"/>
      <c r="L827" s="169">
        <v>43220</v>
      </c>
      <c r="M827" s="116">
        <v>61.95</v>
      </c>
      <c r="N827" s="116">
        <v>62.6</v>
      </c>
      <c r="O827" s="116">
        <v>61.024999999999999</v>
      </c>
      <c r="P827" s="116">
        <v>61.5</v>
      </c>
      <c r="Q827" s="116">
        <v>123.9</v>
      </c>
      <c r="R827">
        <v>758531</v>
      </c>
    </row>
    <row r="828" spans="1:18" x14ac:dyDescent="0.25">
      <c r="A828" s="169">
        <v>43222</v>
      </c>
      <c r="B828" s="116">
        <v>63.5</v>
      </c>
      <c r="C828" s="116">
        <v>60.774999999999999</v>
      </c>
      <c r="D828" s="116">
        <v>60.35</v>
      </c>
      <c r="E828" s="116">
        <v>61.85</v>
      </c>
      <c r="F828" s="116">
        <v>121.55</v>
      </c>
      <c r="G828">
        <v>162975</v>
      </c>
      <c r="H828" s="116"/>
      <c r="I828" s="116"/>
      <c r="L828" s="169">
        <v>43222</v>
      </c>
      <c r="M828" s="116">
        <v>60.65</v>
      </c>
      <c r="N828" s="116">
        <v>63.575000000000003</v>
      </c>
      <c r="O828" s="116">
        <v>60.25</v>
      </c>
      <c r="P828" s="116">
        <v>62.05</v>
      </c>
      <c r="Q828" s="116">
        <v>121.3</v>
      </c>
      <c r="R828">
        <v>1503752</v>
      </c>
    </row>
    <row r="829" spans="1:18" x14ac:dyDescent="0.25">
      <c r="A829" s="169">
        <v>43223</v>
      </c>
      <c r="B829" s="116">
        <v>60.35</v>
      </c>
      <c r="C829" s="116">
        <v>59.325000000000003</v>
      </c>
      <c r="D829" s="116">
        <v>58.875</v>
      </c>
      <c r="E829" s="116">
        <v>60.1</v>
      </c>
      <c r="F829" s="116">
        <v>118.65</v>
      </c>
      <c r="G829">
        <v>102224</v>
      </c>
      <c r="H829" s="116"/>
      <c r="I829" s="116"/>
      <c r="L829" s="169">
        <v>43223</v>
      </c>
      <c r="M829" s="116">
        <v>59.174999999999997</v>
      </c>
      <c r="N829" s="116">
        <v>60.5</v>
      </c>
      <c r="O829" s="116">
        <v>58.7</v>
      </c>
      <c r="P829" s="116">
        <v>60.5</v>
      </c>
      <c r="Q829" s="116">
        <v>118.35</v>
      </c>
      <c r="R829">
        <v>605057</v>
      </c>
    </row>
    <row r="830" spans="1:18" x14ac:dyDescent="0.25">
      <c r="A830" s="169">
        <v>43224</v>
      </c>
      <c r="B830" s="116">
        <v>59.25</v>
      </c>
      <c r="C830" s="116">
        <v>57.075000000000003</v>
      </c>
      <c r="D830" s="116">
        <v>56.75</v>
      </c>
      <c r="E830" s="116">
        <v>58.85</v>
      </c>
      <c r="F830" s="116">
        <v>114.15</v>
      </c>
      <c r="G830">
        <v>133874</v>
      </c>
      <c r="H830" s="116"/>
      <c r="I830" s="116"/>
      <c r="L830" s="169">
        <v>43224</v>
      </c>
      <c r="M830" s="116">
        <v>56.924999999999997</v>
      </c>
      <c r="N830" s="116">
        <v>59.3</v>
      </c>
      <c r="O830" s="116">
        <v>56.55</v>
      </c>
      <c r="P830" s="116">
        <v>59.3</v>
      </c>
      <c r="Q830" s="116">
        <v>113.85</v>
      </c>
      <c r="R830">
        <v>946276</v>
      </c>
    </row>
    <row r="831" spans="1:18" x14ac:dyDescent="0.25">
      <c r="A831" s="169">
        <v>43227</v>
      </c>
      <c r="B831" s="116">
        <v>57.75</v>
      </c>
      <c r="C831" s="116">
        <v>56.85</v>
      </c>
      <c r="D831" s="116">
        <v>55.85</v>
      </c>
      <c r="E831" s="116">
        <v>57.45</v>
      </c>
      <c r="F831" s="116">
        <v>113.7</v>
      </c>
      <c r="G831">
        <v>148819</v>
      </c>
      <c r="H831" s="116"/>
      <c r="I831" s="116"/>
      <c r="L831" s="169">
        <v>43227</v>
      </c>
      <c r="M831" s="116">
        <v>56.9</v>
      </c>
      <c r="N831" s="116">
        <v>57.85</v>
      </c>
      <c r="O831" s="116">
        <v>55.774999999999999</v>
      </c>
      <c r="P831" s="116">
        <v>57.375</v>
      </c>
      <c r="Q831" s="116">
        <v>113.8</v>
      </c>
      <c r="R831">
        <v>1016368</v>
      </c>
    </row>
    <row r="832" spans="1:18" x14ac:dyDescent="0.25">
      <c r="A832" s="169">
        <v>43228</v>
      </c>
      <c r="B832" s="116">
        <v>58.35</v>
      </c>
      <c r="C832" s="116">
        <v>57.125</v>
      </c>
      <c r="D832" s="116">
        <v>56.625</v>
      </c>
      <c r="E832" s="116">
        <v>57.075000000000003</v>
      </c>
      <c r="F832" s="116">
        <v>114.25</v>
      </c>
      <c r="G832">
        <v>113022</v>
      </c>
      <c r="H832" s="116"/>
      <c r="I832" s="116"/>
      <c r="L832" s="169">
        <v>43228</v>
      </c>
      <c r="M832" s="116">
        <v>57.174999999999997</v>
      </c>
      <c r="N832" s="116">
        <v>58.35</v>
      </c>
      <c r="O832" s="116">
        <v>56.8</v>
      </c>
      <c r="P832" s="116">
        <v>57.075000000000003</v>
      </c>
      <c r="Q832" s="116">
        <v>114.35</v>
      </c>
      <c r="R832">
        <v>684876</v>
      </c>
    </row>
    <row r="833" spans="1:18" x14ac:dyDescent="0.25">
      <c r="A833" s="169">
        <v>43229</v>
      </c>
      <c r="B833" s="116">
        <v>57.274999999999999</v>
      </c>
      <c r="C833" s="116">
        <v>56.6</v>
      </c>
      <c r="D833" s="116">
        <v>56.25</v>
      </c>
      <c r="E833" s="116">
        <v>56.75</v>
      </c>
      <c r="F833" s="116">
        <v>113.2</v>
      </c>
      <c r="G833">
        <v>93152</v>
      </c>
      <c r="H833" s="116"/>
      <c r="I833" s="116"/>
      <c r="L833" s="169">
        <v>43229</v>
      </c>
      <c r="M833" s="116">
        <v>56.625</v>
      </c>
      <c r="N833" s="116">
        <v>57.4</v>
      </c>
      <c r="O833" s="116">
        <v>56.45</v>
      </c>
      <c r="P833" s="116">
        <v>57.15</v>
      </c>
      <c r="Q833" s="116">
        <v>113.25</v>
      </c>
      <c r="R833">
        <v>576362</v>
      </c>
    </row>
    <row r="834" spans="1:18" x14ac:dyDescent="0.25">
      <c r="A834" s="169">
        <v>43230</v>
      </c>
      <c r="B834" s="116">
        <v>57</v>
      </c>
      <c r="C834" s="116">
        <v>51.475000000000001</v>
      </c>
      <c r="D834" s="116">
        <v>49.75</v>
      </c>
      <c r="E834" s="116">
        <v>56.075000000000003</v>
      </c>
      <c r="F834" s="116">
        <v>102.95</v>
      </c>
      <c r="G834">
        <v>767246</v>
      </c>
      <c r="H834" s="116"/>
      <c r="I834" s="116"/>
      <c r="L834" s="169">
        <v>43230</v>
      </c>
      <c r="M834" s="116">
        <v>51.35</v>
      </c>
      <c r="N834" s="116">
        <v>56.9</v>
      </c>
      <c r="O834" s="116">
        <v>49.75</v>
      </c>
      <c r="P834" s="116">
        <v>56.8</v>
      </c>
      <c r="Q834" s="116">
        <v>102.7</v>
      </c>
      <c r="R834">
        <v>3977329</v>
      </c>
    </row>
    <row r="835" spans="1:18" x14ac:dyDescent="0.25">
      <c r="A835" s="169">
        <v>43231</v>
      </c>
      <c r="B835" s="116">
        <v>53.174999999999997</v>
      </c>
      <c r="C835" s="116">
        <v>51.05</v>
      </c>
      <c r="D835" s="116">
        <v>50.174999999999997</v>
      </c>
      <c r="E835" s="116">
        <v>51</v>
      </c>
      <c r="F835" s="116">
        <v>102.1</v>
      </c>
      <c r="G835">
        <v>208538</v>
      </c>
      <c r="H835" s="116"/>
      <c r="I835" s="116"/>
      <c r="L835" s="169">
        <v>43231</v>
      </c>
      <c r="M835" s="116">
        <v>51.25</v>
      </c>
      <c r="N835" s="116">
        <v>53.1</v>
      </c>
      <c r="O835" s="116">
        <v>50.65</v>
      </c>
      <c r="P835" s="116">
        <v>51.75</v>
      </c>
      <c r="Q835" s="116">
        <v>102.5</v>
      </c>
      <c r="R835">
        <v>1108383</v>
      </c>
    </row>
    <row r="836" spans="1:18" x14ac:dyDescent="0.25">
      <c r="A836" s="169">
        <v>43234</v>
      </c>
      <c r="B836" s="116">
        <v>51.5</v>
      </c>
      <c r="C836" s="116">
        <v>47.174999999999997</v>
      </c>
      <c r="D836" s="116">
        <v>46.85</v>
      </c>
      <c r="E836" s="116">
        <v>51.25</v>
      </c>
      <c r="F836" s="116">
        <v>94.35</v>
      </c>
      <c r="G836">
        <v>377669</v>
      </c>
      <c r="H836" s="116"/>
      <c r="I836" s="116"/>
      <c r="L836" s="169">
        <v>43234</v>
      </c>
      <c r="M836" s="116">
        <v>47.225000000000001</v>
      </c>
      <c r="N836" s="116">
        <v>51.424999999999997</v>
      </c>
      <c r="O836" s="116">
        <v>46.8</v>
      </c>
      <c r="P836" s="116">
        <v>51.25</v>
      </c>
      <c r="Q836" s="116">
        <v>94.45</v>
      </c>
      <c r="R836">
        <v>1882933</v>
      </c>
    </row>
    <row r="837" spans="1:18" x14ac:dyDescent="0.25">
      <c r="A837" s="169">
        <v>43235</v>
      </c>
      <c r="B837" s="116">
        <v>50.35</v>
      </c>
      <c r="C837" s="116">
        <v>48.3</v>
      </c>
      <c r="D837" s="116">
        <v>47.075000000000003</v>
      </c>
      <c r="E837" s="116">
        <v>47.9</v>
      </c>
      <c r="F837" s="116">
        <v>96.6</v>
      </c>
      <c r="G837">
        <v>358480</v>
      </c>
      <c r="H837" s="116"/>
      <c r="I837" s="116"/>
      <c r="L837" s="169">
        <v>43235</v>
      </c>
      <c r="M837" s="116">
        <v>48.325000000000003</v>
      </c>
      <c r="N837" s="116">
        <v>50.4</v>
      </c>
      <c r="O837" s="116">
        <v>46.975000000000001</v>
      </c>
      <c r="P837" s="116">
        <v>47.274999999999999</v>
      </c>
      <c r="Q837" s="116">
        <v>96.65</v>
      </c>
      <c r="R837">
        <v>1978619</v>
      </c>
    </row>
    <row r="838" spans="1:18" x14ac:dyDescent="0.25">
      <c r="A838" s="169">
        <v>43236</v>
      </c>
      <c r="B838" s="116">
        <v>49.1</v>
      </c>
      <c r="C838" s="116">
        <v>48.825000000000003</v>
      </c>
      <c r="D838" s="116">
        <v>47.05</v>
      </c>
      <c r="E838" s="116">
        <v>48.05</v>
      </c>
      <c r="F838" s="116">
        <v>97.65</v>
      </c>
      <c r="G838">
        <v>234361</v>
      </c>
      <c r="H838" s="116"/>
      <c r="I838" s="116"/>
      <c r="L838" s="169">
        <v>43236</v>
      </c>
      <c r="M838" s="116">
        <v>48.95</v>
      </c>
      <c r="N838" s="116">
        <v>49.274999999999999</v>
      </c>
      <c r="O838" s="116">
        <v>47.05</v>
      </c>
      <c r="P838" s="116">
        <v>48</v>
      </c>
      <c r="Q838" s="116">
        <v>97.9</v>
      </c>
      <c r="R838">
        <v>901872</v>
      </c>
    </row>
    <row r="839" spans="1:18" x14ac:dyDescent="0.25">
      <c r="A839" s="169">
        <v>43237</v>
      </c>
      <c r="B839" s="116">
        <v>52.6</v>
      </c>
      <c r="C839" s="116">
        <v>52.05</v>
      </c>
      <c r="D839" s="116">
        <v>48.55</v>
      </c>
      <c r="E839" s="116">
        <v>49.2</v>
      </c>
      <c r="F839" s="116">
        <v>104.1</v>
      </c>
      <c r="G839">
        <v>347042</v>
      </c>
      <c r="H839" s="116"/>
      <c r="I839" s="116"/>
      <c r="L839" s="169">
        <v>43237</v>
      </c>
      <c r="M839" s="116">
        <v>52.25</v>
      </c>
      <c r="N839" s="116">
        <v>53</v>
      </c>
      <c r="O839" s="116">
        <v>48.3</v>
      </c>
      <c r="P839" s="116">
        <v>49.424999999999997</v>
      </c>
      <c r="Q839" s="116">
        <v>104.5</v>
      </c>
      <c r="R839">
        <v>2021181</v>
      </c>
    </row>
    <row r="840" spans="1:18" x14ac:dyDescent="0.25">
      <c r="A840" s="169">
        <v>43238</v>
      </c>
      <c r="B840" s="116">
        <v>52.35</v>
      </c>
      <c r="C840" s="116">
        <v>51.1</v>
      </c>
      <c r="D840" s="116">
        <v>49.8</v>
      </c>
      <c r="E840" s="116">
        <v>52.25</v>
      </c>
      <c r="F840" s="116">
        <v>102.2</v>
      </c>
      <c r="G840">
        <v>256279</v>
      </c>
      <c r="H840" s="116"/>
      <c r="I840" s="116"/>
      <c r="L840" s="169">
        <v>43238</v>
      </c>
      <c r="M840" s="116">
        <v>51.3</v>
      </c>
      <c r="N840" s="116">
        <v>52.725000000000001</v>
      </c>
      <c r="O840" s="116">
        <v>49.65</v>
      </c>
      <c r="P840" s="116">
        <v>52.725000000000001</v>
      </c>
      <c r="Q840" s="116">
        <v>102.6</v>
      </c>
      <c r="R840">
        <v>1266468</v>
      </c>
    </row>
    <row r="841" spans="1:18" x14ac:dyDescent="0.25">
      <c r="A841" s="169">
        <v>43241</v>
      </c>
      <c r="B841" s="116">
        <v>51.45</v>
      </c>
      <c r="C841" s="116">
        <v>48.75</v>
      </c>
      <c r="D841" s="116">
        <v>48.5</v>
      </c>
      <c r="E841" s="116">
        <v>51.25</v>
      </c>
      <c r="F841" s="116">
        <v>97.5</v>
      </c>
      <c r="G841">
        <v>137678</v>
      </c>
      <c r="H841" s="116"/>
      <c r="I841" s="116"/>
      <c r="L841" s="169">
        <v>43241</v>
      </c>
      <c r="M841" s="116">
        <v>48.8</v>
      </c>
      <c r="N841" s="116">
        <v>51.45</v>
      </c>
      <c r="O841" s="116">
        <v>48.5</v>
      </c>
      <c r="P841" s="116">
        <v>51.25</v>
      </c>
      <c r="Q841" s="116">
        <v>97.6</v>
      </c>
      <c r="R841">
        <v>805631</v>
      </c>
    </row>
    <row r="842" spans="1:18" x14ac:dyDescent="0.25">
      <c r="A842" s="169">
        <v>43242</v>
      </c>
      <c r="B842" s="116">
        <v>51.45</v>
      </c>
      <c r="C842" s="116">
        <v>51.2</v>
      </c>
      <c r="D842" s="116">
        <v>48.174999999999997</v>
      </c>
      <c r="E842" s="116">
        <v>49</v>
      </c>
      <c r="F842" s="116">
        <v>102.4</v>
      </c>
      <c r="G842">
        <v>124606</v>
      </c>
      <c r="H842" s="116"/>
      <c r="I842" s="116"/>
      <c r="L842" s="169">
        <v>43242</v>
      </c>
      <c r="M842" s="116">
        <v>51.2</v>
      </c>
      <c r="N842" s="116">
        <v>51.5</v>
      </c>
      <c r="O842" s="116">
        <v>48.05</v>
      </c>
      <c r="P842" s="116">
        <v>48.95</v>
      </c>
      <c r="Q842" s="116">
        <v>102.4</v>
      </c>
      <c r="R842">
        <v>1042514</v>
      </c>
    </row>
    <row r="843" spans="1:18" x14ac:dyDescent="0.25">
      <c r="A843" s="169">
        <v>43243</v>
      </c>
      <c r="B843" s="116">
        <v>54.1</v>
      </c>
      <c r="C843" s="116">
        <v>51.274999999999999</v>
      </c>
      <c r="D843" s="116">
        <v>50.05</v>
      </c>
      <c r="E843" s="116">
        <v>50.95</v>
      </c>
      <c r="F843" s="116">
        <v>102.55</v>
      </c>
      <c r="G843">
        <v>268081</v>
      </c>
      <c r="H843" s="116"/>
      <c r="I843" s="116"/>
      <c r="L843" s="169">
        <v>43243</v>
      </c>
      <c r="M843" s="116">
        <v>51.475000000000001</v>
      </c>
      <c r="N843" s="116">
        <v>54.2</v>
      </c>
      <c r="O843" s="116">
        <v>50.024999999999999</v>
      </c>
      <c r="P843" s="116">
        <v>50.725000000000001</v>
      </c>
      <c r="Q843" s="116">
        <v>102.95</v>
      </c>
      <c r="R843">
        <v>1955921</v>
      </c>
    </row>
    <row r="844" spans="1:18" x14ac:dyDescent="0.25">
      <c r="A844" s="169">
        <v>43244</v>
      </c>
      <c r="B844" s="116">
        <v>52.924999999999997</v>
      </c>
      <c r="C844" s="116">
        <v>51.625</v>
      </c>
      <c r="D844" s="116">
        <v>50.7</v>
      </c>
      <c r="E844" s="116">
        <v>52</v>
      </c>
      <c r="F844" s="116">
        <v>103.25</v>
      </c>
      <c r="G844">
        <v>148957</v>
      </c>
      <c r="H844" s="116"/>
      <c r="I844" s="116"/>
      <c r="L844" s="169">
        <v>43244</v>
      </c>
      <c r="M844" s="116">
        <v>51.674999999999997</v>
      </c>
      <c r="N844" s="116">
        <v>53</v>
      </c>
      <c r="O844" s="116">
        <v>50.6</v>
      </c>
      <c r="P844" s="116">
        <v>51.95</v>
      </c>
      <c r="Q844" s="116">
        <v>103.35</v>
      </c>
      <c r="R844">
        <v>824618</v>
      </c>
    </row>
    <row r="845" spans="1:18" x14ac:dyDescent="0.25">
      <c r="A845" s="169">
        <v>43245</v>
      </c>
      <c r="B845" s="116">
        <v>53.35</v>
      </c>
      <c r="C845" s="116">
        <v>51.924999999999997</v>
      </c>
      <c r="D845" s="116">
        <v>51.375</v>
      </c>
      <c r="E845" s="116">
        <v>51.95</v>
      </c>
      <c r="F845" s="116">
        <v>103.85</v>
      </c>
      <c r="G845">
        <v>143757</v>
      </c>
      <c r="H845" s="116"/>
      <c r="I845" s="116"/>
      <c r="L845" s="169">
        <v>43245</v>
      </c>
      <c r="M845" s="116">
        <v>51.9</v>
      </c>
      <c r="N845" s="116">
        <v>53.375</v>
      </c>
      <c r="O845" s="116">
        <v>51.35</v>
      </c>
      <c r="P845" s="116">
        <v>51.5</v>
      </c>
      <c r="Q845" s="116">
        <v>103.8</v>
      </c>
      <c r="R845">
        <v>1083097</v>
      </c>
    </row>
    <row r="846" spans="1:18" x14ac:dyDescent="0.25">
      <c r="A846" s="169">
        <v>43248</v>
      </c>
      <c r="B846" s="116">
        <v>54.875</v>
      </c>
      <c r="C846" s="116">
        <v>53.575000000000003</v>
      </c>
      <c r="D846" s="116">
        <v>52.8</v>
      </c>
      <c r="E846" s="116">
        <v>54</v>
      </c>
      <c r="F846" s="116">
        <v>107.15</v>
      </c>
      <c r="G846">
        <v>391533</v>
      </c>
      <c r="H846" s="116"/>
      <c r="I846" s="116"/>
      <c r="L846" s="169">
        <v>43248</v>
      </c>
      <c r="M846" s="116">
        <v>53.475000000000001</v>
      </c>
      <c r="N846" s="116">
        <v>54.875</v>
      </c>
      <c r="O846" s="116">
        <v>52.75</v>
      </c>
      <c r="P846" s="116">
        <v>54.2</v>
      </c>
      <c r="Q846" s="116">
        <v>106.95</v>
      </c>
      <c r="R846">
        <v>2895495</v>
      </c>
    </row>
    <row r="847" spans="1:18" x14ac:dyDescent="0.25">
      <c r="A847" s="169">
        <v>43249</v>
      </c>
      <c r="B847" s="116">
        <v>53.825000000000003</v>
      </c>
      <c r="C847" s="116">
        <v>52.65</v>
      </c>
      <c r="D847" s="116">
        <v>51.5</v>
      </c>
      <c r="E847" s="116">
        <v>53.6</v>
      </c>
      <c r="F847" s="116">
        <v>105.3</v>
      </c>
      <c r="G847">
        <v>161452</v>
      </c>
      <c r="H847" s="116"/>
      <c r="I847" s="116"/>
      <c r="L847" s="169">
        <v>43249</v>
      </c>
      <c r="M847" s="116">
        <v>52.674999999999997</v>
      </c>
      <c r="N847" s="116">
        <v>53.825000000000003</v>
      </c>
      <c r="O847" s="116">
        <v>51</v>
      </c>
      <c r="P847" s="116">
        <v>53.5</v>
      </c>
      <c r="Q847" s="116">
        <v>105.35</v>
      </c>
      <c r="R847">
        <v>796447</v>
      </c>
    </row>
    <row r="848" spans="1:18" x14ac:dyDescent="0.25">
      <c r="A848" s="169">
        <v>43250</v>
      </c>
      <c r="B848" s="116">
        <v>52.5</v>
      </c>
      <c r="C848" s="116">
        <v>52.024999999999999</v>
      </c>
      <c r="D848" s="116">
        <v>51.674999999999997</v>
      </c>
      <c r="E848" s="116">
        <v>52.45</v>
      </c>
      <c r="F848" s="116">
        <v>104.05</v>
      </c>
      <c r="G848">
        <v>108484</v>
      </c>
      <c r="H848" s="116"/>
      <c r="I848" s="116"/>
      <c r="L848" s="169">
        <v>43250</v>
      </c>
      <c r="M848" s="116">
        <v>52</v>
      </c>
      <c r="N848" s="116">
        <v>52.5</v>
      </c>
      <c r="O848" s="116">
        <v>51.65</v>
      </c>
      <c r="P848" s="116">
        <v>52</v>
      </c>
      <c r="Q848" s="116">
        <v>104</v>
      </c>
      <c r="R848">
        <v>605253</v>
      </c>
    </row>
    <row r="849" spans="1:18" x14ac:dyDescent="0.25">
      <c r="A849" s="169">
        <v>43251</v>
      </c>
      <c r="B849" s="116">
        <v>53.25</v>
      </c>
      <c r="C849" s="116">
        <v>51.5</v>
      </c>
      <c r="D849" s="116">
        <v>51.274999999999999</v>
      </c>
      <c r="E849" s="116">
        <v>52.35</v>
      </c>
      <c r="F849" s="116">
        <v>103</v>
      </c>
      <c r="G849">
        <v>91972</v>
      </c>
      <c r="H849" s="116"/>
      <c r="I849" s="116"/>
      <c r="L849" s="169">
        <v>43251</v>
      </c>
      <c r="M849" s="116">
        <v>51.575000000000003</v>
      </c>
      <c r="N849" s="116">
        <v>53.25</v>
      </c>
      <c r="O849" s="116">
        <v>51.25</v>
      </c>
      <c r="P849" s="116">
        <v>52.1</v>
      </c>
      <c r="Q849" s="116">
        <v>103.15</v>
      </c>
      <c r="R849">
        <v>563809</v>
      </c>
    </row>
    <row r="850" spans="1:18" x14ac:dyDescent="0.25">
      <c r="A850" s="169">
        <v>43252</v>
      </c>
      <c r="B850" s="116">
        <v>51.95</v>
      </c>
      <c r="C850" s="116">
        <v>49.774999999999999</v>
      </c>
      <c r="D850" s="116">
        <v>49.5</v>
      </c>
      <c r="E850" s="116">
        <v>51.5</v>
      </c>
      <c r="F850" s="116">
        <v>99.55</v>
      </c>
      <c r="G850">
        <v>143018</v>
      </c>
      <c r="H850" s="116"/>
      <c r="I850" s="116"/>
      <c r="L850" s="169">
        <v>43252</v>
      </c>
      <c r="M850" s="116">
        <v>49.825000000000003</v>
      </c>
      <c r="N850" s="116">
        <v>51.924999999999997</v>
      </c>
      <c r="O850" s="116">
        <v>49.5</v>
      </c>
      <c r="P850" s="116">
        <v>51.5</v>
      </c>
      <c r="Q850" s="116">
        <v>99.65</v>
      </c>
      <c r="R850">
        <v>773355</v>
      </c>
    </row>
    <row r="851" spans="1:18" x14ac:dyDescent="0.25">
      <c r="A851" s="169">
        <v>43255</v>
      </c>
      <c r="B851" s="116">
        <v>50.3</v>
      </c>
      <c r="C851" s="116">
        <v>48.45</v>
      </c>
      <c r="D851" s="116">
        <v>48.125</v>
      </c>
      <c r="E851" s="116">
        <v>50.225000000000001</v>
      </c>
      <c r="F851" s="116">
        <v>96.9</v>
      </c>
      <c r="G851">
        <v>126489</v>
      </c>
      <c r="H851" s="116"/>
      <c r="I851" s="116"/>
      <c r="L851" s="169">
        <v>43255</v>
      </c>
      <c r="M851" s="116">
        <v>48.524999999999999</v>
      </c>
      <c r="N851" s="116">
        <v>50.35</v>
      </c>
      <c r="O851" s="116">
        <v>48.1</v>
      </c>
      <c r="P851" s="116">
        <v>50.25</v>
      </c>
      <c r="Q851" s="116">
        <v>97.05</v>
      </c>
      <c r="R851">
        <v>620300</v>
      </c>
    </row>
    <row r="852" spans="1:18" x14ac:dyDescent="0.25">
      <c r="A852" s="169">
        <v>43256</v>
      </c>
      <c r="B852" s="116">
        <v>48.7</v>
      </c>
      <c r="C852" s="116">
        <v>45.674999999999997</v>
      </c>
      <c r="D852" s="116">
        <v>45</v>
      </c>
      <c r="E852" s="116">
        <v>48.7</v>
      </c>
      <c r="F852" s="116">
        <v>91.35</v>
      </c>
      <c r="G852">
        <v>180561</v>
      </c>
      <c r="H852" s="116"/>
      <c r="I852" s="116"/>
      <c r="L852" s="169">
        <v>43256</v>
      </c>
      <c r="M852" s="116">
        <v>45.5</v>
      </c>
      <c r="N852" s="116">
        <v>48.9</v>
      </c>
      <c r="O852" s="116">
        <v>44.774999999999999</v>
      </c>
      <c r="P852" s="116">
        <v>48.9</v>
      </c>
      <c r="Q852" s="116">
        <v>91</v>
      </c>
      <c r="R852">
        <v>1058020</v>
      </c>
    </row>
    <row r="853" spans="1:18" x14ac:dyDescent="0.25">
      <c r="A853" s="169">
        <v>43257</v>
      </c>
      <c r="B853" s="116">
        <v>46.975000000000001</v>
      </c>
      <c r="C853" s="116">
        <v>46.174999999999997</v>
      </c>
      <c r="D853" s="116">
        <v>45</v>
      </c>
      <c r="E853" s="116">
        <v>45.05</v>
      </c>
      <c r="F853" s="116">
        <v>92.35</v>
      </c>
      <c r="G853">
        <v>199673</v>
      </c>
      <c r="H853" s="116"/>
      <c r="I853" s="116"/>
      <c r="L853" s="169">
        <v>43257</v>
      </c>
      <c r="M853" s="116">
        <v>45.924999999999997</v>
      </c>
      <c r="N853" s="116">
        <v>46.95</v>
      </c>
      <c r="O853" s="116">
        <v>45.125</v>
      </c>
      <c r="P853" s="116">
        <v>45.524999999999999</v>
      </c>
      <c r="Q853" s="116">
        <v>91.85</v>
      </c>
      <c r="R853">
        <v>1437195</v>
      </c>
    </row>
    <row r="854" spans="1:18" x14ac:dyDescent="0.25">
      <c r="A854" s="169">
        <v>43258</v>
      </c>
      <c r="B854" s="116">
        <v>47.85</v>
      </c>
      <c r="C854" s="116">
        <v>47.424999999999997</v>
      </c>
      <c r="D854" s="116">
        <v>46.2</v>
      </c>
      <c r="E854" s="116">
        <v>46.2</v>
      </c>
      <c r="F854" s="116">
        <v>94.85</v>
      </c>
      <c r="G854">
        <v>227214</v>
      </c>
      <c r="H854" s="116"/>
      <c r="I854" s="116"/>
      <c r="L854" s="169">
        <v>43258</v>
      </c>
      <c r="M854" s="116">
        <v>47.325000000000003</v>
      </c>
      <c r="N854" s="116">
        <v>47.65</v>
      </c>
      <c r="O854" s="116">
        <v>46.1</v>
      </c>
      <c r="P854" s="116">
        <v>46.2</v>
      </c>
      <c r="Q854" s="116">
        <v>94.65</v>
      </c>
      <c r="R854">
        <v>2382474</v>
      </c>
    </row>
    <row r="855" spans="1:18" x14ac:dyDescent="0.25">
      <c r="A855" s="169">
        <v>43259</v>
      </c>
      <c r="B855" s="116">
        <v>48.75</v>
      </c>
      <c r="C855" s="116">
        <v>48.325000000000003</v>
      </c>
      <c r="D855" s="116">
        <v>47.05</v>
      </c>
      <c r="E855" s="116">
        <v>47.35</v>
      </c>
      <c r="F855" s="116">
        <v>96.65</v>
      </c>
      <c r="G855">
        <v>206284</v>
      </c>
      <c r="H855" s="116"/>
      <c r="I855" s="116"/>
      <c r="L855" s="169">
        <v>43259</v>
      </c>
      <c r="M855" s="116">
        <v>48.325000000000003</v>
      </c>
      <c r="N855" s="116">
        <v>48.774999999999999</v>
      </c>
      <c r="O855" s="116">
        <v>46.975000000000001</v>
      </c>
      <c r="P855" s="116">
        <v>47.6</v>
      </c>
      <c r="Q855" s="116">
        <v>96.65</v>
      </c>
      <c r="R855">
        <v>1767264</v>
      </c>
    </row>
    <row r="856" spans="1:18" x14ac:dyDescent="0.25">
      <c r="A856" s="169">
        <v>43262</v>
      </c>
      <c r="B856" s="116">
        <v>49.65</v>
      </c>
      <c r="C856" s="116">
        <v>48.825000000000003</v>
      </c>
      <c r="D856" s="116">
        <v>48.3</v>
      </c>
      <c r="E856" s="116">
        <v>48.5</v>
      </c>
      <c r="F856" s="116">
        <v>97.65</v>
      </c>
      <c r="G856">
        <v>108311</v>
      </c>
      <c r="H856" s="116"/>
      <c r="I856" s="116"/>
      <c r="L856" s="169">
        <v>43262</v>
      </c>
      <c r="M856" s="116">
        <v>49</v>
      </c>
      <c r="N856" s="116">
        <v>49.7</v>
      </c>
      <c r="O856" s="116">
        <v>48.325000000000003</v>
      </c>
      <c r="P856" s="116">
        <v>48.325000000000003</v>
      </c>
      <c r="Q856" s="116">
        <v>98</v>
      </c>
      <c r="R856">
        <v>1080204</v>
      </c>
    </row>
    <row r="857" spans="1:18" x14ac:dyDescent="0.25">
      <c r="A857" s="169">
        <v>43263</v>
      </c>
      <c r="B857" s="116">
        <v>51.424999999999997</v>
      </c>
      <c r="C857" s="116">
        <v>50.45</v>
      </c>
      <c r="D857" s="116">
        <v>48.55</v>
      </c>
      <c r="E857" s="116">
        <v>49.05</v>
      </c>
      <c r="F857" s="116">
        <v>100.9</v>
      </c>
      <c r="G857">
        <v>197754</v>
      </c>
      <c r="H857" s="116"/>
      <c r="I857" s="116"/>
      <c r="L857" s="169">
        <v>43263</v>
      </c>
      <c r="M857" s="116">
        <v>50.524999999999999</v>
      </c>
      <c r="N857" s="116">
        <v>51.4</v>
      </c>
      <c r="O857" s="116">
        <v>48.475000000000001</v>
      </c>
      <c r="P857" s="116">
        <v>49.15</v>
      </c>
      <c r="Q857" s="116">
        <v>101.05</v>
      </c>
      <c r="R857">
        <v>1520487</v>
      </c>
    </row>
    <row r="858" spans="1:18" x14ac:dyDescent="0.25">
      <c r="A858" s="169">
        <v>43264</v>
      </c>
      <c r="B858" s="116">
        <v>51.15</v>
      </c>
      <c r="C858" s="116">
        <v>49.25</v>
      </c>
      <c r="D858" s="116">
        <v>49.1</v>
      </c>
      <c r="E858" s="116">
        <v>50.924999999999997</v>
      </c>
      <c r="F858" s="116">
        <v>98.5</v>
      </c>
      <c r="G858">
        <v>69620</v>
      </c>
      <c r="H858" s="116"/>
      <c r="I858" s="116"/>
      <c r="L858" s="169">
        <v>43264</v>
      </c>
      <c r="M858" s="116">
        <v>49.3</v>
      </c>
      <c r="N858" s="116">
        <v>51.1</v>
      </c>
      <c r="O858" s="116">
        <v>49.1</v>
      </c>
      <c r="P858" s="116">
        <v>50.725000000000001</v>
      </c>
      <c r="Q858" s="116">
        <v>98.6</v>
      </c>
      <c r="R858">
        <v>756017</v>
      </c>
    </row>
    <row r="859" spans="1:18" x14ac:dyDescent="0.25">
      <c r="A859" s="169">
        <v>43265</v>
      </c>
      <c r="B859" s="116">
        <v>50.3</v>
      </c>
      <c r="C859" s="116">
        <v>49.4</v>
      </c>
      <c r="D859" s="116">
        <v>48.85</v>
      </c>
      <c r="E859" s="116">
        <v>49.25</v>
      </c>
      <c r="F859" s="116">
        <v>98.8</v>
      </c>
      <c r="G859">
        <v>90237</v>
      </c>
      <c r="H859" s="116"/>
      <c r="I859" s="116"/>
      <c r="L859" s="169">
        <v>43265</v>
      </c>
      <c r="M859" s="116">
        <v>49.575000000000003</v>
      </c>
      <c r="N859" s="116">
        <v>50.35</v>
      </c>
      <c r="O859" s="116">
        <v>48.674999999999997</v>
      </c>
      <c r="P859" s="116">
        <v>49.075000000000003</v>
      </c>
      <c r="Q859" s="116">
        <v>99.15</v>
      </c>
      <c r="R859">
        <v>937123</v>
      </c>
    </row>
    <row r="860" spans="1:18" x14ac:dyDescent="0.25">
      <c r="A860" s="169">
        <v>43266</v>
      </c>
      <c r="B860" s="116">
        <v>49.9</v>
      </c>
      <c r="C860" s="116">
        <v>47.875</v>
      </c>
      <c r="D860" s="116">
        <v>47.75</v>
      </c>
      <c r="E860" s="116">
        <v>49.55</v>
      </c>
      <c r="F860" s="116">
        <v>95.75</v>
      </c>
      <c r="G860">
        <v>104617</v>
      </c>
      <c r="H860" s="116"/>
      <c r="I860" s="116"/>
      <c r="L860" s="169">
        <v>43266</v>
      </c>
      <c r="M860" s="116">
        <v>47.8</v>
      </c>
      <c r="N860" s="116">
        <v>49.9</v>
      </c>
      <c r="O860" s="116">
        <v>47.6</v>
      </c>
      <c r="P860" s="116">
        <v>49.35</v>
      </c>
      <c r="Q860" s="116">
        <v>95.6</v>
      </c>
      <c r="R860">
        <v>841499</v>
      </c>
    </row>
    <row r="861" spans="1:18" x14ac:dyDescent="0.25">
      <c r="A861" s="169">
        <v>43269</v>
      </c>
      <c r="B861" s="116">
        <v>47.85</v>
      </c>
      <c r="C861" s="116">
        <v>46.95</v>
      </c>
      <c r="D861" s="116">
        <v>46.5</v>
      </c>
      <c r="E861" s="116">
        <v>47.7</v>
      </c>
      <c r="F861" s="116">
        <v>93.9</v>
      </c>
      <c r="G861">
        <v>85212</v>
      </c>
      <c r="H861" s="116"/>
      <c r="I861" s="116"/>
      <c r="L861" s="169">
        <v>43269</v>
      </c>
      <c r="M861" s="116">
        <v>46.95</v>
      </c>
      <c r="N861" s="116">
        <v>47.875</v>
      </c>
      <c r="O861" s="116">
        <v>46.475000000000001</v>
      </c>
      <c r="P861" s="116">
        <v>47.75</v>
      </c>
      <c r="Q861" s="116">
        <v>93.9</v>
      </c>
      <c r="R861">
        <v>495277</v>
      </c>
    </row>
    <row r="862" spans="1:18" x14ac:dyDescent="0.25">
      <c r="A862" s="169">
        <v>43270</v>
      </c>
      <c r="B862" s="116">
        <v>46.9</v>
      </c>
      <c r="C862" s="116">
        <v>45.2</v>
      </c>
      <c r="D862" s="116">
        <v>44.825000000000003</v>
      </c>
      <c r="E862" s="116">
        <v>46.9</v>
      </c>
      <c r="F862" s="116">
        <v>90.4</v>
      </c>
      <c r="G862">
        <v>151200</v>
      </c>
      <c r="H862" s="116"/>
      <c r="I862" s="116"/>
      <c r="L862" s="169">
        <v>43270</v>
      </c>
      <c r="M862" s="116">
        <v>45.075000000000003</v>
      </c>
      <c r="N862" s="116">
        <v>46.8</v>
      </c>
      <c r="O862" s="116">
        <v>44.75</v>
      </c>
      <c r="P862" s="116">
        <v>46.55</v>
      </c>
      <c r="Q862" s="116">
        <v>90.15</v>
      </c>
      <c r="R862">
        <v>881430</v>
      </c>
    </row>
    <row r="863" spans="1:18" x14ac:dyDescent="0.25">
      <c r="A863" s="169">
        <v>43271</v>
      </c>
      <c r="B863" s="116">
        <v>46.475000000000001</v>
      </c>
      <c r="C863" s="116">
        <v>46.274999999999999</v>
      </c>
      <c r="D863" s="116">
        <v>45.274999999999999</v>
      </c>
      <c r="E863" s="116">
        <v>45.475000000000001</v>
      </c>
      <c r="F863" s="116">
        <v>92.55</v>
      </c>
      <c r="G863">
        <v>106625</v>
      </c>
      <c r="H863" s="116"/>
      <c r="I863" s="116"/>
      <c r="L863" s="169">
        <v>43271</v>
      </c>
      <c r="M863" s="116">
        <v>46.325000000000003</v>
      </c>
      <c r="N863" s="116">
        <v>46.55</v>
      </c>
      <c r="O863" s="116">
        <v>45.174999999999997</v>
      </c>
      <c r="P863" s="116">
        <v>45.3</v>
      </c>
      <c r="Q863" s="116">
        <v>92.65</v>
      </c>
      <c r="R863">
        <v>643728</v>
      </c>
    </row>
    <row r="864" spans="1:18" x14ac:dyDescent="0.25">
      <c r="A864" s="169">
        <v>43272</v>
      </c>
      <c r="B864" s="116">
        <v>45.25</v>
      </c>
      <c r="C864" s="116">
        <v>43.8</v>
      </c>
      <c r="D864" s="116">
        <v>43.725000000000001</v>
      </c>
      <c r="E864" s="116">
        <v>45.125</v>
      </c>
      <c r="F864" s="116">
        <v>87.6</v>
      </c>
      <c r="G864">
        <v>247472</v>
      </c>
      <c r="H864" s="116"/>
      <c r="I864" s="116"/>
      <c r="L864" s="169">
        <v>43272</v>
      </c>
      <c r="M864" s="116">
        <v>43.825000000000003</v>
      </c>
      <c r="N864" s="116">
        <v>45.25</v>
      </c>
      <c r="O864" s="116">
        <v>43.575000000000003</v>
      </c>
      <c r="P864" s="116">
        <v>44.45</v>
      </c>
      <c r="Q864" s="116">
        <v>87.65</v>
      </c>
      <c r="R864">
        <v>1747317</v>
      </c>
    </row>
    <row r="865" spans="1:18" x14ac:dyDescent="0.25">
      <c r="A865" s="169">
        <v>43273</v>
      </c>
      <c r="B865" s="116">
        <v>44.5</v>
      </c>
      <c r="C865" s="116">
        <v>42.85</v>
      </c>
      <c r="D865" s="116">
        <v>42.65</v>
      </c>
      <c r="E865" s="116">
        <v>44.5</v>
      </c>
      <c r="F865" s="116">
        <v>85.7</v>
      </c>
      <c r="G865">
        <v>212923</v>
      </c>
      <c r="H865" s="116"/>
      <c r="I865" s="116"/>
      <c r="L865" s="169">
        <v>43273</v>
      </c>
      <c r="M865" s="116">
        <v>42.75</v>
      </c>
      <c r="N865" s="116">
        <v>44.35</v>
      </c>
      <c r="O865" s="116">
        <v>42.5</v>
      </c>
      <c r="P865" s="116">
        <v>44</v>
      </c>
      <c r="Q865" s="116">
        <v>85.5</v>
      </c>
      <c r="R865">
        <v>917206</v>
      </c>
    </row>
    <row r="866" spans="1:18" x14ac:dyDescent="0.25">
      <c r="A866" s="169">
        <v>43276</v>
      </c>
      <c r="B866" s="116">
        <v>43.825000000000003</v>
      </c>
      <c r="C866" s="116">
        <v>41.475000000000001</v>
      </c>
      <c r="D866" s="116">
        <v>41.274999999999999</v>
      </c>
      <c r="E866" s="116">
        <v>43.225000000000001</v>
      </c>
      <c r="F866" s="116">
        <v>82.95</v>
      </c>
      <c r="G866">
        <v>119421</v>
      </c>
      <c r="H866" s="116"/>
      <c r="I866" s="116"/>
      <c r="L866" s="169">
        <v>43276</v>
      </c>
      <c r="M866" s="116">
        <v>41.45</v>
      </c>
      <c r="N866" s="116">
        <v>43.9</v>
      </c>
      <c r="O866" s="116">
        <v>41.2</v>
      </c>
      <c r="P866" s="116">
        <v>42.95</v>
      </c>
      <c r="Q866" s="116">
        <v>82.9</v>
      </c>
      <c r="R866">
        <v>728178</v>
      </c>
    </row>
    <row r="867" spans="1:18" x14ac:dyDescent="0.25">
      <c r="A867" s="169">
        <v>43277</v>
      </c>
      <c r="B867" s="116">
        <v>41.5</v>
      </c>
      <c r="C867" s="116">
        <v>39.274999999999999</v>
      </c>
      <c r="D867" s="116">
        <v>39.024999999999999</v>
      </c>
      <c r="E867" s="116">
        <v>41.5</v>
      </c>
      <c r="F867" s="116">
        <v>78.55</v>
      </c>
      <c r="G867">
        <v>195925</v>
      </c>
      <c r="H867" s="116"/>
      <c r="I867" s="116"/>
      <c r="L867" s="169">
        <v>43277</v>
      </c>
      <c r="M867" s="116">
        <v>39.274999999999999</v>
      </c>
      <c r="N867" s="116">
        <v>41.475000000000001</v>
      </c>
      <c r="O867" s="116">
        <v>39.024999999999999</v>
      </c>
      <c r="P867" s="116">
        <v>41.3</v>
      </c>
      <c r="Q867" s="116">
        <v>78.55</v>
      </c>
      <c r="R867">
        <v>1119584</v>
      </c>
    </row>
    <row r="868" spans="1:18" x14ac:dyDescent="0.25">
      <c r="A868" s="169">
        <v>43278</v>
      </c>
      <c r="B868" s="116">
        <v>40</v>
      </c>
      <c r="C868" s="116">
        <v>37.200000000000003</v>
      </c>
      <c r="D868" s="116">
        <v>36.924999999999997</v>
      </c>
      <c r="E868" s="116">
        <v>39.5</v>
      </c>
      <c r="F868" s="116">
        <v>74.400000000000006</v>
      </c>
      <c r="G868">
        <v>141763</v>
      </c>
      <c r="H868" s="116"/>
      <c r="I868" s="116"/>
      <c r="L868" s="169">
        <v>43278</v>
      </c>
      <c r="M868" s="116">
        <v>37.200000000000003</v>
      </c>
      <c r="N868" s="116">
        <v>39.725000000000001</v>
      </c>
      <c r="O868" s="116">
        <v>37</v>
      </c>
      <c r="P868" s="116">
        <v>39.35</v>
      </c>
      <c r="Q868" s="116">
        <v>74.400000000000006</v>
      </c>
      <c r="R868">
        <v>1187582</v>
      </c>
    </row>
    <row r="869" spans="1:18" x14ac:dyDescent="0.25">
      <c r="A869" s="169">
        <v>43279</v>
      </c>
      <c r="B869" s="116">
        <v>37</v>
      </c>
      <c r="C869" s="116">
        <v>35.325000000000003</v>
      </c>
      <c r="D869" s="116">
        <v>34.125</v>
      </c>
      <c r="E869" s="116">
        <v>37</v>
      </c>
      <c r="F869" s="116">
        <v>70.650000000000006</v>
      </c>
      <c r="G869">
        <v>388461</v>
      </c>
      <c r="H869" s="116"/>
      <c r="I869" s="116"/>
      <c r="L869" s="169">
        <v>43279</v>
      </c>
      <c r="M869" s="116">
        <v>35.575000000000003</v>
      </c>
      <c r="N869" s="116">
        <v>37.25</v>
      </c>
      <c r="O869" s="116">
        <v>35.274999999999999</v>
      </c>
      <c r="P869" s="116">
        <v>37.25</v>
      </c>
      <c r="Q869" s="116">
        <v>71.150000000000006</v>
      </c>
      <c r="R869">
        <v>1615388</v>
      </c>
    </row>
    <row r="870" spans="1:18" x14ac:dyDescent="0.25">
      <c r="A870" s="169">
        <v>43280</v>
      </c>
      <c r="B870" s="116">
        <v>40.200000000000003</v>
      </c>
      <c r="C870" s="116">
        <v>39.700000000000003</v>
      </c>
      <c r="D870" s="116">
        <v>36.200000000000003</v>
      </c>
      <c r="E870" s="116">
        <v>36.424999999999997</v>
      </c>
      <c r="F870" s="116">
        <v>79.400000000000006</v>
      </c>
      <c r="G870">
        <v>482210</v>
      </c>
      <c r="H870" s="116"/>
      <c r="I870" s="116"/>
      <c r="L870" s="169">
        <v>43280</v>
      </c>
      <c r="M870" s="116">
        <v>39.725000000000001</v>
      </c>
      <c r="N870" s="116">
        <v>40.200000000000003</v>
      </c>
      <c r="O870" s="116">
        <v>36.125</v>
      </c>
      <c r="P870" s="116">
        <v>36.125</v>
      </c>
      <c r="Q870" s="116">
        <v>79.45</v>
      </c>
      <c r="R870">
        <v>2738381</v>
      </c>
    </row>
    <row r="871" spans="1:18" x14ac:dyDescent="0.25">
      <c r="A871" s="169">
        <v>43283</v>
      </c>
      <c r="B871" s="116">
        <v>41.55</v>
      </c>
      <c r="C871" s="116">
        <v>40.825000000000003</v>
      </c>
      <c r="D871" s="116">
        <v>39.674999999999997</v>
      </c>
      <c r="E871" s="116">
        <v>40.4</v>
      </c>
      <c r="F871" s="116">
        <v>81.650000000000006</v>
      </c>
      <c r="G871">
        <v>330396</v>
      </c>
      <c r="H871" s="116"/>
      <c r="I871" s="116"/>
      <c r="L871" s="169">
        <v>43283</v>
      </c>
      <c r="M871" s="116">
        <v>40.825000000000003</v>
      </c>
      <c r="N871" s="116">
        <v>41.7</v>
      </c>
      <c r="O871" s="116">
        <v>39.575000000000003</v>
      </c>
      <c r="P871" s="116">
        <v>40.450000000000003</v>
      </c>
      <c r="Q871" s="116">
        <v>81.650000000000006</v>
      </c>
      <c r="R871">
        <v>1959927</v>
      </c>
    </row>
    <row r="872" spans="1:18" x14ac:dyDescent="0.25">
      <c r="A872" s="169">
        <v>43284</v>
      </c>
      <c r="B872" s="116">
        <v>41.5</v>
      </c>
      <c r="C872" s="116">
        <v>41.05</v>
      </c>
      <c r="D872" s="116">
        <v>40</v>
      </c>
      <c r="E872" s="116">
        <v>40.5</v>
      </c>
      <c r="F872" s="116">
        <v>82.1</v>
      </c>
      <c r="G872">
        <v>165125</v>
      </c>
      <c r="H872" s="116"/>
      <c r="I872" s="116"/>
      <c r="L872" s="169">
        <v>43284</v>
      </c>
      <c r="M872" s="116">
        <v>41.1</v>
      </c>
      <c r="N872" s="116">
        <v>41.575000000000003</v>
      </c>
      <c r="O872" s="116">
        <v>40</v>
      </c>
      <c r="P872" s="116">
        <v>40.5</v>
      </c>
      <c r="Q872" s="116">
        <v>82.2</v>
      </c>
      <c r="R872">
        <v>1466736</v>
      </c>
    </row>
    <row r="873" spans="1:18" x14ac:dyDescent="0.25">
      <c r="A873" s="169">
        <v>43285</v>
      </c>
      <c r="B873" s="116">
        <v>41.05</v>
      </c>
      <c r="C873" s="116">
        <v>40.299999999999997</v>
      </c>
      <c r="D873" s="116">
        <v>39.75</v>
      </c>
      <c r="E873" s="116">
        <v>40.75</v>
      </c>
      <c r="F873" s="116">
        <v>80.599999999999994</v>
      </c>
      <c r="G873">
        <v>160933</v>
      </c>
      <c r="H873" s="116"/>
      <c r="I873" s="116"/>
      <c r="L873" s="169">
        <v>43285</v>
      </c>
      <c r="M873" s="116">
        <v>40.274999999999999</v>
      </c>
      <c r="N873" s="116">
        <v>41</v>
      </c>
      <c r="O873" s="116">
        <v>39.6</v>
      </c>
      <c r="P873" s="116">
        <v>40.875</v>
      </c>
      <c r="Q873" s="116">
        <v>80.55</v>
      </c>
      <c r="R873">
        <v>773301</v>
      </c>
    </row>
    <row r="874" spans="1:18" x14ac:dyDescent="0.25">
      <c r="A874" s="169">
        <v>43286</v>
      </c>
      <c r="B874" s="116">
        <v>40.225000000000001</v>
      </c>
      <c r="C874" s="116">
        <v>39.024999999999999</v>
      </c>
      <c r="D874" s="116">
        <v>38.85</v>
      </c>
      <c r="E874" s="116">
        <v>40</v>
      </c>
      <c r="F874" s="116">
        <v>78.05</v>
      </c>
      <c r="G874">
        <v>121238</v>
      </c>
      <c r="H874" s="116"/>
      <c r="I874" s="116"/>
      <c r="L874" s="169">
        <v>43286</v>
      </c>
      <c r="M874" s="116">
        <v>39.125</v>
      </c>
      <c r="N874" s="116">
        <v>40.35</v>
      </c>
      <c r="O874" s="116">
        <v>38.950000000000003</v>
      </c>
      <c r="P874" s="116">
        <v>39.9</v>
      </c>
      <c r="Q874" s="116">
        <v>78.25</v>
      </c>
      <c r="R874">
        <v>743335</v>
      </c>
    </row>
    <row r="875" spans="1:18" x14ac:dyDescent="0.25">
      <c r="A875" s="169">
        <v>43287</v>
      </c>
      <c r="B875" s="116">
        <v>40.25</v>
      </c>
      <c r="C875" s="116">
        <v>39.024999999999999</v>
      </c>
      <c r="D875" s="116">
        <v>38.524999999999999</v>
      </c>
      <c r="E875" s="116">
        <v>39.024999999999999</v>
      </c>
      <c r="F875" s="116">
        <v>78.05</v>
      </c>
      <c r="G875">
        <v>87962</v>
      </c>
      <c r="H875" s="116"/>
      <c r="I875" s="116"/>
      <c r="L875" s="169">
        <v>43287</v>
      </c>
      <c r="M875" s="116">
        <v>39.024999999999999</v>
      </c>
      <c r="N875" s="116">
        <v>40.325000000000003</v>
      </c>
      <c r="O875" s="116">
        <v>38.774999999999999</v>
      </c>
      <c r="P875" s="116">
        <v>38.950000000000003</v>
      </c>
      <c r="Q875" s="116">
        <v>78.05</v>
      </c>
      <c r="R875">
        <v>937467</v>
      </c>
    </row>
    <row r="876" spans="1:18" x14ac:dyDescent="0.25">
      <c r="A876" s="169">
        <v>43290</v>
      </c>
      <c r="B876" s="116">
        <v>42.6</v>
      </c>
      <c r="C876" s="116">
        <v>42.25</v>
      </c>
      <c r="D876" s="116">
        <v>39.25</v>
      </c>
      <c r="E876" s="116">
        <v>39.25</v>
      </c>
      <c r="F876" s="116">
        <v>84.5</v>
      </c>
      <c r="G876">
        <v>262348</v>
      </c>
      <c r="H876" s="116"/>
      <c r="I876" s="116"/>
      <c r="L876" s="169">
        <v>43290</v>
      </c>
      <c r="M876" s="116">
        <v>42.25</v>
      </c>
      <c r="N876" s="116">
        <v>42.65</v>
      </c>
      <c r="O876" s="116">
        <v>39.5</v>
      </c>
      <c r="P876" s="116">
        <v>39.5</v>
      </c>
      <c r="Q876" s="116">
        <v>84.5</v>
      </c>
      <c r="R876">
        <v>2149135</v>
      </c>
    </row>
    <row r="877" spans="1:18" x14ac:dyDescent="0.25">
      <c r="A877" s="169">
        <v>43291</v>
      </c>
      <c r="B877" s="116">
        <v>43.2</v>
      </c>
      <c r="C877" s="116">
        <v>42.3</v>
      </c>
      <c r="D877" s="116">
        <v>41.85</v>
      </c>
      <c r="E877" s="116">
        <v>42.15</v>
      </c>
      <c r="F877" s="116">
        <v>84.6</v>
      </c>
      <c r="G877">
        <v>144993</v>
      </c>
      <c r="H877" s="116"/>
      <c r="I877" s="116"/>
      <c r="L877" s="169">
        <v>43291</v>
      </c>
      <c r="M877" s="116">
        <v>42.225000000000001</v>
      </c>
      <c r="N877" s="116">
        <v>43.2</v>
      </c>
      <c r="O877" s="116">
        <v>41.75</v>
      </c>
      <c r="P877" s="116">
        <v>42.4</v>
      </c>
      <c r="Q877" s="116">
        <v>84.45</v>
      </c>
      <c r="R877">
        <v>914662</v>
      </c>
    </row>
    <row r="878" spans="1:18" x14ac:dyDescent="0.25">
      <c r="A878" s="169">
        <v>43292</v>
      </c>
      <c r="B878" s="116">
        <v>42.55</v>
      </c>
      <c r="C878" s="116">
        <v>40.75</v>
      </c>
      <c r="D878" s="116">
        <v>40.35</v>
      </c>
      <c r="E878" s="116">
        <v>41.524999999999999</v>
      </c>
      <c r="F878" s="116">
        <v>81.5</v>
      </c>
      <c r="G878">
        <v>94301</v>
      </c>
      <c r="H878" s="116"/>
      <c r="I878" s="116"/>
      <c r="L878" s="169">
        <v>43292</v>
      </c>
      <c r="M878" s="116">
        <v>40.674999999999997</v>
      </c>
      <c r="N878" s="116">
        <v>42.65</v>
      </c>
      <c r="O878" s="116">
        <v>40.274999999999999</v>
      </c>
      <c r="P878" s="116">
        <v>41.7</v>
      </c>
      <c r="Q878" s="116">
        <v>81.349999999999994</v>
      </c>
      <c r="R878">
        <v>787141</v>
      </c>
    </row>
    <row r="879" spans="1:18" x14ac:dyDescent="0.25">
      <c r="A879" s="169">
        <v>43293</v>
      </c>
      <c r="B879" s="116">
        <v>41.5</v>
      </c>
      <c r="C879" s="116">
        <v>40.975000000000001</v>
      </c>
      <c r="D879" s="116">
        <v>40.575000000000003</v>
      </c>
      <c r="E879" s="116">
        <v>41.075000000000003</v>
      </c>
      <c r="F879" s="116">
        <v>81.95</v>
      </c>
      <c r="G879">
        <v>92177</v>
      </c>
      <c r="H879" s="116"/>
      <c r="I879" s="116"/>
      <c r="L879" s="169">
        <v>43293</v>
      </c>
      <c r="M879" s="116">
        <v>41.024999999999999</v>
      </c>
      <c r="N879" s="116">
        <v>41.45</v>
      </c>
      <c r="O879" s="116">
        <v>40.5</v>
      </c>
      <c r="P879" s="116">
        <v>41.1</v>
      </c>
      <c r="Q879" s="116">
        <v>82.05</v>
      </c>
      <c r="R879">
        <v>510987</v>
      </c>
    </row>
    <row r="880" spans="1:18" x14ac:dyDescent="0.25">
      <c r="A880" s="169">
        <v>43294</v>
      </c>
      <c r="B880" s="116">
        <v>41</v>
      </c>
      <c r="C880" s="116">
        <v>39.825000000000003</v>
      </c>
      <c r="D880" s="116">
        <v>39.6</v>
      </c>
      <c r="E880" s="116">
        <v>40.774999999999999</v>
      </c>
      <c r="F880" s="116">
        <v>79.650000000000006</v>
      </c>
      <c r="G880">
        <v>81875</v>
      </c>
      <c r="H880" s="116"/>
      <c r="I880" s="116"/>
      <c r="L880" s="169">
        <v>43294</v>
      </c>
      <c r="M880" s="116">
        <v>39.924999999999997</v>
      </c>
      <c r="N880" s="116">
        <v>41.075000000000003</v>
      </c>
      <c r="O880" s="116">
        <v>39.625</v>
      </c>
      <c r="P880" s="116">
        <v>40.9</v>
      </c>
      <c r="Q880" s="116">
        <v>79.849999999999994</v>
      </c>
      <c r="R880">
        <v>641977</v>
      </c>
    </row>
    <row r="881" spans="1:18" x14ac:dyDescent="0.25">
      <c r="A881" s="169">
        <v>43297</v>
      </c>
      <c r="B881" s="116">
        <v>39.725000000000001</v>
      </c>
      <c r="C881" s="116">
        <v>38.125</v>
      </c>
      <c r="D881" s="116">
        <v>37.875</v>
      </c>
      <c r="E881" s="116">
        <v>39.725000000000001</v>
      </c>
      <c r="F881" s="116">
        <v>76.25</v>
      </c>
      <c r="G881">
        <v>61973</v>
      </c>
      <c r="H881" s="116"/>
      <c r="I881" s="116"/>
      <c r="L881" s="169">
        <v>43297</v>
      </c>
      <c r="M881" s="116">
        <v>38.1</v>
      </c>
      <c r="N881" s="116">
        <v>39.774999999999999</v>
      </c>
      <c r="O881" s="116">
        <v>37.799999999999997</v>
      </c>
      <c r="P881" s="116">
        <v>39.75</v>
      </c>
      <c r="Q881" s="116">
        <v>76.2</v>
      </c>
      <c r="R881">
        <v>461145</v>
      </c>
    </row>
    <row r="882" spans="1:18" x14ac:dyDescent="0.25">
      <c r="A882" s="169">
        <v>43298</v>
      </c>
      <c r="B882" s="116">
        <v>38.524999999999999</v>
      </c>
      <c r="C882" s="116">
        <v>37.825000000000003</v>
      </c>
      <c r="D882" s="116">
        <v>37.35</v>
      </c>
      <c r="E882" s="116">
        <v>38.125</v>
      </c>
      <c r="F882" s="116">
        <v>75.650000000000006</v>
      </c>
      <c r="G882">
        <v>86821</v>
      </c>
      <c r="H882" s="116"/>
      <c r="I882" s="116"/>
      <c r="L882" s="169">
        <v>43298</v>
      </c>
      <c r="M882" s="116">
        <v>37.774999999999999</v>
      </c>
      <c r="N882" s="116">
        <v>38.5</v>
      </c>
      <c r="O882" s="116">
        <v>37.174999999999997</v>
      </c>
      <c r="P882" s="116">
        <v>38</v>
      </c>
      <c r="Q882" s="116">
        <v>75.55</v>
      </c>
      <c r="R882">
        <v>592704</v>
      </c>
    </row>
    <row r="883" spans="1:18" x14ac:dyDescent="0.25">
      <c r="A883" s="169">
        <v>43299</v>
      </c>
      <c r="B883" s="116">
        <v>38.700000000000003</v>
      </c>
      <c r="C883" s="116">
        <v>36.15</v>
      </c>
      <c r="D883" s="116">
        <v>35.875</v>
      </c>
      <c r="E883" s="116">
        <v>38.049999999999997</v>
      </c>
      <c r="F883" s="116">
        <v>72.3</v>
      </c>
      <c r="G883">
        <v>132006</v>
      </c>
      <c r="H883" s="116"/>
      <c r="I883" s="116"/>
      <c r="L883" s="169">
        <v>43299</v>
      </c>
      <c r="M883" s="116">
        <v>36.125</v>
      </c>
      <c r="N883" s="116">
        <v>38.799999999999997</v>
      </c>
      <c r="O883" s="116">
        <v>35.85</v>
      </c>
      <c r="P883" s="116">
        <v>37.85</v>
      </c>
      <c r="Q883" s="116">
        <v>72.25</v>
      </c>
      <c r="R883">
        <v>770182</v>
      </c>
    </row>
    <row r="884" spans="1:18" x14ac:dyDescent="0.25">
      <c r="A884" s="169">
        <v>43300</v>
      </c>
      <c r="B884" s="116">
        <v>37.4</v>
      </c>
      <c r="C884" s="116">
        <v>36.575000000000003</v>
      </c>
      <c r="D884" s="116">
        <v>35.075000000000003</v>
      </c>
      <c r="E884" s="116">
        <v>36.475000000000001</v>
      </c>
      <c r="F884" s="116">
        <v>73.150000000000006</v>
      </c>
      <c r="G884">
        <v>94419</v>
      </c>
      <c r="H884" s="116"/>
      <c r="I884" s="116"/>
      <c r="L884" s="169">
        <v>43300</v>
      </c>
      <c r="M884" s="116">
        <v>36.6</v>
      </c>
      <c r="N884" s="116">
        <v>37.5</v>
      </c>
      <c r="O884" s="116">
        <v>35</v>
      </c>
      <c r="P884" s="116">
        <v>36</v>
      </c>
      <c r="Q884" s="116">
        <v>73.2</v>
      </c>
      <c r="R884">
        <v>915448</v>
      </c>
    </row>
    <row r="885" spans="1:18" x14ac:dyDescent="0.25">
      <c r="A885" s="169">
        <v>43301</v>
      </c>
      <c r="B885" s="116">
        <v>36.625</v>
      </c>
      <c r="C885" s="116">
        <v>35.774999999999999</v>
      </c>
      <c r="D885" s="116">
        <v>35.625</v>
      </c>
      <c r="E885" s="116">
        <v>36.049999999999997</v>
      </c>
      <c r="F885" s="116">
        <v>71.55</v>
      </c>
      <c r="G885">
        <v>148815</v>
      </c>
      <c r="H885" s="116"/>
      <c r="I885" s="116"/>
      <c r="L885" s="169">
        <v>43301</v>
      </c>
      <c r="M885" s="116">
        <v>35.75</v>
      </c>
      <c r="N885" s="116">
        <v>36.625</v>
      </c>
      <c r="O885" s="116">
        <v>35.549999999999997</v>
      </c>
      <c r="P885" s="116">
        <v>36.4</v>
      </c>
      <c r="Q885" s="116">
        <v>71.5</v>
      </c>
      <c r="R885">
        <v>447946</v>
      </c>
    </row>
    <row r="886" spans="1:18" x14ac:dyDescent="0.25">
      <c r="A886" s="169">
        <v>43304</v>
      </c>
      <c r="B886" s="116">
        <v>37.299999999999997</v>
      </c>
      <c r="C886" s="116">
        <v>36.9</v>
      </c>
      <c r="D886" s="116">
        <v>35</v>
      </c>
      <c r="E886" s="116">
        <v>35.35</v>
      </c>
      <c r="F886" s="116">
        <v>73.8</v>
      </c>
      <c r="G886">
        <v>180104</v>
      </c>
      <c r="H886" s="116"/>
      <c r="I886" s="116"/>
      <c r="L886" s="169">
        <v>43304</v>
      </c>
      <c r="M886" s="116">
        <v>36.875</v>
      </c>
      <c r="N886" s="116">
        <v>37.174999999999997</v>
      </c>
      <c r="O886" s="116">
        <v>35</v>
      </c>
      <c r="P886" s="116">
        <v>35.125</v>
      </c>
      <c r="Q886" s="116">
        <v>73.75</v>
      </c>
      <c r="R886">
        <v>449710</v>
      </c>
    </row>
    <row r="887" spans="1:18" x14ac:dyDescent="0.25">
      <c r="A887" s="169">
        <v>43305</v>
      </c>
      <c r="B887" s="116">
        <v>41.15</v>
      </c>
      <c r="C887" s="116">
        <v>40.725000000000001</v>
      </c>
      <c r="D887" s="116">
        <v>36.799999999999997</v>
      </c>
      <c r="E887" s="116">
        <v>37.049999999999997</v>
      </c>
      <c r="F887" s="116">
        <v>81.45</v>
      </c>
      <c r="G887">
        <v>307190</v>
      </c>
      <c r="H887" s="116"/>
      <c r="I887" s="116"/>
      <c r="L887" s="169">
        <v>43305</v>
      </c>
      <c r="M887" s="116">
        <v>40.774999999999999</v>
      </c>
      <c r="N887" s="116">
        <v>41.174999999999997</v>
      </c>
      <c r="O887" s="116">
        <v>36.700000000000003</v>
      </c>
      <c r="P887" s="116">
        <v>37.1</v>
      </c>
      <c r="Q887" s="116">
        <v>81.55</v>
      </c>
      <c r="R887">
        <v>1647024</v>
      </c>
    </row>
    <row r="888" spans="1:18" x14ac:dyDescent="0.25">
      <c r="A888" s="169">
        <v>43306</v>
      </c>
      <c r="B888" s="116">
        <v>42.25</v>
      </c>
      <c r="C888" s="116">
        <v>41.975000000000001</v>
      </c>
      <c r="D888" s="116">
        <v>40.85</v>
      </c>
      <c r="E888" s="116">
        <v>41.5</v>
      </c>
      <c r="F888" s="116">
        <v>83.95</v>
      </c>
      <c r="G888">
        <v>227819</v>
      </c>
      <c r="H888" s="116"/>
      <c r="I888" s="116"/>
      <c r="L888" s="169">
        <v>43306</v>
      </c>
      <c r="M888" s="116">
        <v>42.05</v>
      </c>
      <c r="N888" s="116">
        <v>42.35</v>
      </c>
      <c r="O888" s="116">
        <v>40.75</v>
      </c>
      <c r="P888" s="116">
        <v>41.5</v>
      </c>
      <c r="Q888" s="116">
        <v>84.1</v>
      </c>
      <c r="R888">
        <v>2056634</v>
      </c>
    </row>
    <row r="889" spans="1:18" x14ac:dyDescent="0.25">
      <c r="A889" s="169">
        <v>43307</v>
      </c>
      <c r="B889" s="116">
        <v>43.325000000000003</v>
      </c>
      <c r="C889" s="116">
        <v>43.075000000000003</v>
      </c>
      <c r="D889" s="116">
        <v>41.375</v>
      </c>
      <c r="E889" s="116">
        <v>42</v>
      </c>
      <c r="F889" s="116">
        <v>86.15</v>
      </c>
      <c r="G889">
        <v>127230</v>
      </c>
      <c r="H889" s="116"/>
      <c r="I889" s="116"/>
      <c r="L889" s="169">
        <v>43307</v>
      </c>
      <c r="M889" s="116">
        <v>43.125</v>
      </c>
      <c r="N889" s="116">
        <v>43.4</v>
      </c>
      <c r="O889" s="116">
        <v>41.25</v>
      </c>
      <c r="P889" s="116">
        <v>42.075000000000003</v>
      </c>
      <c r="Q889" s="116">
        <v>86.25</v>
      </c>
      <c r="R889">
        <v>1418677</v>
      </c>
    </row>
    <row r="890" spans="1:18" x14ac:dyDescent="0.25">
      <c r="A890" s="169">
        <v>43308</v>
      </c>
      <c r="B890" s="116">
        <v>43.9</v>
      </c>
      <c r="C890" s="116">
        <v>42.975000000000001</v>
      </c>
      <c r="D890" s="116">
        <v>42.625</v>
      </c>
      <c r="E890" s="116">
        <v>43.424999999999997</v>
      </c>
      <c r="F890" s="116">
        <v>85.95</v>
      </c>
      <c r="G890">
        <v>113650</v>
      </c>
      <c r="H890" s="116"/>
      <c r="I890" s="116"/>
      <c r="L890" s="169">
        <v>43308</v>
      </c>
      <c r="M890" s="116">
        <v>43.075000000000003</v>
      </c>
      <c r="N890" s="116">
        <v>43.9</v>
      </c>
      <c r="O890" s="116">
        <v>42.625</v>
      </c>
      <c r="P890" s="116">
        <v>43.225000000000001</v>
      </c>
      <c r="Q890" s="116">
        <v>86.15</v>
      </c>
      <c r="R890">
        <v>800041</v>
      </c>
    </row>
    <row r="891" spans="1:18" x14ac:dyDescent="0.25">
      <c r="A891" s="169">
        <v>43311</v>
      </c>
      <c r="B891" s="116">
        <v>43.75</v>
      </c>
      <c r="C891" s="116">
        <v>43.225000000000001</v>
      </c>
      <c r="D891" s="116">
        <v>42.725000000000001</v>
      </c>
      <c r="E891" s="116">
        <v>43.25</v>
      </c>
      <c r="F891" s="116">
        <v>86.45</v>
      </c>
      <c r="G891">
        <v>101030</v>
      </c>
      <c r="H891" s="116"/>
      <c r="I891" s="116"/>
      <c r="L891" s="169">
        <v>43311</v>
      </c>
      <c r="M891" s="116">
        <v>43.274999999999999</v>
      </c>
      <c r="N891" s="116">
        <v>43.774999999999999</v>
      </c>
      <c r="O891" s="116">
        <v>42.7</v>
      </c>
      <c r="P891" s="116">
        <v>43.1</v>
      </c>
      <c r="Q891" s="116">
        <v>86.55</v>
      </c>
      <c r="R891">
        <v>506403</v>
      </c>
    </row>
    <row r="892" spans="1:18" x14ac:dyDescent="0.25">
      <c r="A892" s="169">
        <v>43312</v>
      </c>
      <c r="B892" s="116">
        <v>45.25</v>
      </c>
      <c r="C892" s="116">
        <v>44.3</v>
      </c>
      <c r="D892" s="116">
        <v>42.8</v>
      </c>
      <c r="E892" s="116">
        <v>43.25</v>
      </c>
      <c r="F892" s="116">
        <v>88.6</v>
      </c>
      <c r="G892">
        <v>182130</v>
      </c>
      <c r="H892" s="116"/>
      <c r="I892" s="116"/>
      <c r="L892" s="169">
        <v>43312</v>
      </c>
      <c r="M892" s="116">
        <v>44.2</v>
      </c>
      <c r="N892" s="116">
        <v>45.325000000000003</v>
      </c>
      <c r="O892" s="116">
        <v>42.75</v>
      </c>
      <c r="P892" s="116">
        <v>42.924999999999997</v>
      </c>
      <c r="Q892" s="116">
        <v>88.4</v>
      </c>
      <c r="R892">
        <v>1530585</v>
      </c>
    </row>
    <row r="893" spans="1:18" x14ac:dyDescent="0.25">
      <c r="A893" s="169">
        <v>43313</v>
      </c>
      <c r="B893" s="116">
        <v>45.55</v>
      </c>
      <c r="C893" s="116">
        <v>43.274999999999999</v>
      </c>
      <c r="D893" s="116">
        <v>42.25</v>
      </c>
      <c r="E893" s="116">
        <v>44.5</v>
      </c>
      <c r="F893" s="116">
        <v>86.55</v>
      </c>
      <c r="G893">
        <v>220288</v>
      </c>
      <c r="H893" s="116"/>
      <c r="I893" s="116"/>
      <c r="L893" s="169">
        <v>43313</v>
      </c>
      <c r="M893" s="116">
        <v>43.2</v>
      </c>
      <c r="N893" s="116">
        <v>45.575000000000003</v>
      </c>
      <c r="O893" s="116">
        <v>42.15</v>
      </c>
      <c r="P893" s="116">
        <v>44.5</v>
      </c>
      <c r="Q893" s="116">
        <v>86.4</v>
      </c>
      <c r="R893">
        <v>1510334</v>
      </c>
    </row>
    <row r="894" spans="1:18" x14ac:dyDescent="0.25">
      <c r="A894" s="169">
        <v>43314</v>
      </c>
      <c r="B894" s="116">
        <v>44.524999999999999</v>
      </c>
      <c r="C894" s="116">
        <v>42.95</v>
      </c>
      <c r="D894" s="116">
        <v>42.7</v>
      </c>
      <c r="E894" s="116">
        <v>43.75</v>
      </c>
      <c r="F894" s="116">
        <v>85.9</v>
      </c>
      <c r="G894">
        <v>242775</v>
      </c>
      <c r="H894" s="116"/>
      <c r="I894" s="116"/>
      <c r="L894" s="169">
        <v>43314</v>
      </c>
      <c r="M894" s="116">
        <v>42.825000000000003</v>
      </c>
      <c r="N894" s="116">
        <v>44.5</v>
      </c>
      <c r="O894" s="116">
        <v>42.5</v>
      </c>
      <c r="P894" s="116">
        <v>43.575000000000003</v>
      </c>
      <c r="Q894" s="116">
        <v>85.65</v>
      </c>
      <c r="R894">
        <v>2031026</v>
      </c>
    </row>
    <row r="895" spans="1:18" x14ac:dyDescent="0.25">
      <c r="A895" s="169">
        <v>43315</v>
      </c>
      <c r="B895" s="116">
        <v>43.274999999999999</v>
      </c>
      <c r="C895" s="116">
        <v>42.55</v>
      </c>
      <c r="D895" s="116">
        <v>42.325000000000003</v>
      </c>
      <c r="E895" s="116">
        <v>43.024999999999999</v>
      </c>
      <c r="F895" s="116">
        <v>85.1</v>
      </c>
      <c r="G895">
        <v>85894</v>
      </c>
      <c r="H895" s="116"/>
      <c r="I895" s="116"/>
      <c r="L895" s="169">
        <v>43315</v>
      </c>
      <c r="M895" s="116">
        <v>42.55</v>
      </c>
      <c r="N895" s="116">
        <v>43.3</v>
      </c>
      <c r="O895" s="116">
        <v>42.125</v>
      </c>
      <c r="P895" s="116">
        <v>42.875</v>
      </c>
      <c r="Q895" s="116">
        <v>85.1</v>
      </c>
      <c r="R895">
        <v>799258</v>
      </c>
    </row>
    <row r="896" spans="1:18" x14ac:dyDescent="0.25">
      <c r="A896" s="169">
        <v>43318</v>
      </c>
      <c r="B896" s="116">
        <v>43.975000000000001</v>
      </c>
      <c r="C896" s="116">
        <v>43.2</v>
      </c>
      <c r="D896" s="116">
        <v>42.5</v>
      </c>
      <c r="E896" s="116">
        <v>42.75</v>
      </c>
      <c r="F896" s="116">
        <v>86.4</v>
      </c>
      <c r="G896">
        <v>138563</v>
      </c>
      <c r="H896" s="116"/>
      <c r="I896" s="116"/>
      <c r="L896" s="169">
        <v>43318</v>
      </c>
      <c r="M896" s="116">
        <v>43.075000000000003</v>
      </c>
      <c r="N896" s="116">
        <v>43.95</v>
      </c>
      <c r="O896" s="116">
        <v>42.325000000000003</v>
      </c>
      <c r="P896" s="116">
        <v>42.325000000000003</v>
      </c>
      <c r="Q896" s="116">
        <v>86.15</v>
      </c>
      <c r="R896">
        <v>1043303</v>
      </c>
    </row>
    <row r="897" spans="1:18" x14ac:dyDescent="0.25">
      <c r="A897" s="169">
        <v>43319</v>
      </c>
      <c r="B897" s="116">
        <v>44.225000000000001</v>
      </c>
      <c r="C897" s="116">
        <v>42.424999999999997</v>
      </c>
      <c r="D897" s="116">
        <v>42.075000000000003</v>
      </c>
      <c r="E897" s="116">
        <v>43.25</v>
      </c>
      <c r="F897" s="116">
        <v>84.85</v>
      </c>
      <c r="G897">
        <v>140629</v>
      </c>
      <c r="H897" s="116"/>
      <c r="I897" s="116"/>
      <c r="L897" s="169">
        <v>43319</v>
      </c>
      <c r="M897" s="116">
        <v>42.325000000000003</v>
      </c>
      <c r="N897" s="116">
        <v>44.2</v>
      </c>
      <c r="O897" s="116">
        <v>42.15</v>
      </c>
      <c r="P897" s="116">
        <v>43.35</v>
      </c>
      <c r="Q897" s="116">
        <v>84.65</v>
      </c>
      <c r="R897">
        <v>911216</v>
      </c>
    </row>
    <row r="898" spans="1:18" x14ac:dyDescent="0.25">
      <c r="A898" s="169">
        <v>43320</v>
      </c>
      <c r="B898" s="116">
        <v>42.9</v>
      </c>
      <c r="C898" s="116">
        <v>41.95</v>
      </c>
      <c r="D898" s="116">
        <v>41.75</v>
      </c>
      <c r="E898" s="116">
        <v>42.424999999999997</v>
      </c>
      <c r="F898" s="116">
        <v>83.9</v>
      </c>
      <c r="G898">
        <v>84248</v>
      </c>
      <c r="H898" s="116"/>
      <c r="I898" s="116"/>
      <c r="L898" s="169">
        <v>43320</v>
      </c>
      <c r="M898" s="116">
        <v>41.975000000000001</v>
      </c>
      <c r="N898" s="116">
        <v>43</v>
      </c>
      <c r="O898" s="116">
        <v>41.8</v>
      </c>
      <c r="P898" s="116">
        <v>42.5</v>
      </c>
      <c r="Q898" s="116">
        <v>83.95</v>
      </c>
      <c r="R898">
        <v>582570</v>
      </c>
    </row>
    <row r="899" spans="1:18" x14ac:dyDescent="0.25">
      <c r="A899" s="169">
        <v>43321</v>
      </c>
      <c r="B899" s="116">
        <v>42.375</v>
      </c>
      <c r="C899" s="116">
        <v>41.05</v>
      </c>
      <c r="D899" s="116">
        <v>40.85</v>
      </c>
      <c r="E899" s="116">
        <v>42</v>
      </c>
      <c r="F899" s="116">
        <v>82.1</v>
      </c>
      <c r="G899">
        <v>78621</v>
      </c>
      <c r="H899" s="116"/>
      <c r="I899" s="116"/>
      <c r="L899" s="169">
        <v>43321</v>
      </c>
      <c r="M899" s="116">
        <v>40.975000000000001</v>
      </c>
      <c r="N899" s="116">
        <v>42.375</v>
      </c>
      <c r="O899" s="116">
        <v>40.85</v>
      </c>
      <c r="P899" s="116">
        <v>42.125</v>
      </c>
      <c r="Q899" s="116">
        <v>81.95</v>
      </c>
      <c r="R899">
        <v>787563</v>
      </c>
    </row>
    <row r="900" spans="1:18" x14ac:dyDescent="0.25">
      <c r="A900" s="169">
        <v>43322</v>
      </c>
      <c r="B900" s="116">
        <v>41.225000000000001</v>
      </c>
      <c r="C900" s="116">
        <v>39.950000000000003</v>
      </c>
      <c r="D900" s="116">
        <v>39.799999999999997</v>
      </c>
      <c r="E900" s="116">
        <v>41.225000000000001</v>
      </c>
      <c r="F900" s="116">
        <v>79.900000000000006</v>
      </c>
      <c r="G900">
        <v>79832</v>
      </c>
      <c r="H900" s="116"/>
      <c r="I900" s="116"/>
      <c r="L900" s="169">
        <v>43322</v>
      </c>
      <c r="M900" s="116">
        <v>39.950000000000003</v>
      </c>
      <c r="N900" s="116">
        <v>41.174999999999997</v>
      </c>
      <c r="O900" s="116">
        <v>39.774999999999999</v>
      </c>
      <c r="P900" s="116">
        <v>41.1</v>
      </c>
      <c r="Q900" s="116">
        <v>79.900000000000006</v>
      </c>
      <c r="R900">
        <v>557179</v>
      </c>
    </row>
    <row r="901" spans="1:18" x14ac:dyDescent="0.25">
      <c r="A901" s="169">
        <v>43325</v>
      </c>
      <c r="B901" s="116">
        <v>39.950000000000003</v>
      </c>
      <c r="C901" s="116">
        <v>39.049999999999997</v>
      </c>
      <c r="D901" s="116">
        <v>38.875</v>
      </c>
      <c r="E901" s="116">
        <v>39.950000000000003</v>
      </c>
      <c r="F901" s="116">
        <v>78.099999999999994</v>
      </c>
      <c r="G901">
        <v>71116</v>
      </c>
      <c r="H901" s="116"/>
      <c r="I901" s="116"/>
      <c r="L901" s="169">
        <v>43325</v>
      </c>
      <c r="M901" s="116">
        <v>39.075000000000003</v>
      </c>
      <c r="N901" s="116">
        <v>39.725000000000001</v>
      </c>
      <c r="O901" s="116">
        <v>38.825000000000003</v>
      </c>
      <c r="P901" s="116">
        <v>39.674999999999997</v>
      </c>
      <c r="Q901" s="116">
        <v>78.150000000000006</v>
      </c>
      <c r="R901">
        <v>479454</v>
      </c>
    </row>
    <row r="902" spans="1:18" x14ac:dyDescent="0.25">
      <c r="A902" s="169">
        <v>43326</v>
      </c>
      <c r="B902" s="116">
        <v>40</v>
      </c>
      <c r="C902" s="116">
        <v>39.700000000000003</v>
      </c>
      <c r="D902" s="116">
        <v>38.549999999999997</v>
      </c>
      <c r="E902" s="116">
        <v>39.15</v>
      </c>
      <c r="F902" s="116">
        <v>79.400000000000006</v>
      </c>
      <c r="G902">
        <v>77835</v>
      </c>
      <c r="H902" s="116"/>
      <c r="I902" s="116"/>
      <c r="L902" s="169">
        <v>43326</v>
      </c>
      <c r="M902" s="116">
        <v>39.65</v>
      </c>
      <c r="N902" s="116">
        <v>40</v>
      </c>
      <c r="O902" s="116">
        <v>38.524999999999999</v>
      </c>
      <c r="P902" s="116">
        <v>39.325000000000003</v>
      </c>
      <c r="Q902" s="116">
        <v>79.3</v>
      </c>
      <c r="R902">
        <v>605055</v>
      </c>
    </row>
    <row r="903" spans="1:18" x14ac:dyDescent="0.25">
      <c r="A903" s="169">
        <v>43328</v>
      </c>
      <c r="B903" s="116">
        <v>39.4</v>
      </c>
      <c r="C903" s="116">
        <v>39</v>
      </c>
      <c r="D903" s="116">
        <v>38.75</v>
      </c>
      <c r="E903" s="116">
        <v>39.125</v>
      </c>
      <c r="F903" s="116">
        <v>78</v>
      </c>
      <c r="G903">
        <v>74753</v>
      </c>
      <c r="H903" s="116"/>
      <c r="I903" s="116"/>
      <c r="L903" s="169">
        <v>43328</v>
      </c>
      <c r="M903" s="116">
        <v>39.024999999999999</v>
      </c>
      <c r="N903" s="116">
        <v>39.4</v>
      </c>
      <c r="O903" s="116">
        <v>38.700000000000003</v>
      </c>
      <c r="P903" s="116">
        <v>39.4</v>
      </c>
      <c r="Q903" s="116">
        <v>78.05</v>
      </c>
      <c r="R903">
        <v>510103</v>
      </c>
    </row>
    <row r="904" spans="1:18" x14ac:dyDescent="0.25">
      <c r="A904" s="169">
        <v>43329</v>
      </c>
      <c r="B904" s="116">
        <v>40.65</v>
      </c>
      <c r="C904" s="116">
        <v>39.825000000000003</v>
      </c>
      <c r="D904" s="116">
        <v>39.5</v>
      </c>
      <c r="E904" s="116">
        <v>39.549999999999997</v>
      </c>
      <c r="F904" s="116">
        <v>79.650000000000006</v>
      </c>
      <c r="G904">
        <v>70786</v>
      </c>
      <c r="H904" s="116"/>
      <c r="I904" s="116"/>
      <c r="L904" s="169">
        <v>43329</v>
      </c>
      <c r="M904" s="116">
        <v>39.9</v>
      </c>
      <c r="N904" s="116">
        <v>40.575000000000003</v>
      </c>
      <c r="O904" s="116">
        <v>39.325000000000003</v>
      </c>
      <c r="P904" s="116">
        <v>39.325000000000003</v>
      </c>
      <c r="Q904" s="116">
        <v>79.8</v>
      </c>
      <c r="R904">
        <v>522794</v>
      </c>
    </row>
    <row r="905" spans="1:18" x14ac:dyDescent="0.25">
      <c r="A905" s="169">
        <v>43332</v>
      </c>
      <c r="B905" s="116">
        <v>43.125</v>
      </c>
      <c r="C905" s="116">
        <v>42.7</v>
      </c>
      <c r="D905" s="116">
        <v>40</v>
      </c>
      <c r="E905" s="116">
        <v>40.25</v>
      </c>
      <c r="F905" s="116">
        <v>85.4</v>
      </c>
      <c r="G905">
        <v>279357</v>
      </c>
      <c r="H905" s="116"/>
      <c r="I905" s="116"/>
      <c r="L905" s="169">
        <v>43332</v>
      </c>
      <c r="M905" s="116">
        <v>42.725000000000001</v>
      </c>
      <c r="N905" s="116">
        <v>43.2</v>
      </c>
      <c r="O905" s="116">
        <v>40</v>
      </c>
      <c r="P905" s="116">
        <v>40.15</v>
      </c>
      <c r="Q905" s="116">
        <v>85.45</v>
      </c>
      <c r="R905">
        <v>1994744</v>
      </c>
    </row>
    <row r="906" spans="1:18" x14ac:dyDescent="0.25">
      <c r="A906" s="169">
        <v>43333</v>
      </c>
      <c r="B906" s="116">
        <v>42.875</v>
      </c>
      <c r="C906" s="116">
        <v>41.975000000000001</v>
      </c>
      <c r="D906" s="116">
        <v>41.5</v>
      </c>
      <c r="E906" s="116">
        <v>42.125</v>
      </c>
      <c r="F906" s="116">
        <v>83.95</v>
      </c>
      <c r="G906">
        <v>147415</v>
      </c>
      <c r="H906" s="116"/>
      <c r="I906" s="116"/>
      <c r="L906" s="169">
        <v>43333</v>
      </c>
      <c r="M906" s="116">
        <v>42.05</v>
      </c>
      <c r="N906" s="116">
        <v>42.95</v>
      </c>
      <c r="O906" s="116">
        <v>41.7</v>
      </c>
      <c r="P906" s="116">
        <v>42.75</v>
      </c>
      <c r="Q906" s="116">
        <v>84.1</v>
      </c>
      <c r="R906">
        <v>580200</v>
      </c>
    </row>
    <row r="907" spans="1:18" x14ac:dyDescent="0.25">
      <c r="A907" s="169">
        <v>43335</v>
      </c>
      <c r="B907" s="116">
        <v>41.524999999999999</v>
      </c>
      <c r="C907" s="116">
        <v>40.924999999999997</v>
      </c>
      <c r="D907" s="116">
        <v>40.35</v>
      </c>
      <c r="E907" s="116">
        <v>41.524999999999999</v>
      </c>
      <c r="F907" s="116">
        <v>81.849999999999994</v>
      </c>
      <c r="G907">
        <v>161914</v>
      </c>
      <c r="H907" s="116"/>
      <c r="I907" s="116"/>
      <c r="L907" s="169">
        <v>43335</v>
      </c>
      <c r="M907" s="116">
        <v>41.05</v>
      </c>
      <c r="N907" s="116">
        <v>41.5</v>
      </c>
      <c r="O907" s="116">
        <v>40.274999999999999</v>
      </c>
      <c r="P907" s="116">
        <v>41.5</v>
      </c>
      <c r="Q907" s="116">
        <v>82.1</v>
      </c>
      <c r="R907">
        <v>865258</v>
      </c>
    </row>
    <row r="908" spans="1:18" x14ac:dyDescent="0.25">
      <c r="A908" s="169">
        <v>43336</v>
      </c>
      <c r="B908" s="116">
        <v>41.5</v>
      </c>
      <c r="C908" s="116">
        <v>40.524999999999999</v>
      </c>
      <c r="D908" s="116">
        <v>40.424999999999997</v>
      </c>
      <c r="E908" s="116">
        <v>40.9</v>
      </c>
      <c r="F908" s="116">
        <v>81.05</v>
      </c>
      <c r="G908">
        <v>75979</v>
      </c>
      <c r="H908" s="116"/>
      <c r="I908" s="116"/>
      <c r="L908" s="169">
        <v>43336</v>
      </c>
      <c r="M908" s="116">
        <v>40.65</v>
      </c>
      <c r="N908" s="116">
        <v>41.4</v>
      </c>
      <c r="O908" s="116">
        <v>40.5</v>
      </c>
      <c r="P908" s="116">
        <v>40.9</v>
      </c>
      <c r="Q908" s="116">
        <v>81.3</v>
      </c>
      <c r="R908">
        <v>477463</v>
      </c>
    </row>
    <row r="909" spans="1:18" x14ac:dyDescent="0.25">
      <c r="A909" s="169">
        <v>43339</v>
      </c>
      <c r="B909" s="116">
        <v>44.75</v>
      </c>
      <c r="C909" s="116">
        <v>43.825000000000003</v>
      </c>
      <c r="D909" s="116">
        <v>40.875</v>
      </c>
      <c r="E909" s="116">
        <v>40.9</v>
      </c>
      <c r="F909" s="116">
        <v>87.65</v>
      </c>
      <c r="G909">
        <v>493006</v>
      </c>
      <c r="H909" s="116"/>
      <c r="I909" s="116"/>
      <c r="L909" s="169">
        <v>43339</v>
      </c>
      <c r="M909" s="116">
        <v>43.95</v>
      </c>
      <c r="N909" s="116">
        <v>44.85</v>
      </c>
      <c r="O909" s="116">
        <v>40.75</v>
      </c>
      <c r="P909" s="116">
        <v>40.85</v>
      </c>
      <c r="Q909" s="116">
        <v>87.9</v>
      </c>
      <c r="R909">
        <v>2791943</v>
      </c>
    </row>
    <row r="910" spans="1:18" x14ac:dyDescent="0.25">
      <c r="A910" s="169">
        <v>43340</v>
      </c>
      <c r="B910" s="116">
        <v>45.825000000000003</v>
      </c>
      <c r="C910" s="116">
        <v>43.8</v>
      </c>
      <c r="D910" s="116">
        <v>42.9</v>
      </c>
      <c r="E910" s="116">
        <v>44.3</v>
      </c>
      <c r="F910" s="116">
        <v>87.6</v>
      </c>
      <c r="G910">
        <v>360254</v>
      </c>
      <c r="H910" s="116"/>
      <c r="I910" s="116"/>
      <c r="L910" s="169">
        <v>43340</v>
      </c>
      <c r="M910" s="116">
        <v>43.9</v>
      </c>
      <c r="N910" s="116">
        <v>45.774999999999999</v>
      </c>
      <c r="O910" s="116">
        <v>42.75</v>
      </c>
      <c r="P910" s="116">
        <v>44.2</v>
      </c>
      <c r="Q910" s="116">
        <v>87.8</v>
      </c>
      <c r="R910">
        <v>2129693</v>
      </c>
    </row>
    <row r="911" spans="1:18" x14ac:dyDescent="0.25">
      <c r="A911" s="169">
        <v>43341</v>
      </c>
      <c r="B911" s="116">
        <v>46.8</v>
      </c>
      <c r="C911" s="116">
        <v>46.024999999999999</v>
      </c>
      <c r="D911" s="116">
        <v>43.75</v>
      </c>
      <c r="E911" s="116">
        <v>43.8</v>
      </c>
      <c r="F911" s="116">
        <v>92.05</v>
      </c>
      <c r="G911">
        <v>558497</v>
      </c>
      <c r="H911" s="116"/>
      <c r="I911" s="116"/>
      <c r="L911" s="169">
        <v>43341</v>
      </c>
      <c r="M911" s="116">
        <v>46.125</v>
      </c>
      <c r="N911" s="116">
        <v>46.85</v>
      </c>
      <c r="O911" s="116">
        <v>43.75</v>
      </c>
      <c r="P911" s="116">
        <v>43.75</v>
      </c>
      <c r="Q911" s="116">
        <v>92.25</v>
      </c>
      <c r="R911">
        <v>3231556</v>
      </c>
    </row>
    <row r="912" spans="1:18" x14ac:dyDescent="0.25">
      <c r="A912" s="169">
        <v>43342</v>
      </c>
      <c r="B912" s="116">
        <v>47.8</v>
      </c>
      <c r="C912" s="116">
        <v>47.225000000000001</v>
      </c>
      <c r="D912" s="116">
        <v>45.5</v>
      </c>
      <c r="E912" s="116">
        <v>46.024999999999999</v>
      </c>
      <c r="F912" s="116">
        <v>94.45</v>
      </c>
      <c r="G912">
        <v>337924</v>
      </c>
      <c r="H912" s="116"/>
      <c r="I912" s="116"/>
      <c r="L912" s="169">
        <v>43342</v>
      </c>
      <c r="M912" s="116">
        <v>47.15</v>
      </c>
      <c r="N912" s="116">
        <v>47.8</v>
      </c>
      <c r="O912" s="116">
        <v>45.35</v>
      </c>
      <c r="P912" s="116">
        <v>45.924999999999997</v>
      </c>
      <c r="Q912" s="116">
        <v>94.3</v>
      </c>
      <c r="R912">
        <v>2265231</v>
      </c>
    </row>
    <row r="913" spans="1:18" x14ac:dyDescent="0.25">
      <c r="A913" s="169">
        <v>43343</v>
      </c>
      <c r="B913" s="116">
        <v>47.825000000000003</v>
      </c>
      <c r="C913" s="116">
        <v>46.55</v>
      </c>
      <c r="D913" s="116">
        <v>46.3</v>
      </c>
      <c r="E913" s="116">
        <v>47.174999999999997</v>
      </c>
      <c r="F913" s="116">
        <v>93.1</v>
      </c>
      <c r="G913">
        <v>187665</v>
      </c>
      <c r="H913" s="116"/>
      <c r="I913" s="116"/>
      <c r="L913" s="169">
        <v>43343</v>
      </c>
      <c r="M913" s="116">
        <v>46.55</v>
      </c>
      <c r="N913" s="116">
        <v>47.875</v>
      </c>
      <c r="O913" s="116">
        <v>46.25</v>
      </c>
      <c r="P913" s="116">
        <v>47.024999999999999</v>
      </c>
      <c r="Q913" s="116">
        <v>93.1</v>
      </c>
      <c r="R913">
        <v>1065590</v>
      </c>
    </row>
    <row r="914" spans="1:18" x14ac:dyDescent="0.25">
      <c r="A914" s="169">
        <v>43346</v>
      </c>
      <c r="B914" s="116">
        <v>48.325000000000003</v>
      </c>
      <c r="C914" s="116">
        <v>47.125</v>
      </c>
      <c r="D914" s="116">
        <v>46.674999999999997</v>
      </c>
      <c r="E914" s="116">
        <v>46.975000000000001</v>
      </c>
      <c r="F914" s="116">
        <v>94.25</v>
      </c>
      <c r="G914">
        <v>290201</v>
      </c>
      <c r="H914" s="116"/>
      <c r="I914" s="116"/>
      <c r="L914" s="169">
        <v>43346</v>
      </c>
      <c r="M914" s="116">
        <v>47.1</v>
      </c>
      <c r="N914" s="116">
        <v>48.375</v>
      </c>
      <c r="O914" s="116">
        <v>46.7</v>
      </c>
      <c r="P914" s="116">
        <v>46.924999999999997</v>
      </c>
      <c r="Q914" s="116">
        <v>94.2</v>
      </c>
      <c r="R914">
        <v>1327500</v>
      </c>
    </row>
    <row r="915" spans="1:18" x14ac:dyDescent="0.25">
      <c r="A915" s="169">
        <v>43347</v>
      </c>
      <c r="B915" s="116">
        <v>47.5</v>
      </c>
      <c r="C915" s="116">
        <v>44.45</v>
      </c>
      <c r="D915" s="116">
        <v>44.25</v>
      </c>
      <c r="E915" s="116">
        <v>47.5</v>
      </c>
      <c r="F915" s="116">
        <v>88.9</v>
      </c>
      <c r="G915">
        <v>189244</v>
      </c>
      <c r="H915" s="116"/>
      <c r="I915" s="116"/>
      <c r="L915" s="169">
        <v>43347</v>
      </c>
      <c r="M915" s="116">
        <v>44.274999999999999</v>
      </c>
      <c r="N915" s="116">
        <v>47.1</v>
      </c>
      <c r="O915" s="116">
        <v>44.05</v>
      </c>
      <c r="P915" s="116">
        <v>46.975000000000001</v>
      </c>
      <c r="Q915" s="116">
        <v>88.55</v>
      </c>
      <c r="R915">
        <v>1114327</v>
      </c>
    </row>
    <row r="916" spans="1:18" x14ac:dyDescent="0.25">
      <c r="A916" s="169">
        <v>43348</v>
      </c>
      <c r="B916" s="116">
        <v>44.225000000000001</v>
      </c>
      <c r="C916" s="116">
        <v>43.125</v>
      </c>
      <c r="D916" s="116">
        <v>42.55</v>
      </c>
      <c r="E916" s="116">
        <v>44.2</v>
      </c>
      <c r="F916" s="116">
        <v>86.25</v>
      </c>
      <c r="G916">
        <v>144401</v>
      </c>
      <c r="H916" s="116"/>
      <c r="I916" s="116"/>
      <c r="L916" s="169">
        <v>43348</v>
      </c>
      <c r="M916" s="116">
        <v>43.075000000000003</v>
      </c>
      <c r="N916" s="116">
        <v>44.274999999999999</v>
      </c>
      <c r="O916" s="116">
        <v>42.2</v>
      </c>
      <c r="P916" s="116">
        <v>44.2</v>
      </c>
      <c r="Q916" s="116">
        <v>86.15</v>
      </c>
      <c r="R916">
        <v>777972</v>
      </c>
    </row>
    <row r="917" spans="1:18" x14ac:dyDescent="0.25">
      <c r="A917" s="169">
        <v>43349</v>
      </c>
      <c r="B917" s="116">
        <v>44.924999999999997</v>
      </c>
      <c r="C917" s="116">
        <v>44.424999999999997</v>
      </c>
      <c r="D917" s="116">
        <v>43.4</v>
      </c>
      <c r="E917" s="116">
        <v>43.75</v>
      </c>
      <c r="F917" s="116">
        <v>88.85</v>
      </c>
      <c r="G917">
        <v>158308</v>
      </c>
      <c r="H917" s="116"/>
      <c r="I917" s="116"/>
      <c r="L917" s="169">
        <v>43349</v>
      </c>
      <c r="M917" s="116">
        <v>44.475000000000001</v>
      </c>
      <c r="N917" s="116">
        <v>45.05</v>
      </c>
      <c r="O917" s="116">
        <v>43.3</v>
      </c>
      <c r="P917" s="116">
        <v>43.7</v>
      </c>
      <c r="Q917" s="116">
        <v>88.95</v>
      </c>
      <c r="R917">
        <v>1403237</v>
      </c>
    </row>
    <row r="918" spans="1:18" x14ac:dyDescent="0.25">
      <c r="A918" s="169">
        <v>43350</v>
      </c>
      <c r="B918" s="116">
        <v>47.125</v>
      </c>
      <c r="C918" s="116">
        <v>46.725000000000001</v>
      </c>
      <c r="D918" s="116">
        <v>44</v>
      </c>
      <c r="E918" s="116">
        <v>44.35</v>
      </c>
      <c r="F918" s="116">
        <v>93.45</v>
      </c>
      <c r="G918">
        <v>298535</v>
      </c>
      <c r="H918" s="116"/>
      <c r="I918" s="116"/>
      <c r="L918" s="169">
        <v>43350</v>
      </c>
      <c r="M918" s="116">
        <v>46.825000000000003</v>
      </c>
      <c r="N918" s="116">
        <v>47.125</v>
      </c>
      <c r="O918" s="116">
        <v>44</v>
      </c>
      <c r="P918" s="116">
        <v>44.325000000000003</v>
      </c>
      <c r="Q918" s="116">
        <v>93.65</v>
      </c>
      <c r="R918">
        <v>2281903</v>
      </c>
    </row>
    <row r="919" spans="1:18" x14ac:dyDescent="0.25">
      <c r="A919" s="169">
        <v>43353</v>
      </c>
      <c r="B919" s="116">
        <v>47.774999999999999</v>
      </c>
      <c r="C919" s="116">
        <v>45.7</v>
      </c>
      <c r="D919" s="116">
        <v>45.35</v>
      </c>
      <c r="E919" s="116">
        <v>46.75</v>
      </c>
      <c r="F919" s="116">
        <v>91.4</v>
      </c>
      <c r="G919">
        <v>162059</v>
      </c>
      <c r="H919" s="116"/>
      <c r="I919" s="116"/>
      <c r="L919" s="169">
        <v>43353</v>
      </c>
      <c r="M919" s="116">
        <v>45.75</v>
      </c>
      <c r="N919" s="116">
        <v>47.8</v>
      </c>
      <c r="O919" s="116">
        <v>45.274999999999999</v>
      </c>
      <c r="P919" s="116">
        <v>46.6</v>
      </c>
      <c r="Q919" s="116">
        <v>91.5</v>
      </c>
      <c r="R919">
        <v>888266</v>
      </c>
    </row>
    <row r="920" spans="1:18" x14ac:dyDescent="0.25">
      <c r="A920" s="169">
        <v>43354</v>
      </c>
      <c r="B920" s="116">
        <v>46.45</v>
      </c>
      <c r="C920" s="116">
        <v>44.45</v>
      </c>
      <c r="D920" s="116">
        <v>44.25</v>
      </c>
      <c r="E920" s="116">
        <v>46.024999999999999</v>
      </c>
      <c r="F920" s="116">
        <v>88.9</v>
      </c>
      <c r="G920">
        <v>120114</v>
      </c>
      <c r="H920" s="116"/>
      <c r="I920" s="116"/>
      <c r="L920" s="169">
        <v>43354</v>
      </c>
      <c r="M920" s="116">
        <v>44.424999999999997</v>
      </c>
      <c r="N920" s="116">
        <v>46.45</v>
      </c>
      <c r="O920" s="116">
        <v>44.125</v>
      </c>
      <c r="P920" s="116">
        <v>45.8</v>
      </c>
      <c r="Q920" s="116">
        <v>88.85</v>
      </c>
      <c r="R920">
        <v>673260</v>
      </c>
    </row>
    <row r="921" spans="1:18" x14ac:dyDescent="0.25">
      <c r="A921" s="169">
        <v>43355</v>
      </c>
      <c r="B921" s="116">
        <v>45.625</v>
      </c>
      <c r="C921" s="116">
        <v>45.1</v>
      </c>
      <c r="D921" s="116">
        <v>42.8</v>
      </c>
      <c r="E921" s="116">
        <v>44.5</v>
      </c>
      <c r="F921" s="116">
        <v>90.2</v>
      </c>
      <c r="G921">
        <v>141407</v>
      </c>
      <c r="H921" s="116"/>
      <c r="I921" s="116"/>
      <c r="L921" s="169">
        <v>43355</v>
      </c>
      <c r="M921" s="116">
        <v>45.2</v>
      </c>
      <c r="N921" s="116">
        <v>45.725000000000001</v>
      </c>
      <c r="O921" s="116">
        <v>42.65</v>
      </c>
      <c r="P921" s="116">
        <v>44.5</v>
      </c>
      <c r="Q921" s="116">
        <v>90.4</v>
      </c>
      <c r="R921">
        <v>828991</v>
      </c>
    </row>
    <row r="922" spans="1:18" x14ac:dyDescent="0.25">
      <c r="A922" s="169">
        <v>43357</v>
      </c>
      <c r="B922" s="116">
        <v>49.6</v>
      </c>
      <c r="C922" s="116">
        <v>48.625</v>
      </c>
      <c r="D922" s="116">
        <v>45.55</v>
      </c>
      <c r="E922" s="116">
        <v>45.75</v>
      </c>
      <c r="F922" s="116">
        <v>97.25</v>
      </c>
      <c r="G922">
        <v>425944</v>
      </c>
      <c r="H922" s="116"/>
      <c r="I922" s="116"/>
      <c r="L922" s="169">
        <v>43357</v>
      </c>
      <c r="M922" s="116">
        <v>48.674999999999997</v>
      </c>
      <c r="N922" s="116">
        <v>49.6</v>
      </c>
      <c r="O922" s="116">
        <v>45.375</v>
      </c>
      <c r="P922" s="116">
        <v>45.5</v>
      </c>
      <c r="Q922" s="116">
        <v>97.35</v>
      </c>
      <c r="R922">
        <v>2240735</v>
      </c>
    </row>
    <row r="923" spans="1:18" x14ac:dyDescent="0.25">
      <c r="A923" s="169">
        <v>43360</v>
      </c>
      <c r="B923" s="116">
        <v>49.95</v>
      </c>
      <c r="C923" s="116">
        <v>48.5</v>
      </c>
      <c r="D923" s="116">
        <v>47.774999999999999</v>
      </c>
      <c r="E923" s="116">
        <v>48.5</v>
      </c>
      <c r="F923" s="116">
        <v>97</v>
      </c>
      <c r="G923">
        <v>308917</v>
      </c>
      <c r="H923" s="116"/>
      <c r="I923" s="116"/>
      <c r="L923" s="169">
        <v>43360</v>
      </c>
      <c r="M923" s="116">
        <v>48.475000000000001</v>
      </c>
      <c r="N923" s="116">
        <v>49.875</v>
      </c>
      <c r="O923" s="116">
        <v>47.625</v>
      </c>
      <c r="P923" s="116">
        <v>48.375</v>
      </c>
      <c r="Q923" s="116">
        <v>96.95</v>
      </c>
      <c r="R923">
        <v>1417640</v>
      </c>
    </row>
    <row r="924" spans="1:18" x14ac:dyDescent="0.25">
      <c r="A924" s="169">
        <v>43361</v>
      </c>
      <c r="B924" s="116">
        <v>51</v>
      </c>
      <c r="C924" s="116">
        <v>46.725000000000001</v>
      </c>
      <c r="D924" s="116">
        <v>46.1</v>
      </c>
      <c r="E924" s="116">
        <v>49.2</v>
      </c>
      <c r="F924" s="116">
        <v>93.45</v>
      </c>
      <c r="G924">
        <v>436371</v>
      </c>
      <c r="H924" s="116"/>
      <c r="I924" s="116"/>
      <c r="L924" s="169">
        <v>43361</v>
      </c>
      <c r="M924" s="116">
        <v>46.8</v>
      </c>
      <c r="N924" s="116">
        <v>50.95</v>
      </c>
      <c r="O924" s="116">
        <v>46.2</v>
      </c>
      <c r="P924" s="116">
        <v>49.075000000000003</v>
      </c>
      <c r="Q924" s="116">
        <v>93.6</v>
      </c>
      <c r="R924">
        <v>2668340</v>
      </c>
    </row>
    <row r="925" spans="1:18" x14ac:dyDescent="0.25">
      <c r="A925" s="169">
        <v>43362</v>
      </c>
      <c r="B925" s="116">
        <v>48.2</v>
      </c>
      <c r="C925" s="116">
        <v>47.375</v>
      </c>
      <c r="D925" s="116">
        <v>45.924999999999997</v>
      </c>
      <c r="E925" s="116">
        <v>47</v>
      </c>
      <c r="F925" s="116">
        <v>94.75</v>
      </c>
      <c r="G925">
        <v>427416</v>
      </c>
      <c r="H925" s="116"/>
      <c r="I925" s="116"/>
      <c r="L925" s="169">
        <v>43362</v>
      </c>
      <c r="M925" s="116">
        <v>47.274999999999999</v>
      </c>
      <c r="N925" s="116">
        <v>48.25</v>
      </c>
      <c r="O925" s="116">
        <v>45.75</v>
      </c>
      <c r="P925" s="116">
        <v>47.2</v>
      </c>
      <c r="Q925" s="116">
        <v>94.55</v>
      </c>
      <c r="R925">
        <v>1607926</v>
      </c>
    </row>
    <row r="926" spans="1:18" x14ac:dyDescent="0.25">
      <c r="A926" s="169">
        <v>43364</v>
      </c>
      <c r="B926" s="116">
        <v>48.075000000000003</v>
      </c>
      <c r="C926" s="116">
        <v>44.774999999999999</v>
      </c>
      <c r="D926" s="116">
        <v>40.5</v>
      </c>
      <c r="E926" s="116">
        <v>47.6</v>
      </c>
      <c r="F926" s="116">
        <v>89.55</v>
      </c>
      <c r="G926">
        <v>406237</v>
      </c>
      <c r="H926" s="116"/>
      <c r="I926" s="116"/>
      <c r="L926" s="169">
        <v>43364</v>
      </c>
      <c r="M926" s="116">
        <v>45.024999999999999</v>
      </c>
      <c r="N926" s="116">
        <v>48.1</v>
      </c>
      <c r="O926" s="116">
        <v>40.200000000000003</v>
      </c>
      <c r="P926" s="116">
        <v>47.6</v>
      </c>
      <c r="Q926" s="116">
        <v>90.05</v>
      </c>
      <c r="R926">
        <v>1720244</v>
      </c>
    </row>
    <row r="927" spans="1:18" x14ac:dyDescent="0.25">
      <c r="A927" s="169">
        <v>43367</v>
      </c>
      <c r="B927" s="116">
        <v>45.125</v>
      </c>
      <c r="C927" s="116">
        <v>41.75</v>
      </c>
      <c r="D927" s="116">
        <v>41.45</v>
      </c>
      <c r="E927" s="116">
        <v>45</v>
      </c>
      <c r="F927" s="116">
        <v>83.5</v>
      </c>
      <c r="G927">
        <v>154783</v>
      </c>
      <c r="H927" s="116"/>
      <c r="I927" s="116"/>
      <c r="L927" s="169">
        <v>43367</v>
      </c>
      <c r="M927" s="116">
        <v>41.825000000000003</v>
      </c>
      <c r="N927" s="116">
        <v>45.375</v>
      </c>
      <c r="O927" s="116">
        <v>41.4</v>
      </c>
      <c r="P927" s="116">
        <v>45</v>
      </c>
      <c r="Q927" s="116">
        <v>83.65</v>
      </c>
      <c r="R927">
        <v>1179539</v>
      </c>
    </row>
    <row r="928" spans="1:18" x14ac:dyDescent="0.25">
      <c r="A928" s="169">
        <v>43368</v>
      </c>
      <c r="B928" s="116">
        <v>42.975000000000001</v>
      </c>
      <c r="C928" s="116">
        <v>42.075000000000003</v>
      </c>
      <c r="D928" s="116">
        <v>40.774999999999999</v>
      </c>
      <c r="E928" s="116">
        <v>41.85</v>
      </c>
      <c r="F928" s="116">
        <v>84.15</v>
      </c>
      <c r="G928">
        <v>165432</v>
      </c>
      <c r="H928" s="116"/>
      <c r="I928" s="116"/>
      <c r="L928" s="169">
        <v>43368</v>
      </c>
      <c r="M928" s="116">
        <v>42.05</v>
      </c>
      <c r="N928" s="116">
        <v>43</v>
      </c>
      <c r="O928" s="116">
        <v>40.65</v>
      </c>
      <c r="P928" s="116">
        <v>42</v>
      </c>
      <c r="Q928" s="116">
        <v>84.1</v>
      </c>
      <c r="R928">
        <v>955168</v>
      </c>
    </row>
    <row r="929" spans="1:18" x14ac:dyDescent="0.25">
      <c r="A929" s="169">
        <v>43369</v>
      </c>
      <c r="B929" s="116">
        <v>43.1</v>
      </c>
      <c r="C929" s="116">
        <v>41.75</v>
      </c>
      <c r="D929" s="116">
        <v>41.575000000000003</v>
      </c>
      <c r="E929" s="116">
        <v>42.674999999999997</v>
      </c>
      <c r="F929" s="116">
        <v>83.5</v>
      </c>
      <c r="G929">
        <v>109937</v>
      </c>
      <c r="H929" s="116"/>
      <c r="I929" s="116"/>
      <c r="L929" s="169">
        <v>43369</v>
      </c>
      <c r="M929" s="116">
        <v>41.9</v>
      </c>
      <c r="N929" s="116">
        <v>43.1</v>
      </c>
      <c r="O929" s="116">
        <v>41.7</v>
      </c>
      <c r="P929" s="116">
        <v>42.5</v>
      </c>
      <c r="Q929" s="116">
        <v>83.8</v>
      </c>
      <c r="R929">
        <v>690025</v>
      </c>
    </row>
    <row r="930" spans="1:18" x14ac:dyDescent="0.25">
      <c r="A930" s="169">
        <v>43370</v>
      </c>
      <c r="B930" s="116">
        <v>42</v>
      </c>
      <c r="C930" s="116">
        <v>39.799999999999997</v>
      </c>
      <c r="D930" s="116">
        <v>39.5</v>
      </c>
      <c r="E930" s="116">
        <v>42</v>
      </c>
      <c r="F930" s="116">
        <v>79.599999999999994</v>
      </c>
      <c r="G930">
        <v>124717</v>
      </c>
      <c r="H930" s="116"/>
      <c r="I930" s="116"/>
      <c r="L930" s="169">
        <v>43370</v>
      </c>
      <c r="M930" s="116">
        <v>39.75</v>
      </c>
      <c r="N930" s="116">
        <v>42.1</v>
      </c>
      <c r="O930" s="116">
        <v>39.65</v>
      </c>
      <c r="P930" s="116">
        <v>42.05</v>
      </c>
      <c r="Q930" s="116">
        <v>79.5</v>
      </c>
      <c r="R930">
        <v>951750</v>
      </c>
    </row>
    <row r="931" spans="1:18" x14ac:dyDescent="0.25">
      <c r="A931" s="169">
        <v>43371</v>
      </c>
      <c r="B931" s="116">
        <v>40.299999999999997</v>
      </c>
      <c r="C931" s="116">
        <v>36.4</v>
      </c>
      <c r="D931" s="116">
        <v>35.774999999999999</v>
      </c>
      <c r="E931" s="116">
        <v>40.274999999999999</v>
      </c>
      <c r="F931" s="116">
        <v>72.8</v>
      </c>
      <c r="G931">
        <v>201455</v>
      </c>
      <c r="H931" s="116"/>
      <c r="I931" s="116"/>
      <c r="L931" s="169">
        <v>43371</v>
      </c>
      <c r="M931" s="116">
        <v>36.674999999999997</v>
      </c>
      <c r="N931" s="116">
        <v>40.450000000000003</v>
      </c>
      <c r="O931" s="116">
        <v>35.725000000000001</v>
      </c>
      <c r="P931" s="116">
        <v>40.049999999999997</v>
      </c>
      <c r="Q931" s="116">
        <v>73.349999999999994</v>
      </c>
      <c r="R931">
        <v>1326506</v>
      </c>
    </row>
    <row r="932" spans="1:18" x14ac:dyDescent="0.25">
      <c r="A932" s="169">
        <v>43374</v>
      </c>
      <c r="B932" s="116">
        <v>36.875</v>
      </c>
      <c r="C932" s="116">
        <v>36.075000000000003</v>
      </c>
      <c r="D932" s="116">
        <v>34.35</v>
      </c>
      <c r="E932" s="116">
        <v>36.024999999999999</v>
      </c>
      <c r="F932" s="116">
        <v>72.150000000000006</v>
      </c>
      <c r="G932">
        <v>166212</v>
      </c>
      <c r="H932" s="116"/>
      <c r="I932" s="116"/>
      <c r="L932" s="169">
        <v>43374</v>
      </c>
      <c r="M932" s="116">
        <v>35.975000000000001</v>
      </c>
      <c r="N932" s="116">
        <v>36.924999999999997</v>
      </c>
      <c r="O932" s="116">
        <v>34.299999999999997</v>
      </c>
      <c r="P932" s="116">
        <v>36.924999999999997</v>
      </c>
      <c r="Q932" s="116">
        <v>71.95</v>
      </c>
      <c r="R932">
        <v>1403631</v>
      </c>
    </row>
    <row r="933" spans="1:18" x14ac:dyDescent="0.25">
      <c r="A933" s="169">
        <v>43376</v>
      </c>
      <c r="B933" s="116">
        <v>37.950000000000003</v>
      </c>
      <c r="C933" s="116">
        <v>37.25</v>
      </c>
      <c r="D933" s="116">
        <v>35.4</v>
      </c>
      <c r="E933" s="116">
        <v>36.1</v>
      </c>
      <c r="F933" s="116">
        <v>74.5</v>
      </c>
      <c r="G933">
        <v>189844</v>
      </c>
      <c r="H933" s="116"/>
      <c r="I933" s="116"/>
      <c r="L933" s="169">
        <v>43376</v>
      </c>
      <c r="M933" s="116">
        <v>37.299999999999997</v>
      </c>
      <c r="N933" s="116">
        <v>38</v>
      </c>
      <c r="O933" s="116">
        <v>35.35</v>
      </c>
      <c r="P933" s="116">
        <v>35.5</v>
      </c>
      <c r="Q933" s="116">
        <v>74.599999999999994</v>
      </c>
      <c r="R933">
        <v>1174618</v>
      </c>
    </row>
    <row r="934" spans="1:18" x14ac:dyDescent="0.25">
      <c r="A934" s="169">
        <v>43377</v>
      </c>
      <c r="B934" s="116">
        <v>37.799999999999997</v>
      </c>
      <c r="C934" s="116">
        <v>36.549999999999997</v>
      </c>
      <c r="D934" s="116">
        <v>36.125</v>
      </c>
      <c r="E934" s="116">
        <v>36.424999999999997</v>
      </c>
      <c r="F934" s="116">
        <v>73.099999999999994</v>
      </c>
      <c r="G934">
        <v>144733</v>
      </c>
      <c r="H934" s="116"/>
      <c r="I934" s="116"/>
      <c r="L934" s="169">
        <v>43377</v>
      </c>
      <c r="M934" s="116">
        <v>36.5</v>
      </c>
      <c r="N934" s="116">
        <v>37.85</v>
      </c>
      <c r="O934" s="116">
        <v>36.049999999999997</v>
      </c>
      <c r="P934" s="116">
        <v>36.700000000000003</v>
      </c>
      <c r="Q934" s="116">
        <v>73</v>
      </c>
      <c r="R934">
        <v>906412</v>
      </c>
    </row>
    <row r="935" spans="1:18" x14ac:dyDescent="0.25">
      <c r="A935" s="169">
        <v>43378</v>
      </c>
      <c r="B935" s="116">
        <v>36.9</v>
      </c>
      <c r="C935" s="116">
        <v>35.65</v>
      </c>
      <c r="D935" s="116">
        <v>35.274999999999999</v>
      </c>
      <c r="E935" s="116">
        <v>35.875</v>
      </c>
      <c r="F935" s="116">
        <v>71.3</v>
      </c>
      <c r="G935">
        <v>76402</v>
      </c>
      <c r="H935" s="116"/>
      <c r="I935" s="116"/>
      <c r="L935" s="169">
        <v>43378</v>
      </c>
      <c r="M935" s="116">
        <v>35.549999999999997</v>
      </c>
      <c r="N935" s="116">
        <v>37</v>
      </c>
      <c r="O935" s="116">
        <v>35.174999999999997</v>
      </c>
      <c r="P935" s="116">
        <v>36.65</v>
      </c>
      <c r="Q935" s="116">
        <v>71.099999999999994</v>
      </c>
      <c r="R935">
        <v>480012</v>
      </c>
    </row>
    <row r="936" spans="1:18" x14ac:dyDescent="0.25">
      <c r="A936" s="169">
        <v>43381</v>
      </c>
      <c r="B936" s="116">
        <v>35.85</v>
      </c>
      <c r="C936" s="116">
        <v>34.75</v>
      </c>
      <c r="D936" s="116">
        <v>33.799999999999997</v>
      </c>
      <c r="E936" s="116">
        <v>35.325000000000003</v>
      </c>
      <c r="F936" s="116">
        <v>69.5</v>
      </c>
      <c r="G936">
        <v>143561</v>
      </c>
      <c r="H936" s="116"/>
      <c r="I936" s="116"/>
      <c r="L936" s="169">
        <v>43381</v>
      </c>
      <c r="M936" s="116">
        <v>34.774999999999999</v>
      </c>
      <c r="N936" s="116">
        <v>35.9</v>
      </c>
      <c r="O936" s="116">
        <v>33.700000000000003</v>
      </c>
      <c r="P936" s="116">
        <v>35.024999999999999</v>
      </c>
      <c r="Q936" s="116">
        <v>69.55</v>
      </c>
      <c r="R936">
        <v>1127431</v>
      </c>
    </row>
    <row r="937" spans="1:18" x14ac:dyDescent="0.25">
      <c r="A937" s="169">
        <v>43382</v>
      </c>
      <c r="B937" s="116">
        <v>36.625</v>
      </c>
      <c r="C937" s="116">
        <v>35.799999999999997</v>
      </c>
      <c r="D937" s="116">
        <v>34.5</v>
      </c>
      <c r="E937" s="116">
        <v>35</v>
      </c>
      <c r="F937" s="116">
        <v>71.599999999999994</v>
      </c>
      <c r="G937">
        <v>111194</v>
      </c>
      <c r="H937" s="116"/>
      <c r="I937" s="116"/>
      <c r="L937" s="169">
        <v>43382</v>
      </c>
      <c r="M937" s="116">
        <v>35.975000000000001</v>
      </c>
      <c r="N937" s="116">
        <v>36.725000000000001</v>
      </c>
      <c r="O937" s="116">
        <v>34.5</v>
      </c>
      <c r="P937" s="116">
        <v>35.1</v>
      </c>
      <c r="Q937" s="116">
        <v>71.95</v>
      </c>
      <c r="R937">
        <v>788352</v>
      </c>
    </row>
    <row r="938" spans="1:18" x14ac:dyDescent="0.25">
      <c r="A938" s="169">
        <v>43383</v>
      </c>
      <c r="B938" s="116">
        <v>38.5</v>
      </c>
      <c r="C938" s="116">
        <v>37.674999999999997</v>
      </c>
      <c r="D938" s="116">
        <v>37.25</v>
      </c>
      <c r="E938" s="116">
        <v>37.25</v>
      </c>
      <c r="F938" s="116">
        <v>75.349999999999994</v>
      </c>
      <c r="G938">
        <v>230047</v>
      </c>
      <c r="H938" s="116"/>
      <c r="I938" s="116"/>
      <c r="L938" s="169">
        <v>43383</v>
      </c>
      <c r="M938" s="116">
        <v>37.75</v>
      </c>
      <c r="N938" s="116">
        <v>38.5</v>
      </c>
      <c r="O938" s="116">
        <v>37.25</v>
      </c>
      <c r="P938" s="116">
        <v>37.5</v>
      </c>
      <c r="Q938" s="116">
        <v>75.5</v>
      </c>
      <c r="R938">
        <v>1646202</v>
      </c>
    </row>
    <row r="939" spans="1:18" x14ac:dyDescent="0.25">
      <c r="A939" s="169">
        <v>43384</v>
      </c>
      <c r="B939" s="116">
        <v>37.25</v>
      </c>
      <c r="C939" s="116">
        <v>36.299999999999997</v>
      </c>
      <c r="D939" s="116">
        <v>35.700000000000003</v>
      </c>
      <c r="E939" s="116">
        <v>37</v>
      </c>
      <c r="F939" s="116">
        <v>72.599999999999994</v>
      </c>
      <c r="G939">
        <v>98199</v>
      </c>
      <c r="H939" s="116"/>
      <c r="I939" s="116"/>
      <c r="L939" s="169">
        <v>43384</v>
      </c>
      <c r="M939" s="116">
        <v>36.25</v>
      </c>
      <c r="N939" s="116">
        <v>37.375</v>
      </c>
      <c r="O939" s="116">
        <v>35.625</v>
      </c>
      <c r="P939" s="116">
        <v>36.924999999999997</v>
      </c>
      <c r="Q939" s="116">
        <v>72.5</v>
      </c>
      <c r="R939">
        <v>874867</v>
      </c>
    </row>
    <row r="940" spans="1:18" x14ac:dyDescent="0.25">
      <c r="A940" s="169">
        <v>43385</v>
      </c>
      <c r="B940" s="116">
        <v>38.299999999999997</v>
      </c>
      <c r="C940" s="116">
        <v>37.774999999999999</v>
      </c>
      <c r="D940" s="116">
        <v>36.5</v>
      </c>
      <c r="E940" s="116">
        <v>36.5</v>
      </c>
      <c r="F940" s="116">
        <v>75.55</v>
      </c>
      <c r="G940">
        <v>86765</v>
      </c>
      <c r="H940" s="116"/>
      <c r="I940" s="116"/>
      <c r="L940" s="169">
        <v>43385</v>
      </c>
      <c r="M940" s="116">
        <v>37.799999999999997</v>
      </c>
      <c r="N940" s="116">
        <v>38.375</v>
      </c>
      <c r="O940" s="116">
        <v>36.825000000000003</v>
      </c>
      <c r="P940" s="116">
        <v>36.825000000000003</v>
      </c>
      <c r="Q940" s="116">
        <v>75.599999999999994</v>
      </c>
      <c r="R940">
        <v>982696</v>
      </c>
    </row>
    <row r="941" spans="1:18" x14ac:dyDescent="0.25">
      <c r="A941" s="169">
        <v>43388</v>
      </c>
      <c r="B941" s="116">
        <v>40.799999999999997</v>
      </c>
      <c r="C941" s="116">
        <v>40.174999999999997</v>
      </c>
      <c r="D941" s="116">
        <v>37.450000000000003</v>
      </c>
      <c r="E941" s="116">
        <v>38</v>
      </c>
      <c r="F941" s="116">
        <v>80.349999999999994</v>
      </c>
      <c r="G941">
        <v>252828</v>
      </c>
      <c r="H941" s="116"/>
      <c r="I941" s="116"/>
      <c r="L941" s="169">
        <v>43388</v>
      </c>
      <c r="M941" s="116">
        <v>40.274999999999999</v>
      </c>
      <c r="N941" s="116">
        <v>40.825000000000003</v>
      </c>
      <c r="O941" s="116">
        <v>37.549999999999997</v>
      </c>
      <c r="P941" s="116">
        <v>38.075000000000003</v>
      </c>
      <c r="Q941" s="116">
        <v>80.55</v>
      </c>
      <c r="R941">
        <v>1524768</v>
      </c>
    </row>
    <row r="942" spans="1:18" x14ac:dyDescent="0.25">
      <c r="A942" s="169">
        <v>43389</v>
      </c>
      <c r="B942" s="116">
        <v>41.45</v>
      </c>
      <c r="C942" s="116">
        <v>40.1</v>
      </c>
      <c r="D942" s="116">
        <v>39.875</v>
      </c>
      <c r="E942" s="116">
        <v>40.475000000000001</v>
      </c>
      <c r="F942" s="116">
        <v>80.2</v>
      </c>
      <c r="G942">
        <v>100553</v>
      </c>
      <c r="H942" s="116"/>
      <c r="I942" s="116"/>
      <c r="L942" s="169">
        <v>43389</v>
      </c>
      <c r="M942" s="116">
        <v>40.075000000000003</v>
      </c>
      <c r="N942" s="116">
        <v>41.35</v>
      </c>
      <c r="O942" s="116">
        <v>39.9</v>
      </c>
      <c r="P942" s="116">
        <v>40.5</v>
      </c>
      <c r="Q942" s="116">
        <v>80.150000000000006</v>
      </c>
      <c r="R942">
        <v>1005840</v>
      </c>
    </row>
    <row r="943" spans="1:18" x14ac:dyDescent="0.25">
      <c r="A943" s="169">
        <v>43390</v>
      </c>
      <c r="B943" s="116">
        <v>40.975000000000001</v>
      </c>
      <c r="C943" s="116">
        <v>38.575000000000003</v>
      </c>
      <c r="D943" s="116">
        <v>38.5</v>
      </c>
      <c r="E943" s="116">
        <v>40.625</v>
      </c>
      <c r="F943" s="116">
        <v>77.150000000000006</v>
      </c>
      <c r="G943">
        <v>86228</v>
      </c>
      <c r="H943" s="116"/>
      <c r="I943" s="116"/>
      <c r="L943" s="169">
        <v>43390</v>
      </c>
      <c r="M943" s="116">
        <v>38.549999999999997</v>
      </c>
      <c r="N943" s="116">
        <v>40.950000000000003</v>
      </c>
      <c r="O943" s="116">
        <v>38.325000000000003</v>
      </c>
      <c r="P943" s="116">
        <v>40.700000000000003</v>
      </c>
      <c r="Q943" s="116">
        <v>77.099999999999994</v>
      </c>
      <c r="R943">
        <v>668071</v>
      </c>
    </row>
    <row r="944" spans="1:18" x14ac:dyDescent="0.25">
      <c r="A944" s="169">
        <v>43392</v>
      </c>
      <c r="B944" s="116">
        <v>38.875</v>
      </c>
      <c r="C944" s="116">
        <v>37.225000000000001</v>
      </c>
      <c r="D944" s="116">
        <v>36.85</v>
      </c>
      <c r="E944" s="116">
        <v>37.774999999999999</v>
      </c>
      <c r="F944" s="116">
        <v>74.45</v>
      </c>
      <c r="G944">
        <v>111592</v>
      </c>
      <c r="H944" s="116"/>
      <c r="I944" s="116"/>
      <c r="L944" s="169">
        <v>43392</v>
      </c>
      <c r="M944" s="116">
        <v>37.075000000000003</v>
      </c>
      <c r="N944" s="116">
        <v>38.825000000000003</v>
      </c>
      <c r="O944" s="116">
        <v>36.700000000000003</v>
      </c>
      <c r="P944" s="116">
        <v>37.575000000000003</v>
      </c>
      <c r="Q944" s="116">
        <v>74.150000000000006</v>
      </c>
      <c r="R944">
        <v>664916</v>
      </c>
    </row>
    <row r="945" spans="1:18" x14ac:dyDescent="0.25">
      <c r="A945" s="169">
        <v>43395</v>
      </c>
      <c r="B945" s="116">
        <v>37.725000000000001</v>
      </c>
      <c r="C945" s="116">
        <v>36.450000000000003</v>
      </c>
      <c r="D945" s="116">
        <v>36.299999999999997</v>
      </c>
      <c r="E945" s="116">
        <v>37.725000000000001</v>
      </c>
      <c r="F945" s="116">
        <v>72.900000000000006</v>
      </c>
      <c r="G945">
        <v>47393</v>
      </c>
      <c r="H945" s="116"/>
      <c r="I945" s="116"/>
      <c r="L945" s="169">
        <v>43395</v>
      </c>
      <c r="M945" s="116">
        <v>36.424999999999997</v>
      </c>
      <c r="N945" s="116">
        <v>37.674999999999997</v>
      </c>
      <c r="O945" s="116">
        <v>36.25</v>
      </c>
      <c r="P945" s="116">
        <v>37.200000000000003</v>
      </c>
      <c r="Q945" s="116">
        <v>72.849999999999994</v>
      </c>
      <c r="R945">
        <v>429513</v>
      </c>
    </row>
    <row r="946" spans="1:18" x14ac:dyDescent="0.25">
      <c r="A946" s="169">
        <v>43396</v>
      </c>
      <c r="B946" s="116">
        <v>36.9</v>
      </c>
      <c r="C946" s="116">
        <v>35.825000000000003</v>
      </c>
      <c r="D946" s="116">
        <v>35.549999999999997</v>
      </c>
      <c r="E946" s="116">
        <v>36.450000000000003</v>
      </c>
      <c r="F946" s="116">
        <v>71.650000000000006</v>
      </c>
      <c r="G946">
        <v>59993</v>
      </c>
      <c r="H946" s="116"/>
      <c r="I946" s="116"/>
      <c r="L946" s="169">
        <v>43396</v>
      </c>
      <c r="M946" s="116">
        <v>35.674999999999997</v>
      </c>
      <c r="N946" s="116">
        <v>36.9</v>
      </c>
      <c r="O946" s="116">
        <v>35.5</v>
      </c>
      <c r="P946" s="116">
        <v>35.975000000000001</v>
      </c>
      <c r="Q946" s="116">
        <v>71.349999999999994</v>
      </c>
      <c r="R946">
        <v>479954</v>
      </c>
    </row>
    <row r="947" spans="1:18" x14ac:dyDescent="0.25">
      <c r="A947" s="169">
        <v>43397</v>
      </c>
      <c r="B947" s="116">
        <v>37.450000000000003</v>
      </c>
      <c r="C947" s="116">
        <v>36.475000000000001</v>
      </c>
      <c r="D947" s="116">
        <v>35.799999999999997</v>
      </c>
      <c r="E947" s="116">
        <v>36.475000000000001</v>
      </c>
      <c r="F947" s="116">
        <v>72.95</v>
      </c>
      <c r="G947">
        <v>75958</v>
      </c>
      <c r="H947" s="116"/>
      <c r="I947" s="116"/>
      <c r="L947" s="169">
        <v>43397</v>
      </c>
      <c r="M947" s="116">
        <v>36.6</v>
      </c>
      <c r="N947" s="116">
        <v>37.65</v>
      </c>
      <c r="O947" s="116">
        <v>35.825000000000003</v>
      </c>
      <c r="P947" s="116">
        <v>36.25</v>
      </c>
      <c r="Q947" s="116">
        <v>73.2</v>
      </c>
      <c r="R947">
        <v>465836</v>
      </c>
    </row>
    <row r="948" spans="1:18" x14ac:dyDescent="0.25">
      <c r="A948" s="169">
        <v>43398</v>
      </c>
      <c r="B948" s="116">
        <v>36.9</v>
      </c>
      <c r="C948" s="116">
        <v>36.625</v>
      </c>
      <c r="D948" s="116">
        <v>36.15</v>
      </c>
      <c r="E948" s="116">
        <v>36.299999999999997</v>
      </c>
      <c r="F948" s="116">
        <v>73.25</v>
      </c>
      <c r="G948">
        <v>56293</v>
      </c>
      <c r="H948" s="116"/>
      <c r="I948" s="116"/>
      <c r="L948" s="169">
        <v>43398</v>
      </c>
      <c r="M948" s="116">
        <v>36.700000000000003</v>
      </c>
      <c r="N948" s="116">
        <v>36.950000000000003</v>
      </c>
      <c r="O948" s="116">
        <v>36</v>
      </c>
      <c r="P948" s="116">
        <v>36.024999999999999</v>
      </c>
      <c r="Q948" s="116">
        <v>73.400000000000006</v>
      </c>
      <c r="R948">
        <v>468487</v>
      </c>
    </row>
    <row r="949" spans="1:18" x14ac:dyDescent="0.25">
      <c r="A949" s="169">
        <v>43399</v>
      </c>
      <c r="B949" s="116">
        <v>37.6</v>
      </c>
      <c r="C949" s="116">
        <v>37.024999999999999</v>
      </c>
      <c r="D949" s="116">
        <v>36</v>
      </c>
      <c r="E949" s="116">
        <v>36.274999999999999</v>
      </c>
      <c r="F949" s="116">
        <v>74.05</v>
      </c>
      <c r="G949">
        <v>145720</v>
      </c>
      <c r="H949" s="116"/>
      <c r="I949" s="116"/>
      <c r="L949" s="169">
        <v>43399</v>
      </c>
      <c r="M949" s="116">
        <v>36.950000000000003</v>
      </c>
      <c r="N949" s="116">
        <v>37.65</v>
      </c>
      <c r="O949" s="116">
        <v>36.024999999999999</v>
      </c>
      <c r="P949" s="116">
        <v>36.700000000000003</v>
      </c>
      <c r="Q949" s="116">
        <v>73.900000000000006</v>
      </c>
      <c r="R949">
        <v>796519</v>
      </c>
    </row>
    <row r="950" spans="1:18" x14ac:dyDescent="0.25">
      <c r="A950" s="169">
        <v>43402</v>
      </c>
      <c r="B950" s="116">
        <v>38.225000000000001</v>
      </c>
      <c r="C950" s="116">
        <v>38.075000000000003</v>
      </c>
      <c r="D950" s="116">
        <v>36.075000000000003</v>
      </c>
      <c r="E950" s="116">
        <v>36.975000000000001</v>
      </c>
      <c r="F950" s="116">
        <v>76.150000000000006</v>
      </c>
      <c r="G950">
        <v>57164</v>
      </c>
      <c r="H950" s="116"/>
      <c r="I950" s="116"/>
      <c r="L950" s="169">
        <v>43402</v>
      </c>
      <c r="M950" s="116">
        <v>38.125</v>
      </c>
      <c r="N950" s="116">
        <v>38.35</v>
      </c>
      <c r="O950" s="116">
        <v>36.549999999999997</v>
      </c>
      <c r="P950" s="116">
        <v>36.975000000000001</v>
      </c>
      <c r="Q950" s="116">
        <v>76.25</v>
      </c>
      <c r="R950">
        <v>571019</v>
      </c>
    </row>
    <row r="951" spans="1:18" x14ac:dyDescent="0.25">
      <c r="A951" s="169">
        <v>43403</v>
      </c>
      <c r="B951" s="116">
        <v>41.625</v>
      </c>
      <c r="C951" s="116">
        <v>41.125</v>
      </c>
      <c r="D951" s="116">
        <v>37.799999999999997</v>
      </c>
      <c r="E951" s="116">
        <v>38</v>
      </c>
      <c r="F951" s="116">
        <v>82.25</v>
      </c>
      <c r="G951">
        <v>229826</v>
      </c>
      <c r="H951" s="116"/>
      <c r="I951" s="116"/>
      <c r="L951" s="169">
        <v>43403</v>
      </c>
      <c r="M951" s="116">
        <v>41.2</v>
      </c>
      <c r="N951" s="116">
        <v>41.7</v>
      </c>
      <c r="O951" s="116">
        <v>37.725000000000001</v>
      </c>
      <c r="P951" s="116">
        <v>38.25</v>
      </c>
      <c r="Q951" s="116">
        <v>82.4</v>
      </c>
      <c r="R951">
        <v>1711975</v>
      </c>
    </row>
    <row r="952" spans="1:18" x14ac:dyDescent="0.25">
      <c r="A952" s="169">
        <v>43404</v>
      </c>
      <c r="B952" s="116">
        <v>43.424999999999997</v>
      </c>
      <c r="C952" s="116">
        <v>42.5</v>
      </c>
      <c r="D952" s="116">
        <v>40.200000000000003</v>
      </c>
      <c r="E952" s="116">
        <v>41.1</v>
      </c>
      <c r="F952" s="116">
        <v>85</v>
      </c>
      <c r="G952">
        <v>338999</v>
      </c>
      <c r="H952" s="116"/>
      <c r="I952" s="116"/>
      <c r="L952" s="169">
        <v>43404</v>
      </c>
      <c r="M952" s="116">
        <v>42.575000000000003</v>
      </c>
      <c r="N952" s="116">
        <v>43.45</v>
      </c>
      <c r="O952" s="116">
        <v>40.15</v>
      </c>
      <c r="P952" s="116">
        <v>41.2</v>
      </c>
      <c r="Q952" s="116">
        <v>85.15</v>
      </c>
      <c r="R952">
        <v>1654265</v>
      </c>
    </row>
    <row r="953" spans="1:18" x14ac:dyDescent="0.25">
      <c r="A953" s="169">
        <v>43405</v>
      </c>
      <c r="B953" s="116">
        <v>43.7</v>
      </c>
      <c r="C953" s="116">
        <v>42.75</v>
      </c>
      <c r="D953" s="116">
        <v>42.45</v>
      </c>
      <c r="E953" s="116">
        <v>42.524999999999999</v>
      </c>
      <c r="F953" s="116">
        <v>85.5</v>
      </c>
      <c r="G953">
        <v>149030</v>
      </c>
      <c r="H953" s="116"/>
      <c r="I953" s="116"/>
      <c r="L953" s="169">
        <v>43405</v>
      </c>
      <c r="M953" s="116">
        <v>42.85</v>
      </c>
      <c r="N953" s="116">
        <v>43.7</v>
      </c>
      <c r="O953" s="116">
        <v>42.4</v>
      </c>
      <c r="P953" s="116">
        <v>42.65</v>
      </c>
      <c r="Q953" s="116">
        <v>85.7</v>
      </c>
      <c r="R953">
        <v>649551</v>
      </c>
    </row>
    <row r="954" spans="1:18" x14ac:dyDescent="0.25">
      <c r="A954" s="169">
        <v>43406</v>
      </c>
      <c r="B954" s="116">
        <v>44.875</v>
      </c>
      <c r="C954" s="116">
        <v>43.8</v>
      </c>
      <c r="D954" s="116">
        <v>43.15</v>
      </c>
      <c r="E954" s="116">
        <v>43.15</v>
      </c>
      <c r="F954" s="116">
        <v>87.6</v>
      </c>
      <c r="G954">
        <v>468416</v>
      </c>
      <c r="H954" s="116"/>
      <c r="I954" s="116"/>
      <c r="L954" s="169">
        <v>43406</v>
      </c>
      <c r="M954" s="116">
        <v>43.975000000000001</v>
      </c>
      <c r="N954" s="116">
        <v>44.95</v>
      </c>
      <c r="O954" s="116">
        <v>43</v>
      </c>
      <c r="P954" s="116">
        <v>43.1</v>
      </c>
      <c r="Q954" s="116">
        <v>87.95</v>
      </c>
      <c r="R954">
        <v>1420914</v>
      </c>
    </row>
    <row r="955" spans="1:18" x14ac:dyDescent="0.25">
      <c r="A955" s="169">
        <v>43409</v>
      </c>
      <c r="B955" s="116">
        <v>45.274999999999999</v>
      </c>
      <c r="C955" s="116">
        <v>44.024999999999999</v>
      </c>
      <c r="D955" s="116">
        <v>43.024999999999999</v>
      </c>
      <c r="E955" s="116">
        <v>43.975000000000001</v>
      </c>
      <c r="F955" s="116">
        <v>88.05</v>
      </c>
      <c r="G955">
        <v>209038</v>
      </c>
      <c r="H955" s="116"/>
      <c r="I955" s="116"/>
      <c r="L955" s="169">
        <v>43409</v>
      </c>
      <c r="M955" s="116">
        <v>44</v>
      </c>
      <c r="N955" s="116">
        <v>45.375</v>
      </c>
      <c r="O955" s="116">
        <v>43.2</v>
      </c>
      <c r="P955" s="116">
        <v>43.825000000000003</v>
      </c>
      <c r="Q955" s="116">
        <v>88</v>
      </c>
      <c r="R955">
        <v>662506</v>
      </c>
    </row>
    <row r="956" spans="1:18" x14ac:dyDescent="0.25">
      <c r="A956" s="169">
        <v>43410</v>
      </c>
      <c r="B956" s="116">
        <v>44.45</v>
      </c>
      <c r="C956" s="116">
        <v>43.774999999999999</v>
      </c>
      <c r="D956" s="116">
        <v>43.375</v>
      </c>
      <c r="E956" s="116">
        <v>44.3</v>
      </c>
      <c r="F956" s="116">
        <v>87.55</v>
      </c>
      <c r="G956">
        <v>149256</v>
      </c>
      <c r="H956" s="116"/>
      <c r="I956" s="116"/>
      <c r="L956" s="169">
        <v>43410</v>
      </c>
      <c r="M956" s="116">
        <v>43.825000000000003</v>
      </c>
      <c r="N956" s="116">
        <v>44.4</v>
      </c>
      <c r="O956" s="116">
        <v>43.325000000000003</v>
      </c>
      <c r="P956" s="116">
        <v>44.225000000000001</v>
      </c>
      <c r="Q956" s="116">
        <v>87.65</v>
      </c>
      <c r="R956">
        <v>347836</v>
      </c>
    </row>
    <row r="957" spans="1:18" x14ac:dyDescent="0.25">
      <c r="A957" s="169">
        <v>43411</v>
      </c>
      <c r="B957" s="116">
        <v>45.225000000000001</v>
      </c>
      <c r="C957" s="116">
        <v>44.875</v>
      </c>
      <c r="D957" s="116">
        <v>44</v>
      </c>
      <c r="E957" s="116">
        <v>44</v>
      </c>
      <c r="F957" s="116">
        <v>89.75</v>
      </c>
      <c r="G957">
        <v>53976</v>
      </c>
      <c r="H957" s="116"/>
      <c r="I957" s="116"/>
      <c r="L957" s="169">
        <v>43411</v>
      </c>
      <c r="M957" s="116">
        <v>44.85</v>
      </c>
      <c r="N957" s="116">
        <v>45.225000000000001</v>
      </c>
      <c r="O957" s="116">
        <v>43.774999999999999</v>
      </c>
      <c r="P957" s="116">
        <v>43.774999999999999</v>
      </c>
      <c r="Q957" s="116">
        <v>89.7</v>
      </c>
      <c r="R957">
        <v>308770</v>
      </c>
    </row>
    <row r="958" spans="1:18" x14ac:dyDescent="0.25">
      <c r="A958" s="169">
        <v>43413</v>
      </c>
      <c r="B958" s="116">
        <v>45.05</v>
      </c>
      <c r="C958" s="116">
        <v>43.7</v>
      </c>
      <c r="D958" s="116">
        <v>43.5</v>
      </c>
      <c r="E958" s="116">
        <v>45.05</v>
      </c>
      <c r="F958" s="116">
        <v>87.4</v>
      </c>
      <c r="G958">
        <v>209687</v>
      </c>
      <c r="H958" s="116"/>
      <c r="I958" s="116"/>
      <c r="L958" s="169">
        <v>43413</v>
      </c>
      <c r="M958" s="116">
        <v>43.85</v>
      </c>
      <c r="N958" s="116">
        <v>45.125</v>
      </c>
      <c r="O958" s="116">
        <v>43.6</v>
      </c>
      <c r="P958" s="116">
        <v>44.95</v>
      </c>
      <c r="Q958" s="116">
        <v>87.7</v>
      </c>
      <c r="R958">
        <v>759633</v>
      </c>
    </row>
    <row r="959" spans="1:18" x14ac:dyDescent="0.25">
      <c r="A959" s="169">
        <v>43416</v>
      </c>
      <c r="B959" s="116">
        <v>44.274999999999999</v>
      </c>
      <c r="C959" s="116">
        <v>43.475000000000001</v>
      </c>
      <c r="D959" s="116">
        <v>43.1</v>
      </c>
      <c r="E959" s="116">
        <v>44.2</v>
      </c>
      <c r="F959" s="116">
        <v>86.95</v>
      </c>
      <c r="G959">
        <v>154683</v>
      </c>
      <c r="H959" s="116"/>
      <c r="I959" s="116"/>
      <c r="L959" s="169">
        <v>43416</v>
      </c>
      <c r="M959" s="116">
        <v>43.475000000000001</v>
      </c>
      <c r="N959" s="116">
        <v>44.225000000000001</v>
      </c>
      <c r="O959" s="116">
        <v>43.174999999999997</v>
      </c>
      <c r="P959" s="116">
        <v>43.75</v>
      </c>
      <c r="Q959" s="116">
        <v>86.95</v>
      </c>
      <c r="R959">
        <v>686749</v>
      </c>
    </row>
    <row r="960" spans="1:18" x14ac:dyDescent="0.25">
      <c r="A960" s="169">
        <v>43417</v>
      </c>
      <c r="B960" s="116">
        <v>44.524999999999999</v>
      </c>
      <c r="C960" s="116">
        <v>42.375</v>
      </c>
      <c r="D960" s="116">
        <v>42.05</v>
      </c>
      <c r="E960" s="116">
        <v>44.3</v>
      </c>
      <c r="F960" s="116">
        <v>84.75</v>
      </c>
      <c r="G960">
        <v>184857</v>
      </c>
      <c r="H960" s="116"/>
      <c r="I960" s="116"/>
      <c r="L960" s="169">
        <v>43417</v>
      </c>
      <c r="M960" s="116">
        <v>42.4</v>
      </c>
      <c r="N960" s="116">
        <v>44.424999999999997</v>
      </c>
      <c r="O960" s="116">
        <v>42.3</v>
      </c>
      <c r="P960" s="116">
        <v>44.25</v>
      </c>
      <c r="Q960" s="116">
        <v>84.8</v>
      </c>
      <c r="R960">
        <v>924749</v>
      </c>
    </row>
    <row r="961" spans="1:18" x14ac:dyDescent="0.25">
      <c r="A961" s="169">
        <v>43418</v>
      </c>
      <c r="B961" s="116">
        <v>43.125</v>
      </c>
      <c r="C961" s="116">
        <v>42</v>
      </c>
      <c r="D961" s="116">
        <v>41.75</v>
      </c>
      <c r="E961" s="116">
        <v>42.75</v>
      </c>
      <c r="F961" s="116">
        <v>84</v>
      </c>
      <c r="G961">
        <v>121019</v>
      </c>
      <c r="H961" s="116"/>
      <c r="I961" s="116"/>
      <c r="L961" s="169">
        <v>43418</v>
      </c>
      <c r="M961" s="116">
        <v>42.024999999999999</v>
      </c>
      <c r="N961" s="116">
        <v>43.15</v>
      </c>
      <c r="O961" s="116">
        <v>41.75</v>
      </c>
      <c r="P961" s="116">
        <v>42.7</v>
      </c>
      <c r="Q961" s="116">
        <v>84.05</v>
      </c>
      <c r="R961">
        <v>587648</v>
      </c>
    </row>
    <row r="962" spans="1:18" x14ac:dyDescent="0.25">
      <c r="A962" s="169">
        <v>43419</v>
      </c>
      <c r="B962" s="116">
        <v>43.1</v>
      </c>
      <c r="C962" s="116">
        <v>42.375</v>
      </c>
      <c r="D962" s="116">
        <v>41.55</v>
      </c>
      <c r="E962" s="116">
        <v>41.575000000000003</v>
      </c>
      <c r="F962" s="116">
        <v>84.75</v>
      </c>
      <c r="G962">
        <v>140470</v>
      </c>
      <c r="H962" s="116"/>
      <c r="I962" s="116"/>
      <c r="L962" s="169">
        <v>43419</v>
      </c>
      <c r="M962" s="116">
        <v>42.45</v>
      </c>
      <c r="N962" s="116">
        <v>43.1</v>
      </c>
      <c r="O962" s="116">
        <v>41.55</v>
      </c>
      <c r="P962" s="116">
        <v>41.9</v>
      </c>
      <c r="Q962" s="116">
        <v>84.9</v>
      </c>
      <c r="R962">
        <v>647151</v>
      </c>
    </row>
    <row r="963" spans="1:18" x14ac:dyDescent="0.25">
      <c r="A963" s="169">
        <v>43420</v>
      </c>
      <c r="B963" s="116">
        <v>42.825000000000003</v>
      </c>
      <c r="C963" s="116">
        <v>41.825000000000003</v>
      </c>
      <c r="D963" s="116">
        <v>41.6</v>
      </c>
      <c r="E963" s="116">
        <v>42.4</v>
      </c>
      <c r="F963" s="116">
        <v>83.65</v>
      </c>
      <c r="G963">
        <v>122319</v>
      </c>
      <c r="H963" s="116"/>
      <c r="I963" s="116"/>
      <c r="L963" s="169">
        <v>43420</v>
      </c>
      <c r="M963" s="116">
        <v>41.9</v>
      </c>
      <c r="N963" s="116">
        <v>42.85</v>
      </c>
      <c r="O963" s="116">
        <v>41.575000000000003</v>
      </c>
      <c r="P963" s="116">
        <v>42.5</v>
      </c>
      <c r="Q963" s="116">
        <v>83.8</v>
      </c>
      <c r="R963">
        <v>446029</v>
      </c>
    </row>
    <row r="964" spans="1:18" x14ac:dyDescent="0.25">
      <c r="A964" s="169">
        <v>43423</v>
      </c>
      <c r="B964" s="116">
        <v>42.25</v>
      </c>
      <c r="C964" s="116">
        <v>41.424999999999997</v>
      </c>
      <c r="D964" s="116">
        <v>41.274999999999999</v>
      </c>
      <c r="E964" s="116">
        <v>41.9</v>
      </c>
      <c r="F964" s="116">
        <v>82.85</v>
      </c>
      <c r="G964">
        <v>115228</v>
      </c>
      <c r="H964" s="116"/>
      <c r="I964" s="116"/>
      <c r="L964" s="169">
        <v>43423</v>
      </c>
      <c r="M964" s="116">
        <v>41.45</v>
      </c>
      <c r="N964" s="116">
        <v>42.375</v>
      </c>
      <c r="O964" s="116">
        <v>41.325000000000003</v>
      </c>
      <c r="P964" s="116">
        <v>41.975000000000001</v>
      </c>
      <c r="Q964" s="116">
        <v>82.9</v>
      </c>
      <c r="R964">
        <v>266017</v>
      </c>
    </row>
    <row r="965" spans="1:18" x14ac:dyDescent="0.25">
      <c r="A965" s="169">
        <v>43424</v>
      </c>
      <c r="B965" s="116">
        <v>41.274999999999999</v>
      </c>
      <c r="C965" s="116">
        <v>40.274999999999999</v>
      </c>
      <c r="D965" s="116">
        <v>40.225000000000001</v>
      </c>
      <c r="E965" s="116">
        <v>41.25</v>
      </c>
      <c r="F965" s="116">
        <v>80.55</v>
      </c>
      <c r="G965">
        <v>87705</v>
      </c>
      <c r="H965" s="116"/>
      <c r="I965" s="116"/>
      <c r="L965" s="169">
        <v>43424</v>
      </c>
      <c r="M965" s="116">
        <v>40.299999999999997</v>
      </c>
      <c r="N965" s="116">
        <v>41.25</v>
      </c>
      <c r="O965" s="116">
        <v>40.174999999999997</v>
      </c>
      <c r="P965" s="116">
        <v>41.15</v>
      </c>
      <c r="Q965" s="116">
        <v>80.599999999999994</v>
      </c>
      <c r="R965">
        <v>374536</v>
      </c>
    </row>
    <row r="966" spans="1:18" x14ac:dyDescent="0.25">
      <c r="A966" s="169">
        <v>43425</v>
      </c>
      <c r="B966" s="116">
        <v>41.1</v>
      </c>
      <c r="C966" s="116">
        <v>39.799999999999997</v>
      </c>
      <c r="D966" s="116">
        <v>39.625</v>
      </c>
      <c r="E966" s="116">
        <v>41</v>
      </c>
      <c r="F966" s="116">
        <v>79.599999999999994</v>
      </c>
      <c r="G966">
        <v>139931</v>
      </c>
      <c r="H966" s="116"/>
      <c r="I966" s="116"/>
      <c r="L966" s="169">
        <v>43425</v>
      </c>
      <c r="M966" s="116">
        <v>39.85</v>
      </c>
      <c r="N966" s="116">
        <v>41.024999999999999</v>
      </c>
      <c r="O966" s="116">
        <v>39.75</v>
      </c>
      <c r="P966" s="116">
        <v>40.75</v>
      </c>
      <c r="Q966" s="116">
        <v>79.7</v>
      </c>
      <c r="R966">
        <v>539192</v>
      </c>
    </row>
    <row r="967" spans="1:18" x14ac:dyDescent="0.25">
      <c r="A967" s="169">
        <v>43426</v>
      </c>
      <c r="B967" s="116">
        <v>43.4</v>
      </c>
      <c r="C967" s="116">
        <v>41.85</v>
      </c>
      <c r="D967" s="116">
        <v>39.85</v>
      </c>
      <c r="E967" s="116">
        <v>39.875</v>
      </c>
      <c r="F967" s="116">
        <v>83.7</v>
      </c>
      <c r="G967">
        <v>652293</v>
      </c>
      <c r="H967" s="116"/>
      <c r="I967" s="116"/>
      <c r="L967" s="169">
        <v>43426</v>
      </c>
      <c r="M967" s="116">
        <v>41.85</v>
      </c>
      <c r="N967" s="116">
        <v>43.5</v>
      </c>
      <c r="O967" s="116">
        <v>39.85</v>
      </c>
      <c r="P967" s="116">
        <v>40.1</v>
      </c>
      <c r="Q967" s="116">
        <v>83.7</v>
      </c>
      <c r="R967">
        <v>3791604</v>
      </c>
    </row>
    <row r="968" spans="1:18" x14ac:dyDescent="0.25">
      <c r="A968" s="169">
        <v>43430</v>
      </c>
      <c r="B968" s="116">
        <v>42.5</v>
      </c>
      <c r="C968" s="116">
        <v>41.3</v>
      </c>
      <c r="D968" s="116">
        <v>40.825000000000003</v>
      </c>
      <c r="E968" s="116">
        <v>42.5</v>
      </c>
      <c r="F968" s="116">
        <v>82.6</v>
      </c>
      <c r="G968">
        <v>274173</v>
      </c>
      <c r="H968" s="116"/>
      <c r="I968" s="116"/>
      <c r="L968" s="169">
        <v>43430</v>
      </c>
      <c r="M968" s="116">
        <v>41.4</v>
      </c>
      <c r="N968" s="116">
        <v>42.424999999999997</v>
      </c>
      <c r="O968" s="116">
        <v>40.799999999999997</v>
      </c>
      <c r="P968" s="116">
        <v>42.424999999999997</v>
      </c>
      <c r="Q968" s="116">
        <v>82.8</v>
      </c>
      <c r="R968">
        <v>582821</v>
      </c>
    </row>
    <row r="969" spans="1:18" x14ac:dyDescent="0.25">
      <c r="A969" s="169">
        <v>43431</v>
      </c>
      <c r="B969" s="116">
        <v>41.45</v>
      </c>
      <c r="C969" s="116">
        <v>40.85</v>
      </c>
      <c r="D969" s="116">
        <v>40.424999999999997</v>
      </c>
      <c r="E969" s="116">
        <v>41.325000000000003</v>
      </c>
      <c r="F969" s="116">
        <v>81.7</v>
      </c>
      <c r="G969">
        <v>117257</v>
      </c>
      <c r="H969" s="116"/>
      <c r="I969" s="116"/>
      <c r="L969" s="169">
        <v>43431</v>
      </c>
      <c r="M969" s="116">
        <v>40.774999999999999</v>
      </c>
      <c r="N969" s="116">
        <v>41.5</v>
      </c>
      <c r="O969" s="116">
        <v>40.450000000000003</v>
      </c>
      <c r="P969" s="116">
        <v>41.5</v>
      </c>
      <c r="Q969" s="116">
        <v>81.55</v>
      </c>
      <c r="R969">
        <v>453691</v>
      </c>
    </row>
    <row r="970" spans="1:18" x14ac:dyDescent="0.25">
      <c r="A970" s="169">
        <v>43432</v>
      </c>
      <c r="B970" s="116">
        <v>41.7</v>
      </c>
      <c r="C970" s="116">
        <v>40.450000000000003</v>
      </c>
      <c r="D970" s="116">
        <v>40.174999999999997</v>
      </c>
      <c r="E970" s="116">
        <v>40.85</v>
      </c>
      <c r="F970" s="116">
        <v>80.900000000000006</v>
      </c>
      <c r="G970">
        <v>248332</v>
      </c>
      <c r="H970" s="116"/>
      <c r="I970" s="116"/>
      <c r="L970" s="169">
        <v>43432</v>
      </c>
      <c r="M970" s="116">
        <v>40.450000000000003</v>
      </c>
      <c r="N970" s="116">
        <v>41.75</v>
      </c>
      <c r="O970" s="116">
        <v>40.174999999999997</v>
      </c>
      <c r="P970" s="116">
        <v>40.875</v>
      </c>
      <c r="Q970" s="116">
        <v>80.900000000000006</v>
      </c>
      <c r="R970">
        <v>663393</v>
      </c>
    </row>
    <row r="971" spans="1:18" x14ac:dyDescent="0.25">
      <c r="A971" s="169">
        <v>43433</v>
      </c>
      <c r="B971" s="116">
        <v>41.424999999999997</v>
      </c>
      <c r="C971" s="116">
        <v>40.625</v>
      </c>
      <c r="D971" s="116">
        <v>40.549999999999997</v>
      </c>
      <c r="E971" s="116">
        <v>41.2</v>
      </c>
      <c r="F971" s="116">
        <v>81.25</v>
      </c>
      <c r="G971">
        <v>141780</v>
      </c>
      <c r="H971" s="116"/>
      <c r="I971" s="116"/>
      <c r="L971" s="169">
        <v>43433</v>
      </c>
      <c r="M971" s="116">
        <v>40.674999999999997</v>
      </c>
      <c r="N971" s="116">
        <v>41.35</v>
      </c>
      <c r="O971" s="116">
        <v>40.5</v>
      </c>
      <c r="P971" s="116">
        <v>40.75</v>
      </c>
      <c r="Q971" s="116">
        <v>81.349999999999994</v>
      </c>
      <c r="R971">
        <v>438634</v>
      </c>
    </row>
    <row r="972" spans="1:18" x14ac:dyDescent="0.25">
      <c r="A972" s="169">
        <v>43434</v>
      </c>
      <c r="B972" s="116">
        <v>42</v>
      </c>
      <c r="C972" s="116">
        <v>40.924999999999997</v>
      </c>
      <c r="D972" s="116">
        <v>40.65</v>
      </c>
      <c r="E972" s="116">
        <v>40.65</v>
      </c>
      <c r="F972" s="116">
        <v>81.849999999999994</v>
      </c>
      <c r="G972">
        <v>126177</v>
      </c>
      <c r="H972" s="116"/>
      <c r="I972" s="116"/>
      <c r="L972" s="169">
        <v>43434</v>
      </c>
      <c r="M972" s="116">
        <v>40.9</v>
      </c>
      <c r="N972" s="116">
        <v>42.024999999999999</v>
      </c>
      <c r="O972" s="116">
        <v>40.6</v>
      </c>
      <c r="P972" s="116">
        <v>40.6</v>
      </c>
      <c r="Q972" s="116">
        <v>81.8</v>
      </c>
      <c r="R972">
        <v>739905</v>
      </c>
    </row>
    <row r="973" spans="1:18" x14ac:dyDescent="0.25">
      <c r="A973" s="169">
        <v>43437</v>
      </c>
      <c r="B973" s="116">
        <v>41.875</v>
      </c>
      <c r="C973" s="116">
        <v>41.375</v>
      </c>
      <c r="D973" s="116">
        <v>41.2</v>
      </c>
      <c r="E973" s="116">
        <v>41.25</v>
      </c>
      <c r="F973" s="116">
        <v>82.75</v>
      </c>
      <c r="G973">
        <v>40355</v>
      </c>
      <c r="H973" s="116"/>
      <c r="I973" s="116"/>
      <c r="L973" s="169">
        <v>43437</v>
      </c>
      <c r="M973" s="116">
        <v>41.375</v>
      </c>
      <c r="N973" s="116">
        <v>41.9</v>
      </c>
      <c r="O973" s="116">
        <v>41.15</v>
      </c>
      <c r="P973" s="116">
        <v>41.15</v>
      </c>
      <c r="Q973" s="116">
        <v>82.75</v>
      </c>
      <c r="R973">
        <v>321630</v>
      </c>
    </row>
    <row r="974" spans="1:18" x14ac:dyDescent="0.25">
      <c r="A974" s="169">
        <v>43438</v>
      </c>
      <c r="B974" s="116">
        <v>41.35</v>
      </c>
      <c r="C974" s="116">
        <v>40.875</v>
      </c>
      <c r="D974" s="116">
        <v>40.75</v>
      </c>
      <c r="E974" s="116">
        <v>41.274999999999999</v>
      </c>
      <c r="F974" s="116">
        <v>81.75</v>
      </c>
      <c r="G974">
        <v>97702</v>
      </c>
      <c r="H974" s="116"/>
      <c r="I974" s="116"/>
      <c r="L974" s="169">
        <v>43438</v>
      </c>
      <c r="M974" s="116">
        <v>40.825000000000003</v>
      </c>
      <c r="N974" s="116">
        <v>41.375</v>
      </c>
      <c r="O974" s="116">
        <v>40.674999999999997</v>
      </c>
      <c r="P974" s="116">
        <v>41.325000000000003</v>
      </c>
      <c r="Q974" s="116">
        <v>81.650000000000006</v>
      </c>
      <c r="R974">
        <v>277405</v>
      </c>
    </row>
    <row r="975" spans="1:18" x14ac:dyDescent="0.25">
      <c r="A975" s="169">
        <v>43439</v>
      </c>
      <c r="B975" s="116">
        <v>40.975000000000001</v>
      </c>
      <c r="C975" s="116">
        <v>40.024999999999999</v>
      </c>
      <c r="D975" s="116">
        <v>39.75</v>
      </c>
      <c r="E975" s="116">
        <v>40.325000000000003</v>
      </c>
      <c r="F975" s="116">
        <v>80.05</v>
      </c>
      <c r="G975">
        <v>126077</v>
      </c>
      <c r="H975" s="116"/>
      <c r="I975" s="116"/>
      <c r="L975" s="169">
        <v>43439</v>
      </c>
      <c r="M975" s="116">
        <v>39.825000000000003</v>
      </c>
      <c r="N975" s="116">
        <v>40.975000000000001</v>
      </c>
      <c r="O975" s="116">
        <v>39.549999999999997</v>
      </c>
      <c r="P975" s="116">
        <v>40.375</v>
      </c>
      <c r="Q975" s="116">
        <v>79.650000000000006</v>
      </c>
      <c r="R975">
        <v>371450</v>
      </c>
    </row>
    <row r="976" spans="1:18" x14ac:dyDescent="0.25">
      <c r="A976" s="169">
        <v>43440</v>
      </c>
      <c r="B976" s="116">
        <v>40.1</v>
      </c>
      <c r="C976" s="116">
        <v>39.325000000000003</v>
      </c>
      <c r="D976" s="116">
        <v>39.25</v>
      </c>
      <c r="E976" s="116">
        <v>39.325000000000003</v>
      </c>
      <c r="F976" s="116">
        <v>78.650000000000006</v>
      </c>
      <c r="G976">
        <v>115972</v>
      </c>
      <c r="H976" s="116"/>
      <c r="I976" s="116"/>
      <c r="L976" s="169">
        <v>43440</v>
      </c>
      <c r="M976" s="116">
        <v>39.35</v>
      </c>
      <c r="N976" s="116">
        <v>40.1</v>
      </c>
      <c r="O976" s="116">
        <v>39.225000000000001</v>
      </c>
      <c r="P976" s="116">
        <v>39.325000000000003</v>
      </c>
      <c r="Q976" s="116">
        <v>78.7</v>
      </c>
      <c r="R976">
        <v>362367</v>
      </c>
    </row>
    <row r="977" spans="1:18" x14ac:dyDescent="0.25">
      <c r="A977" s="169">
        <v>43441</v>
      </c>
      <c r="B977" s="116">
        <v>39.725000000000001</v>
      </c>
      <c r="C977" s="116">
        <v>38.825000000000003</v>
      </c>
      <c r="D977" s="116">
        <v>38.524999999999999</v>
      </c>
      <c r="E977" s="116">
        <v>39.5</v>
      </c>
      <c r="F977" s="116">
        <v>77.650000000000006</v>
      </c>
      <c r="G977">
        <v>81977</v>
      </c>
      <c r="H977" s="116"/>
      <c r="I977" s="116"/>
      <c r="L977" s="169">
        <v>43441</v>
      </c>
      <c r="M977" s="116">
        <v>38.85</v>
      </c>
      <c r="N977" s="116">
        <v>39.799999999999997</v>
      </c>
      <c r="O977" s="116">
        <v>38.5</v>
      </c>
      <c r="P977" s="116">
        <v>39.700000000000003</v>
      </c>
      <c r="Q977" s="116">
        <v>77.7</v>
      </c>
      <c r="R977">
        <v>608429</v>
      </c>
    </row>
    <row r="978" spans="1:18" x14ac:dyDescent="0.25">
      <c r="A978" s="169">
        <v>43444</v>
      </c>
      <c r="B978" s="116">
        <v>38.799999999999997</v>
      </c>
      <c r="C978" s="116">
        <v>38.075000000000003</v>
      </c>
      <c r="D978" s="116">
        <v>37.625</v>
      </c>
      <c r="E978" s="116">
        <v>37.65</v>
      </c>
      <c r="F978" s="116">
        <v>76.150000000000006</v>
      </c>
      <c r="G978">
        <v>130680</v>
      </c>
      <c r="H978" s="116"/>
      <c r="I978" s="116"/>
      <c r="L978" s="169">
        <v>43444</v>
      </c>
      <c r="M978" s="116">
        <v>37.975000000000001</v>
      </c>
      <c r="N978" s="116">
        <v>38.75</v>
      </c>
      <c r="O978" s="116">
        <v>37.625</v>
      </c>
      <c r="P978" s="116">
        <v>38.174999999999997</v>
      </c>
      <c r="Q978" s="116">
        <v>75.95</v>
      </c>
      <c r="R978">
        <v>371513</v>
      </c>
    </row>
    <row r="979" spans="1:18" x14ac:dyDescent="0.25">
      <c r="A979" s="169">
        <v>43445</v>
      </c>
      <c r="B979" s="116">
        <v>39.700000000000003</v>
      </c>
      <c r="C979" s="116">
        <v>39.424999999999997</v>
      </c>
      <c r="D979" s="116">
        <v>37.325000000000003</v>
      </c>
      <c r="E979" s="116">
        <v>37.575000000000003</v>
      </c>
      <c r="F979" s="116">
        <v>78.849999999999994</v>
      </c>
      <c r="G979">
        <v>113986</v>
      </c>
      <c r="H979" s="116"/>
      <c r="I979" s="116"/>
      <c r="L979" s="169">
        <v>43445</v>
      </c>
      <c r="M979" s="116">
        <v>39.325000000000003</v>
      </c>
      <c r="N979" s="116">
        <v>39.549999999999997</v>
      </c>
      <c r="O979" s="116">
        <v>37.125</v>
      </c>
      <c r="P979" s="116">
        <v>37.274999999999999</v>
      </c>
      <c r="Q979" s="116">
        <v>78.650000000000006</v>
      </c>
      <c r="R979">
        <v>362639</v>
      </c>
    </row>
    <row r="980" spans="1:18" x14ac:dyDescent="0.25">
      <c r="A980" s="169">
        <v>43446</v>
      </c>
      <c r="B980" s="116">
        <v>41.65</v>
      </c>
      <c r="C980" s="116">
        <v>41.174999999999997</v>
      </c>
      <c r="D980" s="116">
        <v>39.35</v>
      </c>
      <c r="E980" s="116">
        <v>39.35</v>
      </c>
      <c r="F980" s="116">
        <v>82.35</v>
      </c>
      <c r="G980">
        <v>170556</v>
      </c>
      <c r="H980" s="116"/>
      <c r="I980" s="116"/>
      <c r="L980" s="169">
        <v>43446</v>
      </c>
      <c r="M980" s="116">
        <v>41.25</v>
      </c>
      <c r="N980" s="116">
        <v>41.65</v>
      </c>
      <c r="O980" s="116">
        <v>39.15</v>
      </c>
      <c r="P980" s="116">
        <v>39.325000000000003</v>
      </c>
      <c r="Q980" s="116">
        <v>82.5</v>
      </c>
      <c r="R980">
        <v>590861</v>
      </c>
    </row>
    <row r="981" spans="1:18" x14ac:dyDescent="0.25">
      <c r="A981" s="169">
        <v>43447</v>
      </c>
      <c r="B981" s="116">
        <v>42.5</v>
      </c>
      <c r="C981" s="116">
        <v>41.4</v>
      </c>
      <c r="D981" s="116">
        <v>41.024999999999999</v>
      </c>
      <c r="E981" s="116">
        <v>41.625</v>
      </c>
      <c r="F981" s="116">
        <v>82.8</v>
      </c>
      <c r="G981">
        <v>94138</v>
      </c>
      <c r="H981" s="116"/>
      <c r="I981" s="116"/>
      <c r="L981" s="169">
        <v>43447</v>
      </c>
      <c r="M981" s="116">
        <v>41.475000000000001</v>
      </c>
      <c r="N981" s="116">
        <v>42.5</v>
      </c>
      <c r="O981" s="116">
        <v>41.1</v>
      </c>
      <c r="P981" s="116">
        <v>41.475000000000001</v>
      </c>
      <c r="Q981" s="116">
        <v>82.95</v>
      </c>
      <c r="R981">
        <v>601372</v>
      </c>
    </row>
    <row r="982" spans="1:18" x14ac:dyDescent="0.25">
      <c r="A982" s="169">
        <v>43448</v>
      </c>
      <c r="B982" s="116">
        <v>41.75</v>
      </c>
      <c r="C982" s="116">
        <v>41.05</v>
      </c>
      <c r="D982" s="116">
        <v>40.875</v>
      </c>
      <c r="E982" s="116">
        <v>41.05</v>
      </c>
      <c r="F982" s="116">
        <v>82.1</v>
      </c>
      <c r="G982">
        <v>120097</v>
      </c>
      <c r="H982" s="116"/>
      <c r="I982" s="116"/>
      <c r="L982" s="169">
        <v>43448</v>
      </c>
      <c r="M982" s="116">
        <v>40.975000000000001</v>
      </c>
      <c r="N982" s="116">
        <v>41.65</v>
      </c>
      <c r="O982" s="116">
        <v>40.700000000000003</v>
      </c>
      <c r="P982" s="116">
        <v>41.25</v>
      </c>
      <c r="Q982" s="116">
        <v>81.95</v>
      </c>
      <c r="R982">
        <v>309314</v>
      </c>
    </row>
    <row r="983" spans="1:18" x14ac:dyDescent="0.25">
      <c r="A983" s="169">
        <v>43451</v>
      </c>
      <c r="B983" s="116">
        <v>42.35</v>
      </c>
      <c r="C983" s="116">
        <v>42.125</v>
      </c>
      <c r="D983" s="116">
        <v>41.024999999999999</v>
      </c>
      <c r="E983" s="116">
        <v>41.024999999999999</v>
      </c>
      <c r="F983" s="116">
        <v>84.25</v>
      </c>
      <c r="G983">
        <v>103793</v>
      </c>
      <c r="H983" s="116"/>
      <c r="I983" s="116"/>
      <c r="L983" s="169">
        <v>43451</v>
      </c>
      <c r="M983" s="116">
        <v>42.15</v>
      </c>
      <c r="N983" s="116">
        <v>42.4</v>
      </c>
      <c r="O983" s="116">
        <v>40.950000000000003</v>
      </c>
      <c r="P983" s="116">
        <v>41.225000000000001</v>
      </c>
      <c r="Q983" s="116">
        <v>84.3</v>
      </c>
      <c r="R983">
        <v>728902</v>
      </c>
    </row>
    <row r="984" spans="1:18" x14ac:dyDescent="0.25">
      <c r="A984" s="169">
        <v>43452</v>
      </c>
      <c r="B984" s="116">
        <v>43.625</v>
      </c>
      <c r="C984" s="116">
        <v>43.2</v>
      </c>
      <c r="D984" s="116">
        <v>42.475000000000001</v>
      </c>
      <c r="E984" s="116">
        <v>42.6</v>
      </c>
      <c r="F984" s="116">
        <v>86.4</v>
      </c>
      <c r="G984">
        <v>157210</v>
      </c>
      <c r="H984" s="116"/>
      <c r="I984" s="116"/>
      <c r="L984" s="169">
        <v>43452</v>
      </c>
      <c r="M984" s="116">
        <v>43.225000000000001</v>
      </c>
      <c r="N984" s="116">
        <v>43.7</v>
      </c>
      <c r="O984" s="116">
        <v>42.35</v>
      </c>
      <c r="P984" s="116">
        <v>42.625</v>
      </c>
      <c r="Q984" s="116">
        <v>86.45</v>
      </c>
      <c r="R984">
        <v>1195389</v>
      </c>
    </row>
    <row r="985" spans="1:18" x14ac:dyDescent="0.25">
      <c r="A985" s="169">
        <v>43453</v>
      </c>
      <c r="B985" s="116">
        <v>43.95</v>
      </c>
      <c r="C985" s="116">
        <v>43.174999999999997</v>
      </c>
      <c r="D985" s="116">
        <v>42.625</v>
      </c>
      <c r="E985" s="116">
        <v>43.075000000000003</v>
      </c>
      <c r="F985" s="116">
        <v>86.35</v>
      </c>
      <c r="G985">
        <v>142539</v>
      </c>
      <c r="H985" s="116"/>
      <c r="I985" s="116"/>
      <c r="L985" s="169">
        <v>43453</v>
      </c>
      <c r="M985" s="116">
        <v>43.174999999999997</v>
      </c>
      <c r="N985" s="116">
        <v>44</v>
      </c>
      <c r="O985" s="116">
        <v>42.625</v>
      </c>
      <c r="P985" s="116">
        <v>43.375</v>
      </c>
      <c r="Q985" s="116">
        <v>86.35</v>
      </c>
      <c r="R985">
        <v>970740</v>
      </c>
    </row>
    <row r="986" spans="1:18" x14ac:dyDescent="0.25">
      <c r="A986" s="169">
        <v>43454</v>
      </c>
      <c r="B986" s="116">
        <v>43.625</v>
      </c>
      <c r="C986" s="116">
        <v>43</v>
      </c>
      <c r="D986" s="116">
        <v>42.65</v>
      </c>
      <c r="E986" s="116">
        <v>42.725000000000001</v>
      </c>
      <c r="F986" s="116">
        <v>86</v>
      </c>
      <c r="G986">
        <v>154660</v>
      </c>
      <c r="H986" s="116"/>
      <c r="I986" s="116"/>
      <c r="L986" s="169">
        <v>43454</v>
      </c>
      <c r="M986" s="116">
        <v>43.075000000000003</v>
      </c>
      <c r="N986" s="116">
        <v>43.65</v>
      </c>
      <c r="O986" s="116">
        <v>42.55</v>
      </c>
      <c r="P986" s="116">
        <v>42.95</v>
      </c>
      <c r="Q986" s="116">
        <v>86.15</v>
      </c>
      <c r="R986">
        <v>509330</v>
      </c>
    </row>
    <row r="987" spans="1:18" x14ac:dyDescent="0.25">
      <c r="A987" s="169">
        <v>43455</v>
      </c>
      <c r="B987" s="116">
        <v>43.375</v>
      </c>
      <c r="C987" s="116">
        <v>41.9</v>
      </c>
      <c r="D987" s="116">
        <v>41.7</v>
      </c>
      <c r="E987" s="116">
        <v>43.024999999999999</v>
      </c>
      <c r="F987" s="116">
        <v>83.8</v>
      </c>
      <c r="G987">
        <v>122223</v>
      </c>
      <c r="H987" s="116"/>
      <c r="I987" s="116"/>
      <c r="L987" s="169">
        <v>43455</v>
      </c>
      <c r="M987" s="116">
        <v>41.924999999999997</v>
      </c>
      <c r="N987" s="116">
        <v>43.325000000000003</v>
      </c>
      <c r="O987" s="116">
        <v>41.725000000000001</v>
      </c>
      <c r="P987" s="116">
        <v>42.825000000000003</v>
      </c>
      <c r="Q987" s="116">
        <v>83.85</v>
      </c>
      <c r="R987">
        <v>533506</v>
      </c>
    </row>
    <row r="988" spans="1:18" x14ac:dyDescent="0.25">
      <c r="A988" s="169">
        <v>43458</v>
      </c>
      <c r="B988" s="116">
        <v>41.975000000000001</v>
      </c>
      <c r="C988" s="116">
        <v>41.375</v>
      </c>
      <c r="D988" s="116">
        <v>41.25</v>
      </c>
      <c r="E988" s="116">
        <v>41.85</v>
      </c>
      <c r="F988" s="116">
        <v>82.75</v>
      </c>
      <c r="G988">
        <v>77509</v>
      </c>
      <c r="H988" s="116"/>
      <c r="I988" s="116"/>
      <c r="L988" s="169">
        <v>43458</v>
      </c>
      <c r="M988" s="116">
        <v>41.424999999999997</v>
      </c>
      <c r="N988" s="116">
        <v>42.075000000000003</v>
      </c>
      <c r="O988" s="116">
        <v>41.174999999999997</v>
      </c>
      <c r="P988" s="116">
        <v>41.6</v>
      </c>
      <c r="Q988" s="116">
        <v>82.85</v>
      </c>
      <c r="R988">
        <v>236992</v>
      </c>
    </row>
    <row r="989" spans="1:18" x14ac:dyDescent="0.25">
      <c r="A989" s="169">
        <v>43460</v>
      </c>
      <c r="B989" s="116">
        <v>42</v>
      </c>
      <c r="C989" s="116">
        <v>41.424999999999997</v>
      </c>
      <c r="D989" s="116">
        <v>40.450000000000003</v>
      </c>
      <c r="E989" s="116">
        <v>42</v>
      </c>
      <c r="F989" s="116">
        <v>82.85</v>
      </c>
      <c r="G989">
        <v>69152</v>
      </c>
      <c r="H989" s="116"/>
      <c r="I989" s="116"/>
      <c r="L989" s="169">
        <v>43460</v>
      </c>
      <c r="M989" s="116">
        <v>41.45</v>
      </c>
      <c r="N989" s="116">
        <v>41.7</v>
      </c>
      <c r="O989" s="116">
        <v>40.5</v>
      </c>
      <c r="P989" s="116">
        <v>41.274999999999999</v>
      </c>
      <c r="Q989" s="116">
        <v>82.9</v>
      </c>
      <c r="R989">
        <v>259729</v>
      </c>
    </row>
    <row r="990" spans="1:18" x14ac:dyDescent="0.25">
      <c r="A990" s="169">
        <v>43461</v>
      </c>
      <c r="B990" s="116">
        <v>42.274999999999999</v>
      </c>
      <c r="C990" s="116">
        <v>41.35</v>
      </c>
      <c r="D990" s="116">
        <v>41.174999999999997</v>
      </c>
      <c r="E990" s="116">
        <v>41.7</v>
      </c>
      <c r="F990" s="116">
        <v>82.7</v>
      </c>
      <c r="G990">
        <v>84279</v>
      </c>
      <c r="H990" s="116"/>
      <c r="I990" s="116"/>
      <c r="L990" s="169">
        <v>43461</v>
      </c>
      <c r="M990" s="116">
        <v>41.375</v>
      </c>
      <c r="N990" s="116">
        <v>42.375</v>
      </c>
      <c r="O990" s="116">
        <v>41.2</v>
      </c>
      <c r="P990" s="116">
        <v>41.75</v>
      </c>
      <c r="Q990" s="116">
        <v>82.75</v>
      </c>
      <c r="R990">
        <v>184613</v>
      </c>
    </row>
    <row r="991" spans="1:18" x14ac:dyDescent="0.25">
      <c r="A991" s="169">
        <v>43462</v>
      </c>
      <c r="B991" s="116">
        <v>42.8</v>
      </c>
      <c r="C991" s="116">
        <v>42.3</v>
      </c>
      <c r="D991" s="116">
        <v>41.825000000000003</v>
      </c>
      <c r="E991" s="116">
        <v>41.825000000000003</v>
      </c>
      <c r="F991" s="116">
        <v>84.6</v>
      </c>
      <c r="G991">
        <v>53273</v>
      </c>
      <c r="H991" s="116"/>
      <c r="I991" s="116"/>
      <c r="L991" s="169">
        <v>43462</v>
      </c>
      <c r="M991" s="116">
        <v>42.325000000000003</v>
      </c>
      <c r="N991" s="116">
        <v>42.774999999999999</v>
      </c>
      <c r="O991" s="116">
        <v>41.75</v>
      </c>
      <c r="P991" s="116">
        <v>41.75</v>
      </c>
      <c r="Q991" s="116">
        <v>84.65</v>
      </c>
      <c r="R991">
        <v>359034</v>
      </c>
    </row>
    <row r="992" spans="1:18" x14ac:dyDescent="0.25">
      <c r="A992" s="169">
        <v>43465</v>
      </c>
      <c r="B992" s="116">
        <v>43.2</v>
      </c>
      <c r="C992" s="116">
        <v>42.35</v>
      </c>
      <c r="D992" s="116">
        <v>42.174999999999997</v>
      </c>
      <c r="E992" s="116">
        <v>42.35</v>
      </c>
      <c r="F992" s="116">
        <v>84.7</v>
      </c>
      <c r="G992">
        <v>58801</v>
      </c>
      <c r="H992" s="116"/>
      <c r="I992" s="116"/>
      <c r="L992" s="169">
        <v>43465</v>
      </c>
      <c r="M992" s="116">
        <v>42.424999999999997</v>
      </c>
      <c r="N992" s="116">
        <v>43.3</v>
      </c>
      <c r="O992" s="116">
        <v>42.125</v>
      </c>
      <c r="P992" s="116">
        <v>42.625</v>
      </c>
      <c r="Q992" s="116">
        <v>84.85</v>
      </c>
      <c r="R992">
        <v>490049</v>
      </c>
    </row>
    <row r="993" spans="1:18" x14ac:dyDescent="0.25">
      <c r="A993" s="169">
        <v>43466</v>
      </c>
      <c r="B993" s="116">
        <v>42.8</v>
      </c>
      <c r="C993" s="116">
        <v>42.6</v>
      </c>
      <c r="D993" s="116">
        <v>42.125</v>
      </c>
      <c r="E993" s="116">
        <v>42.475000000000001</v>
      </c>
      <c r="F993" s="116">
        <v>85.2</v>
      </c>
      <c r="G993">
        <v>29462</v>
      </c>
      <c r="H993" s="116"/>
      <c r="I993" s="116"/>
      <c r="L993" s="169">
        <v>43466</v>
      </c>
      <c r="M993" s="116">
        <v>42.65</v>
      </c>
      <c r="N993" s="116">
        <v>42.825000000000003</v>
      </c>
      <c r="O993" s="116">
        <v>42.1</v>
      </c>
      <c r="P993" s="116">
        <v>42.55</v>
      </c>
      <c r="Q993" s="116">
        <v>85.3</v>
      </c>
      <c r="R993">
        <v>297408</v>
      </c>
    </row>
    <row r="994" spans="1:18" x14ac:dyDescent="0.25">
      <c r="A994" s="169">
        <v>43467</v>
      </c>
      <c r="B994" s="116">
        <v>42.424999999999997</v>
      </c>
      <c r="C994" s="116">
        <v>41.674999999999997</v>
      </c>
      <c r="D994" s="116">
        <v>41.25</v>
      </c>
      <c r="E994" s="116">
        <v>42.1</v>
      </c>
      <c r="F994" s="116">
        <v>83.35</v>
      </c>
      <c r="G994">
        <v>122441</v>
      </c>
      <c r="H994" s="116"/>
      <c r="I994" s="116"/>
      <c r="L994" s="169">
        <v>43467</v>
      </c>
      <c r="M994" s="116">
        <v>41.524999999999999</v>
      </c>
      <c r="N994" s="116">
        <v>42.424999999999997</v>
      </c>
      <c r="O994" s="116">
        <v>41.125</v>
      </c>
      <c r="P994" s="116">
        <v>42.25</v>
      </c>
      <c r="Q994" s="116">
        <v>83.05</v>
      </c>
      <c r="R994">
        <v>364190</v>
      </c>
    </row>
    <row r="995" spans="1:18" x14ac:dyDescent="0.25">
      <c r="A995" s="169">
        <v>43468</v>
      </c>
      <c r="B995" s="116">
        <v>41.924999999999997</v>
      </c>
      <c r="C995" s="116">
        <v>41</v>
      </c>
      <c r="D995" s="116">
        <v>40.674999999999997</v>
      </c>
      <c r="E995" s="116">
        <v>41.6</v>
      </c>
      <c r="F995" s="116">
        <v>82</v>
      </c>
      <c r="G995">
        <v>151100</v>
      </c>
      <c r="H995" s="116"/>
      <c r="I995" s="116"/>
      <c r="L995" s="169">
        <v>43468</v>
      </c>
      <c r="M995" s="116">
        <v>40.950000000000003</v>
      </c>
      <c r="N995" s="116">
        <v>41.924999999999997</v>
      </c>
      <c r="O995" s="116">
        <v>40.774999999999999</v>
      </c>
      <c r="P995" s="116">
        <v>41.825000000000003</v>
      </c>
      <c r="Q995" s="116">
        <v>81.900000000000006</v>
      </c>
      <c r="R995">
        <v>228984</v>
      </c>
    </row>
    <row r="996" spans="1:18" x14ac:dyDescent="0.25">
      <c r="A996" s="169">
        <v>43469</v>
      </c>
      <c r="B996" s="116">
        <v>41.375</v>
      </c>
      <c r="C996" s="116">
        <v>41.1</v>
      </c>
      <c r="D996" s="116">
        <v>40.65</v>
      </c>
      <c r="E996" s="116">
        <v>40.9</v>
      </c>
      <c r="F996" s="116">
        <v>82.2</v>
      </c>
      <c r="G996">
        <v>193209</v>
      </c>
      <c r="H996" s="116"/>
      <c r="I996" s="116"/>
      <c r="L996" s="169">
        <v>43469</v>
      </c>
      <c r="M996" s="116">
        <v>41.2</v>
      </c>
      <c r="N996" s="116">
        <v>41.375</v>
      </c>
      <c r="O996" s="116">
        <v>40.65</v>
      </c>
      <c r="P996" s="116">
        <v>41.024999999999999</v>
      </c>
      <c r="Q996" s="116">
        <v>82.4</v>
      </c>
      <c r="R996">
        <v>384102</v>
      </c>
    </row>
    <row r="997" spans="1:18" x14ac:dyDescent="0.25">
      <c r="A997" s="169">
        <v>43472</v>
      </c>
      <c r="B997" s="116">
        <v>41.85</v>
      </c>
      <c r="C997" s="116">
        <v>40.6</v>
      </c>
      <c r="D997" s="116">
        <v>40.25</v>
      </c>
      <c r="E997" s="116">
        <v>41.625</v>
      </c>
      <c r="F997" s="116">
        <v>81.2</v>
      </c>
      <c r="G997">
        <v>84625</v>
      </c>
      <c r="H997" s="116"/>
      <c r="I997" s="116"/>
      <c r="L997" s="169">
        <v>43472</v>
      </c>
      <c r="M997" s="116">
        <v>40.674999999999997</v>
      </c>
      <c r="N997" s="116">
        <v>41.875</v>
      </c>
      <c r="O997" s="116">
        <v>40.049999999999997</v>
      </c>
      <c r="P997" s="116">
        <v>41.625</v>
      </c>
      <c r="Q997" s="116">
        <v>81.349999999999994</v>
      </c>
      <c r="R997">
        <v>274125</v>
      </c>
    </row>
    <row r="998" spans="1:18" x14ac:dyDescent="0.25">
      <c r="A998" s="169">
        <v>43473</v>
      </c>
      <c r="B998" s="116">
        <v>41.325000000000003</v>
      </c>
      <c r="C998" s="116">
        <v>41.075000000000003</v>
      </c>
      <c r="D998" s="116">
        <v>40.475000000000001</v>
      </c>
      <c r="E998" s="116">
        <v>40.549999999999997</v>
      </c>
      <c r="F998" s="116">
        <v>82.15</v>
      </c>
      <c r="G998">
        <v>66712</v>
      </c>
      <c r="H998" s="116"/>
      <c r="I998" s="116"/>
      <c r="L998" s="169">
        <v>43473</v>
      </c>
      <c r="M998" s="116">
        <v>41.125</v>
      </c>
      <c r="N998" s="116">
        <v>41.375</v>
      </c>
      <c r="O998" s="116">
        <v>40.274999999999999</v>
      </c>
      <c r="P998" s="116">
        <v>40.700000000000003</v>
      </c>
      <c r="Q998" s="116">
        <v>82.25</v>
      </c>
      <c r="R998">
        <v>252248</v>
      </c>
    </row>
    <row r="999" spans="1:18" x14ac:dyDescent="0.25">
      <c r="A999" s="169">
        <v>43474</v>
      </c>
      <c r="B999" s="116">
        <v>41.75</v>
      </c>
      <c r="C999" s="116">
        <v>40.875</v>
      </c>
      <c r="D999" s="116">
        <v>40.5</v>
      </c>
      <c r="E999" s="116">
        <v>41.2</v>
      </c>
      <c r="F999" s="116">
        <v>81.75</v>
      </c>
      <c r="G999">
        <v>69104</v>
      </c>
      <c r="H999" s="116"/>
      <c r="I999" s="116"/>
      <c r="L999" s="169">
        <v>43474</v>
      </c>
      <c r="M999" s="116">
        <v>40.799999999999997</v>
      </c>
      <c r="N999" s="116">
        <v>41.774999999999999</v>
      </c>
      <c r="O999" s="116">
        <v>40.450000000000003</v>
      </c>
      <c r="P999" s="116">
        <v>41.4</v>
      </c>
      <c r="Q999" s="116">
        <v>81.599999999999994</v>
      </c>
      <c r="R999">
        <v>425030</v>
      </c>
    </row>
    <row r="1000" spans="1:18" x14ac:dyDescent="0.25">
      <c r="A1000" s="169">
        <v>43475</v>
      </c>
      <c r="B1000" s="116">
        <v>41.05</v>
      </c>
      <c r="C1000" s="116">
        <v>40.375</v>
      </c>
      <c r="D1000" s="116">
        <v>40.25</v>
      </c>
      <c r="E1000" s="116">
        <v>40.549999999999997</v>
      </c>
      <c r="F1000" s="116">
        <v>80.75</v>
      </c>
      <c r="G1000">
        <v>48871</v>
      </c>
      <c r="H1000" s="116"/>
      <c r="I1000" s="116"/>
      <c r="L1000" s="169">
        <v>43475</v>
      </c>
      <c r="M1000" s="116">
        <v>40.450000000000003</v>
      </c>
      <c r="N1000" s="116">
        <v>41.125</v>
      </c>
      <c r="O1000" s="116">
        <v>40.299999999999997</v>
      </c>
      <c r="P1000" s="116">
        <v>40.6</v>
      </c>
      <c r="Q1000" s="116">
        <v>80.900000000000006</v>
      </c>
      <c r="R1000">
        <v>177716</v>
      </c>
    </row>
    <row r="1001" spans="1:18" x14ac:dyDescent="0.25">
      <c r="A1001" s="169">
        <v>43476</v>
      </c>
      <c r="B1001" s="116">
        <v>40.75</v>
      </c>
      <c r="C1001" s="116">
        <v>40.299999999999997</v>
      </c>
      <c r="D1001" s="116">
        <v>40.075000000000003</v>
      </c>
      <c r="E1001" s="116">
        <v>40.274999999999999</v>
      </c>
      <c r="F1001" s="116">
        <v>80.599999999999994</v>
      </c>
      <c r="G1001">
        <v>82174</v>
      </c>
      <c r="H1001" s="116"/>
      <c r="I1001" s="116"/>
      <c r="L1001" s="169">
        <v>43476</v>
      </c>
      <c r="M1001" s="116">
        <v>40.450000000000003</v>
      </c>
      <c r="N1001" s="116">
        <v>40.774999999999999</v>
      </c>
      <c r="O1001" s="116">
        <v>40.15</v>
      </c>
      <c r="P1001" s="116">
        <v>40.674999999999997</v>
      </c>
      <c r="Q1001" s="116">
        <v>80.900000000000006</v>
      </c>
      <c r="R1001">
        <v>251048</v>
      </c>
    </row>
    <row r="1002" spans="1:18" x14ac:dyDescent="0.25">
      <c r="A1002" s="169">
        <v>43479</v>
      </c>
      <c r="B1002" s="116">
        <v>40.700000000000003</v>
      </c>
      <c r="C1002" s="116">
        <v>40.024999999999999</v>
      </c>
      <c r="D1002" s="116">
        <v>39.700000000000003</v>
      </c>
      <c r="E1002" s="116">
        <v>40.15</v>
      </c>
      <c r="F1002" s="116">
        <v>80.05</v>
      </c>
      <c r="G1002">
        <v>36172</v>
      </c>
      <c r="H1002" s="116"/>
      <c r="I1002" s="116"/>
      <c r="L1002" s="169">
        <v>43479</v>
      </c>
      <c r="M1002" s="116">
        <v>39.825000000000003</v>
      </c>
      <c r="N1002" s="116">
        <v>40.575000000000003</v>
      </c>
      <c r="O1002" s="116">
        <v>39.625</v>
      </c>
      <c r="P1002" s="116">
        <v>40.575000000000003</v>
      </c>
      <c r="Q1002" s="116">
        <v>79.650000000000006</v>
      </c>
      <c r="R1002">
        <v>212543</v>
      </c>
    </row>
    <row r="1003" spans="1:18" x14ac:dyDescent="0.25">
      <c r="A1003" s="169">
        <v>43480</v>
      </c>
      <c r="B1003" s="116">
        <v>40.950000000000003</v>
      </c>
      <c r="C1003" s="116">
        <v>40.524999999999999</v>
      </c>
      <c r="D1003" s="116">
        <v>39.799999999999997</v>
      </c>
      <c r="E1003" s="116">
        <v>39.799999999999997</v>
      </c>
      <c r="F1003" s="116">
        <v>81.05</v>
      </c>
      <c r="G1003">
        <v>81979</v>
      </c>
      <c r="H1003" s="116"/>
      <c r="I1003" s="116"/>
      <c r="L1003" s="169">
        <v>43480</v>
      </c>
      <c r="M1003" s="116">
        <v>40.674999999999997</v>
      </c>
      <c r="N1003" s="116">
        <v>41.05</v>
      </c>
      <c r="O1003" s="116">
        <v>39.85</v>
      </c>
      <c r="P1003" s="116">
        <v>40.049999999999997</v>
      </c>
      <c r="Q1003" s="116">
        <v>81.349999999999994</v>
      </c>
      <c r="R1003">
        <v>568205</v>
      </c>
    </row>
    <row r="1004" spans="1:18" x14ac:dyDescent="0.25">
      <c r="A1004" s="169">
        <v>43481</v>
      </c>
      <c r="B1004" s="116">
        <v>41.25</v>
      </c>
      <c r="C1004" s="116">
        <v>40.424999999999997</v>
      </c>
      <c r="D1004" s="116">
        <v>40.200000000000003</v>
      </c>
      <c r="E1004" s="116">
        <v>40.625</v>
      </c>
      <c r="F1004" s="116">
        <v>80.849999999999994</v>
      </c>
      <c r="G1004">
        <v>24622</v>
      </c>
      <c r="H1004" s="116"/>
      <c r="I1004" s="116"/>
      <c r="L1004" s="169">
        <v>43481</v>
      </c>
      <c r="M1004" s="116">
        <v>40.299999999999997</v>
      </c>
      <c r="N1004" s="116">
        <v>41.274999999999999</v>
      </c>
      <c r="O1004" s="116">
        <v>40.125</v>
      </c>
      <c r="P1004" s="116">
        <v>40.774999999999999</v>
      </c>
      <c r="Q1004" s="116">
        <v>80.599999999999994</v>
      </c>
      <c r="R1004">
        <v>423906</v>
      </c>
    </row>
    <row r="1005" spans="1:18" x14ac:dyDescent="0.25">
      <c r="A1005" s="169">
        <v>43482</v>
      </c>
      <c r="B1005" s="116">
        <v>40.575000000000003</v>
      </c>
      <c r="C1005" s="116">
        <v>39.725000000000001</v>
      </c>
      <c r="D1005" s="116">
        <v>39.450000000000003</v>
      </c>
      <c r="E1005" s="116">
        <v>40.5</v>
      </c>
      <c r="F1005" s="116">
        <v>79.45</v>
      </c>
      <c r="G1005">
        <v>76485</v>
      </c>
      <c r="H1005" s="116"/>
      <c r="I1005" s="116"/>
      <c r="L1005" s="169">
        <v>43482</v>
      </c>
      <c r="M1005" s="116">
        <v>39.799999999999997</v>
      </c>
      <c r="N1005" s="116">
        <v>40.6</v>
      </c>
      <c r="O1005" s="116">
        <v>39.4</v>
      </c>
      <c r="P1005" s="116">
        <v>40.25</v>
      </c>
      <c r="Q1005" s="116">
        <v>79.599999999999994</v>
      </c>
      <c r="R1005">
        <v>318304</v>
      </c>
    </row>
    <row r="1006" spans="1:18" x14ac:dyDescent="0.25">
      <c r="A1006" s="169">
        <v>43483</v>
      </c>
      <c r="B1006" s="116">
        <v>40.125</v>
      </c>
      <c r="C1006" s="116">
        <v>39.450000000000003</v>
      </c>
      <c r="D1006" s="116">
        <v>39.35</v>
      </c>
      <c r="E1006" s="116">
        <v>40</v>
      </c>
      <c r="F1006" s="116">
        <v>78.900000000000006</v>
      </c>
      <c r="G1006">
        <v>26732</v>
      </c>
      <c r="H1006" s="116"/>
      <c r="I1006" s="116"/>
      <c r="L1006" s="169">
        <v>43483</v>
      </c>
      <c r="M1006" s="116">
        <v>39.4</v>
      </c>
      <c r="N1006" s="116">
        <v>40.1</v>
      </c>
      <c r="O1006" s="116">
        <v>39.274999999999999</v>
      </c>
      <c r="P1006" s="116">
        <v>40.049999999999997</v>
      </c>
      <c r="Q1006" s="116">
        <v>78.8</v>
      </c>
      <c r="R1006">
        <v>155350</v>
      </c>
    </row>
    <row r="1007" spans="1:18" x14ac:dyDescent="0.25">
      <c r="A1007" s="169">
        <v>43486</v>
      </c>
      <c r="B1007" s="116">
        <v>39.65</v>
      </c>
      <c r="C1007" s="116">
        <v>39.1</v>
      </c>
      <c r="D1007" s="116">
        <v>38.875</v>
      </c>
      <c r="E1007" s="116">
        <v>39.65</v>
      </c>
      <c r="F1007" s="116">
        <v>78.2</v>
      </c>
      <c r="G1007">
        <v>53831</v>
      </c>
      <c r="H1007" s="116"/>
      <c r="I1007" s="116"/>
      <c r="L1007" s="169">
        <v>43486</v>
      </c>
      <c r="M1007" s="116">
        <v>39.049999999999997</v>
      </c>
      <c r="N1007" s="116">
        <v>39.75</v>
      </c>
      <c r="O1007" s="116">
        <v>38.75</v>
      </c>
      <c r="P1007" s="116">
        <v>39.65</v>
      </c>
      <c r="Q1007" s="116">
        <v>78.099999999999994</v>
      </c>
      <c r="R1007">
        <v>194551</v>
      </c>
    </row>
    <row r="1008" spans="1:18" x14ac:dyDescent="0.25">
      <c r="A1008" s="169">
        <v>43487</v>
      </c>
      <c r="B1008" s="116">
        <v>38.924999999999997</v>
      </c>
      <c r="C1008" s="116">
        <v>38.5</v>
      </c>
      <c r="D1008" s="116">
        <v>37.825000000000003</v>
      </c>
      <c r="E1008" s="116">
        <v>38.799999999999997</v>
      </c>
      <c r="F1008" s="116">
        <v>77</v>
      </c>
      <c r="G1008">
        <v>46665</v>
      </c>
      <c r="H1008" s="116"/>
      <c r="I1008" s="116"/>
      <c r="L1008" s="169">
        <v>43487</v>
      </c>
      <c r="M1008" s="116">
        <v>38.475000000000001</v>
      </c>
      <c r="N1008" s="116">
        <v>39.075000000000003</v>
      </c>
      <c r="O1008" s="116">
        <v>37.799999999999997</v>
      </c>
      <c r="P1008" s="116">
        <v>39.049999999999997</v>
      </c>
      <c r="Q1008" s="116">
        <v>76.95</v>
      </c>
      <c r="R1008">
        <v>235927</v>
      </c>
    </row>
    <row r="1009" spans="1:18" x14ac:dyDescent="0.25">
      <c r="A1009" s="169">
        <v>43488</v>
      </c>
      <c r="B1009" s="116">
        <v>39.200000000000003</v>
      </c>
      <c r="C1009" s="116">
        <v>38.774999999999999</v>
      </c>
      <c r="D1009" s="116">
        <v>38.274999999999999</v>
      </c>
      <c r="E1009" s="116">
        <v>38.299999999999997</v>
      </c>
      <c r="F1009" s="116">
        <v>77.55</v>
      </c>
      <c r="G1009">
        <v>41308</v>
      </c>
      <c r="H1009" s="116"/>
      <c r="I1009" s="116"/>
      <c r="L1009" s="169">
        <v>43488</v>
      </c>
      <c r="M1009" s="116">
        <v>38.85</v>
      </c>
      <c r="N1009" s="116">
        <v>39.274999999999999</v>
      </c>
      <c r="O1009" s="116">
        <v>38.125</v>
      </c>
      <c r="P1009" s="116">
        <v>38.5</v>
      </c>
      <c r="Q1009" s="116">
        <v>77.7</v>
      </c>
      <c r="R1009">
        <v>198135</v>
      </c>
    </row>
    <row r="1010" spans="1:18" x14ac:dyDescent="0.25">
      <c r="A1010" s="169">
        <v>43489</v>
      </c>
      <c r="B1010" s="116">
        <v>38.6</v>
      </c>
      <c r="C1010" s="116">
        <v>38.274999999999999</v>
      </c>
      <c r="D1010" s="116">
        <v>37.975000000000001</v>
      </c>
      <c r="E1010" s="116">
        <v>38.549999999999997</v>
      </c>
      <c r="F1010" s="116">
        <v>76.55</v>
      </c>
      <c r="G1010">
        <v>53616</v>
      </c>
      <c r="H1010" s="116"/>
      <c r="I1010" s="116"/>
      <c r="L1010" s="169">
        <v>43489</v>
      </c>
      <c r="M1010" s="116">
        <v>38.200000000000003</v>
      </c>
      <c r="N1010" s="116">
        <v>38.950000000000003</v>
      </c>
      <c r="O1010" s="116">
        <v>37.625</v>
      </c>
      <c r="P1010" s="116">
        <v>38.950000000000003</v>
      </c>
      <c r="Q1010" s="116">
        <v>76.400000000000006</v>
      </c>
      <c r="R1010">
        <v>185047</v>
      </c>
    </row>
    <row r="1011" spans="1:18" x14ac:dyDescent="0.25">
      <c r="A1011" s="169">
        <v>43490</v>
      </c>
      <c r="B1011" s="116">
        <v>41.25</v>
      </c>
      <c r="C1011" s="116">
        <v>38.825000000000003</v>
      </c>
      <c r="D1011" s="116">
        <v>38.549999999999997</v>
      </c>
      <c r="E1011" s="116">
        <v>40.950000000000003</v>
      </c>
      <c r="F1011" s="116">
        <v>77.650000000000006</v>
      </c>
      <c r="G1011">
        <v>260390</v>
      </c>
      <c r="H1011" s="116"/>
      <c r="I1011" s="116"/>
      <c r="L1011" s="169">
        <v>43490</v>
      </c>
      <c r="M1011" s="116">
        <v>38.825000000000003</v>
      </c>
      <c r="N1011" s="116">
        <v>41.4</v>
      </c>
      <c r="O1011" s="116">
        <v>38.625</v>
      </c>
      <c r="P1011" s="116">
        <v>40.875</v>
      </c>
      <c r="Q1011" s="116">
        <v>77.650000000000006</v>
      </c>
      <c r="R1011">
        <v>1748200</v>
      </c>
    </row>
    <row r="1012" spans="1:18" x14ac:dyDescent="0.25">
      <c r="A1012" s="169">
        <v>43493</v>
      </c>
      <c r="B1012" s="116">
        <v>40.225000000000001</v>
      </c>
      <c r="C1012" s="116">
        <v>40.024999999999999</v>
      </c>
      <c r="D1012" s="116">
        <v>37.424999999999997</v>
      </c>
      <c r="E1012" s="116">
        <v>39.625</v>
      </c>
      <c r="F1012" s="116">
        <v>80.05</v>
      </c>
      <c r="G1012">
        <v>249954</v>
      </c>
      <c r="H1012" s="116"/>
      <c r="I1012" s="116"/>
      <c r="L1012" s="169">
        <v>43493</v>
      </c>
      <c r="M1012" s="116">
        <v>39.975000000000001</v>
      </c>
      <c r="N1012" s="116">
        <v>40.25</v>
      </c>
      <c r="O1012" s="116">
        <v>37.524999999999999</v>
      </c>
      <c r="P1012" s="116">
        <v>39</v>
      </c>
      <c r="Q1012" s="116">
        <v>79.95</v>
      </c>
      <c r="R1012">
        <v>809548</v>
      </c>
    </row>
    <row r="1013" spans="1:18" x14ac:dyDescent="0.25">
      <c r="A1013" s="169">
        <v>43494</v>
      </c>
      <c r="B1013" s="116">
        <v>41.85</v>
      </c>
      <c r="C1013" s="116">
        <v>41.15</v>
      </c>
      <c r="D1013" s="116">
        <v>39.799999999999997</v>
      </c>
      <c r="E1013" s="116">
        <v>39.799999999999997</v>
      </c>
      <c r="F1013" s="116">
        <v>82.3</v>
      </c>
      <c r="G1013">
        <v>167342</v>
      </c>
      <c r="H1013" s="116"/>
      <c r="I1013" s="116"/>
      <c r="L1013" s="169">
        <v>43494</v>
      </c>
      <c r="M1013" s="116">
        <v>41.2</v>
      </c>
      <c r="N1013" s="116">
        <v>41.924999999999997</v>
      </c>
      <c r="O1013" s="116">
        <v>39.75</v>
      </c>
      <c r="P1013" s="116">
        <v>39.75</v>
      </c>
      <c r="Q1013" s="116">
        <v>82.4</v>
      </c>
      <c r="R1013">
        <v>1101244</v>
      </c>
    </row>
    <row r="1014" spans="1:18" x14ac:dyDescent="0.25">
      <c r="A1014" s="169">
        <v>43495</v>
      </c>
      <c r="B1014" s="116">
        <v>41.3</v>
      </c>
      <c r="C1014" s="116">
        <v>41.1</v>
      </c>
      <c r="D1014" s="116">
        <v>41.024999999999999</v>
      </c>
      <c r="E1014" s="116">
        <v>41.25</v>
      </c>
      <c r="F1014" s="116">
        <v>82.2</v>
      </c>
      <c r="G1014">
        <v>34356</v>
      </c>
      <c r="H1014" s="116"/>
      <c r="I1014" s="116"/>
      <c r="L1014" s="169">
        <v>43495</v>
      </c>
      <c r="M1014" s="116">
        <v>41.174999999999997</v>
      </c>
      <c r="N1014" s="116">
        <v>41.575000000000003</v>
      </c>
      <c r="O1014" s="116">
        <v>41</v>
      </c>
      <c r="P1014" s="116">
        <v>41.3</v>
      </c>
      <c r="Q1014" s="116">
        <v>82.35</v>
      </c>
      <c r="R1014">
        <v>433493</v>
      </c>
    </row>
    <row r="1015" spans="1:18" x14ac:dyDescent="0.25">
      <c r="A1015" s="169">
        <v>43496</v>
      </c>
      <c r="B1015" s="116">
        <v>45.075000000000003</v>
      </c>
      <c r="C1015" s="116">
        <v>43.95</v>
      </c>
      <c r="D1015" s="116">
        <v>40.725000000000001</v>
      </c>
      <c r="E1015" s="116">
        <v>40.725000000000001</v>
      </c>
      <c r="F1015" s="116">
        <v>87.9</v>
      </c>
      <c r="G1015">
        <v>472023</v>
      </c>
      <c r="H1015" s="116"/>
      <c r="I1015" s="116"/>
      <c r="L1015" s="169">
        <v>43496</v>
      </c>
      <c r="M1015" s="116">
        <v>43.85</v>
      </c>
      <c r="N1015" s="116">
        <v>45.2</v>
      </c>
      <c r="O1015" s="116">
        <v>41.174999999999997</v>
      </c>
      <c r="P1015" s="116">
        <v>41.45</v>
      </c>
      <c r="Q1015" s="116">
        <v>87.7</v>
      </c>
      <c r="R1015">
        <v>3260688</v>
      </c>
    </row>
    <row r="1016" spans="1:18" x14ac:dyDescent="0.25">
      <c r="A1016" s="169">
        <v>43497</v>
      </c>
      <c r="B1016" s="116">
        <v>45</v>
      </c>
      <c r="C1016" s="116">
        <v>42.5</v>
      </c>
      <c r="D1016" s="116">
        <v>42.15</v>
      </c>
      <c r="E1016" s="116">
        <v>44.7</v>
      </c>
      <c r="F1016" s="116">
        <v>85</v>
      </c>
      <c r="G1016">
        <v>221538</v>
      </c>
      <c r="H1016" s="116"/>
      <c r="I1016" s="116"/>
      <c r="L1016" s="169">
        <v>43497</v>
      </c>
      <c r="M1016" s="116">
        <v>42.424999999999997</v>
      </c>
      <c r="N1016" s="116">
        <v>44.95</v>
      </c>
      <c r="O1016" s="116">
        <v>42.075000000000003</v>
      </c>
      <c r="P1016" s="116">
        <v>44.6</v>
      </c>
      <c r="Q1016" s="116">
        <v>84.85</v>
      </c>
      <c r="R1016">
        <v>1207693</v>
      </c>
    </row>
    <row r="1017" spans="1:18" x14ac:dyDescent="0.25">
      <c r="A1017" s="169">
        <v>43500</v>
      </c>
      <c r="B1017" s="116">
        <v>42.625</v>
      </c>
      <c r="C1017" s="116">
        <v>41.075000000000003</v>
      </c>
      <c r="D1017" s="116">
        <v>40.774999999999999</v>
      </c>
      <c r="E1017" s="116">
        <v>42.424999999999997</v>
      </c>
      <c r="F1017" s="116">
        <v>82.15</v>
      </c>
      <c r="G1017">
        <v>83899</v>
      </c>
      <c r="H1017" s="116"/>
      <c r="I1017" s="116"/>
      <c r="L1017" s="169">
        <v>43500</v>
      </c>
      <c r="M1017" s="116">
        <v>41.024999999999999</v>
      </c>
      <c r="N1017" s="116">
        <v>42.674999999999997</v>
      </c>
      <c r="O1017" s="116">
        <v>40.674999999999997</v>
      </c>
      <c r="P1017" s="116">
        <v>42.225000000000001</v>
      </c>
      <c r="Q1017" s="116">
        <v>82.05</v>
      </c>
      <c r="R1017">
        <v>384424</v>
      </c>
    </row>
    <row r="1018" spans="1:18" x14ac:dyDescent="0.25">
      <c r="A1018" s="169">
        <v>43501</v>
      </c>
      <c r="B1018" s="116">
        <v>41.7</v>
      </c>
      <c r="C1018" s="116">
        <v>40.35</v>
      </c>
      <c r="D1018" s="116">
        <v>40.15</v>
      </c>
      <c r="E1018" s="116">
        <v>41.024999999999999</v>
      </c>
      <c r="F1018" s="116">
        <v>80.7</v>
      </c>
      <c r="G1018">
        <v>57450</v>
      </c>
      <c r="H1018" s="116"/>
      <c r="I1018" s="116"/>
      <c r="L1018" s="169">
        <v>43501</v>
      </c>
      <c r="M1018" s="116">
        <v>40.4</v>
      </c>
      <c r="N1018" s="116">
        <v>41.725000000000001</v>
      </c>
      <c r="O1018" s="116">
        <v>40.125</v>
      </c>
      <c r="P1018" s="116">
        <v>40.85</v>
      </c>
      <c r="Q1018" s="116">
        <v>80.8</v>
      </c>
      <c r="R1018">
        <v>322767</v>
      </c>
    </row>
    <row r="1019" spans="1:18" x14ac:dyDescent="0.25">
      <c r="A1019" s="169">
        <v>43502</v>
      </c>
      <c r="B1019" s="116">
        <v>40.625</v>
      </c>
      <c r="C1019" s="116">
        <v>39.825000000000003</v>
      </c>
      <c r="D1019" s="116">
        <v>39.625</v>
      </c>
      <c r="E1019" s="116">
        <v>40.5</v>
      </c>
      <c r="F1019" s="116">
        <v>79.650000000000006</v>
      </c>
      <c r="G1019">
        <v>44605</v>
      </c>
      <c r="H1019" s="116"/>
      <c r="I1019" s="116"/>
      <c r="L1019" s="169">
        <v>43502</v>
      </c>
      <c r="M1019" s="116">
        <v>39.725000000000001</v>
      </c>
      <c r="N1019" s="116">
        <v>40.75</v>
      </c>
      <c r="O1019" s="116">
        <v>39.549999999999997</v>
      </c>
      <c r="P1019" s="116">
        <v>40.575000000000003</v>
      </c>
      <c r="Q1019" s="116">
        <v>79.45</v>
      </c>
      <c r="R1019">
        <v>387520</v>
      </c>
    </row>
    <row r="1020" spans="1:18" x14ac:dyDescent="0.25">
      <c r="A1020" s="169">
        <v>43503</v>
      </c>
      <c r="B1020" s="116">
        <v>41.15</v>
      </c>
      <c r="C1020" s="116">
        <v>40.799999999999997</v>
      </c>
      <c r="D1020" s="116">
        <v>39.85</v>
      </c>
      <c r="E1020" s="116">
        <v>39.85</v>
      </c>
      <c r="F1020" s="116">
        <v>81.599999999999994</v>
      </c>
      <c r="G1020">
        <v>107512</v>
      </c>
      <c r="H1020" s="116"/>
      <c r="I1020" s="116"/>
      <c r="L1020" s="169">
        <v>43503</v>
      </c>
      <c r="M1020" s="116">
        <v>40.700000000000003</v>
      </c>
      <c r="N1020" s="116">
        <v>41.225000000000001</v>
      </c>
      <c r="O1020" s="116">
        <v>39.65</v>
      </c>
      <c r="P1020" s="116">
        <v>39.799999999999997</v>
      </c>
      <c r="Q1020" s="116">
        <v>81.400000000000006</v>
      </c>
      <c r="R1020">
        <v>343162</v>
      </c>
    </row>
    <row r="1021" spans="1:18" x14ac:dyDescent="0.25">
      <c r="A1021" s="169">
        <v>43504</v>
      </c>
      <c r="B1021" s="116">
        <v>40.674999999999997</v>
      </c>
      <c r="C1021" s="116">
        <v>40.024999999999999</v>
      </c>
      <c r="D1021" s="116">
        <v>39.85</v>
      </c>
      <c r="E1021" s="116">
        <v>40.549999999999997</v>
      </c>
      <c r="F1021" s="116">
        <v>80.05</v>
      </c>
      <c r="G1021">
        <v>78829</v>
      </c>
      <c r="H1021" s="116"/>
      <c r="I1021" s="116"/>
      <c r="L1021" s="169">
        <v>43504</v>
      </c>
      <c r="M1021" s="116">
        <v>39.975000000000001</v>
      </c>
      <c r="N1021" s="116">
        <v>40.674999999999997</v>
      </c>
      <c r="O1021" s="116">
        <v>39.85</v>
      </c>
      <c r="P1021" s="116">
        <v>40.5</v>
      </c>
      <c r="Q1021" s="116">
        <v>79.95</v>
      </c>
      <c r="R1021">
        <v>265715</v>
      </c>
    </row>
    <row r="1022" spans="1:18" x14ac:dyDescent="0.25">
      <c r="A1022" s="169">
        <v>43507</v>
      </c>
      <c r="B1022" s="116">
        <v>40.024999999999999</v>
      </c>
      <c r="C1022" s="116">
        <v>39</v>
      </c>
      <c r="D1022" s="116">
        <v>38.75</v>
      </c>
      <c r="E1022" s="116">
        <v>40.024999999999999</v>
      </c>
      <c r="F1022" s="116">
        <v>78</v>
      </c>
      <c r="G1022">
        <v>37795</v>
      </c>
      <c r="H1022" s="116"/>
      <c r="I1022" s="116"/>
      <c r="L1022" s="169">
        <v>43507</v>
      </c>
      <c r="M1022" s="116">
        <v>39.024999999999999</v>
      </c>
      <c r="N1022" s="116">
        <v>39.975000000000001</v>
      </c>
      <c r="O1022" s="116">
        <v>38.924999999999997</v>
      </c>
      <c r="P1022" s="116">
        <v>39.75</v>
      </c>
      <c r="Q1022" s="116">
        <v>78.05</v>
      </c>
      <c r="R1022">
        <v>203472</v>
      </c>
    </row>
    <row r="1023" spans="1:18" x14ac:dyDescent="0.25">
      <c r="A1023" s="169">
        <v>43508</v>
      </c>
      <c r="B1023" s="116">
        <v>39.9</v>
      </c>
      <c r="C1023" s="116">
        <v>38.799999999999997</v>
      </c>
      <c r="D1023" s="116">
        <v>38.625</v>
      </c>
      <c r="E1023" s="116">
        <v>39.25</v>
      </c>
      <c r="F1023" s="116">
        <v>77.599999999999994</v>
      </c>
      <c r="G1023">
        <v>59396</v>
      </c>
      <c r="H1023" s="116"/>
      <c r="I1023" s="116"/>
      <c r="L1023" s="169">
        <v>43508</v>
      </c>
      <c r="M1023" s="116">
        <v>38.875</v>
      </c>
      <c r="N1023" s="116">
        <v>39.924999999999997</v>
      </c>
      <c r="O1023" s="116">
        <v>38.65</v>
      </c>
      <c r="P1023" s="116">
        <v>39.075000000000003</v>
      </c>
      <c r="Q1023" s="116">
        <v>77.75</v>
      </c>
      <c r="R1023">
        <v>536606</v>
      </c>
    </row>
    <row r="1024" spans="1:18" x14ac:dyDescent="0.25">
      <c r="A1024" s="169">
        <v>43509</v>
      </c>
      <c r="B1024" s="116">
        <v>40.125</v>
      </c>
      <c r="C1024" s="116">
        <v>38.5</v>
      </c>
      <c r="D1024" s="116">
        <v>38.375</v>
      </c>
      <c r="E1024" s="116">
        <v>39.674999999999997</v>
      </c>
      <c r="F1024" s="116">
        <v>77</v>
      </c>
      <c r="G1024">
        <v>60586</v>
      </c>
      <c r="H1024" s="116"/>
      <c r="I1024" s="116"/>
      <c r="L1024" s="169">
        <v>43509</v>
      </c>
      <c r="M1024" s="116">
        <v>38.375</v>
      </c>
      <c r="N1024" s="116">
        <v>40.174999999999997</v>
      </c>
      <c r="O1024" s="116">
        <v>38.25</v>
      </c>
      <c r="P1024" s="116">
        <v>39.15</v>
      </c>
      <c r="Q1024" s="116">
        <v>76.75</v>
      </c>
      <c r="R1024">
        <v>589915</v>
      </c>
    </row>
    <row r="1025" spans="1:18" x14ac:dyDescent="0.25">
      <c r="A1025" s="169">
        <v>43510</v>
      </c>
      <c r="B1025" s="116">
        <v>39</v>
      </c>
      <c r="C1025" s="116">
        <v>38.424999999999997</v>
      </c>
      <c r="D1025" s="116">
        <v>38.25</v>
      </c>
      <c r="E1025" s="116">
        <v>38.65</v>
      </c>
      <c r="F1025" s="116">
        <v>76.849999999999994</v>
      </c>
      <c r="G1025">
        <v>59596</v>
      </c>
      <c r="H1025" s="116"/>
      <c r="I1025" s="116"/>
      <c r="L1025" s="169">
        <v>43510</v>
      </c>
      <c r="M1025" s="116">
        <v>38.475000000000001</v>
      </c>
      <c r="N1025" s="116">
        <v>39.1</v>
      </c>
      <c r="O1025" s="116">
        <v>38.200000000000003</v>
      </c>
      <c r="P1025" s="116">
        <v>38.25</v>
      </c>
      <c r="Q1025" s="116">
        <v>76.95</v>
      </c>
      <c r="R1025">
        <v>270980</v>
      </c>
    </row>
    <row r="1026" spans="1:18" x14ac:dyDescent="0.25">
      <c r="A1026" s="169">
        <v>43511</v>
      </c>
      <c r="B1026" s="116">
        <v>38.75</v>
      </c>
      <c r="C1026" s="116">
        <v>38.125</v>
      </c>
      <c r="D1026" s="116">
        <v>37.825000000000003</v>
      </c>
      <c r="E1026" s="116">
        <v>38.5</v>
      </c>
      <c r="F1026" s="116">
        <v>76.25</v>
      </c>
      <c r="G1026">
        <v>27908</v>
      </c>
      <c r="H1026" s="116"/>
      <c r="I1026" s="116"/>
      <c r="L1026" s="169">
        <v>43511</v>
      </c>
      <c r="M1026" s="116">
        <v>38.200000000000003</v>
      </c>
      <c r="N1026" s="116">
        <v>38.85</v>
      </c>
      <c r="O1026" s="116">
        <v>37.75</v>
      </c>
      <c r="P1026" s="116">
        <v>38.450000000000003</v>
      </c>
      <c r="Q1026" s="116">
        <v>76.400000000000006</v>
      </c>
      <c r="R1026">
        <v>263338</v>
      </c>
    </row>
    <row r="1027" spans="1:18" x14ac:dyDescent="0.25">
      <c r="A1027" s="169">
        <v>43514</v>
      </c>
      <c r="B1027" s="116">
        <v>38.549999999999997</v>
      </c>
      <c r="C1027" s="116">
        <v>37.274999999999999</v>
      </c>
      <c r="D1027" s="116">
        <v>37.049999999999997</v>
      </c>
      <c r="E1027" s="116">
        <v>38.325000000000003</v>
      </c>
      <c r="F1027" s="116">
        <v>74.55</v>
      </c>
      <c r="G1027">
        <v>43345</v>
      </c>
      <c r="H1027" s="116"/>
      <c r="I1027" s="116"/>
      <c r="L1027" s="169">
        <v>43514</v>
      </c>
      <c r="M1027" s="116">
        <v>37.375</v>
      </c>
      <c r="N1027" s="116">
        <v>38.575000000000003</v>
      </c>
      <c r="O1027" s="116">
        <v>37.049999999999997</v>
      </c>
      <c r="P1027" s="116">
        <v>38.524999999999999</v>
      </c>
      <c r="Q1027" s="116">
        <v>74.75</v>
      </c>
      <c r="R1027">
        <v>263071</v>
      </c>
    </row>
    <row r="1028" spans="1:18" x14ac:dyDescent="0.25">
      <c r="A1028" s="169">
        <v>43515</v>
      </c>
      <c r="B1028" s="116">
        <v>38.774999999999999</v>
      </c>
      <c r="C1028" s="116">
        <v>37.924999999999997</v>
      </c>
      <c r="D1028" s="116">
        <v>37.625</v>
      </c>
      <c r="E1028" s="116">
        <v>37.700000000000003</v>
      </c>
      <c r="F1028" s="116">
        <v>75.849999999999994</v>
      </c>
      <c r="G1028">
        <v>37391</v>
      </c>
      <c r="H1028" s="116"/>
      <c r="I1028" s="116"/>
      <c r="L1028" s="169">
        <v>43515</v>
      </c>
      <c r="M1028" s="116">
        <v>37.924999999999997</v>
      </c>
      <c r="N1028" s="116">
        <v>38.825000000000003</v>
      </c>
      <c r="O1028" s="116">
        <v>37.575000000000003</v>
      </c>
      <c r="P1028" s="116">
        <v>37.6</v>
      </c>
      <c r="Q1028" s="116">
        <v>75.849999999999994</v>
      </c>
      <c r="R1028">
        <v>379432</v>
      </c>
    </row>
    <row r="1029" spans="1:18" x14ac:dyDescent="0.25">
      <c r="A1029" s="169">
        <v>43516</v>
      </c>
      <c r="B1029" s="116">
        <v>39.975000000000001</v>
      </c>
      <c r="C1029" s="116">
        <v>39.524999999999999</v>
      </c>
      <c r="D1029" s="116">
        <v>38.65</v>
      </c>
      <c r="E1029" s="116">
        <v>39.200000000000003</v>
      </c>
      <c r="F1029" s="116">
        <v>79.05</v>
      </c>
      <c r="G1029">
        <v>127044</v>
      </c>
      <c r="H1029" s="116"/>
      <c r="I1029" s="116"/>
      <c r="L1029" s="169">
        <v>43516</v>
      </c>
      <c r="M1029" s="116">
        <v>39.700000000000003</v>
      </c>
      <c r="N1029" s="116">
        <v>40.1</v>
      </c>
      <c r="O1029" s="116">
        <v>38.549999999999997</v>
      </c>
      <c r="P1029" s="116">
        <v>39.1</v>
      </c>
      <c r="Q1029" s="116">
        <v>79.400000000000006</v>
      </c>
      <c r="R1029">
        <v>1215171</v>
      </c>
    </row>
    <row r="1030" spans="1:18" x14ac:dyDescent="0.25">
      <c r="A1030" s="169">
        <v>43517</v>
      </c>
      <c r="B1030" s="116">
        <v>40.75</v>
      </c>
      <c r="C1030" s="116">
        <v>40.274999999999999</v>
      </c>
      <c r="D1030" s="116">
        <v>39.4</v>
      </c>
      <c r="E1030" s="116">
        <v>40.125</v>
      </c>
      <c r="F1030" s="116">
        <v>80.55</v>
      </c>
      <c r="G1030">
        <v>105282</v>
      </c>
      <c r="H1030" s="116"/>
      <c r="I1030" s="116"/>
      <c r="L1030" s="169">
        <v>43517</v>
      </c>
      <c r="M1030" s="116">
        <v>40.325000000000003</v>
      </c>
      <c r="N1030" s="116">
        <v>40.674999999999997</v>
      </c>
      <c r="O1030" s="116">
        <v>39.274999999999999</v>
      </c>
      <c r="P1030" s="116">
        <v>40.075000000000003</v>
      </c>
      <c r="Q1030" s="116">
        <v>80.650000000000006</v>
      </c>
      <c r="R1030">
        <v>979607</v>
      </c>
    </row>
    <row r="1031" spans="1:18" x14ac:dyDescent="0.25">
      <c r="A1031" s="169">
        <v>43518</v>
      </c>
      <c r="B1031" s="116">
        <v>41.174999999999997</v>
      </c>
      <c r="C1031" s="116">
        <v>40.725000000000001</v>
      </c>
      <c r="D1031" s="116">
        <v>40.075000000000003</v>
      </c>
      <c r="E1031" s="116">
        <v>40.1</v>
      </c>
      <c r="F1031" s="116">
        <v>81.45</v>
      </c>
      <c r="G1031">
        <v>64567</v>
      </c>
      <c r="H1031" s="116"/>
      <c r="I1031" s="116"/>
      <c r="L1031" s="169">
        <v>43518</v>
      </c>
      <c r="M1031" s="116">
        <v>40.774999999999999</v>
      </c>
      <c r="N1031" s="116">
        <v>41.2</v>
      </c>
      <c r="O1031" s="116">
        <v>40.1</v>
      </c>
      <c r="P1031" s="116">
        <v>40.1</v>
      </c>
      <c r="Q1031" s="116">
        <v>81.55</v>
      </c>
      <c r="R1031">
        <v>721407</v>
      </c>
    </row>
    <row r="1032" spans="1:18" x14ac:dyDescent="0.25">
      <c r="A1032" s="169">
        <v>43521</v>
      </c>
      <c r="B1032" s="116">
        <v>41.924999999999997</v>
      </c>
      <c r="C1032" s="116">
        <v>41.15</v>
      </c>
      <c r="D1032" s="116">
        <v>40</v>
      </c>
      <c r="E1032" s="116">
        <v>40.825000000000003</v>
      </c>
      <c r="F1032" s="116">
        <v>82.3</v>
      </c>
      <c r="G1032">
        <v>86712</v>
      </c>
      <c r="H1032" s="116"/>
      <c r="I1032" s="116"/>
      <c r="L1032" s="169">
        <v>43521</v>
      </c>
      <c r="M1032" s="116">
        <v>41.424999999999997</v>
      </c>
      <c r="N1032" s="116">
        <v>42.15</v>
      </c>
      <c r="O1032" s="116">
        <v>40</v>
      </c>
      <c r="P1032" s="116">
        <v>40.625</v>
      </c>
      <c r="Q1032" s="116">
        <v>82.85</v>
      </c>
      <c r="R1032">
        <v>589081</v>
      </c>
    </row>
    <row r="1033" spans="1:18" x14ac:dyDescent="0.25">
      <c r="A1033" s="169">
        <v>43522</v>
      </c>
      <c r="B1033" s="116">
        <v>41.725000000000001</v>
      </c>
      <c r="C1033" s="116">
        <v>40.950000000000003</v>
      </c>
      <c r="D1033" s="116">
        <v>40.1</v>
      </c>
      <c r="E1033" s="116">
        <v>41</v>
      </c>
      <c r="F1033" s="116">
        <v>81.900000000000006</v>
      </c>
      <c r="G1033">
        <v>76698</v>
      </c>
      <c r="H1033" s="116"/>
      <c r="I1033" s="116"/>
      <c r="L1033" s="169">
        <v>43522</v>
      </c>
      <c r="M1033" s="116">
        <v>40.825000000000003</v>
      </c>
      <c r="N1033" s="116">
        <v>41.75</v>
      </c>
      <c r="O1033" s="116">
        <v>40.125</v>
      </c>
      <c r="P1033" s="116">
        <v>40.950000000000003</v>
      </c>
      <c r="Q1033" s="116">
        <v>81.650000000000006</v>
      </c>
      <c r="R1033">
        <v>517134</v>
      </c>
    </row>
    <row r="1034" spans="1:18" x14ac:dyDescent="0.25">
      <c r="A1034" s="169">
        <v>43523</v>
      </c>
      <c r="B1034" s="116">
        <v>42.75</v>
      </c>
      <c r="C1034" s="116">
        <v>40.6</v>
      </c>
      <c r="D1034" s="116">
        <v>40.4</v>
      </c>
      <c r="E1034" s="116">
        <v>41.274999999999999</v>
      </c>
      <c r="F1034" s="116">
        <v>81.2</v>
      </c>
      <c r="G1034">
        <v>124768</v>
      </c>
      <c r="H1034" s="116"/>
      <c r="I1034" s="116"/>
      <c r="L1034" s="169">
        <v>43523</v>
      </c>
      <c r="M1034" s="116">
        <v>40.475000000000001</v>
      </c>
      <c r="N1034" s="116">
        <v>42.7</v>
      </c>
      <c r="O1034" s="116">
        <v>40.125</v>
      </c>
      <c r="P1034" s="116">
        <v>41.25</v>
      </c>
      <c r="Q1034" s="116">
        <v>80.95</v>
      </c>
      <c r="R1034">
        <v>1387649</v>
      </c>
    </row>
    <row r="1035" spans="1:18" x14ac:dyDescent="0.25">
      <c r="A1035" s="169">
        <v>43524</v>
      </c>
      <c r="B1035" s="116">
        <v>41.225000000000001</v>
      </c>
      <c r="C1035" s="116">
        <v>40.700000000000003</v>
      </c>
      <c r="D1035" s="116">
        <v>40.524999999999999</v>
      </c>
      <c r="E1035" s="116">
        <v>40.85</v>
      </c>
      <c r="F1035" s="116">
        <v>81.400000000000006</v>
      </c>
      <c r="G1035">
        <v>44797</v>
      </c>
      <c r="H1035" s="116"/>
      <c r="I1035" s="116"/>
      <c r="L1035" s="169">
        <v>43524</v>
      </c>
      <c r="M1035" s="116">
        <v>40.700000000000003</v>
      </c>
      <c r="N1035" s="116">
        <v>41.1</v>
      </c>
      <c r="O1035" s="116">
        <v>40.5</v>
      </c>
      <c r="P1035" s="116">
        <v>40.5</v>
      </c>
      <c r="Q1035" s="116">
        <v>81.400000000000006</v>
      </c>
      <c r="R1035">
        <v>278992</v>
      </c>
    </row>
    <row r="1036" spans="1:18" x14ac:dyDescent="0.25">
      <c r="A1036" s="169">
        <v>43525</v>
      </c>
      <c r="B1036" s="116">
        <v>43.15</v>
      </c>
      <c r="C1036" s="116">
        <v>42.95</v>
      </c>
      <c r="D1036" s="116">
        <v>41.174999999999997</v>
      </c>
      <c r="E1036" s="116">
        <v>41.35</v>
      </c>
      <c r="F1036" s="116">
        <v>85.9</v>
      </c>
      <c r="G1036">
        <v>119255</v>
      </c>
      <c r="H1036" s="116"/>
      <c r="I1036" s="116"/>
      <c r="L1036" s="169">
        <v>43525</v>
      </c>
      <c r="M1036" s="116">
        <v>42.9</v>
      </c>
      <c r="N1036" s="116">
        <v>43.1</v>
      </c>
      <c r="O1036" s="116">
        <v>40.975000000000001</v>
      </c>
      <c r="P1036" s="116">
        <v>40.975000000000001</v>
      </c>
      <c r="Q1036" s="116">
        <v>85.8</v>
      </c>
      <c r="R1036">
        <v>1147627</v>
      </c>
    </row>
    <row r="1037" spans="1:18" x14ac:dyDescent="0.25">
      <c r="A1037" s="169">
        <v>43529</v>
      </c>
      <c r="B1037" s="116">
        <v>45.674999999999997</v>
      </c>
      <c r="C1037" s="116">
        <v>45.475000000000001</v>
      </c>
      <c r="D1037" s="116">
        <v>43</v>
      </c>
      <c r="E1037" s="116">
        <v>43</v>
      </c>
      <c r="F1037" s="116">
        <v>90.95</v>
      </c>
      <c r="G1037">
        <v>213460</v>
      </c>
      <c r="H1037" s="116"/>
      <c r="I1037" s="116"/>
      <c r="L1037" s="169">
        <v>43529</v>
      </c>
      <c r="M1037" s="116">
        <v>45.575000000000003</v>
      </c>
      <c r="N1037" s="116">
        <v>45.8</v>
      </c>
      <c r="O1037" s="116">
        <v>42.774999999999999</v>
      </c>
      <c r="P1037" s="116">
        <v>43.15</v>
      </c>
      <c r="Q1037" s="116">
        <v>91.15</v>
      </c>
      <c r="R1037">
        <v>1739130</v>
      </c>
    </row>
    <row r="1038" spans="1:18" x14ac:dyDescent="0.25">
      <c r="A1038" s="169">
        <v>43530</v>
      </c>
      <c r="B1038" s="116">
        <v>48.625</v>
      </c>
      <c r="C1038" s="116">
        <v>47.524999999999999</v>
      </c>
      <c r="D1038" s="116">
        <v>45.024999999999999</v>
      </c>
      <c r="E1038" s="116">
        <v>45.8</v>
      </c>
      <c r="F1038" s="116">
        <v>95.05</v>
      </c>
      <c r="G1038">
        <v>253065</v>
      </c>
      <c r="H1038" s="116"/>
      <c r="I1038" s="116"/>
      <c r="L1038" s="169">
        <v>43530</v>
      </c>
      <c r="M1038" s="116">
        <v>47.575000000000003</v>
      </c>
      <c r="N1038" s="116">
        <v>48.6</v>
      </c>
      <c r="O1038" s="116">
        <v>44.95</v>
      </c>
      <c r="P1038" s="116">
        <v>45.8</v>
      </c>
      <c r="Q1038" s="116">
        <v>95.15</v>
      </c>
      <c r="R1038">
        <v>2120341</v>
      </c>
    </row>
    <row r="1039" spans="1:18" x14ac:dyDescent="0.25">
      <c r="A1039" s="169">
        <v>43531</v>
      </c>
      <c r="B1039" s="116">
        <v>48.05</v>
      </c>
      <c r="C1039" s="116">
        <v>46.55</v>
      </c>
      <c r="D1039" s="116">
        <v>46.25</v>
      </c>
      <c r="E1039" s="116">
        <v>47.274999999999999</v>
      </c>
      <c r="F1039" s="116">
        <v>93.1</v>
      </c>
      <c r="G1039">
        <v>84198</v>
      </c>
      <c r="H1039" s="116"/>
      <c r="I1039" s="116"/>
      <c r="L1039" s="169">
        <v>43531</v>
      </c>
      <c r="M1039" s="116">
        <v>46.625</v>
      </c>
      <c r="N1039" s="116">
        <v>48.05</v>
      </c>
      <c r="O1039" s="116">
        <v>46.3</v>
      </c>
      <c r="P1039" s="116">
        <v>47.5</v>
      </c>
      <c r="Q1039" s="116">
        <v>93.25</v>
      </c>
      <c r="R1039">
        <v>809544</v>
      </c>
    </row>
    <row r="1040" spans="1:18" x14ac:dyDescent="0.25">
      <c r="A1040" s="169">
        <v>43532</v>
      </c>
      <c r="B1040" s="116">
        <v>46.975000000000001</v>
      </c>
      <c r="C1040" s="116">
        <v>45.5</v>
      </c>
      <c r="D1040" s="116">
        <v>45.35</v>
      </c>
      <c r="E1040" s="116">
        <v>46.45</v>
      </c>
      <c r="F1040" s="116">
        <v>91</v>
      </c>
      <c r="G1040">
        <v>53444</v>
      </c>
      <c r="H1040" s="116"/>
      <c r="I1040" s="116"/>
      <c r="L1040" s="169">
        <v>43532</v>
      </c>
      <c r="M1040" s="116">
        <v>45.524999999999999</v>
      </c>
      <c r="N1040" s="116">
        <v>46.975000000000001</v>
      </c>
      <c r="O1040" s="116">
        <v>45.3</v>
      </c>
      <c r="P1040" s="116">
        <v>46.5</v>
      </c>
      <c r="Q1040" s="116">
        <v>91.05</v>
      </c>
      <c r="R1040">
        <v>469890</v>
      </c>
    </row>
    <row r="1041" spans="1:18" x14ac:dyDescent="0.25">
      <c r="A1041" s="169">
        <v>43535</v>
      </c>
      <c r="B1041" s="116">
        <v>47.3</v>
      </c>
      <c r="C1041" s="116">
        <v>46.2</v>
      </c>
      <c r="D1041" s="116">
        <v>45.5</v>
      </c>
      <c r="E1041" s="116">
        <v>45.5</v>
      </c>
      <c r="F1041" s="116">
        <v>92.4</v>
      </c>
      <c r="G1041">
        <v>65412</v>
      </c>
      <c r="H1041" s="116"/>
      <c r="I1041" s="116"/>
      <c r="L1041" s="169">
        <v>43535</v>
      </c>
      <c r="M1041" s="116">
        <v>46.35</v>
      </c>
      <c r="N1041" s="116">
        <v>47.375</v>
      </c>
      <c r="O1041" s="116">
        <v>45.55</v>
      </c>
      <c r="P1041" s="116">
        <v>45.9</v>
      </c>
      <c r="Q1041" s="116">
        <v>92.7</v>
      </c>
      <c r="R1041">
        <v>620543</v>
      </c>
    </row>
    <row r="1042" spans="1:18" x14ac:dyDescent="0.25">
      <c r="A1042" s="169">
        <v>43536</v>
      </c>
      <c r="B1042" s="116">
        <v>47.85</v>
      </c>
      <c r="C1042" s="116">
        <v>46.975000000000001</v>
      </c>
      <c r="D1042" s="116">
        <v>46.7</v>
      </c>
      <c r="E1042" s="116">
        <v>46.9</v>
      </c>
      <c r="F1042" s="116">
        <v>93.95</v>
      </c>
      <c r="G1042">
        <v>80069</v>
      </c>
      <c r="H1042" s="116"/>
      <c r="I1042" s="116"/>
      <c r="L1042" s="169">
        <v>43536</v>
      </c>
      <c r="M1042" s="116">
        <v>47.024999999999999</v>
      </c>
      <c r="N1042" s="116">
        <v>47.924999999999997</v>
      </c>
      <c r="O1042" s="116">
        <v>46.674999999999997</v>
      </c>
      <c r="P1042" s="116">
        <v>46.674999999999997</v>
      </c>
      <c r="Q1042" s="116">
        <v>94.05</v>
      </c>
      <c r="R1042">
        <v>713274</v>
      </c>
    </row>
    <row r="1043" spans="1:18" x14ac:dyDescent="0.25">
      <c r="A1043" s="169">
        <v>43537</v>
      </c>
      <c r="B1043" s="116">
        <v>48</v>
      </c>
      <c r="C1043" s="116">
        <v>46.674999999999997</v>
      </c>
      <c r="D1043" s="116">
        <v>46.524999999999999</v>
      </c>
      <c r="E1043" s="116">
        <v>46.75</v>
      </c>
      <c r="F1043" s="116">
        <v>93.35</v>
      </c>
      <c r="G1043">
        <v>240002</v>
      </c>
      <c r="H1043" s="116"/>
      <c r="I1043" s="116"/>
      <c r="L1043" s="169">
        <v>43537</v>
      </c>
      <c r="M1043" s="116">
        <v>46.7</v>
      </c>
      <c r="N1043" s="116">
        <v>48</v>
      </c>
      <c r="O1043" s="116">
        <v>46.524999999999999</v>
      </c>
      <c r="P1043" s="116">
        <v>47.225000000000001</v>
      </c>
      <c r="Q1043" s="116">
        <v>93.4</v>
      </c>
      <c r="R1043">
        <v>629830</v>
      </c>
    </row>
    <row r="1044" spans="1:18" x14ac:dyDescent="0.25">
      <c r="A1044" s="169">
        <v>43538</v>
      </c>
      <c r="B1044" s="116">
        <v>47.674999999999997</v>
      </c>
      <c r="C1044" s="116">
        <v>46.774999999999999</v>
      </c>
      <c r="D1044" s="116">
        <v>46.3</v>
      </c>
      <c r="E1044" s="116">
        <v>46.55</v>
      </c>
      <c r="F1044" s="116">
        <v>93.55</v>
      </c>
      <c r="G1044">
        <v>70961</v>
      </c>
      <c r="H1044" s="116"/>
      <c r="I1044" s="116"/>
      <c r="L1044" s="169">
        <v>43538</v>
      </c>
      <c r="M1044" s="116">
        <v>46.95</v>
      </c>
      <c r="N1044" s="116">
        <v>47.7</v>
      </c>
      <c r="O1044" s="116">
        <v>46.325000000000003</v>
      </c>
      <c r="P1044" s="116">
        <v>46.8</v>
      </c>
      <c r="Q1044" s="116">
        <v>93.9</v>
      </c>
      <c r="R1044">
        <v>704022</v>
      </c>
    </row>
    <row r="1045" spans="1:18" x14ac:dyDescent="0.25">
      <c r="A1045" s="169">
        <v>43539</v>
      </c>
      <c r="B1045" s="116">
        <v>48</v>
      </c>
      <c r="C1045" s="116">
        <v>45.024999999999999</v>
      </c>
      <c r="D1045" s="116">
        <v>44.274999999999999</v>
      </c>
      <c r="E1045" s="116">
        <v>47.375</v>
      </c>
      <c r="F1045" s="116">
        <v>90.05</v>
      </c>
      <c r="G1045">
        <v>145941</v>
      </c>
      <c r="H1045" s="116"/>
      <c r="I1045" s="116"/>
      <c r="L1045" s="169">
        <v>43539</v>
      </c>
      <c r="M1045" s="116">
        <v>44.95</v>
      </c>
      <c r="N1045" s="116">
        <v>48</v>
      </c>
      <c r="O1045" s="116">
        <v>44.3</v>
      </c>
      <c r="P1045" s="116">
        <v>47.1</v>
      </c>
      <c r="Q1045" s="116">
        <v>89.9</v>
      </c>
      <c r="R1045">
        <v>1094993</v>
      </c>
    </row>
    <row r="1046" spans="1:18" x14ac:dyDescent="0.25">
      <c r="A1046" s="169">
        <v>43542</v>
      </c>
      <c r="B1046" s="116">
        <v>45.65</v>
      </c>
      <c r="C1046" s="116">
        <v>44.8</v>
      </c>
      <c r="D1046" s="116">
        <v>44.475000000000001</v>
      </c>
      <c r="E1046" s="116">
        <v>44.95</v>
      </c>
      <c r="F1046" s="116">
        <v>89.6</v>
      </c>
      <c r="G1046">
        <v>41892</v>
      </c>
      <c r="H1046" s="116"/>
      <c r="I1046" s="116"/>
      <c r="L1046" s="169">
        <v>43542</v>
      </c>
      <c r="M1046" s="116">
        <v>44.825000000000003</v>
      </c>
      <c r="N1046" s="116">
        <v>45.674999999999997</v>
      </c>
      <c r="O1046" s="116">
        <v>44.5</v>
      </c>
      <c r="P1046" s="116">
        <v>44.924999999999997</v>
      </c>
      <c r="Q1046" s="116">
        <v>89.65</v>
      </c>
      <c r="R1046">
        <v>337636</v>
      </c>
    </row>
    <row r="1047" spans="1:18" x14ac:dyDescent="0.25">
      <c r="A1047" s="169">
        <v>43543</v>
      </c>
      <c r="B1047" s="116">
        <v>46.774999999999999</v>
      </c>
      <c r="C1047" s="116">
        <v>46.024999999999999</v>
      </c>
      <c r="D1047" s="116">
        <v>44.8</v>
      </c>
      <c r="E1047" s="116">
        <v>45.05</v>
      </c>
      <c r="F1047" s="116">
        <v>92.05</v>
      </c>
      <c r="G1047">
        <v>140295</v>
      </c>
      <c r="H1047" s="116"/>
      <c r="I1047" s="116"/>
      <c r="L1047" s="169">
        <v>43543</v>
      </c>
      <c r="M1047" s="116">
        <v>45.924999999999997</v>
      </c>
      <c r="N1047" s="116">
        <v>46.75</v>
      </c>
      <c r="O1047" s="116">
        <v>44.7</v>
      </c>
      <c r="P1047" s="116">
        <v>45</v>
      </c>
      <c r="Q1047" s="116">
        <v>91.85</v>
      </c>
      <c r="R1047">
        <v>1059207</v>
      </c>
    </row>
    <row r="1048" spans="1:18" x14ac:dyDescent="0.25">
      <c r="A1048" s="169">
        <v>43544</v>
      </c>
      <c r="B1048" s="116">
        <v>47.05</v>
      </c>
      <c r="C1048" s="116">
        <v>45.8</v>
      </c>
      <c r="D1048" s="116">
        <v>45.75</v>
      </c>
      <c r="E1048" s="116">
        <v>46.625</v>
      </c>
      <c r="F1048" s="116">
        <v>91.6</v>
      </c>
      <c r="G1048">
        <v>107330</v>
      </c>
      <c r="H1048" s="116"/>
      <c r="I1048" s="116"/>
      <c r="L1048" s="169">
        <v>43544</v>
      </c>
      <c r="M1048" s="116">
        <v>45.8</v>
      </c>
      <c r="N1048" s="116">
        <v>47.05</v>
      </c>
      <c r="O1048" s="116">
        <v>45.65</v>
      </c>
      <c r="P1048" s="116">
        <v>46.8</v>
      </c>
      <c r="Q1048" s="116">
        <v>91.6</v>
      </c>
      <c r="R1048">
        <v>1059944</v>
      </c>
    </row>
    <row r="1049" spans="1:18" x14ac:dyDescent="0.25">
      <c r="A1049" s="169">
        <v>43546</v>
      </c>
      <c r="B1049" s="116">
        <v>46.325000000000003</v>
      </c>
      <c r="C1049" s="116">
        <v>45.174999999999997</v>
      </c>
      <c r="D1049" s="116">
        <v>45.024999999999999</v>
      </c>
      <c r="E1049" s="116">
        <v>46.1</v>
      </c>
      <c r="F1049" s="116">
        <v>90.35</v>
      </c>
      <c r="G1049">
        <v>64885</v>
      </c>
      <c r="H1049" s="116"/>
      <c r="I1049" s="116"/>
      <c r="L1049" s="169">
        <v>43546</v>
      </c>
      <c r="M1049" s="116">
        <v>45.15</v>
      </c>
      <c r="N1049" s="116">
        <v>46.375</v>
      </c>
      <c r="O1049" s="116">
        <v>44.9</v>
      </c>
      <c r="P1049" s="116">
        <v>46</v>
      </c>
      <c r="Q1049" s="116">
        <v>90.3</v>
      </c>
      <c r="R1049">
        <v>349705</v>
      </c>
    </row>
    <row r="1050" spans="1:18" x14ac:dyDescent="0.25">
      <c r="A1050" s="169">
        <v>43549</v>
      </c>
      <c r="B1050" s="116">
        <v>44.5</v>
      </c>
      <c r="C1050" s="116">
        <v>42.575000000000003</v>
      </c>
      <c r="D1050" s="116">
        <v>42.25</v>
      </c>
      <c r="E1050" s="116">
        <v>44.125</v>
      </c>
      <c r="F1050" s="116">
        <v>85.15</v>
      </c>
      <c r="G1050">
        <v>118014</v>
      </c>
      <c r="H1050" s="116"/>
      <c r="I1050" s="116"/>
      <c r="L1050" s="169">
        <v>43549</v>
      </c>
      <c r="M1050" s="116">
        <v>42.7</v>
      </c>
      <c r="N1050" s="116">
        <v>44.725000000000001</v>
      </c>
      <c r="O1050" s="116">
        <v>42.375</v>
      </c>
      <c r="P1050" s="116">
        <v>44.725000000000001</v>
      </c>
      <c r="Q1050" s="116">
        <v>85.4</v>
      </c>
      <c r="R1050">
        <v>1016659</v>
      </c>
    </row>
    <row r="1051" spans="1:18" x14ac:dyDescent="0.25">
      <c r="A1051" s="169">
        <v>43550</v>
      </c>
      <c r="B1051" s="116">
        <v>43.625</v>
      </c>
      <c r="C1051" s="116">
        <v>43.075000000000003</v>
      </c>
      <c r="D1051" s="116">
        <v>42.7</v>
      </c>
      <c r="E1051" s="116">
        <v>42.725000000000001</v>
      </c>
      <c r="F1051" s="116">
        <v>86.15</v>
      </c>
      <c r="G1051">
        <v>135675</v>
      </c>
      <c r="H1051" s="116"/>
      <c r="I1051" s="116"/>
      <c r="L1051" s="169">
        <v>43550</v>
      </c>
      <c r="M1051" s="116">
        <v>42.975000000000001</v>
      </c>
      <c r="N1051" s="116">
        <v>43.7</v>
      </c>
      <c r="O1051" s="116">
        <v>42.575000000000003</v>
      </c>
      <c r="P1051" s="116">
        <v>42.75</v>
      </c>
      <c r="Q1051" s="116">
        <v>85.95</v>
      </c>
      <c r="R1051">
        <v>603077</v>
      </c>
    </row>
    <row r="1052" spans="1:18" x14ac:dyDescent="0.25">
      <c r="A1052" s="169">
        <v>43551</v>
      </c>
      <c r="B1052" s="116">
        <v>43.924999999999997</v>
      </c>
      <c r="C1052" s="116">
        <v>42.225000000000001</v>
      </c>
      <c r="D1052" s="116">
        <v>41.875</v>
      </c>
      <c r="E1052" s="116">
        <v>43.075000000000003</v>
      </c>
      <c r="F1052" s="116">
        <v>84.45</v>
      </c>
      <c r="G1052">
        <v>161302</v>
      </c>
      <c r="H1052" s="116"/>
      <c r="I1052" s="116"/>
      <c r="L1052" s="169">
        <v>43551</v>
      </c>
      <c r="M1052" s="116">
        <v>42.2</v>
      </c>
      <c r="N1052" s="116">
        <v>43.975000000000001</v>
      </c>
      <c r="O1052" s="116">
        <v>41.774999999999999</v>
      </c>
      <c r="P1052" s="116">
        <v>43.25</v>
      </c>
      <c r="Q1052" s="116">
        <v>84.4</v>
      </c>
      <c r="R1052">
        <v>1581920</v>
      </c>
    </row>
    <row r="1053" spans="1:18" x14ac:dyDescent="0.25">
      <c r="A1053" s="169">
        <v>43552</v>
      </c>
      <c r="B1053" s="116">
        <v>43.375</v>
      </c>
      <c r="C1053" s="116">
        <v>42.45</v>
      </c>
      <c r="D1053" s="116">
        <v>42.35</v>
      </c>
      <c r="E1053" s="116">
        <v>42.5</v>
      </c>
      <c r="F1053" s="116">
        <v>84.9</v>
      </c>
      <c r="G1053">
        <v>101741</v>
      </c>
      <c r="H1053" s="116"/>
      <c r="I1053" s="116"/>
      <c r="L1053" s="169">
        <v>43552</v>
      </c>
      <c r="M1053" s="116">
        <v>42.575000000000003</v>
      </c>
      <c r="N1053" s="116">
        <v>43.45</v>
      </c>
      <c r="O1053" s="116">
        <v>42.25</v>
      </c>
      <c r="P1053" s="116">
        <v>42.375</v>
      </c>
      <c r="Q1053" s="116">
        <v>85.15</v>
      </c>
      <c r="R1053">
        <v>633251</v>
      </c>
    </row>
    <row r="1054" spans="1:18" x14ac:dyDescent="0.25">
      <c r="A1054" s="169">
        <v>43553</v>
      </c>
      <c r="B1054" s="116">
        <v>44.6</v>
      </c>
      <c r="C1054" s="116">
        <v>43.274999999999999</v>
      </c>
      <c r="D1054" s="116">
        <v>43</v>
      </c>
      <c r="E1054" s="116">
        <v>43</v>
      </c>
      <c r="F1054" s="116">
        <v>86.55</v>
      </c>
      <c r="G1054">
        <v>217282</v>
      </c>
      <c r="H1054" s="116"/>
      <c r="I1054" s="116"/>
      <c r="L1054" s="169">
        <v>43553</v>
      </c>
      <c r="M1054" s="116">
        <v>43.2</v>
      </c>
      <c r="N1054" s="116">
        <v>44.6</v>
      </c>
      <c r="O1054" s="116">
        <v>42.825000000000003</v>
      </c>
      <c r="P1054" s="116">
        <v>42.875</v>
      </c>
      <c r="Q1054" s="116">
        <v>86.4</v>
      </c>
      <c r="R1054">
        <v>1297625</v>
      </c>
    </row>
    <row r="1055" spans="1:18" x14ac:dyDescent="0.25">
      <c r="A1055" s="169">
        <v>43556</v>
      </c>
      <c r="B1055" s="116">
        <v>44.674999999999997</v>
      </c>
      <c r="C1055" s="116">
        <v>43.45</v>
      </c>
      <c r="D1055" s="116">
        <v>43.3</v>
      </c>
      <c r="E1055" s="116">
        <v>43.924999999999997</v>
      </c>
      <c r="F1055" s="116">
        <v>86.9</v>
      </c>
      <c r="G1055">
        <v>68150</v>
      </c>
      <c r="H1055" s="116"/>
      <c r="I1055" s="116"/>
      <c r="L1055" s="169">
        <v>43556</v>
      </c>
      <c r="M1055" s="116">
        <v>43.424999999999997</v>
      </c>
      <c r="N1055" s="116">
        <v>44.75</v>
      </c>
      <c r="O1055" s="116">
        <v>43.25</v>
      </c>
      <c r="P1055" s="116">
        <v>43.8</v>
      </c>
      <c r="Q1055" s="116">
        <v>86.85</v>
      </c>
      <c r="R1055">
        <v>999001</v>
      </c>
    </row>
    <row r="1056" spans="1:18" x14ac:dyDescent="0.25">
      <c r="A1056" s="169">
        <v>43557</v>
      </c>
      <c r="B1056" s="116">
        <v>43.95</v>
      </c>
      <c r="C1056" s="116">
        <v>42.725000000000001</v>
      </c>
      <c r="D1056" s="116">
        <v>42.625</v>
      </c>
      <c r="E1056" s="116">
        <v>43.725000000000001</v>
      </c>
      <c r="F1056" s="116">
        <v>85.45</v>
      </c>
      <c r="G1056">
        <v>110636</v>
      </c>
      <c r="H1056" s="116"/>
      <c r="I1056" s="116"/>
      <c r="L1056" s="169">
        <v>43557</v>
      </c>
      <c r="M1056" s="116">
        <v>42.75</v>
      </c>
      <c r="N1056" s="116">
        <v>43.975000000000001</v>
      </c>
      <c r="O1056" s="116">
        <v>42.625</v>
      </c>
      <c r="P1056" s="116">
        <v>43.6</v>
      </c>
      <c r="Q1056" s="116">
        <v>85.5</v>
      </c>
      <c r="R1056">
        <v>557265</v>
      </c>
    </row>
    <row r="1057" spans="1:18" x14ac:dyDescent="0.25">
      <c r="A1057" s="169">
        <v>43558</v>
      </c>
      <c r="B1057" s="116">
        <v>43.674999999999997</v>
      </c>
      <c r="C1057" s="116">
        <v>42.325000000000003</v>
      </c>
      <c r="D1057" s="116">
        <v>42.2</v>
      </c>
      <c r="E1057" s="116">
        <v>42.924999999999997</v>
      </c>
      <c r="F1057" s="116">
        <v>84.65</v>
      </c>
      <c r="G1057">
        <v>82432</v>
      </c>
      <c r="H1057" s="116"/>
      <c r="I1057" s="116"/>
      <c r="L1057" s="169">
        <v>43558</v>
      </c>
      <c r="M1057" s="116">
        <v>42.3</v>
      </c>
      <c r="N1057" s="116">
        <v>43.65</v>
      </c>
      <c r="O1057" s="116">
        <v>42.05</v>
      </c>
      <c r="P1057" s="116">
        <v>43</v>
      </c>
      <c r="Q1057" s="116">
        <v>84.6</v>
      </c>
      <c r="R1057">
        <v>843307</v>
      </c>
    </row>
    <row r="1058" spans="1:18" x14ac:dyDescent="0.25">
      <c r="A1058" s="169">
        <v>43559</v>
      </c>
      <c r="B1058" s="116">
        <v>43.024999999999999</v>
      </c>
      <c r="C1058" s="116">
        <v>41.95</v>
      </c>
      <c r="D1058" s="116">
        <v>41.8</v>
      </c>
      <c r="E1058" s="116">
        <v>42.7</v>
      </c>
      <c r="F1058" s="116">
        <v>83.9</v>
      </c>
      <c r="G1058">
        <v>63635</v>
      </c>
      <c r="H1058" s="116"/>
      <c r="I1058" s="116"/>
      <c r="L1058" s="169">
        <v>43559</v>
      </c>
      <c r="M1058" s="116">
        <v>41.975000000000001</v>
      </c>
      <c r="N1058" s="116">
        <v>42.924999999999997</v>
      </c>
      <c r="O1058" s="116">
        <v>41.8</v>
      </c>
      <c r="P1058" s="116">
        <v>42.8</v>
      </c>
      <c r="Q1058" s="116">
        <v>83.95</v>
      </c>
      <c r="R1058">
        <v>851923</v>
      </c>
    </row>
    <row r="1059" spans="1:18" x14ac:dyDescent="0.25">
      <c r="A1059" s="169">
        <v>43560</v>
      </c>
      <c r="B1059" s="116">
        <v>42.75</v>
      </c>
      <c r="C1059" s="116">
        <v>42.274999999999999</v>
      </c>
      <c r="D1059" s="116">
        <v>42</v>
      </c>
      <c r="E1059" s="116">
        <v>42</v>
      </c>
      <c r="F1059" s="116">
        <v>84.55</v>
      </c>
      <c r="G1059">
        <v>48486</v>
      </c>
      <c r="H1059" s="116"/>
      <c r="I1059" s="116"/>
      <c r="L1059" s="169">
        <v>43560</v>
      </c>
      <c r="M1059" s="116">
        <v>42.3</v>
      </c>
      <c r="N1059" s="116">
        <v>42.85</v>
      </c>
      <c r="O1059" s="116">
        <v>42.024999999999999</v>
      </c>
      <c r="P1059" s="116">
        <v>42.024999999999999</v>
      </c>
      <c r="Q1059" s="116">
        <v>84.6</v>
      </c>
      <c r="R1059">
        <v>560351</v>
      </c>
    </row>
    <row r="1060" spans="1:18" x14ac:dyDescent="0.25">
      <c r="A1060" s="169">
        <v>43563</v>
      </c>
      <c r="B1060" s="116">
        <v>42.9</v>
      </c>
      <c r="C1060" s="116">
        <v>41.65</v>
      </c>
      <c r="D1060" s="116">
        <v>41.25</v>
      </c>
      <c r="E1060" s="116">
        <v>42.4</v>
      </c>
      <c r="F1060" s="116">
        <v>83.3</v>
      </c>
      <c r="G1060">
        <v>101671</v>
      </c>
      <c r="H1060" s="116"/>
      <c r="I1060" s="116"/>
      <c r="L1060" s="169">
        <v>43563</v>
      </c>
      <c r="M1060" s="116">
        <v>41.7</v>
      </c>
      <c r="N1060" s="116">
        <v>42.95</v>
      </c>
      <c r="O1060" s="116">
        <v>41.4</v>
      </c>
      <c r="P1060" s="116">
        <v>42.4</v>
      </c>
      <c r="Q1060" s="116">
        <v>83.4</v>
      </c>
      <c r="R1060">
        <v>641455</v>
      </c>
    </row>
    <row r="1061" spans="1:18" x14ac:dyDescent="0.25">
      <c r="A1061" s="169">
        <v>43564</v>
      </c>
      <c r="B1061" s="116">
        <v>41.8</v>
      </c>
      <c r="C1061" s="116">
        <v>41.6</v>
      </c>
      <c r="D1061" s="116">
        <v>41.25</v>
      </c>
      <c r="E1061" s="116">
        <v>41.774999999999999</v>
      </c>
      <c r="F1061" s="116">
        <v>83.2</v>
      </c>
      <c r="G1061">
        <v>57564</v>
      </c>
      <c r="H1061" s="116"/>
      <c r="I1061" s="116"/>
      <c r="L1061" s="169">
        <v>43564</v>
      </c>
      <c r="M1061" s="116">
        <v>41.625</v>
      </c>
      <c r="N1061" s="116">
        <v>41.75</v>
      </c>
      <c r="O1061" s="116">
        <v>41.174999999999997</v>
      </c>
      <c r="P1061" s="116">
        <v>41.7</v>
      </c>
      <c r="Q1061" s="116">
        <v>83.25</v>
      </c>
      <c r="R1061">
        <v>453827</v>
      </c>
    </row>
    <row r="1062" spans="1:18" x14ac:dyDescent="0.25">
      <c r="A1062" s="169">
        <v>43565</v>
      </c>
      <c r="B1062" s="116">
        <v>42</v>
      </c>
      <c r="C1062" s="116">
        <v>41.4</v>
      </c>
      <c r="D1062" s="116">
        <v>41.2</v>
      </c>
      <c r="E1062" s="116">
        <v>41.2</v>
      </c>
      <c r="F1062" s="116">
        <v>82.8</v>
      </c>
      <c r="G1062">
        <v>75547</v>
      </c>
      <c r="H1062" s="116"/>
      <c r="I1062" s="116"/>
      <c r="L1062" s="169">
        <v>43565</v>
      </c>
      <c r="M1062" s="116">
        <v>41.475000000000001</v>
      </c>
      <c r="N1062" s="116">
        <v>42.1</v>
      </c>
      <c r="O1062" s="116">
        <v>41.25</v>
      </c>
      <c r="P1062" s="116">
        <v>41.55</v>
      </c>
      <c r="Q1062" s="116">
        <v>82.95</v>
      </c>
      <c r="R1062">
        <v>502367</v>
      </c>
    </row>
    <row r="1063" spans="1:18" x14ac:dyDescent="0.25">
      <c r="A1063" s="169">
        <v>43566</v>
      </c>
      <c r="B1063" s="116">
        <v>41.825000000000003</v>
      </c>
      <c r="C1063" s="116">
        <v>41</v>
      </c>
      <c r="D1063" s="116">
        <v>40.875</v>
      </c>
      <c r="E1063" s="116">
        <v>41.6</v>
      </c>
      <c r="F1063" s="116">
        <v>82</v>
      </c>
      <c r="G1063">
        <v>55110</v>
      </c>
      <c r="H1063" s="116"/>
      <c r="I1063" s="116"/>
      <c r="L1063" s="169">
        <v>43566</v>
      </c>
      <c r="M1063" s="116">
        <v>41</v>
      </c>
      <c r="N1063" s="116">
        <v>41.8</v>
      </c>
      <c r="O1063" s="116">
        <v>40.774999999999999</v>
      </c>
      <c r="P1063" s="116">
        <v>41.424999999999997</v>
      </c>
      <c r="Q1063" s="116">
        <v>82</v>
      </c>
      <c r="R1063">
        <v>630732</v>
      </c>
    </row>
    <row r="1064" spans="1:18" x14ac:dyDescent="0.25">
      <c r="A1064" s="169">
        <v>43567</v>
      </c>
      <c r="B1064" s="116">
        <v>41.35</v>
      </c>
      <c r="C1064" s="116">
        <v>41</v>
      </c>
      <c r="D1064" s="116">
        <v>40.825000000000003</v>
      </c>
      <c r="E1064" s="116">
        <v>40.825000000000003</v>
      </c>
      <c r="F1064" s="116">
        <v>82</v>
      </c>
      <c r="G1064">
        <v>33715</v>
      </c>
      <c r="H1064" s="116"/>
      <c r="I1064" s="116"/>
      <c r="L1064" s="169">
        <v>43567</v>
      </c>
      <c r="M1064" s="116">
        <v>41</v>
      </c>
      <c r="N1064" s="116">
        <v>41.375</v>
      </c>
      <c r="O1064" s="116">
        <v>40.825000000000003</v>
      </c>
      <c r="P1064" s="116">
        <v>40.950000000000003</v>
      </c>
      <c r="Q1064" s="116">
        <v>82</v>
      </c>
      <c r="R1064">
        <v>827194</v>
      </c>
    </row>
    <row r="1065" spans="1:18" x14ac:dyDescent="0.25">
      <c r="A1065" s="169">
        <v>43570</v>
      </c>
      <c r="B1065" s="116">
        <v>43.575000000000003</v>
      </c>
      <c r="C1065" s="116">
        <v>42.75</v>
      </c>
      <c r="D1065" s="116">
        <v>41.174999999999997</v>
      </c>
      <c r="E1065" s="116">
        <v>41.274999999999999</v>
      </c>
      <c r="F1065" s="116">
        <v>85.5</v>
      </c>
      <c r="G1065">
        <v>156756</v>
      </c>
      <c r="H1065" s="116"/>
      <c r="I1065" s="116"/>
      <c r="L1065" s="169">
        <v>43570</v>
      </c>
      <c r="M1065" s="116">
        <v>42.725000000000001</v>
      </c>
      <c r="N1065" s="116">
        <v>43.65</v>
      </c>
      <c r="O1065" s="116">
        <v>41.075000000000003</v>
      </c>
      <c r="P1065" s="116">
        <v>41.2</v>
      </c>
      <c r="Q1065" s="116">
        <v>85.45</v>
      </c>
      <c r="R1065">
        <v>1495927</v>
      </c>
    </row>
    <row r="1066" spans="1:18" x14ac:dyDescent="0.25">
      <c r="A1066" s="169">
        <v>43571</v>
      </c>
      <c r="B1066" s="116">
        <v>45.95</v>
      </c>
      <c r="C1066" s="116">
        <v>44.174999999999997</v>
      </c>
      <c r="D1066" s="116">
        <v>42.975000000000001</v>
      </c>
      <c r="E1066" s="116">
        <v>43.174999999999997</v>
      </c>
      <c r="F1066" s="116">
        <v>88.35</v>
      </c>
      <c r="G1066">
        <v>345395</v>
      </c>
      <c r="H1066" s="116"/>
      <c r="I1066" s="116"/>
      <c r="L1066" s="169">
        <v>43571</v>
      </c>
      <c r="M1066" s="116">
        <v>44.2</v>
      </c>
      <c r="N1066" s="116">
        <v>46</v>
      </c>
      <c r="O1066" s="116">
        <v>42.924999999999997</v>
      </c>
      <c r="P1066" s="116">
        <v>43.075000000000003</v>
      </c>
      <c r="Q1066" s="116">
        <v>88.4</v>
      </c>
      <c r="R1066">
        <v>2758301</v>
      </c>
    </row>
    <row r="1067" spans="1:18" x14ac:dyDescent="0.25">
      <c r="A1067" s="169">
        <v>43573</v>
      </c>
      <c r="B1067" s="116">
        <v>44.475000000000001</v>
      </c>
      <c r="C1067" s="116">
        <v>43.125</v>
      </c>
      <c r="D1067" s="116">
        <v>42.825000000000003</v>
      </c>
      <c r="E1067" s="116">
        <v>44.475000000000001</v>
      </c>
      <c r="F1067" s="116">
        <v>86.25</v>
      </c>
      <c r="G1067">
        <v>54849</v>
      </c>
      <c r="H1067" s="116"/>
      <c r="I1067" s="116"/>
      <c r="L1067" s="169">
        <v>43573</v>
      </c>
      <c r="M1067" s="116">
        <v>43.174999999999997</v>
      </c>
      <c r="N1067" s="116">
        <v>44.575000000000003</v>
      </c>
      <c r="O1067" s="116">
        <v>42.875</v>
      </c>
      <c r="P1067" s="116">
        <v>44.2</v>
      </c>
      <c r="Q1067" s="116">
        <v>86.35</v>
      </c>
      <c r="R1067">
        <v>719257</v>
      </c>
    </row>
    <row r="1068" spans="1:18" x14ac:dyDescent="0.25">
      <c r="A1068" s="169">
        <v>43577</v>
      </c>
      <c r="B1068" s="116">
        <v>43.25</v>
      </c>
      <c r="C1068" s="116">
        <v>42.15</v>
      </c>
      <c r="D1068" s="116">
        <v>41.825000000000003</v>
      </c>
      <c r="E1068" s="116">
        <v>42.975000000000001</v>
      </c>
      <c r="F1068" s="116">
        <v>84.3</v>
      </c>
      <c r="G1068">
        <v>34659</v>
      </c>
      <c r="H1068" s="116"/>
      <c r="I1068" s="116"/>
      <c r="L1068" s="169">
        <v>43577</v>
      </c>
      <c r="M1068" s="116">
        <v>42.075000000000003</v>
      </c>
      <c r="N1068" s="116">
        <v>43.3</v>
      </c>
      <c r="O1068" s="116">
        <v>41.875</v>
      </c>
      <c r="P1068" s="116">
        <v>42.55</v>
      </c>
      <c r="Q1068" s="116">
        <v>84.15</v>
      </c>
      <c r="R1068">
        <v>436074</v>
      </c>
    </row>
    <row r="1069" spans="1:18" x14ac:dyDescent="0.25">
      <c r="A1069" s="169">
        <v>43578</v>
      </c>
      <c r="B1069" s="116">
        <v>42.625</v>
      </c>
      <c r="C1069" s="116">
        <v>41.674999999999997</v>
      </c>
      <c r="D1069" s="116">
        <v>41.575000000000003</v>
      </c>
      <c r="E1069" s="116">
        <v>41.975000000000001</v>
      </c>
      <c r="F1069" s="116">
        <v>83.35</v>
      </c>
      <c r="G1069">
        <v>50825</v>
      </c>
      <c r="H1069" s="116"/>
      <c r="I1069" s="116"/>
      <c r="L1069" s="169">
        <v>43578</v>
      </c>
      <c r="M1069" s="116">
        <v>41.625</v>
      </c>
      <c r="N1069" s="116">
        <v>42.7</v>
      </c>
      <c r="O1069" s="116">
        <v>41.45</v>
      </c>
      <c r="P1069" s="116">
        <v>42</v>
      </c>
      <c r="Q1069" s="116">
        <v>83.25</v>
      </c>
      <c r="R1069">
        <v>953612</v>
      </c>
    </row>
    <row r="1070" spans="1:18" x14ac:dyDescent="0.25">
      <c r="A1070" s="169">
        <v>43579</v>
      </c>
      <c r="B1070" s="116">
        <v>42.125</v>
      </c>
      <c r="C1070" s="116">
        <v>41.774999999999999</v>
      </c>
      <c r="D1070" s="116">
        <v>41.5</v>
      </c>
      <c r="E1070" s="116">
        <v>41.774999999999999</v>
      </c>
      <c r="F1070" s="116">
        <v>83.55</v>
      </c>
      <c r="G1070">
        <v>37096</v>
      </c>
      <c r="H1070" s="116"/>
      <c r="I1070" s="116"/>
      <c r="L1070" s="169">
        <v>43579</v>
      </c>
      <c r="M1070" s="116">
        <v>41.825000000000003</v>
      </c>
      <c r="N1070" s="116">
        <v>42.174999999999997</v>
      </c>
      <c r="O1070" s="116">
        <v>41.55</v>
      </c>
      <c r="P1070" s="116">
        <v>41.725000000000001</v>
      </c>
      <c r="Q1070" s="116">
        <v>83.65</v>
      </c>
      <c r="R1070">
        <v>369730</v>
      </c>
    </row>
    <row r="1071" spans="1:18" x14ac:dyDescent="0.25">
      <c r="A1071" s="169">
        <v>43580</v>
      </c>
      <c r="B1071" s="116">
        <v>42.625</v>
      </c>
      <c r="C1071" s="116">
        <v>41.75</v>
      </c>
      <c r="D1071" s="116">
        <v>41.55</v>
      </c>
      <c r="E1071" s="116">
        <v>41.975000000000001</v>
      </c>
      <c r="F1071" s="116">
        <v>83.5</v>
      </c>
      <c r="G1071">
        <v>25318</v>
      </c>
      <c r="H1071" s="116"/>
      <c r="I1071" s="116"/>
      <c r="L1071" s="169">
        <v>43580</v>
      </c>
      <c r="M1071" s="116">
        <v>41.75</v>
      </c>
      <c r="N1071" s="116">
        <v>42.674999999999997</v>
      </c>
      <c r="O1071" s="116">
        <v>41.524999999999999</v>
      </c>
      <c r="P1071" s="116">
        <v>42</v>
      </c>
      <c r="Q1071" s="116">
        <v>83.5</v>
      </c>
      <c r="R1071">
        <v>357847</v>
      </c>
    </row>
    <row r="1072" spans="1:18" x14ac:dyDescent="0.25">
      <c r="A1072" s="169">
        <v>43581</v>
      </c>
      <c r="B1072" s="116">
        <v>42.575000000000003</v>
      </c>
      <c r="C1072" s="116">
        <v>41.7</v>
      </c>
      <c r="D1072" s="116">
        <v>41.55</v>
      </c>
      <c r="E1072" s="116">
        <v>42</v>
      </c>
      <c r="F1072" s="116">
        <v>83.4</v>
      </c>
      <c r="G1072">
        <v>72586</v>
      </c>
      <c r="H1072" s="116"/>
      <c r="I1072" s="116"/>
      <c r="L1072" s="169">
        <v>43581</v>
      </c>
      <c r="M1072" s="116">
        <v>41.75</v>
      </c>
      <c r="N1072" s="116">
        <v>42.575000000000003</v>
      </c>
      <c r="O1072" s="116">
        <v>41.55</v>
      </c>
      <c r="P1072" s="116">
        <v>41.875</v>
      </c>
      <c r="Q1072" s="116">
        <v>83.5</v>
      </c>
      <c r="R1072">
        <v>447414</v>
      </c>
    </row>
    <row r="1073" spans="1:18" x14ac:dyDescent="0.25">
      <c r="A1073" s="169">
        <v>43585</v>
      </c>
      <c r="B1073" s="116">
        <v>42</v>
      </c>
      <c r="C1073" s="116">
        <v>40.700000000000003</v>
      </c>
      <c r="D1073" s="116">
        <v>40.450000000000003</v>
      </c>
      <c r="E1073" s="116">
        <v>41.75</v>
      </c>
      <c r="F1073" s="116">
        <v>81.400000000000006</v>
      </c>
      <c r="G1073">
        <v>50522</v>
      </c>
      <c r="H1073" s="116"/>
      <c r="I1073" s="116"/>
      <c r="L1073" s="169">
        <v>43585</v>
      </c>
      <c r="M1073" s="116">
        <v>40.549999999999997</v>
      </c>
      <c r="N1073" s="116">
        <v>41.774999999999999</v>
      </c>
      <c r="O1073" s="116">
        <v>40.325000000000003</v>
      </c>
      <c r="P1073" s="116">
        <v>41.5</v>
      </c>
      <c r="Q1073" s="116">
        <v>81.099999999999994</v>
      </c>
      <c r="R1073">
        <v>1111099</v>
      </c>
    </row>
    <row r="1074" spans="1:18" x14ac:dyDescent="0.25">
      <c r="A1074" s="169">
        <v>43587</v>
      </c>
      <c r="B1074" s="116">
        <v>41.2</v>
      </c>
      <c r="C1074" s="116">
        <v>40.625</v>
      </c>
      <c r="D1074" s="116">
        <v>40.4</v>
      </c>
      <c r="E1074" s="116">
        <v>40.825000000000003</v>
      </c>
      <c r="F1074" s="116">
        <v>81.25</v>
      </c>
      <c r="G1074">
        <v>44711</v>
      </c>
      <c r="H1074" s="116"/>
      <c r="I1074" s="116"/>
      <c r="L1074" s="169">
        <v>43587</v>
      </c>
      <c r="M1074" s="116">
        <v>40.700000000000003</v>
      </c>
      <c r="N1074" s="116">
        <v>41.174999999999997</v>
      </c>
      <c r="O1074" s="116">
        <v>40.200000000000003</v>
      </c>
      <c r="P1074" s="116">
        <v>40.524999999999999</v>
      </c>
      <c r="Q1074" s="116">
        <v>81.400000000000006</v>
      </c>
      <c r="R1074">
        <v>353857</v>
      </c>
    </row>
    <row r="1075" spans="1:18" x14ac:dyDescent="0.25">
      <c r="A1075" s="169">
        <v>43588</v>
      </c>
      <c r="B1075" s="116">
        <v>41.45</v>
      </c>
      <c r="C1075" s="116">
        <v>40.575000000000003</v>
      </c>
      <c r="D1075" s="116">
        <v>40.424999999999997</v>
      </c>
      <c r="E1075" s="116">
        <v>40.825000000000003</v>
      </c>
      <c r="F1075" s="116">
        <v>81.150000000000006</v>
      </c>
      <c r="G1075">
        <v>79278</v>
      </c>
      <c r="H1075" s="116"/>
      <c r="I1075" s="116"/>
      <c r="L1075" s="169">
        <v>43588</v>
      </c>
      <c r="M1075" s="116">
        <v>40.5</v>
      </c>
      <c r="N1075" s="116">
        <v>41.375</v>
      </c>
      <c r="O1075" s="116">
        <v>40.325000000000003</v>
      </c>
      <c r="P1075" s="116">
        <v>40.950000000000003</v>
      </c>
      <c r="Q1075" s="116">
        <v>81</v>
      </c>
      <c r="R1075">
        <v>558362</v>
      </c>
    </row>
    <row r="1076" spans="1:18" x14ac:dyDescent="0.25">
      <c r="A1076" s="169">
        <v>43591</v>
      </c>
      <c r="B1076" s="116">
        <v>40.375</v>
      </c>
      <c r="C1076" s="116">
        <v>39.975000000000001</v>
      </c>
      <c r="D1076" s="116">
        <v>39.875</v>
      </c>
      <c r="E1076" s="116">
        <v>40</v>
      </c>
      <c r="F1076" s="116">
        <v>79.95</v>
      </c>
      <c r="G1076">
        <v>67755</v>
      </c>
      <c r="H1076" s="116"/>
      <c r="I1076" s="116"/>
      <c r="L1076" s="169">
        <v>43591</v>
      </c>
      <c r="M1076" s="116">
        <v>40.024999999999999</v>
      </c>
      <c r="N1076" s="116">
        <v>40.35</v>
      </c>
      <c r="O1076" s="116">
        <v>39.85</v>
      </c>
      <c r="P1076" s="116">
        <v>40</v>
      </c>
      <c r="Q1076" s="116">
        <v>80.05</v>
      </c>
      <c r="R1076">
        <v>471483</v>
      </c>
    </row>
    <row r="1077" spans="1:18" x14ac:dyDescent="0.25">
      <c r="A1077" s="169">
        <v>43592</v>
      </c>
      <c r="B1077" s="116">
        <v>40.299999999999997</v>
      </c>
      <c r="C1077" s="116">
        <v>39.299999999999997</v>
      </c>
      <c r="D1077" s="116">
        <v>38.975000000000001</v>
      </c>
      <c r="E1077" s="116">
        <v>40.125</v>
      </c>
      <c r="F1077" s="116">
        <v>78.599999999999994</v>
      </c>
      <c r="G1077">
        <v>123460</v>
      </c>
      <c r="H1077" s="116"/>
      <c r="I1077" s="116"/>
      <c r="L1077" s="169">
        <v>43592</v>
      </c>
      <c r="M1077" s="116">
        <v>39.075000000000003</v>
      </c>
      <c r="N1077" s="116">
        <v>40.4</v>
      </c>
      <c r="O1077" s="116">
        <v>38.799999999999997</v>
      </c>
      <c r="P1077" s="116">
        <v>40.25</v>
      </c>
      <c r="Q1077" s="116">
        <v>78.150000000000006</v>
      </c>
      <c r="R1077">
        <v>716520</v>
      </c>
    </row>
    <row r="1078" spans="1:18" x14ac:dyDescent="0.25">
      <c r="A1078" s="169">
        <v>43593</v>
      </c>
      <c r="B1078" s="116">
        <v>39.4</v>
      </c>
      <c r="C1078" s="116">
        <v>38.375</v>
      </c>
      <c r="D1078" s="116">
        <v>38.25</v>
      </c>
      <c r="E1078" s="116">
        <v>38.25</v>
      </c>
      <c r="F1078" s="116">
        <v>76.75</v>
      </c>
      <c r="G1078">
        <v>55697</v>
      </c>
      <c r="H1078" s="116"/>
      <c r="I1078" s="116"/>
      <c r="L1078" s="169">
        <v>43593</v>
      </c>
      <c r="M1078" s="116">
        <v>38.4</v>
      </c>
      <c r="N1078" s="116">
        <v>39.450000000000003</v>
      </c>
      <c r="O1078" s="116">
        <v>38.274999999999999</v>
      </c>
      <c r="P1078" s="116">
        <v>38.75</v>
      </c>
      <c r="Q1078" s="116">
        <v>76.8</v>
      </c>
      <c r="R1078">
        <v>336886</v>
      </c>
    </row>
    <row r="1079" spans="1:18" x14ac:dyDescent="0.25">
      <c r="A1079" s="169">
        <v>43594</v>
      </c>
      <c r="B1079" s="116">
        <v>39.1</v>
      </c>
      <c r="C1079" s="116">
        <v>38.700000000000003</v>
      </c>
      <c r="D1079" s="116">
        <v>38.225000000000001</v>
      </c>
      <c r="E1079" s="116">
        <v>38.6</v>
      </c>
      <c r="F1079" s="116">
        <v>77.400000000000006</v>
      </c>
      <c r="G1079">
        <v>89913</v>
      </c>
      <c r="H1079" s="116"/>
      <c r="I1079" s="116"/>
      <c r="L1079" s="169">
        <v>43594</v>
      </c>
      <c r="M1079" s="116">
        <v>38.6</v>
      </c>
      <c r="N1079" s="116">
        <v>39.174999999999997</v>
      </c>
      <c r="O1079" s="116">
        <v>38.200000000000003</v>
      </c>
      <c r="P1079" s="116">
        <v>38.274999999999999</v>
      </c>
      <c r="Q1079" s="116">
        <v>77.2</v>
      </c>
      <c r="R1079">
        <v>395804</v>
      </c>
    </row>
    <row r="1080" spans="1:18" x14ac:dyDescent="0.25">
      <c r="A1080" s="169">
        <v>43595</v>
      </c>
      <c r="B1080" s="116">
        <v>39.25</v>
      </c>
      <c r="C1080" s="116">
        <v>38.549999999999997</v>
      </c>
      <c r="D1080" s="116">
        <v>38.35</v>
      </c>
      <c r="E1080" s="116">
        <v>39.174999999999997</v>
      </c>
      <c r="F1080" s="116">
        <v>77.099999999999994</v>
      </c>
      <c r="G1080">
        <v>64164</v>
      </c>
      <c r="H1080" s="116"/>
      <c r="I1080" s="116"/>
      <c r="L1080" s="169">
        <v>43595</v>
      </c>
      <c r="M1080" s="116">
        <v>38.549999999999997</v>
      </c>
      <c r="N1080" s="116">
        <v>39.200000000000003</v>
      </c>
      <c r="O1080" s="116">
        <v>38.35</v>
      </c>
      <c r="P1080" s="116">
        <v>38.75</v>
      </c>
      <c r="Q1080" s="116">
        <v>77.099999999999994</v>
      </c>
      <c r="R1080">
        <v>955298</v>
      </c>
    </row>
    <row r="1081" spans="1:18" x14ac:dyDescent="0.25">
      <c r="A1081" s="169">
        <v>43598</v>
      </c>
      <c r="B1081" s="116">
        <v>38.825000000000003</v>
      </c>
      <c r="C1081" s="116">
        <v>36.924999999999997</v>
      </c>
      <c r="D1081" s="116">
        <v>36.700000000000003</v>
      </c>
      <c r="E1081" s="116">
        <v>38.825000000000003</v>
      </c>
      <c r="F1081" s="116">
        <v>73.849999999999994</v>
      </c>
      <c r="G1081">
        <v>114224</v>
      </c>
      <c r="H1081" s="116"/>
      <c r="I1081" s="116"/>
      <c r="L1081" s="169">
        <v>43598</v>
      </c>
      <c r="M1081" s="116">
        <v>36.875</v>
      </c>
      <c r="N1081" s="116">
        <v>38.825000000000003</v>
      </c>
      <c r="O1081" s="116">
        <v>36.625</v>
      </c>
      <c r="P1081" s="116">
        <v>38.5</v>
      </c>
      <c r="Q1081" s="116">
        <v>73.75</v>
      </c>
      <c r="R1081">
        <v>434773</v>
      </c>
    </row>
    <row r="1082" spans="1:18" x14ac:dyDescent="0.25">
      <c r="A1082" s="169">
        <v>43599</v>
      </c>
      <c r="B1082" s="116">
        <v>38.25</v>
      </c>
      <c r="C1082" s="116">
        <v>37.825000000000003</v>
      </c>
      <c r="D1082" s="116">
        <v>36.15</v>
      </c>
      <c r="E1082" s="116">
        <v>36.6</v>
      </c>
      <c r="F1082" s="116">
        <v>75.650000000000006</v>
      </c>
      <c r="G1082">
        <v>43376</v>
      </c>
      <c r="H1082" s="116"/>
      <c r="I1082" s="116"/>
      <c r="L1082" s="169">
        <v>43599</v>
      </c>
      <c r="M1082" s="116">
        <v>37.9</v>
      </c>
      <c r="N1082" s="116">
        <v>38.475000000000001</v>
      </c>
      <c r="O1082" s="116">
        <v>36.4</v>
      </c>
      <c r="P1082" s="116">
        <v>36.75</v>
      </c>
      <c r="Q1082" s="116">
        <v>75.8</v>
      </c>
      <c r="R1082">
        <v>371109</v>
      </c>
    </row>
    <row r="1083" spans="1:18" x14ac:dyDescent="0.25">
      <c r="A1083" s="169">
        <v>43600</v>
      </c>
      <c r="B1083" s="116">
        <v>38.424999999999997</v>
      </c>
      <c r="C1083" s="116">
        <v>37.024999999999999</v>
      </c>
      <c r="D1083" s="116">
        <v>36.799999999999997</v>
      </c>
      <c r="E1083" s="116">
        <v>38.424999999999997</v>
      </c>
      <c r="F1083" s="116">
        <v>74.05</v>
      </c>
      <c r="G1083">
        <v>51534</v>
      </c>
      <c r="H1083" s="116"/>
      <c r="I1083" s="116"/>
      <c r="L1083" s="169">
        <v>43600</v>
      </c>
      <c r="M1083" s="116">
        <v>36.975000000000001</v>
      </c>
      <c r="N1083" s="116">
        <v>38.450000000000003</v>
      </c>
      <c r="O1083" s="116">
        <v>36.799999999999997</v>
      </c>
      <c r="P1083" s="116">
        <v>38</v>
      </c>
      <c r="Q1083" s="116">
        <v>73.95</v>
      </c>
      <c r="R1083">
        <v>239643</v>
      </c>
    </row>
    <row r="1084" spans="1:18" x14ac:dyDescent="0.25">
      <c r="A1084" s="169">
        <v>43601</v>
      </c>
      <c r="B1084" s="116">
        <v>37.5</v>
      </c>
      <c r="C1084" s="116">
        <v>37.15</v>
      </c>
      <c r="D1084" s="116">
        <v>36.6</v>
      </c>
      <c r="E1084" s="116">
        <v>37.225000000000001</v>
      </c>
      <c r="F1084" s="116">
        <v>74.3</v>
      </c>
      <c r="G1084">
        <v>31992</v>
      </c>
      <c r="H1084" s="116"/>
      <c r="I1084" s="116"/>
      <c r="L1084" s="169">
        <v>43601</v>
      </c>
      <c r="M1084" s="116">
        <v>37.1</v>
      </c>
      <c r="N1084" s="116">
        <v>37.524999999999999</v>
      </c>
      <c r="O1084" s="116">
        <v>36.75</v>
      </c>
      <c r="P1084" s="116">
        <v>37.174999999999997</v>
      </c>
      <c r="Q1084" s="116">
        <v>74.2</v>
      </c>
      <c r="R1084">
        <v>247619</v>
      </c>
    </row>
    <row r="1085" spans="1:18" x14ac:dyDescent="0.25">
      <c r="A1085" s="169">
        <v>43602</v>
      </c>
      <c r="B1085" s="116">
        <v>37.924999999999997</v>
      </c>
      <c r="C1085" s="116">
        <v>37.625</v>
      </c>
      <c r="D1085" s="116">
        <v>36.799999999999997</v>
      </c>
      <c r="E1085" s="116">
        <v>37.200000000000003</v>
      </c>
      <c r="F1085" s="116">
        <v>75.25</v>
      </c>
      <c r="G1085">
        <v>73033</v>
      </c>
      <c r="H1085" s="116"/>
      <c r="I1085" s="116"/>
      <c r="L1085" s="169">
        <v>43602</v>
      </c>
      <c r="M1085" s="116">
        <v>37.774999999999999</v>
      </c>
      <c r="N1085" s="116">
        <v>38</v>
      </c>
      <c r="O1085" s="116">
        <v>36.825000000000003</v>
      </c>
      <c r="P1085" s="116">
        <v>37.15</v>
      </c>
      <c r="Q1085" s="116">
        <v>75.55</v>
      </c>
      <c r="R1085">
        <v>300175</v>
      </c>
    </row>
    <row r="1086" spans="1:18" x14ac:dyDescent="0.25">
      <c r="A1086" s="169">
        <v>43605</v>
      </c>
      <c r="B1086" s="116">
        <v>41.75</v>
      </c>
      <c r="C1086" s="116">
        <v>41.25</v>
      </c>
      <c r="D1086" s="116">
        <v>38.575000000000003</v>
      </c>
      <c r="E1086" s="116">
        <v>38.575000000000003</v>
      </c>
      <c r="F1086" s="116">
        <v>82.5</v>
      </c>
      <c r="G1086">
        <v>162198</v>
      </c>
      <c r="H1086" s="116"/>
      <c r="I1086" s="116"/>
      <c r="L1086" s="169">
        <v>43605</v>
      </c>
      <c r="M1086" s="116">
        <v>41.3</v>
      </c>
      <c r="N1086" s="116">
        <v>41.75</v>
      </c>
      <c r="O1086" s="116">
        <v>38.725000000000001</v>
      </c>
      <c r="P1086" s="116">
        <v>38.9</v>
      </c>
      <c r="Q1086" s="116">
        <v>82.6</v>
      </c>
      <c r="R1086">
        <v>858202</v>
      </c>
    </row>
    <row r="1087" spans="1:18" x14ac:dyDescent="0.25">
      <c r="A1087" s="169">
        <v>43606</v>
      </c>
      <c r="B1087" s="116">
        <v>41.75</v>
      </c>
      <c r="C1087" s="116">
        <v>40.15</v>
      </c>
      <c r="D1087" s="116">
        <v>39</v>
      </c>
      <c r="E1087" s="116">
        <v>41.475000000000001</v>
      </c>
      <c r="F1087" s="116">
        <v>80.3</v>
      </c>
      <c r="G1087">
        <v>85273</v>
      </c>
      <c r="H1087" s="116"/>
      <c r="I1087" s="116"/>
      <c r="L1087" s="169">
        <v>43606</v>
      </c>
      <c r="M1087" s="116">
        <v>40.049999999999997</v>
      </c>
      <c r="N1087" s="116">
        <v>41.85</v>
      </c>
      <c r="O1087" s="116">
        <v>38.9</v>
      </c>
      <c r="P1087" s="116">
        <v>41.774999999999999</v>
      </c>
      <c r="Q1087" s="116">
        <v>80.099999999999994</v>
      </c>
      <c r="R1087">
        <v>508872</v>
      </c>
    </row>
    <row r="1088" spans="1:18" x14ac:dyDescent="0.25">
      <c r="A1088" s="169">
        <v>43607</v>
      </c>
      <c r="B1088" s="116">
        <v>41.274999999999999</v>
      </c>
      <c r="C1088" s="116">
        <v>41.125</v>
      </c>
      <c r="D1088" s="116">
        <v>39.774999999999999</v>
      </c>
      <c r="E1088" s="116">
        <v>39.875</v>
      </c>
      <c r="F1088" s="116">
        <v>82.25</v>
      </c>
      <c r="G1088">
        <v>61617</v>
      </c>
      <c r="H1088" s="116"/>
      <c r="I1088" s="116"/>
      <c r="L1088" s="169">
        <v>43607</v>
      </c>
      <c r="M1088" s="116">
        <v>41.1</v>
      </c>
      <c r="N1088" s="116">
        <v>41.35</v>
      </c>
      <c r="O1088" s="116">
        <v>39.575000000000003</v>
      </c>
      <c r="P1088" s="116">
        <v>40.125</v>
      </c>
      <c r="Q1088" s="116">
        <v>82.2</v>
      </c>
      <c r="R1088">
        <v>359010</v>
      </c>
    </row>
    <row r="1089" spans="1:18" x14ac:dyDescent="0.25">
      <c r="A1089" s="169">
        <v>43608</v>
      </c>
      <c r="B1089" s="116">
        <v>42.3</v>
      </c>
      <c r="C1089" s="116">
        <v>41.25</v>
      </c>
      <c r="D1089" s="116">
        <v>41.1</v>
      </c>
      <c r="E1089" s="116">
        <v>42.125</v>
      </c>
      <c r="F1089" s="116">
        <v>82.5</v>
      </c>
      <c r="G1089">
        <v>154767</v>
      </c>
      <c r="H1089" s="116"/>
      <c r="I1089" s="116"/>
      <c r="L1089" s="169">
        <v>43608</v>
      </c>
      <c r="M1089" s="116">
        <v>41.2</v>
      </c>
      <c r="N1089" s="116">
        <v>42.45</v>
      </c>
      <c r="O1089" s="116">
        <v>41</v>
      </c>
      <c r="P1089" s="116">
        <v>41.875</v>
      </c>
      <c r="Q1089" s="116">
        <v>82.4</v>
      </c>
      <c r="R1089">
        <v>723315</v>
      </c>
    </row>
    <row r="1090" spans="1:18" x14ac:dyDescent="0.25">
      <c r="A1090" s="169">
        <v>43609</v>
      </c>
      <c r="B1090" s="116">
        <v>43.5</v>
      </c>
      <c r="C1090" s="116">
        <v>43.2</v>
      </c>
      <c r="D1090" s="116">
        <v>40.975000000000001</v>
      </c>
      <c r="E1090" s="116">
        <v>41.7</v>
      </c>
      <c r="F1090" s="116">
        <v>86.4</v>
      </c>
      <c r="G1090">
        <v>90058</v>
      </c>
      <c r="H1090" s="116"/>
      <c r="I1090" s="116"/>
      <c r="L1090" s="169">
        <v>43609</v>
      </c>
      <c r="M1090" s="116">
        <v>43.375</v>
      </c>
      <c r="N1090" s="116">
        <v>43.6</v>
      </c>
      <c r="O1090" s="116">
        <v>41</v>
      </c>
      <c r="P1090" s="116">
        <v>41.45</v>
      </c>
      <c r="Q1090" s="116">
        <v>86.75</v>
      </c>
      <c r="R1090">
        <v>1055876</v>
      </c>
    </row>
    <row r="1091" spans="1:18" x14ac:dyDescent="0.25">
      <c r="A1091" s="169">
        <v>43612</v>
      </c>
      <c r="B1091" s="116">
        <v>44.9</v>
      </c>
      <c r="C1091" s="116">
        <v>43.975000000000001</v>
      </c>
      <c r="D1091" s="116">
        <v>42.75</v>
      </c>
      <c r="E1091" s="116">
        <v>43.375</v>
      </c>
      <c r="F1091" s="116">
        <v>87.95</v>
      </c>
      <c r="G1091">
        <v>162898</v>
      </c>
      <c r="H1091" s="116"/>
      <c r="I1091" s="116"/>
      <c r="L1091" s="169">
        <v>43612</v>
      </c>
      <c r="M1091" s="116">
        <v>44</v>
      </c>
      <c r="N1091" s="116">
        <v>44.975000000000001</v>
      </c>
      <c r="O1091" s="116">
        <v>42.75</v>
      </c>
      <c r="P1091" s="116">
        <v>43.4</v>
      </c>
      <c r="Q1091" s="116">
        <v>88</v>
      </c>
      <c r="R1091">
        <v>1141387</v>
      </c>
    </row>
    <row r="1092" spans="1:18" x14ac:dyDescent="0.25">
      <c r="A1092" s="169">
        <v>43613</v>
      </c>
      <c r="B1092" s="116">
        <v>46.35</v>
      </c>
      <c r="C1092" s="116">
        <v>46.05</v>
      </c>
      <c r="D1092" s="116">
        <v>43.95</v>
      </c>
      <c r="E1092" s="116">
        <v>44</v>
      </c>
      <c r="F1092" s="116">
        <v>92.1</v>
      </c>
      <c r="G1092">
        <v>185908</v>
      </c>
      <c r="H1092" s="116"/>
      <c r="I1092" s="116"/>
      <c r="L1092" s="169">
        <v>43613</v>
      </c>
      <c r="M1092" s="116">
        <v>46.024999999999999</v>
      </c>
      <c r="N1092" s="116">
        <v>46.4</v>
      </c>
      <c r="O1092" s="116">
        <v>43.875</v>
      </c>
      <c r="P1092" s="116">
        <v>44</v>
      </c>
      <c r="Q1092" s="116">
        <v>92.05</v>
      </c>
      <c r="R1092">
        <v>1276038</v>
      </c>
    </row>
    <row r="1093" spans="1:18" x14ac:dyDescent="0.25">
      <c r="A1093" s="169">
        <v>43614</v>
      </c>
      <c r="B1093" s="116">
        <v>46.2</v>
      </c>
      <c r="C1093" s="116">
        <v>44.674999999999997</v>
      </c>
      <c r="D1093" s="116">
        <v>44.524999999999999</v>
      </c>
      <c r="E1093" s="116">
        <v>46.024999999999999</v>
      </c>
      <c r="F1093" s="116">
        <v>89.35</v>
      </c>
      <c r="G1093">
        <v>79792</v>
      </c>
      <c r="H1093" s="116"/>
      <c r="I1093" s="116"/>
      <c r="L1093" s="169">
        <v>43614</v>
      </c>
      <c r="M1093" s="116">
        <v>44.725000000000001</v>
      </c>
      <c r="N1093" s="116">
        <v>46.25</v>
      </c>
      <c r="O1093" s="116">
        <v>44.5</v>
      </c>
      <c r="P1093" s="116">
        <v>46.174999999999997</v>
      </c>
      <c r="Q1093" s="116">
        <v>89.45</v>
      </c>
      <c r="R1093">
        <v>590131</v>
      </c>
    </row>
    <row r="1094" spans="1:18" x14ac:dyDescent="0.25">
      <c r="A1094" s="169">
        <v>43615</v>
      </c>
      <c r="B1094" s="116">
        <v>44.975000000000001</v>
      </c>
      <c r="C1094" s="116">
        <v>44.45</v>
      </c>
      <c r="D1094" s="116">
        <v>43.5</v>
      </c>
      <c r="E1094" s="116">
        <v>44.774999999999999</v>
      </c>
      <c r="F1094" s="116">
        <v>88.9</v>
      </c>
      <c r="G1094">
        <v>56121</v>
      </c>
      <c r="H1094" s="116"/>
      <c r="I1094" s="116"/>
      <c r="L1094" s="169">
        <v>43615</v>
      </c>
      <c r="M1094" s="116">
        <v>44.475000000000001</v>
      </c>
      <c r="N1094" s="116">
        <v>44.85</v>
      </c>
      <c r="O1094" s="116">
        <v>43.45</v>
      </c>
      <c r="P1094" s="116">
        <v>44.725000000000001</v>
      </c>
      <c r="Q1094" s="116">
        <v>88.95</v>
      </c>
      <c r="R1094">
        <v>651534</v>
      </c>
    </row>
    <row r="1095" spans="1:18" x14ac:dyDescent="0.25">
      <c r="A1095" s="169">
        <v>43616</v>
      </c>
      <c r="B1095" s="116">
        <v>45.75</v>
      </c>
      <c r="C1095" s="116">
        <v>43.9</v>
      </c>
      <c r="D1095" s="116">
        <v>43.15</v>
      </c>
      <c r="E1095" s="116">
        <v>44.725000000000001</v>
      </c>
      <c r="F1095" s="116">
        <v>87.8</v>
      </c>
      <c r="G1095">
        <v>253309</v>
      </c>
      <c r="H1095" s="116"/>
      <c r="I1095" s="116"/>
      <c r="L1095" s="169">
        <v>43616</v>
      </c>
      <c r="M1095" s="116">
        <v>44.125</v>
      </c>
      <c r="N1095" s="116">
        <v>45.65</v>
      </c>
      <c r="O1095" s="116">
        <v>43.4</v>
      </c>
      <c r="P1095" s="116">
        <v>44.5</v>
      </c>
      <c r="Q1095" s="116">
        <v>88.25</v>
      </c>
      <c r="R1095">
        <v>832198</v>
      </c>
    </row>
    <row r="1096" spans="1:18" x14ac:dyDescent="0.25">
      <c r="A1096" s="169">
        <v>43619</v>
      </c>
      <c r="B1096" s="116">
        <v>45.35</v>
      </c>
      <c r="C1096" s="116">
        <v>44.4</v>
      </c>
      <c r="D1096" s="116">
        <v>43.125</v>
      </c>
      <c r="E1096" s="116">
        <v>44.25</v>
      </c>
      <c r="F1096" s="116">
        <v>88.8</v>
      </c>
      <c r="G1096">
        <v>51950</v>
      </c>
      <c r="H1096" s="116"/>
      <c r="I1096" s="116"/>
      <c r="L1096" s="169">
        <v>43619</v>
      </c>
      <c r="M1096" s="116">
        <v>44.575000000000003</v>
      </c>
      <c r="N1096" s="116">
        <v>45.4</v>
      </c>
      <c r="O1096" s="116">
        <v>43.6</v>
      </c>
      <c r="P1096" s="116">
        <v>44.225000000000001</v>
      </c>
      <c r="Q1096" s="116">
        <v>89.15</v>
      </c>
      <c r="R1096">
        <v>704716</v>
      </c>
    </row>
    <row r="1097" spans="1:18" x14ac:dyDescent="0.25">
      <c r="A1097" s="169">
        <v>43620</v>
      </c>
      <c r="B1097" s="116">
        <v>45.174999999999997</v>
      </c>
      <c r="C1097" s="116">
        <v>43.9</v>
      </c>
      <c r="D1097" s="116">
        <v>43.65</v>
      </c>
      <c r="E1097" s="116">
        <v>44.7</v>
      </c>
      <c r="F1097" s="116">
        <v>87.8</v>
      </c>
      <c r="G1097">
        <v>78911</v>
      </c>
      <c r="H1097" s="116"/>
      <c r="I1097" s="116"/>
      <c r="L1097" s="169">
        <v>43620</v>
      </c>
      <c r="M1097" s="116">
        <v>43.924999999999997</v>
      </c>
      <c r="N1097" s="116">
        <v>45.25</v>
      </c>
      <c r="O1097" s="116">
        <v>43.725000000000001</v>
      </c>
      <c r="P1097" s="116">
        <v>44.674999999999997</v>
      </c>
      <c r="Q1097" s="116">
        <v>87.85</v>
      </c>
      <c r="R1097">
        <v>561812</v>
      </c>
    </row>
    <row r="1098" spans="1:18" x14ac:dyDescent="0.25">
      <c r="A1098" s="169">
        <v>43622</v>
      </c>
      <c r="B1098" s="116">
        <v>44.5</v>
      </c>
      <c r="C1098" s="116">
        <v>42.95</v>
      </c>
      <c r="D1098" s="116">
        <v>42.774999999999999</v>
      </c>
      <c r="E1098" s="116">
        <v>44.475000000000001</v>
      </c>
      <c r="F1098" s="116">
        <v>85.9</v>
      </c>
      <c r="G1098">
        <v>71202</v>
      </c>
      <c r="H1098" s="116"/>
      <c r="I1098" s="116"/>
      <c r="L1098" s="169">
        <v>43622</v>
      </c>
      <c r="M1098" s="116">
        <v>42.85</v>
      </c>
      <c r="N1098" s="116">
        <v>44.475000000000001</v>
      </c>
      <c r="O1098" s="116">
        <v>42.625</v>
      </c>
      <c r="P1098" s="116">
        <v>44.125</v>
      </c>
      <c r="Q1098" s="116">
        <v>85.7</v>
      </c>
      <c r="R1098">
        <v>547907</v>
      </c>
    </row>
    <row r="1099" spans="1:18" x14ac:dyDescent="0.25">
      <c r="A1099" s="169">
        <v>43623</v>
      </c>
      <c r="B1099" s="116">
        <v>43.375</v>
      </c>
      <c r="C1099" s="116">
        <v>42.6</v>
      </c>
      <c r="D1099" s="116">
        <v>42.225000000000001</v>
      </c>
      <c r="E1099" s="116">
        <v>43.024999999999999</v>
      </c>
      <c r="F1099" s="116">
        <v>85.2</v>
      </c>
      <c r="G1099">
        <v>76207</v>
      </c>
      <c r="H1099" s="116"/>
      <c r="I1099" s="116"/>
      <c r="L1099" s="169">
        <v>43623</v>
      </c>
      <c r="M1099" s="116">
        <v>42.575000000000003</v>
      </c>
      <c r="N1099" s="116">
        <v>43.4</v>
      </c>
      <c r="O1099" s="116">
        <v>42.174999999999997</v>
      </c>
      <c r="P1099" s="116">
        <v>42.674999999999997</v>
      </c>
      <c r="Q1099" s="116">
        <v>85.15</v>
      </c>
      <c r="R1099">
        <v>369010</v>
      </c>
    </row>
    <row r="1100" spans="1:18" x14ac:dyDescent="0.25">
      <c r="A1100" s="169">
        <v>43626</v>
      </c>
      <c r="B1100" s="116">
        <v>43.5</v>
      </c>
      <c r="C1100" s="116">
        <v>42.55</v>
      </c>
      <c r="D1100" s="116">
        <v>42.274999999999999</v>
      </c>
      <c r="E1100" s="116">
        <v>43.225000000000001</v>
      </c>
      <c r="F1100" s="116">
        <v>85.1</v>
      </c>
      <c r="G1100">
        <v>34123</v>
      </c>
      <c r="H1100" s="116"/>
      <c r="I1100" s="116"/>
      <c r="L1100" s="169">
        <v>43626</v>
      </c>
      <c r="M1100" s="116">
        <v>42.575000000000003</v>
      </c>
      <c r="N1100" s="116">
        <v>43.5</v>
      </c>
      <c r="O1100" s="116">
        <v>42.35</v>
      </c>
      <c r="P1100" s="116">
        <v>42.75</v>
      </c>
      <c r="Q1100" s="116">
        <v>85.15</v>
      </c>
      <c r="R1100">
        <v>428057</v>
      </c>
    </row>
    <row r="1101" spans="1:18" x14ac:dyDescent="0.25">
      <c r="A1101" s="169">
        <v>43627</v>
      </c>
      <c r="B1101" s="116">
        <v>42.85</v>
      </c>
      <c r="C1101" s="116">
        <v>42.6</v>
      </c>
      <c r="D1101" s="116">
        <v>42.15</v>
      </c>
      <c r="E1101" s="116">
        <v>42.375</v>
      </c>
      <c r="F1101" s="116">
        <v>85.2</v>
      </c>
      <c r="G1101">
        <v>22655</v>
      </c>
      <c r="H1101" s="116"/>
      <c r="I1101" s="116"/>
      <c r="L1101" s="169">
        <v>43627</v>
      </c>
      <c r="M1101" s="116">
        <v>42.625</v>
      </c>
      <c r="N1101" s="116">
        <v>42.924999999999997</v>
      </c>
      <c r="O1101" s="116">
        <v>42.1</v>
      </c>
      <c r="P1101" s="116">
        <v>42.424999999999997</v>
      </c>
      <c r="Q1101" s="116">
        <v>85.25</v>
      </c>
      <c r="R1101">
        <v>292778</v>
      </c>
    </row>
    <row r="1102" spans="1:18" x14ac:dyDescent="0.25">
      <c r="A1102" s="169">
        <v>43628</v>
      </c>
      <c r="B1102" s="116">
        <v>42.9</v>
      </c>
      <c r="C1102" s="116">
        <v>41.875</v>
      </c>
      <c r="D1102" s="116">
        <v>41.65</v>
      </c>
      <c r="E1102" s="116">
        <v>42.5</v>
      </c>
      <c r="F1102" s="116">
        <v>83.75</v>
      </c>
      <c r="G1102">
        <v>34275</v>
      </c>
      <c r="H1102" s="116"/>
      <c r="I1102" s="116"/>
      <c r="L1102" s="169">
        <v>43628</v>
      </c>
      <c r="M1102" s="116">
        <v>41.75</v>
      </c>
      <c r="N1102" s="116">
        <v>43</v>
      </c>
      <c r="O1102" s="116">
        <v>41.55</v>
      </c>
      <c r="P1102" s="116">
        <v>42.475000000000001</v>
      </c>
      <c r="Q1102" s="116">
        <v>83.5</v>
      </c>
      <c r="R1102">
        <v>270013</v>
      </c>
    </row>
    <row r="1103" spans="1:18" x14ac:dyDescent="0.25">
      <c r="A1103" s="169">
        <v>43629</v>
      </c>
      <c r="B1103" s="116">
        <v>41.9</v>
      </c>
      <c r="C1103" s="116">
        <v>41.2</v>
      </c>
      <c r="D1103" s="116">
        <v>41.05</v>
      </c>
      <c r="E1103" s="116">
        <v>41.524999999999999</v>
      </c>
      <c r="F1103" s="116">
        <v>82.4</v>
      </c>
      <c r="G1103">
        <v>39652</v>
      </c>
      <c r="H1103" s="116"/>
      <c r="I1103" s="116"/>
      <c r="L1103" s="169">
        <v>43629</v>
      </c>
      <c r="M1103" s="116">
        <v>41.1</v>
      </c>
      <c r="N1103" s="116">
        <v>41.924999999999997</v>
      </c>
      <c r="O1103" s="116">
        <v>41</v>
      </c>
      <c r="P1103" s="116">
        <v>41.45</v>
      </c>
      <c r="Q1103" s="116">
        <v>82.2</v>
      </c>
      <c r="R1103">
        <v>248254</v>
      </c>
    </row>
    <row r="1104" spans="1:18" x14ac:dyDescent="0.25">
      <c r="A1104" s="169">
        <v>43630</v>
      </c>
      <c r="B1104" s="116">
        <v>41.45</v>
      </c>
      <c r="C1104" s="116">
        <v>40.924999999999997</v>
      </c>
      <c r="D1104" s="116">
        <v>40.5</v>
      </c>
      <c r="E1104" s="116">
        <v>41.05</v>
      </c>
      <c r="F1104" s="116">
        <v>81.849999999999994</v>
      </c>
      <c r="G1104">
        <v>67173</v>
      </c>
      <c r="H1104" s="116"/>
      <c r="I1104" s="116"/>
      <c r="L1104" s="169">
        <v>43630</v>
      </c>
      <c r="M1104" s="116">
        <v>40.975000000000001</v>
      </c>
      <c r="N1104" s="116">
        <v>41.475000000000001</v>
      </c>
      <c r="O1104" s="116">
        <v>40.524999999999999</v>
      </c>
      <c r="P1104" s="116">
        <v>41</v>
      </c>
      <c r="Q1104" s="116">
        <v>81.95</v>
      </c>
      <c r="R1104">
        <v>283075</v>
      </c>
    </row>
    <row r="1105" spans="1:18" x14ac:dyDescent="0.25">
      <c r="A1105" s="169">
        <v>43633</v>
      </c>
      <c r="B1105" s="116">
        <v>40.9</v>
      </c>
      <c r="C1105" s="116">
        <v>40.575000000000003</v>
      </c>
      <c r="D1105" s="116">
        <v>40.375</v>
      </c>
      <c r="E1105" s="116">
        <v>40.6</v>
      </c>
      <c r="F1105" s="116">
        <v>81.150000000000006</v>
      </c>
      <c r="G1105">
        <v>38862</v>
      </c>
      <c r="H1105" s="116"/>
      <c r="I1105" s="116"/>
      <c r="L1105" s="169">
        <v>43633</v>
      </c>
      <c r="M1105" s="116">
        <v>40.575000000000003</v>
      </c>
      <c r="N1105" s="116">
        <v>40.924999999999997</v>
      </c>
      <c r="O1105" s="116">
        <v>40.299999999999997</v>
      </c>
      <c r="P1105" s="116">
        <v>40.75</v>
      </c>
      <c r="Q1105" s="116">
        <v>81.150000000000006</v>
      </c>
      <c r="R1105">
        <v>279461</v>
      </c>
    </row>
    <row r="1106" spans="1:18" x14ac:dyDescent="0.25">
      <c r="A1106" s="169">
        <v>43634</v>
      </c>
      <c r="B1106" s="116">
        <v>40.799999999999997</v>
      </c>
      <c r="C1106" s="116">
        <v>40.274999999999999</v>
      </c>
      <c r="D1106" s="116">
        <v>40.1</v>
      </c>
      <c r="E1106" s="116">
        <v>40.625</v>
      </c>
      <c r="F1106" s="116">
        <v>80.55</v>
      </c>
      <c r="G1106">
        <v>134102</v>
      </c>
      <c r="H1106" s="116"/>
      <c r="I1106" s="116"/>
      <c r="L1106" s="169">
        <v>43634</v>
      </c>
      <c r="M1106" s="116">
        <v>40.35</v>
      </c>
      <c r="N1106" s="116">
        <v>40.774999999999999</v>
      </c>
      <c r="O1106" s="116">
        <v>40.1</v>
      </c>
      <c r="P1106" s="116">
        <v>40.5</v>
      </c>
      <c r="Q1106" s="116">
        <v>80.7</v>
      </c>
      <c r="R1106">
        <v>180923</v>
      </c>
    </row>
    <row r="1107" spans="1:18" x14ac:dyDescent="0.25">
      <c r="A1107" s="169">
        <v>43635</v>
      </c>
      <c r="B1107" s="116">
        <v>41.15</v>
      </c>
      <c r="C1107" s="116">
        <v>39.200000000000003</v>
      </c>
      <c r="D1107" s="116">
        <v>38.975000000000001</v>
      </c>
      <c r="E1107" s="116">
        <v>40.85</v>
      </c>
      <c r="F1107" s="116">
        <v>78.400000000000006</v>
      </c>
      <c r="G1107">
        <v>99360</v>
      </c>
      <c r="H1107" s="116"/>
      <c r="I1107" s="116"/>
      <c r="L1107" s="169">
        <v>43635</v>
      </c>
      <c r="M1107" s="116">
        <v>39.174999999999997</v>
      </c>
      <c r="N1107" s="116">
        <v>41.174999999999997</v>
      </c>
      <c r="O1107" s="116">
        <v>39</v>
      </c>
      <c r="P1107" s="116">
        <v>40.65</v>
      </c>
      <c r="Q1107" s="116">
        <v>78.349999999999994</v>
      </c>
      <c r="R1107">
        <v>367546</v>
      </c>
    </row>
    <row r="1108" spans="1:18" x14ac:dyDescent="0.25">
      <c r="A1108" s="169">
        <v>43636</v>
      </c>
      <c r="B1108" s="116">
        <v>40.274999999999999</v>
      </c>
      <c r="C1108" s="116">
        <v>40.075000000000003</v>
      </c>
      <c r="D1108" s="116">
        <v>38.549999999999997</v>
      </c>
      <c r="E1108" s="116">
        <v>39.125</v>
      </c>
      <c r="F1108" s="116">
        <v>80.150000000000006</v>
      </c>
      <c r="G1108">
        <v>102789</v>
      </c>
      <c r="H1108" s="116"/>
      <c r="I1108" s="116"/>
      <c r="L1108" s="169">
        <v>43636</v>
      </c>
      <c r="M1108" s="116">
        <v>40.1</v>
      </c>
      <c r="N1108" s="116">
        <v>40.325000000000003</v>
      </c>
      <c r="O1108" s="116">
        <v>38.475000000000001</v>
      </c>
      <c r="P1108" s="116">
        <v>39.049999999999997</v>
      </c>
      <c r="Q1108" s="116">
        <v>80.2</v>
      </c>
      <c r="R1108">
        <v>322480</v>
      </c>
    </row>
    <row r="1109" spans="1:18" x14ac:dyDescent="0.25">
      <c r="A1109" s="169">
        <v>43637</v>
      </c>
      <c r="B1109" s="116">
        <v>41.375</v>
      </c>
      <c r="C1109" s="116">
        <v>40.524999999999999</v>
      </c>
      <c r="D1109" s="116">
        <v>40.15</v>
      </c>
      <c r="E1109" s="116">
        <v>40.5</v>
      </c>
      <c r="F1109" s="116">
        <v>81.05</v>
      </c>
      <c r="G1109">
        <v>123292</v>
      </c>
      <c r="H1109" s="116"/>
      <c r="I1109" s="116"/>
      <c r="L1109" s="169">
        <v>43637</v>
      </c>
      <c r="M1109" s="116">
        <v>40.575000000000003</v>
      </c>
      <c r="N1109" s="116">
        <v>41.35</v>
      </c>
      <c r="O1109" s="116">
        <v>40.049999999999997</v>
      </c>
      <c r="P1109" s="116">
        <v>40.424999999999997</v>
      </c>
      <c r="Q1109" s="116">
        <v>81.150000000000006</v>
      </c>
      <c r="R1109">
        <v>396861</v>
      </c>
    </row>
    <row r="1110" spans="1:18" x14ac:dyDescent="0.25">
      <c r="A1110" s="169">
        <v>43640</v>
      </c>
      <c r="B1110" s="116">
        <v>41.45</v>
      </c>
      <c r="C1110" s="116">
        <v>40.9</v>
      </c>
      <c r="D1110" s="116">
        <v>40.674999999999997</v>
      </c>
      <c r="E1110" s="116">
        <v>41.2</v>
      </c>
      <c r="F1110" s="116">
        <v>81.8</v>
      </c>
      <c r="G1110">
        <v>29585</v>
      </c>
      <c r="H1110" s="116"/>
      <c r="I1110" s="116"/>
      <c r="L1110" s="169">
        <v>43640</v>
      </c>
      <c r="M1110" s="116">
        <v>40.975000000000001</v>
      </c>
      <c r="N1110" s="116">
        <v>41.5</v>
      </c>
      <c r="O1110" s="116">
        <v>40.700000000000003</v>
      </c>
      <c r="P1110" s="116">
        <v>41</v>
      </c>
      <c r="Q1110" s="116">
        <v>81.95</v>
      </c>
      <c r="R1110">
        <v>328751</v>
      </c>
    </row>
    <row r="1111" spans="1:18" x14ac:dyDescent="0.25">
      <c r="A1111" s="169">
        <v>43641</v>
      </c>
      <c r="B1111" s="116">
        <v>41.4</v>
      </c>
      <c r="C1111" s="116">
        <v>41.3</v>
      </c>
      <c r="D1111" s="116">
        <v>40.6</v>
      </c>
      <c r="E1111" s="116">
        <v>40.875</v>
      </c>
      <c r="F1111" s="116">
        <v>82.6</v>
      </c>
      <c r="G1111">
        <v>68367</v>
      </c>
      <c r="H1111" s="116"/>
      <c r="I1111" s="116"/>
      <c r="L1111" s="169">
        <v>43641</v>
      </c>
      <c r="M1111" s="116">
        <v>41.35</v>
      </c>
      <c r="N1111" s="116">
        <v>41.5</v>
      </c>
      <c r="O1111" s="116">
        <v>40.4</v>
      </c>
      <c r="P1111" s="116">
        <v>40.85</v>
      </c>
      <c r="Q1111" s="116">
        <v>82.7</v>
      </c>
      <c r="R1111">
        <v>200443</v>
      </c>
    </row>
    <row r="1112" spans="1:18" x14ac:dyDescent="0.25">
      <c r="A1112" s="169">
        <v>43642</v>
      </c>
      <c r="B1112" s="116">
        <v>42.174999999999997</v>
      </c>
      <c r="C1112" s="116">
        <v>42.024999999999999</v>
      </c>
      <c r="D1112" s="116">
        <v>40.799999999999997</v>
      </c>
      <c r="E1112" s="116">
        <v>41.4</v>
      </c>
      <c r="F1112" s="116">
        <v>84.05</v>
      </c>
      <c r="G1112">
        <v>90071</v>
      </c>
      <c r="H1112" s="116"/>
      <c r="I1112" s="116"/>
      <c r="L1112" s="169">
        <v>43642</v>
      </c>
      <c r="M1112" s="116">
        <v>42.05</v>
      </c>
      <c r="N1112" s="116">
        <v>42.5</v>
      </c>
      <c r="O1112" s="116">
        <v>40.799999999999997</v>
      </c>
      <c r="P1112" s="116">
        <v>41.575000000000003</v>
      </c>
      <c r="Q1112" s="116">
        <v>84.1</v>
      </c>
      <c r="R1112">
        <v>340757</v>
      </c>
    </row>
    <row r="1113" spans="1:18" x14ac:dyDescent="0.25">
      <c r="A1113" s="169">
        <v>43643</v>
      </c>
      <c r="B1113" s="116">
        <v>42.875</v>
      </c>
      <c r="C1113" s="116">
        <v>42.35</v>
      </c>
      <c r="D1113" s="116">
        <v>41.8</v>
      </c>
      <c r="E1113" s="116">
        <v>41.85</v>
      </c>
      <c r="F1113" s="116">
        <v>84.7</v>
      </c>
      <c r="G1113">
        <v>88526</v>
      </c>
      <c r="H1113" s="116"/>
      <c r="I1113" s="116"/>
      <c r="L1113" s="169">
        <v>43643</v>
      </c>
      <c r="M1113" s="116">
        <v>42.375</v>
      </c>
      <c r="N1113" s="116">
        <v>42.95</v>
      </c>
      <c r="O1113" s="116">
        <v>41.65</v>
      </c>
      <c r="P1113" s="116">
        <v>42.05</v>
      </c>
      <c r="Q1113" s="116">
        <v>84.75</v>
      </c>
      <c r="R1113">
        <v>381561</v>
      </c>
    </row>
    <row r="1114" spans="1:18" x14ac:dyDescent="0.25">
      <c r="A1114" s="169">
        <v>43644</v>
      </c>
      <c r="B1114" s="116">
        <v>42.75</v>
      </c>
      <c r="C1114" s="116">
        <v>41.625</v>
      </c>
      <c r="D1114" s="116">
        <v>41.5</v>
      </c>
      <c r="E1114" s="116">
        <v>41.674999999999997</v>
      </c>
      <c r="F1114" s="116">
        <v>83.25</v>
      </c>
      <c r="G1114">
        <v>44440</v>
      </c>
      <c r="H1114" s="116"/>
      <c r="I1114" s="116"/>
      <c r="L1114" s="169">
        <v>43644</v>
      </c>
      <c r="M1114" s="116">
        <v>41.625</v>
      </c>
      <c r="N1114" s="116">
        <v>42.85</v>
      </c>
      <c r="O1114" s="116">
        <v>41.55</v>
      </c>
      <c r="P1114" s="116">
        <v>42.05</v>
      </c>
      <c r="Q1114" s="116">
        <v>83.25</v>
      </c>
      <c r="R1114">
        <v>320967</v>
      </c>
    </row>
    <row r="1115" spans="1:18" x14ac:dyDescent="0.25">
      <c r="A1115" s="169">
        <v>43647</v>
      </c>
      <c r="B1115" s="116">
        <v>42.375</v>
      </c>
      <c r="C1115" s="116">
        <v>41.975000000000001</v>
      </c>
      <c r="D1115" s="116">
        <v>41.8</v>
      </c>
      <c r="E1115" s="116">
        <v>42.174999999999997</v>
      </c>
      <c r="F1115" s="116">
        <v>83.95</v>
      </c>
      <c r="G1115">
        <v>26142</v>
      </c>
      <c r="H1115" s="116"/>
      <c r="I1115" s="116"/>
      <c r="L1115" s="169">
        <v>43647</v>
      </c>
      <c r="M1115" s="116">
        <v>42</v>
      </c>
      <c r="N1115" s="116">
        <v>42.4</v>
      </c>
      <c r="O1115" s="116">
        <v>41.625</v>
      </c>
      <c r="P1115" s="116">
        <v>41.774999999999999</v>
      </c>
      <c r="Q1115" s="116">
        <v>84</v>
      </c>
      <c r="R1115">
        <v>196828</v>
      </c>
    </row>
    <row r="1116" spans="1:18" x14ac:dyDescent="0.25">
      <c r="A1116" s="169">
        <v>43648</v>
      </c>
      <c r="B1116" s="116">
        <v>41.9</v>
      </c>
      <c r="C1116" s="116">
        <v>41.3</v>
      </c>
      <c r="D1116" s="116">
        <v>41.2</v>
      </c>
      <c r="E1116" s="116">
        <v>41.75</v>
      </c>
      <c r="F1116" s="116">
        <v>82.6</v>
      </c>
      <c r="G1116">
        <v>17486</v>
      </c>
      <c r="H1116" s="116"/>
      <c r="I1116" s="116"/>
      <c r="L1116" s="169">
        <v>43648</v>
      </c>
      <c r="M1116" s="116">
        <v>41.35</v>
      </c>
      <c r="N1116" s="116">
        <v>41.924999999999997</v>
      </c>
      <c r="O1116" s="116">
        <v>41.174999999999997</v>
      </c>
      <c r="P1116" s="116">
        <v>41.825000000000003</v>
      </c>
      <c r="Q1116" s="116">
        <v>82.7</v>
      </c>
      <c r="R1116">
        <v>141492</v>
      </c>
    </row>
    <row r="1117" spans="1:18" x14ac:dyDescent="0.25">
      <c r="A1117" s="169">
        <v>43649</v>
      </c>
      <c r="B1117" s="116">
        <v>42.3</v>
      </c>
      <c r="C1117" s="116">
        <v>41.7</v>
      </c>
      <c r="D1117" s="116">
        <v>41.1</v>
      </c>
      <c r="E1117" s="116">
        <v>41.725000000000001</v>
      </c>
      <c r="F1117" s="116">
        <v>83.4</v>
      </c>
      <c r="G1117">
        <v>78488</v>
      </c>
      <c r="H1117" s="116"/>
      <c r="I1117" s="116"/>
      <c r="L1117" s="169">
        <v>43649</v>
      </c>
      <c r="M1117" s="116">
        <v>41.75</v>
      </c>
      <c r="N1117" s="116">
        <v>42.3</v>
      </c>
      <c r="O1117" s="116">
        <v>41.25</v>
      </c>
      <c r="P1117" s="116">
        <v>41.274999999999999</v>
      </c>
      <c r="Q1117" s="116">
        <v>83.5</v>
      </c>
      <c r="R1117">
        <v>296336</v>
      </c>
    </row>
    <row r="1118" spans="1:18" x14ac:dyDescent="0.25">
      <c r="A1118" s="169">
        <v>43650</v>
      </c>
      <c r="B1118" s="116">
        <v>42.7</v>
      </c>
      <c r="C1118" s="116">
        <v>42.1</v>
      </c>
      <c r="D1118" s="116">
        <v>41.975000000000001</v>
      </c>
      <c r="E1118" s="116">
        <v>42</v>
      </c>
      <c r="F1118" s="116">
        <v>84.2</v>
      </c>
      <c r="G1118">
        <v>32181</v>
      </c>
      <c r="H1118" s="116"/>
      <c r="I1118" s="116"/>
      <c r="L1118" s="169">
        <v>43650</v>
      </c>
      <c r="M1118" s="116">
        <v>42.15</v>
      </c>
      <c r="N1118" s="116">
        <v>42.75</v>
      </c>
      <c r="O1118" s="116">
        <v>41.7</v>
      </c>
      <c r="P1118" s="116">
        <v>41.7</v>
      </c>
      <c r="Q1118" s="116">
        <v>84.3</v>
      </c>
      <c r="R1118">
        <v>290592</v>
      </c>
    </row>
    <row r="1119" spans="1:18" x14ac:dyDescent="0.25">
      <c r="A1119" s="169">
        <v>43651</v>
      </c>
      <c r="B1119" s="116">
        <v>42.725000000000001</v>
      </c>
      <c r="C1119" s="116">
        <v>40.924999999999997</v>
      </c>
      <c r="D1119" s="116">
        <v>40.6</v>
      </c>
      <c r="E1119" s="116">
        <v>42.075000000000003</v>
      </c>
      <c r="F1119" s="116">
        <v>81.849999999999994</v>
      </c>
      <c r="G1119">
        <v>53835</v>
      </c>
      <c r="H1119" s="116"/>
      <c r="I1119" s="116"/>
      <c r="L1119" s="169">
        <v>43651</v>
      </c>
      <c r="M1119" s="116">
        <v>40.85</v>
      </c>
      <c r="N1119" s="116">
        <v>42.75</v>
      </c>
      <c r="O1119" s="116">
        <v>40.5</v>
      </c>
      <c r="P1119" s="116">
        <v>42.024999999999999</v>
      </c>
      <c r="Q1119" s="116">
        <v>81.7</v>
      </c>
      <c r="R1119">
        <v>316217</v>
      </c>
    </row>
    <row r="1120" spans="1:18" x14ac:dyDescent="0.25">
      <c r="A1120" s="169">
        <v>43654</v>
      </c>
      <c r="B1120" s="116">
        <v>40.25</v>
      </c>
      <c r="C1120" s="116">
        <v>39.274999999999999</v>
      </c>
      <c r="D1120" s="116">
        <v>39</v>
      </c>
      <c r="E1120" s="116">
        <v>40.25</v>
      </c>
      <c r="F1120" s="116">
        <v>78.55</v>
      </c>
      <c r="G1120">
        <v>69858</v>
      </c>
      <c r="H1120" s="116"/>
      <c r="I1120" s="116"/>
      <c r="L1120" s="169">
        <v>43654</v>
      </c>
      <c r="M1120" s="116">
        <v>39.325000000000003</v>
      </c>
      <c r="N1120" s="116">
        <v>40.450000000000003</v>
      </c>
      <c r="O1120" s="116">
        <v>38.924999999999997</v>
      </c>
      <c r="P1120" s="116">
        <v>40.450000000000003</v>
      </c>
      <c r="Q1120" s="116">
        <v>78.650000000000006</v>
      </c>
      <c r="R1120">
        <v>224349</v>
      </c>
    </row>
    <row r="1121" spans="1:18" x14ac:dyDescent="0.25">
      <c r="A1121" s="169">
        <v>43655</v>
      </c>
      <c r="B1121" s="116">
        <v>39.75</v>
      </c>
      <c r="C1121" s="116">
        <v>39.35</v>
      </c>
      <c r="D1121" s="116">
        <v>39</v>
      </c>
      <c r="E1121" s="116">
        <v>39.450000000000003</v>
      </c>
      <c r="F1121" s="116">
        <v>78.7</v>
      </c>
      <c r="G1121">
        <v>69010</v>
      </c>
      <c r="H1121" s="116"/>
      <c r="I1121" s="116"/>
      <c r="L1121" s="169">
        <v>43655</v>
      </c>
      <c r="M1121" s="116">
        <v>39.375</v>
      </c>
      <c r="N1121" s="116">
        <v>39.75</v>
      </c>
      <c r="O1121" s="116">
        <v>38.9</v>
      </c>
      <c r="P1121" s="116">
        <v>39.450000000000003</v>
      </c>
      <c r="Q1121" s="116">
        <v>78.75</v>
      </c>
      <c r="R1121">
        <v>199286</v>
      </c>
    </row>
    <row r="1122" spans="1:18" x14ac:dyDescent="0.25">
      <c r="A1122" s="169">
        <v>43656</v>
      </c>
      <c r="B1122" s="116">
        <v>39.65</v>
      </c>
      <c r="C1122" s="116">
        <v>38.5</v>
      </c>
      <c r="D1122" s="116">
        <v>38.325000000000003</v>
      </c>
      <c r="E1122" s="116">
        <v>39.65</v>
      </c>
      <c r="F1122" s="116">
        <v>77</v>
      </c>
      <c r="G1122">
        <v>83597</v>
      </c>
      <c r="H1122" s="116"/>
      <c r="I1122" s="116"/>
      <c r="L1122" s="169">
        <v>43656</v>
      </c>
      <c r="M1122" s="116">
        <v>38.475000000000001</v>
      </c>
      <c r="N1122" s="116">
        <v>39.6</v>
      </c>
      <c r="O1122" s="116">
        <v>38.325000000000003</v>
      </c>
      <c r="P1122" s="116">
        <v>39.25</v>
      </c>
      <c r="Q1122" s="116">
        <v>76.95</v>
      </c>
      <c r="R1122">
        <v>290970</v>
      </c>
    </row>
    <row r="1123" spans="1:18" x14ac:dyDescent="0.25">
      <c r="A1123" s="169">
        <v>43657</v>
      </c>
      <c r="B1123" s="116">
        <v>39</v>
      </c>
      <c r="C1123" s="116">
        <v>38.799999999999997</v>
      </c>
      <c r="D1123" s="116">
        <v>38.6</v>
      </c>
      <c r="E1123" s="116">
        <v>38.9</v>
      </c>
      <c r="F1123" s="116">
        <v>77.599999999999994</v>
      </c>
      <c r="G1123">
        <v>20794</v>
      </c>
      <c r="H1123" s="116"/>
      <c r="I1123" s="116"/>
      <c r="L1123" s="169">
        <v>43657</v>
      </c>
      <c r="M1123" s="116">
        <v>38.774999999999999</v>
      </c>
      <c r="N1123" s="116">
        <v>39.024999999999999</v>
      </c>
      <c r="O1123" s="116">
        <v>38.549999999999997</v>
      </c>
      <c r="P1123" s="116">
        <v>38.950000000000003</v>
      </c>
      <c r="Q1123" s="116">
        <v>77.55</v>
      </c>
      <c r="R1123">
        <v>174544</v>
      </c>
    </row>
    <row r="1124" spans="1:18" x14ac:dyDescent="0.25">
      <c r="A1124" s="169">
        <v>43658</v>
      </c>
      <c r="B1124" s="116">
        <v>39.25</v>
      </c>
      <c r="C1124" s="116">
        <v>38.325000000000003</v>
      </c>
      <c r="D1124" s="116">
        <v>38.25</v>
      </c>
      <c r="E1124" s="116">
        <v>39</v>
      </c>
      <c r="F1124" s="116">
        <v>76.650000000000006</v>
      </c>
      <c r="G1124">
        <v>41166</v>
      </c>
      <c r="H1124" s="116"/>
      <c r="I1124" s="116"/>
      <c r="L1124" s="169">
        <v>43658</v>
      </c>
      <c r="M1124" s="116">
        <v>38.4</v>
      </c>
      <c r="N1124" s="116">
        <v>39.274999999999999</v>
      </c>
      <c r="O1124" s="116">
        <v>38.25</v>
      </c>
      <c r="P1124" s="116">
        <v>38.75</v>
      </c>
      <c r="Q1124" s="116">
        <v>76.8</v>
      </c>
      <c r="R1124">
        <v>455114</v>
      </c>
    </row>
    <row r="1125" spans="1:18" x14ac:dyDescent="0.25">
      <c r="A1125" s="169">
        <v>43661</v>
      </c>
      <c r="B1125" s="116">
        <v>38.825000000000003</v>
      </c>
      <c r="C1125" s="116">
        <v>38.524999999999999</v>
      </c>
      <c r="D1125" s="116">
        <v>38.174999999999997</v>
      </c>
      <c r="E1125" s="116">
        <v>38.4</v>
      </c>
      <c r="F1125" s="116">
        <v>77.05</v>
      </c>
      <c r="G1125">
        <v>73293</v>
      </c>
      <c r="H1125" s="116"/>
      <c r="I1125" s="116"/>
      <c r="L1125" s="169">
        <v>43661</v>
      </c>
      <c r="M1125" s="116">
        <v>38.5</v>
      </c>
      <c r="N1125" s="116">
        <v>38.799999999999997</v>
      </c>
      <c r="O1125" s="116">
        <v>38.049999999999997</v>
      </c>
      <c r="P1125" s="116">
        <v>38.549999999999997</v>
      </c>
      <c r="Q1125" s="116">
        <v>77</v>
      </c>
      <c r="R1125">
        <v>278056</v>
      </c>
    </row>
    <row r="1126" spans="1:18" x14ac:dyDescent="0.25">
      <c r="A1126" s="169">
        <v>43662</v>
      </c>
      <c r="B1126" s="116">
        <v>39.4</v>
      </c>
      <c r="C1126" s="116">
        <v>39.075000000000003</v>
      </c>
      <c r="D1126" s="116">
        <v>38.35</v>
      </c>
      <c r="E1126" s="116">
        <v>38.35</v>
      </c>
      <c r="F1126" s="116">
        <v>78.150000000000006</v>
      </c>
      <c r="G1126">
        <v>48916</v>
      </c>
      <c r="H1126" s="116"/>
      <c r="I1126" s="116"/>
      <c r="L1126" s="169">
        <v>43662</v>
      </c>
      <c r="M1126" s="116">
        <v>39.075000000000003</v>
      </c>
      <c r="N1126" s="116">
        <v>39.424999999999997</v>
      </c>
      <c r="O1126" s="116">
        <v>38.1</v>
      </c>
      <c r="P1126" s="116">
        <v>38.5</v>
      </c>
      <c r="Q1126" s="116">
        <v>78.150000000000006</v>
      </c>
      <c r="R1126">
        <v>291593</v>
      </c>
    </row>
    <row r="1127" spans="1:18" x14ac:dyDescent="0.25">
      <c r="A1127" s="169">
        <v>43663</v>
      </c>
      <c r="B1127" s="116">
        <v>39.6</v>
      </c>
      <c r="C1127" s="116">
        <v>39.375</v>
      </c>
      <c r="D1127" s="116">
        <v>38.674999999999997</v>
      </c>
      <c r="E1127" s="116">
        <v>38.950000000000003</v>
      </c>
      <c r="F1127" s="116">
        <v>78.75</v>
      </c>
      <c r="G1127">
        <v>68307</v>
      </c>
      <c r="H1127" s="116"/>
      <c r="I1127" s="116"/>
      <c r="L1127" s="169">
        <v>43663</v>
      </c>
      <c r="M1127" s="116">
        <v>39.4</v>
      </c>
      <c r="N1127" s="116">
        <v>39.625</v>
      </c>
      <c r="O1127" s="116">
        <v>38.625</v>
      </c>
      <c r="P1127" s="116">
        <v>38.975000000000001</v>
      </c>
      <c r="Q1127" s="116">
        <v>78.8</v>
      </c>
      <c r="R1127">
        <v>274185</v>
      </c>
    </row>
    <row r="1128" spans="1:18" x14ac:dyDescent="0.25">
      <c r="A1128" s="169">
        <v>43664</v>
      </c>
      <c r="B1128" s="116">
        <v>39.825000000000003</v>
      </c>
      <c r="C1128" s="116">
        <v>38.549999999999997</v>
      </c>
      <c r="D1128" s="116">
        <v>38.35</v>
      </c>
      <c r="E1128" s="116">
        <v>39.049999999999997</v>
      </c>
      <c r="F1128" s="116">
        <v>77.099999999999994</v>
      </c>
      <c r="G1128">
        <v>34132</v>
      </c>
      <c r="H1128" s="116"/>
      <c r="I1128" s="116"/>
      <c r="L1128" s="169">
        <v>43664</v>
      </c>
      <c r="M1128" s="116">
        <v>38.6</v>
      </c>
      <c r="N1128" s="116">
        <v>39.825000000000003</v>
      </c>
      <c r="O1128" s="116">
        <v>38.4</v>
      </c>
      <c r="P1128" s="116">
        <v>39.4</v>
      </c>
      <c r="Q1128" s="116">
        <v>77.2</v>
      </c>
      <c r="R1128">
        <v>248157</v>
      </c>
    </row>
    <row r="1129" spans="1:18" x14ac:dyDescent="0.25">
      <c r="A1129" s="169">
        <v>43665</v>
      </c>
      <c r="B1129" s="116">
        <v>39.1</v>
      </c>
      <c r="C1129" s="116">
        <v>38.15</v>
      </c>
      <c r="D1129" s="116">
        <v>37.975000000000001</v>
      </c>
      <c r="E1129" s="116">
        <v>38.799999999999997</v>
      </c>
      <c r="F1129" s="116">
        <v>76.3</v>
      </c>
      <c r="G1129">
        <v>31961</v>
      </c>
      <c r="H1129" s="116"/>
      <c r="I1129" s="116"/>
      <c r="L1129" s="169">
        <v>43665</v>
      </c>
      <c r="M1129" s="116">
        <v>38.299999999999997</v>
      </c>
      <c r="N1129" s="116">
        <v>39.200000000000003</v>
      </c>
      <c r="O1129" s="116">
        <v>38</v>
      </c>
      <c r="P1129" s="116">
        <v>38.799999999999997</v>
      </c>
      <c r="Q1129" s="116">
        <v>76.599999999999994</v>
      </c>
      <c r="R1129">
        <v>193204</v>
      </c>
    </row>
    <row r="1130" spans="1:18" x14ac:dyDescent="0.25">
      <c r="A1130" s="169">
        <v>43668</v>
      </c>
      <c r="B1130" s="116">
        <v>38</v>
      </c>
      <c r="C1130" s="116">
        <v>37.125</v>
      </c>
      <c r="D1130" s="116">
        <v>36.9</v>
      </c>
      <c r="E1130" s="116">
        <v>38</v>
      </c>
      <c r="F1130" s="116">
        <v>74.25</v>
      </c>
      <c r="G1130">
        <v>46128</v>
      </c>
      <c r="H1130" s="116"/>
      <c r="I1130" s="116"/>
      <c r="L1130" s="169">
        <v>43668</v>
      </c>
      <c r="M1130" s="116">
        <v>37.1</v>
      </c>
      <c r="N1130" s="116">
        <v>38.299999999999997</v>
      </c>
      <c r="O1130" s="116">
        <v>36.875</v>
      </c>
      <c r="P1130" s="116">
        <v>38.299999999999997</v>
      </c>
      <c r="Q1130" s="116">
        <v>74.2</v>
      </c>
      <c r="R1130">
        <v>340328</v>
      </c>
    </row>
    <row r="1131" spans="1:18" x14ac:dyDescent="0.25">
      <c r="A1131" s="169">
        <v>43669</v>
      </c>
      <c r="B1131" s="116">
        <v>37.875</v>
      </c>
      <c r="C1131" s="116">
        <v>37.524999999999999</v>
      </c>
      <c r="D1131" s="116">
        <v>37</v>
      </c>
      <c r="E1131" s="116">
        <v>37.125</v>
      </c>
      <c r="F1131" s="116">
        <v>75.05</v>
      </c>
      <c r="G1131">
        <v>27592</v>
      </c>
      <c r="H1131" s="116"/>
      <c r="I1131" s="116"/>
      <c r="L1131" s="169">
        <v>43669</v>
      </c>
      <c r="M1131" s="116">
        <v>37.625</v>
      </c>
      <c r="N1131" s="116">
        <v>37.9</v>
      </c>
      <c r="O1131" s="116">
        <v>37.024999999999999</v>
      </c>
      <c r="P1131" s="116">
        <v>37.225000000000001</v>
      </c>
      <c r="Q1131" s="116">
        <v>75.25</v>
      </c>
      <c r="R1131">
        <v>176535</v>
      </c>
    </row>
    <row r="1132" spans="1:18" x14ac:dyDescent="0.25">
      <c r="A1132" s="169">
        <v>43670</v>
      </c>
      <c r="B1132" s="116">
        <v>39.5</v>
      </c>
      <c r="C1132" s="116">
        <v>38</v>
      </c>
      <c r="D1132" s="116">
        <v>36.9</v>
      </c>
      <c r="E1132" s="116">
        <v>37.75</v>
      </c>
      <c r="F1132" s="116">
        <v>76</v>
      </c>
      <c r="G1132">
        <v>52218</v>
      </c>
      <c r="H1132" s="116"/>
      <c r="I1132" s="116"/>
      <c r="L1132" s="169">
        <v>43670</v>
      </c>
      <c r="M1132" s="116">
        <v>38.174999999999997</v>
      </c>
      <c r="N1132" s="116">
        <v>39.9</v>
      </c>
      <c r="O1132" s="116">
        <v>36.85</v>
      </c>
      <c r="P1132" s="116">
        <v>37.5</v>
      </c>
      <c r="Q1132" s="116">
        <v>76.349999999999994</v>
      </c>
      <c r="R1132">
        <v>307059</v>
      </c>
    </row>
    <row r="1133" spans="1:18" x14ac:dyDescent="0.25">
      <c r="A1133" s="169">
        <v>43671</v>
      </c>
      <c r="B1133" s="116">
        <v>39.5</v>
      </c>
      <c r="C1133" s="116">
        <v>38.299999999999997</v>
      </c>
      <c r="D1133" s="116">
        <v>38.024999999999999</v>
      </c>
      <c r="E1133" s="116">
        <v>39.5</v>
      </c>
      <c r="F1133" s="116">
        <v>76.599999999999994</v>
      </c>
      <c r="G1133">
        <v>49052</v>
      </c>
      <c r="H1133" s="116"/>
      <c r="I1133" s="116"/>
      <c r="L1133" s="169">
        <v>43671</v>
      </c>
      <c r="M1133" s="116">
        <v>38.299999999999997</v>
      </c>
      <c r="N1133" s="116">
        <v>38.799999999999997</v>
      </c>
      <c r="O1133" s="116">
        <v>38</v>
      </c>
      <c r="P1133" s="116">
        <v>38.5</v>
      </c>
      <c r="Q1133" s="116">
        <v>76.599999999999994</v>
      </c>
      <c r="R1133">
        <v>215203</v>
      </c>
    </row>
    <row r="1134" spans="1:18" x14ac:dyDescent="0.25">
      <c r="A1134" s="169">
        <v>43672</v>
      </c>
      <c r="B1134" s="116">
        <v>38.25</v>
      </c>
      <c r="C1134" s="116">
        <v>37.799999999999997</v>
      </c>
      <c r="D1134" s="116">
        <v>37.5</v>
      </c>
      <c r="E1134" s="116">
        <v>38</v>
      </c>
      <c r="F1134" s="116">
        <v>75.599999999999994</v>
      </c>
      <c r="G1134">
        <v>44882</v>
      </c>
      <c r="H1134" s="116"/>
      <c r="I1134" s="116"/>
      <c r="L1134" s="169">
        <v>43672</v>
      </c>
      <c r="M1134" s="116">
        <v>37.85</v>
      </c>
      <c r="N1134" s="116">
        <v>38.25</v>
      </c>
      <c r="O1134" s="116">
        <v>37.524999999999999</v>
      </c>
      <c r="P1134" s="116">
        <v>38</v>
      </c>
      <c r="Q1134" s="116">
        <v>75.7</v>
      </c>
      <c r="R1134">
        <v>203034</v>
      </c>
    </row>
    <row r="1135" spans="1:18" x14ac:dyDescent="0.25">
      <c r="A1135" s="169">
        <v>43675</v>
      </c>
      <c r="B1135" s="116">
        <v>37.725000000000001</v>
      </c>
      <c r="C1135" s="116">
        <v>36.799999999999997</v>
      </c>
      <c r="D1135" s="116">
        <v>36.549999999999997</v>
      </c>
      <c r="E1135" s="116">
        <v>37.5</v>
      </c>
      <c r="F1135" s="116">
        <v>73.599999999999994</v>
      </c>
      <c r="G1135">
        <v>61999</v>
      </c>
      <c r="H1135" s="116"/>
      <c r="I1135" s="116"/>
      <c r="L1135" s="169">
        <v>43675</v>
      </c>
      <c r="M1135" s="116">
        <v>36.725000000000001</v>
      </c>
      <c r="N1135" s="116">
        <v>37.85</v>
      </c>
      <c r="O1135" s="116">
        <v>36.524999999999999</v>
      </c>
      <c r="P1135" s="116">
        <v>37.75</v>
      </c>
      <c r="Q1135" s="116">
        <v>73.45</v>
      </c>
      <c r="R1135">
        <v>235528</v>
      </c>
    </row>
    <row r="1136" spans="1:18" x14ac:dyDescent="0.25">
      <c r="A1136" s="169">
        <v>43676</v>
      </c>
      <c r="B1136" s="116">
        <v>36.799999999999997</v>
      </c>
      <c r="C1136" s="116">
        <v>34.225000000000001</v>
      </c>
      <c r="D1136" s="116">
        <v>34.049999999999997</v>
      </c>
      <c r="E1136" s="116">
        <v>36.5</v>
      </c>
      <c r="F1136" s="116">
        <v>68.45</v>
      </c>
      <c r="G1136">
        <v>47461</v>
      </c>
      <c r="H1136" s="116"/>
      <c r="I1136" s="116"/>
      <c r="L1136" s="169">
        <v>43676</v>
      </c>
      <c r="M1136" s="116">
        <v>34.15</v>
      </c>
      <c r="N1136" s="116">
        <v>36.799999999999997</v>
      </c>
      <c r="O1136" s="116">
        <v>34</v>
      </c>
      <c r="P1136" s="116">
        <v>36.524999999999999</v>
      </c>
      <c r="Q1136" s="116">
        <v>68.3</v>
      </c>
      <c r="R1136">
        <v>532166</v>
      </c>
    </row>
    <row r="1137" spans="1:18" x14ac:dyDescent="0.25">
      <c r="A1137" s="169">
        <v>43677</v>
      </c>
      <c r="B1137" s="116">
        <v>34.5</v>
      </c>
      <c r="C1137" s="116">
        <v>33.700000000000003</v>
      </c>
      <c r="D1137" s="116">
        <v>32.5</v>
      </c>
      <c r="E1137" s="116">
        <v>34.200000000000003</v>
      </c>
      <c r="F1137" s="116">
        <v>67.400000000000006</v>
      </c>
      <c r="G1137">
        <v>81194</v>
      </c>
      <c r="H1137" s="116"/>
      <c r="I1137" s="116"/>
      <c r="L1137" s="169">
        <v>43677</v>
      </c>
      <c r="M1137" s="116">
        <v>33.725000000000001</v>
      </c>
      <c r="N1137" s="116">
        <v>34.424999999999997</v>
      </c>
      <c r="O1137" s="116">
        <v>32.549999999999997</v>
      </c>
      <c r="P1137" s="116">
        <v>34.15</v>
      </c>
      <c r="Q1137" s="116">
        <v>67.45</v>
      </c>
      <c r="R1137">
        <v>653989</v>
      </c>
    </row>
    <row r="1138" spans="1:18" x14ac:dyDescent="0.25">
      <c r="A1138" s="169">
        <v>43678</v>
      </c>
      <c r="B1138" s="116">
        <v>34.125</v>
      </c>
      <c r="C1138" s="116">
        <v>33.375</v>
      </c>
      <c r="D1138" s="116">
        <v>33</v>
      </c>
      <c r="E1138" s="116">
        <v>33.65</v>
      </c>
      <c r="F1138" s="116">
        <v>66.75</v>
      </c>
      <c r="G1138">
        <v>82276</v>
      </c>
      <c r="H1138" s="116"/>
      <c r="I1138" s="116"/>
      <c r="L1138" s="169">
        <v>43678</v>
      </c>
      <c r="M1138" s="116">
        <v>33.424999999999997</v>
      </c>
      <c r="N1138" s="116">
        <v>34.200000000000003</v>
      </c>
      <c r="O1138" s="116">
        <v>33</v>
      </c>
      <c r="P1138" s="116">
        <v>33.475000000000001</v>
      </c>
      <c r="Q1138" s="116">
        <v>66.849999999999994</v>
      </c>
      <c r="R1138">
        <v>357270</v>
      </c>
    </row>
    <row r="1139" spans="1:18" x14ac:dyDescent="0.25">
      <c r="A1139" s="169">
        <v>43679</v>
      </c>
      <c r="B1139" s="116">
        <v>33.725000000000001</v>
      </c>
      <c r="C1139" s="116">
        <v>33.524999999999999</v>
      </c>
      <c r="D1139" s="116">
        <v>32.225000000000001</v>
      </c>
      <c r="E1139" s="116">
        <v>33</v>
      </c>
      <c r="F1139" s="116">
        <v>67.05</v>
      </c>
      <c r="G1139">
        <v>66058</v>
      </c>
      <c r="H1139" s="116"/>
      <c r="I1139" s="116"/>
      <c r="L1139" s="169">
        <v>43679</v>
      </c>
      <c r="M1139" s="116">
        <v>33.524999999999999</v>
      </c>
      <c r="N1139" s="116">
        <v>33.700000000000003</v>
      </c>
      <c r="O1139" s="116">
        <v>32.85</v>
      </c>
      <c r="P1139" s="116">
        <v>33.125</v>
      </c>
      <c r="Q1139" s="116">
        <v>67.05</v>
      </c>
      <c r="R1139">
        <v>264508</v>
      </c>
    </row>
    <row r="1140" spans="1:18" x14ac:dyDescent="0.25">
      <c r="A1140" s="169">
        <v>43682</v>
      </c>
      <c r="B1140" s="116">
        <v>33.299999999999997</v>
      </c>
      <c r="C1140" s="116">
        <v>31.9</v>
      </c>
      <c r="D1140" s="116">
        <v>31.55</v>
      </c>
      <c r="E1140" s="116">
        <v>33.299999999999997</v>
      </c>
      <c r="F1140" s="116">
        <v>63.8</v>
      </c>
      <c r="G1140">
        <v>35600</v>
      </c>
      <c r="H1140" s="116"/>
      <c r="I1140" s="116"/>
      <c r="L1140" s="169">
        <v>43682</v>
      </c>
      <c r="M1140" s="116">
        <v>31.85</v>
      </c>
      <c r="N1140" s="116">
        <v>33.25</v>
      </c>
      <c r="O1140" s="116">
        <v>31.5</v>
      </c>
      <c r="P1140" s="116">
        <v>33</v>
      </c>
      <c r="Q1140" s="116">
        <v>63.7</v>
      </c>
      <c r="R1140">
        <v>367431</v>
      </c>
    </row>
    <row r="1141" spans="1:18" x14ac:dyDescent="0.25">
      <c r="A1141" s="169">
        <v>43683</v>
      </c>
      <c r="B1141" s="116">
        <v>32.774999999999999</v>
      </c>
      <c r="C1141" s="116">
        <v>32.424999999999997</v>
      </c>
      <c r="D1141" s="116">
        <v>31.9</v>
      </c>
      <c r="E1141" s="116">
        <v>31.9</v>
      </c>
      <c r="F1141" s="116">
        <v>64.849999999999994</v>
      </c>
      <c r="G1141">
        <v>36134</v>
      </c>
      <c r="H1141" s="116"/>
      <c r="I1141" s="116"/>
      <c r="L1141" s="169">
        <v>43683</v>
      </c>
      <c r="M1141" s="116">
        <v>32.450000000000003</v>
      </c>
      <c r="N1141" s="116">
        <v>32.924999999999997</v>
      </c>
      <c r="O1141" s="116">
        <v>31.574999999999999</v>
      </c>
      <c r="P1141" s="116">
        <v>31.574999999999999</v>
      </c>
      <c r="Q1141" s="116">
        <v>64.900000000000006</v>
      </c>
      <c r="R1141">
        <v>328299</v>
      </c>
    </row>
    <row r="1142" spans="1:18" x14ac:dyDescent="0.25">
      <c r="A1142" s="169">
        <v>43684</v>
      </c>
      <c r="B1142" s="116">
        <v>33.549999999999997</v>
      </c>
      <c r="C1142" s="116">
        <v>32.024999999999999</v>
      </c>
      <c r="D1142" s="116">
        <v>31.85</v>
      </c>
      <c r="E1142" s="116">
        <v>32.575000000000003</v>
      </c>
      <c r="F1142" s="116">
        <v>64.05</v>
      </c>
      <c r="G1142">
        <v>59328</v>
      </c>
      <c r="H1142" s="116"/>
      <c r="I1142" s="116"/>
      <c r="L1142" s="169">
        <v>43684</v>
      </c>
      <c r="M1142" s="116">
        <v>32</v>
      </c>
      <c r="N1142" s="116">
        <v>33.6</v>
      </c>
      <c r="O1142" s="116">
        <v>31.824999999999999</v>
      </c>
      <c r="P1142" s="116">
        <v>32.700000000000003</v>
      </c>
      <c r="Q1142" s="116">
        <v>64</v>
      </c>
      <c r="R1142">
        <v>330249</v>
      </c>
    </row>
    <row r="1143" spans="1:18" x14ac:dyDescent="0.25">
      <c r="A1143" s="169">
        <v>43685</v>
      </c>
      <c r="B1143" s="116">
        <v>32.950000000000003</v>
      </c>
      <c r="C1143" s="116">
        <v>32.625</v>
      </c>
      <c r="D1143" s="116">
        <v>32.024999999999999</v>
      </c>
      <c r="E1143" s="116">
        <v>32.1</v>
      </c>
      <c r="F1143" s="116">
        <v>65.25</v>
      </c>
      <c r="G1143">
        <v>34132</v>
      </c>
      <c r="H1143" s="116"/>
      <c r="I1143" s="116"/>
      <c r="L1143" s="169">
        <v>43685</v>
      </c>
      <c r="M1143" s="116">
        <v>32.65</v>
      </c>
      <c r="N1143" s="116">
        <v>32.950000000000003</v>
      </c>
      <c r="O1143" s="116">
        <v>31.95</v>
      </c>
      <c r="P1143" s="116">
        <v>32.125</v>
      </c>
      <c r="Q1143" s="116">
        <v>65.3</v>
      </c>
      <c r="R1143">
        <v>240831</v>
      </c>
    </row>
    <row r="1144" spans="1:18" x14ac:dyDescent="0.25">
      <c r="A1144" s="169">
        <v>43686</v>
      </c>
      <c r="B1144" s="116">
        <v>34.799999999999997</v>
      </c>
      <c r="C1144" s="116">
        <v>34.200000000000003</v>
      </c>
      <c r="D1144" s="116">
        <v>32.799999999999997</v>
      </c>
      <c r="E1144" s="116">
        <v>33</v>
      </c>
      <c r="F1144" s="116">
        <v>68.400000000000006</v>
      </c>
      <c r="G1144">
        <v>60357</v>
      </c>
      <c r="H1144" s="116"/>
      <c r="I1144" s="116"/>
      <c r="L1144" s="169">
        <v>43686</v>
      </c>
      <c r="M1144" s="116">
        <v>34.125</v>
      </c>
      <c r="N1144" s="116">
        <v>34.825000000000003</v>
      </c>
      <c r="O1144" s="116">
        <v>32.85</v>
      </c>
      <c r="P1144" s="116">
        <v>32.875</v>
      </c>
      <c r="Q1144" s="116">
        <v>68.25</v>
      </c>
      <c r="R1144">
        <v>382120</v>
      </c>
    </row>
    <row r="1145" spans="1:18" x14ac:dyDescent="0.25">
      <c r="A1145" s="169">
        <v>43690</v>
      </c>
      <c r="B1145" s="116">
        <v>35.625</v>
      </c>
      <c r="C1145" s="116">
        <v>34.274999999999999</v>
      </c>
      <c r="D1145" s="116">
        <v>33.65</v>
      </c>
      <c r="E1145" s="116">
        <v>34.25</v>
      </c>
      <c r="F1145" s="116">
        <v>68.55</v>
      </c>
      <c r="G1145">
        <v>144731</v>
      </c>
      <c r="H1145" s="116"/>
      <c r="I1145" s="116"/>
      <c r="L1145" s="169">
        <v>43690</v>
      </c>
      <c r="M1145" s="116">
        <v>34.25</v>
      </c>
      <c r="N1145" s="116">
        <v>35.725000000000001</v>
      </c>
      <c r="O1145" s="116">
        <v>33.774999999999999</v>
      </c>
      <c r="P1145" s="116">
        <v>34.450000000000003</v>
      </c>
      <c r="Q1145" s="116">
        <v>68.5</v>
      </c>
      <c r="R1145">
        <v>692620</v>
      </c>
    </row>
    <row r="1146" spans="1:18" x14ac:dyDescent="0.25">
      <c r="A1146" s="169">
        <v>43691</v>
      </c>
      <c r="B1146" s="116">
        <v>34.9</v>
      </c>
      <c r="C1146" s="116">
        <v>34.325000000000003</v>
      </c>
      <c r="D1146" s="116">
        <v>34</v>
      </c>
      <c r="E1146" s="116">
        <v>34</v>
      </c>
      <c r="F1146" s="116">
        <v>68.650000000000006</v>
      </c>
      <c r="G1146">
        <v>39976</v>
      </c>
      <c r="H1146" s="116"/>
      <c r="I1146" s="116"/>
      <c r="L1146" s="169">
        <v>43691</v>
      </c>
      <c r="M1146" s="116">
        <v>34.325000000000003</v>
      </c>
      <c r="N1146" s="116">
        <v>34.950000000000003</v>
      </c>
      <c r="O1146" s="116">
        <v>33.799999999999997</v>
      </c>
      <c r="P1146" s="116">
        <v>34.274999999999999</v>
      </c>
      <c r="Q1146" s="116">
        <v>68.650000000000006</v>
      </c>
      <c r="R1146">
        <v>351092</v>
      </c>
    </row>
    <row r="1147" spans="1:18" x14ac:dyDescent="0.25">
      <c r="A1147" s="169">
        <v>43693</v>
      </c>
      <c r="B1147" s="116">
        <v>35.625</v>
      </c>
      <c r="C1147" s="116">
        <v>35.274999999999999</v>
      </c>
      <c r="D1147" s="116">
        <v>33.575000000000003</v>
      </c>
      <c r="E1147" s="116">
        <v>34.975000000000001</v>
      </c>
      <c r="F1147" s="116">
        <v>70.55</v>
      </c>
      <c r="G1147">
        <v>38846</v>
      </c>
      <c r="H1147" s="116"/>
      <c r="I1147" s="116"/>
      <c r="L1147" s="169">
        <v>43693</v>
      </c>
      <c r="M1147" s="116">
        <v>35.299999999999997</v>
      </c>
      <c r="N1147" s="116">
        <v>35.700000000000003</v>
      </c>
      <c r="O1147" s="116">
        <v>33.575000000000003</v>
      </c>
      <c r="P1147" s="116">
        <v>34.024999999999999</v>
      </c>
      <c r="Q1147" s="116">
        <v>70.599999999999994</v>
      </c>
      <c r="R1147">
        <v>928912</v>
      </c>
    </row>
    <row r="1148" spans="1:18" x14ac:dyDescent="0.25">
      <c r="A1148" s="169">
        <v>43696</v>
      </c>
      <c r="B1148" s="116">
        <v>36.549999999999997</v>
      </c>
      <c r="C1148" s="116">
        <v>36.024999999999999</v>
      </c>
      <c r="D1148" s="116">
        <v>35.299999999999997</v>
      </c>
      <c r="E1148" s="116">
        <v>35.6</v>
      </c>
      <c r="F1148" s="116">
        <v>72.05</v>
      </c>
      <c r="G1148">
        <v>58211</v>
      </c>
      <c r="H1148" s="116"/>
      <c r="I1148" s="116"/>
      <c r="L1148" s="169">
        <v>43696</v>
      </c>
      <c r="M1148" s="116">
        <v>35.975000000000001</v>
      </c>
      <c r="N1148" s="116">
        <v>36.575000000000003</v>
      </c>
      <c r="O1148" s="116">
        <v>35.024999999999999</v>
      </c>
      <c r="P1148" s="116">
        <v>35.024999999999999</v>
      </c>
      <c r="Q1148" s="116">
        <v>71.95</v>
      </c>
      <c r="R1148">
        <v>452499</v>
      </c>
    </row>
    <row r="1149" spans="1:18" x14ac:dyDescent="0.25">
      <c r="A1149" s="169">
        <v>43697</v>
      </c>
      <c r="B1149" s="116">
        <v>36</v>
      </c>
      <c r="C1149" s="116">
        <v>35.024999999999999</v>
      </c>
      <c r="D1149" s="116">
        <v>34.875</v>
      </c>
      <c r="E1149" s="116">
        <v>35.674999999999997</v>
      </c>
      <c r="F1149" s="116">
        <v>70.05</v>
      </c>
      <c r="G1149">
        <v>29026</v>
      </c>
      <c r="H1149" s="116"/>
      <c r="I1149" s="116"/>
      <c r="L1149" s="169">
        <v>43697</v>
      </c>
      <c r="M1149" s="116">
        <v>35.1</v>
      </c>
      <c r="N1149" s="116">
        <v>36.274999999999999</v>
      </c>
      <c r="O1149" s="116">
        <v>34.875</v>
      </c>
      <c r="P1149" s="116">
        <v>35.875</v>
      </c>
      <c r="Q1149" s="116">
        <v>70.2</v>
      </c>
      <c r="R1149">
        <v>252929</v>
      </c>
    </row>
    <row r="1150" spans="1:18" x14ac:dyDescent="0.25">
      <c r="A1150" s="169">
        <v>43698</v>
      </c>
      <c r="B1150" s="116">
        <v>34.9</v>
      </c>
      <c r="C1150" s="116">
        <v>33.65</v>
      </c>
      <c r="D1150" s="116">
        <v>33.4</v>
      </c>
      <c r="E1150" s="116">
        <v>34.75</v>
      </c>
      <c r="F1150" s="116">
        <v>67.3</v>
      </c>
      <c r="G1150">
        <v>35739</v>
      </c>
      <c r="H1150" s="116"/>
      <c r="I1150" s="116"/>
      <c r="L1150" s="169">
        <v>43698</v>
      </c>
      <c r="M1150" s="116">
        <v>33.6</v>
      </c>
      <c r="N1150" s="116">
        <v>35.125</v>
      </c>
      <c r="O1150" s="116">
        <v>33.424999999999997</v>
      </c>
      <c r="P1150" s="116">
        <v>34.950000000000003</v>
      </c>
      <c r="Q1150" s="116">
        <v>67.2</v>
      </c>
      <c r="R1150">
        <v>242974</v>
      </c>
    </row>
    <row r="1151" spans="1:18" x14ac:dyDescent="0.25">
      <c r="A1151" s="169">
        <v>43699</v>
      </c>
      <c r="B1151" s="116">
        <v>33.325000000000003</v>
      </c>
      <c r="C1151" s="116">
        <v>32.549999999999997</v>
      </c>
      <c r="D1151" s="116">
        <v>32.274999999999999</v>
      </c>
      <c r="E1151" s="116">
        <v>33.325000000000003</v>
      </c>
      <c r="F1151" s="116">
        <v>65.099999999999994</v>
      </c>
      <c r="G1151">
        <v>41908</v>
      </c>
      <c r="H1151" s="116"/>
      <c r="I1151" s="116"/>
      <c r="L1151" s="169">
        <v>43699</v>
      </c>
      <c r="M1151" s="116">
        <v>32.524999999999999</v>
      </c>
      <c r="N1151" s="116">
        <v>33.274999999999999</v>
      </c>
      <c r="O1151" s="116">
        <v>32.25</v>
      </c>
      <c r="P1151" s="116">
        <v>33.174999999999997</v>
      </c>
      <c r="Q1151" s="116">
        <v>65.05</v>
      </c>
      <c r="R1151">
        <v>294152</v>
      </c>
    </row>
    <row r="1152" spans="1:18" x14ac:dyDescent="0.25">
      <c r="A1152" s="169">
        <v>43700</v>
      </c>
      <c r="B1152" s="116">
        <v>33.924999999999997</v>
      </c>
      <c r="C1152" s="116">
        <v>33.5</v>
      </c>
      <c r="D1152" s="116">
        <v>31.725000000000001</v>
      </c>
      <c r="E1152" s="116">
        <v>32.15</v>
      </c>
      <c r="F1152" s="116">
        <v>67</v>
      </c>
      <c r="G1152">
        <v>45691</v>
      </c>
      <c r="H1152" s="116"/>
      <c r="I1152" s="116"/>
      <c r="L1152" s="169">
        <v>43700</v>
      </c>
      <c r="M1152" s="116">
        <v>33.424999999999997</v>
      </c>
      <c r="N1152" s="116">
        <v>33.9</v>
      </c>
      <c r="O1152" s="116">
        <v>31.65</v>
      </c>
      <c r="P1152" s="116">
        <v>32.35</v>
      </c>
      <c r="Q1152" s="116">
        <v>66.849999999999994</v>
      </c>
      <c r="R1152">
        <v>308157</v>
      </c>
    </row>
    <row r="1153" spans="1:18" x14ac:dyDescent="0.25">
      <c r="A1153" s="169">
        <v>43703</v>
      </c>
      <c r="B1153" s="116">
        <v>35.5</v>
      </c>
      <c r="C1153" s="116">
        <v>35.299999999999997</v>
      </c>
      <c r="D1153" s="116">
        <v>33.65</v>
      </c>
      <c r="E1153" s="116">
        <v>34.450000000000003</v>
      </c>
      <c r="F1153" s="116">
        <v>70.599999999999994</v>
      </c>
      <c r="G1153">
        <v>45350</v>
      </c>
      <c r="H1153" s="116"/>
      <c r="I1153" s="116"/>
      <c r="L1153" s="169">
        <v>43703</v>
      </c>
      <c r="M1153" s="116">
        <v>35.299999999999997</v>
      </c>
      <c r="N1153" s="116">
        <v>35.549999999999997</v>
      </c>
      <c r="O1153" s="116">
        <v>33.625</v>
      </c>
      <c r="P1153" s="116">
        <v>34.450000000000003</v>
      </c>
      <c r="Q1153" s="116">
        <v>70.599999999999994</v>
      </c>
      <c r="R1153">
        <v>332856</v>
      </c>
    </row>
    <row r="1154" spans="1:18" x14ac:dyDescent="0.25">
      <c r="A1154" s="169">
        <v>43704</v>
      </c>
      <c r="B1154" s="116">
        <v>36.35</v>
      </c>
      <c r="C1154" s="116">
        <v>36.1</v>
      </c>
      <c r="D1154" s="116">
        <v>35.15</v>
      </c>
      <c r="E1154" s="116">
        <v>36.125</v>
      </c>
      <c r="F1154" s="116">
        <v>72.2</v>
      </c>
      <c r="G1154">
        <v>72859</v>
      </c>
      <c r="H1154" s="116"/>
      <c r="I1154" s="116"/>
      <c r="L1154" s="169">
        <v>43704</v>
      </c>
      <c r="M1154" s="116">
        <v>36.1</v>
      </c>
      <c r="N1154" s="116">
        <v>36.325000000000003</v>
      </c>
      <c r="O1154" s="116">
        <v>35.024999999999999</v>
      </c>
      <c r="P1154" s="116">
        <v>35.450000000000003</v>
      </c>
      <c r="Q1154" s="116">
        <v>72.2</v>
      </c>
      <c r="R1154">
        <v>506182</v>
      </c>
    </row>
    <row r="1155" spans="1:18" x14ac:dyDescent="0.25">
      <c r="A1155" s="169">
        <v>43705</v>
      </c>
      <c r="B1155" s="116">
        <v>36.174999999999997</v>
      </c>
      <c r="C1155" s="116">
        <v>33.9</v>
      </c>
      <c r="D1155" s="116">
        <v>33.65</v>
      </c>
      <c r="E1155" s="116">
        <v>36.1</v>
      </c>
      <c r="F1155" s="116">
        <v>67.8</v>
      </c>
      <c r="G1155">
        <v>80874</v>
      </c>
      <c r="H1155" s="116"/>
      <c r="I1155" s="116"/>
      <c r="L1155" s="169">
        <v>43705</v>
      </c>
      <c r="M1155" s="116">
        <v>33.825000000000003</v>
      </c>
      <c r="N1155" s="116">
        <v>36.35</v>
      </c>
      <c r="O1155" s="116">
        <v>33.549999999999997</v>
      </c>
      <c r="P1155" s="116">
        <v>36.1</v>
      </c>
      <c r="Q1155" s="116">
        <v>67.650000000000006</v>
      </c>
      <c r="R1155">
        <v>734197</v>
      </c>
    </row>
    <row r="1156" spans="1:18" x14ac:dyDescent="0.25">
      <c r="A1156" s="169">
        <v>43706</v>
      </c>
      <c r="B1156" s="116">
        <v>33.799999999999997</v>
      </c>
      <c r="C1156" s="116">
        <v>33.524999999999999</v>
      </c>
      <c r="D1156" s="116">
        <v>33</v>
      </c>
      <c r="E1156" s="116">
        <v>33.225000000000001</v>
      </c>
      <c r="F1156" s="116">
        <v>67.05</v>
      </c>
      <c r="G1156">
        <v>63189</v>
      </c>
      <c r="H1156" s="116"/>
      <c r="I1156" s="116"/>
      <c r="L1156" s="169">
        <v>43706</v>
      </c>
      <c r="M1156" s="116">
        <v>33.5</v>
      </c>
      <c r="N1156" s="116">
        <v>33.875</v>
      </c>
      <c r="O1156" s="116">
        <v>32.799999999999997</v>
      </c>
      <c r="P1156" s="116">
        <v>32.950000000000003</v>
      </c>
      <c r="Q1156" s="116">
        <v>67</v>
      </c>
      <c r="R1156">
        <v>326429</v>
      </c>
    </row>
    <row r="1157" spans="1:18" x14ac:dyDescent="0.25">
      <c r="A1157" s="169">
        <v>43707</v>
      </c>
      <c r="B1157" s="116">
        <v>35</v>
      </c>
      <c r="C1157" s="116">
        <v>34.700000000000003</v>
      </c>
      <c r="D1157" s="116">
        <v>33.725000000000001</v>
      </c>
      <c r="E1157" s="116">
        <v>33.975000000000001</v>
      </c>
      <c r="F1157" s="116">
        <v>69.400000000000006</v>
      </c>
      <c r="G1157">
        <v>51022</v>
      </c>
      <c r="H1157" s="116"/>
      <c r="I1157" s="116"/>
      <c r="L1157" s="169">
        <v>43707</v>
      </c>
      <c r="M1157" s="116">
        <v>34.700000000000003</v>
      </c>
      <c r="N1157" s="116">
        <v>34.975000000000001</v>
      </c>
      <c r="O1157" s="116">
        <v>33.75</v>
      </c>
      <c r="P1157" s="116">
        <v>34</v>
      </c>
      <c r="Q1157" s="116">
        <v>69.400000000000006</v>
      </c>
      <c r="R1157">
        <v>360635</v>
      </c>
    </row>
    <row r="1158" spans="1:18" x14ac:dyDescent="0.25">
      <c r="A1158" s="169">
        <v>43711</v>
      </c>
      <c r="B1158" s="116">
        <v>34.35</v>
      </c>
      <c r="C1158" s="116">
        <v>33.299999999999997</v>
      </c>
      <c r="D1158" s="116">
        <v>33.174999999999997</v>
      </c>
      <c r="E1158" s="116">
        <v>34.225000000000001</v>
      </c>
      <c r="F1158" s="116">
        <v>66.599999999999994</v>
      </c>
      <c r="G1158">
        <v>18684</v>
      </c>
      <c r="H1158" s="116"/>
      <c r="I1158" s="116"/>
      <c r="L1158" s="169">
        <v>43711</v>
      </c>
      <c r="M1158" s="116">
        <v>33.274999999999999</v>
      </c>
      <c r="N1158" s="116">
        <v>34.375</v>
      </c>
      <c r="O1158" s="116">
        <v>33.125</v>
      </c>
      <c r="P1158" s="116">
        <v>34.200000000000003</v>
      </c>
      <c r="Q1158" s="116">
        <v>66.55</v>
      </c>
      <c r="R1158">
        <v>198285</v>
      </c>
    </row>
    <row r="1159" spans="1:18" x14ac:dyDescent="0.25">
      <c r="A1159" s="169">
        <v>43712</v>
      </c>
      <c r="B1159" s="116">
        <v>34.450000000000003</v>
      </c>
      <c r="C1159" s="116">
        <v>34.1</v>
      </c>
      <c r="D1159" s="116">
        <v>32.625</v>
      </c>
      <c r="E1159" s="116">
        <v>33.5</v>
      </c>
      <c r="F1159" s="116">
        <v>68.2</v>
      </c>
      <c r="G1159">
        <v>29640</v>
      </c>
      <c r="H1159" s="116"/>
      <c r="I1159" s="116"/>
      <c r="L1159" s="169">
        <v>43712</v>
      </c>
      <c r="M1159" s="116">
        <v>34.25</v>
      </c>
      <c r="N1159" s="116">
        <v>34.475000000000001</v>
      </c>
      <c r="O1159" s="116">
        <v>32.575000000000003</v>
      </c>
      <c r="P1159" s="116">
        <v>33.200000000000003</v>
      </c>
      <c r="Q1159" s="116">
        <v>68.5</v>
      </c>
      <c r="R1159">
        <v>537572</v>
      </c>
    </row>
    <row r="1160" spans="1:18" x14ac:dyDescent="0.25">
      <c r="A1160" s="169">
        <v>43713</v>
      </c>
      <c r="B1160" s="116">
        <v>35.225000000000001</v>
      </c>
      <c r="C1160" s="116">
        <v>34.549999999999997</v>
      </c>
      <c r="D1160" s="116">
        <v>34.299999999999997</v>
      </c>
      <c r="E1160" s="116">
        <v>35</v>
      </c>
      <c r="F1160" s="116">
        <v>69.099999999999994</v>
      </c>
      <c r="G1160">
        <v>111880</v>
      </c>
      <c r="H1160" s="116"/>
      <c r="I1160" s="116"/>
      <c r="L1160" s="169">
        <v>43713</v>
      </c>
      <c r="M1160" s="116">
        <v>34.65</v>
      </c>
      <c r="N1160" s="116">
        <v>35.299999999999997</v>
      </c>
      <c r="O1160" s="116">
        <v>34.15</v>
      </c>
      <c r="P1160" s="116">
        <v>34.5</v>
      </c>
      <c r="Q1160" s="116">
        <v>69.3</v>
      </c>
      <c r="R1160">
        <v>363936</v>
      </c>
    </row>
    <row r="1161" spans="1:18" x14ac:dyDescent="0.25">
      <c r="A1161" s="169">
        <v>43714</v>
      </c>
      <c r="B1161" s="116">
        <v>36</v>
      </c>
      <c r="C1161" s="116">
        <v>35.85</v>
      </c>
      <c r="D1161" s="116">
        <v>34.700000000000003</v>
      </c>
      <c r="E1161" s="116">
        <v>34.924999999999997</v>
      </c>
      <c r="F1161" s="116">
        <v>71.7</v>
      </c>
      <c r="G1161">
        <v>69156</v>
      </c>
      <c r="H1161" s="116"/>
      <c r="I1161" s="116"/>
      <c r="L1161" s="169">
        <v>43714</v>
      </c>
      <c r="M1161" s="116">
        <v>35.799999999999997</v>
      </c>
      <c r="N1161" s="116">
        <v>36</v>
      </c>
      <c r="O1161" s="116">
        <v>34.65</v>
      </c>
      <c r="P1161" s="116">
        <v>34.75</v>
      </c>
      <c r="Q1161" s="116">
        <v>71.599999999999994</v>
      </c>
      <c r="R1161">
        <v>709008</v>
      </c>
    </row>
    <row r="1162" spans="1:18" x14ac:dyDescent="0.25">
      <c r="A1162" s="169">
        <v>43717</v>
      </c>
      <c r="B1162" s="116">
        <v>36.799999999999997</v>
      </c>
      <c r="C1162" s="116">
        <v>36.15</v>
      </c>
      <c r="D1162" s="116">
        <v>35.25</v>
      </c>
      <c r="E1162" s="116">
        <v>35.450000000000003</v>
      </c>
      <c r="F1162" s="116">
        <v>72.3</v>
      </c>
      <c r="G1162">
        <v>74669</v>
      </c>
      <c r="H1162" s="116"/>
      <c r="I1162" s="116"/>
      <c r="L1162" s="169">
        <v>43717</v>
      </c>
      <c r="M1162" s="116">
        <v>36.125</v>
      </c>
      <c r="N1162" s="116">
        <v>36.799999999999997</v>
      </c>
      <c r="O1162" s="116">
        <v>35.200000000000003</v>
      </c>
      <c r="P1162" s="116">
        <v>35.825000000000003</v>
      </c>
      <c r="Q1162" s="116">
        <v>72.25</v>
      </c>
      <c r="R1162">
        <v>466183</v>
      </c>
    </row>
    <row r="1163" spans="1:18" x14ac:dyDescent="0.25">
      <c r="A1163" s="169">
        <v>43719</v>
      </c>
      <c r="B1163" s="116">
        <v>39.625</v>
      </c>
      <c r="C1163" s="116">
        <v>39.325000000000003</v>
      </c>
      <c r="D1163" s="116">
        <v>36.5</v>
      </c>
      <c r="E1163" s="116">
        <v>36.5</v>
      </c>
      <c r="F1163" s="116">
        <v>78.650000000000006</v>
      </c>
      <c r="G1163">
        <v>132573</v>
      </c>
      <c r="H1163" s="116"/>
      <c r="I1163" s="116"/>
      <c r="L1163" s="169">
        <v>43719</v>
      </c>
      <c r="M1163" s="116">
        <v>39.325000000000003</v>
      </c>
      <c r="N1163" s="116">
        <v>39.700000000000003</v>
      </c>
      <c r="O1163" s="116">
        <v>36.274999999999999</v>
      </c>
      <c r="P1163" s="116">
        <v>36.274999999999999</v>
      </c>
      <c r="Q1163" s="116">
        <v>78.650000000000006</v>
      </c>
      <c r="R1163">
        <v>1110832</v>
      </c>
    </row>
    <row r="1164" spans="1:18" x14ac:dyDescent="0.25">
      <c r="A1164" s="169">
        <v>43720</v>
      </c>
      <c r="B1164" s="116">
        <v>40.4</v>
      </c>
      <c r="C1164" s="116">
        <v>39.25</v>
      </c>
      <c r="D1164" s="116">
        <v>38.85</v>
      </c>
      <c r="E1164" s="116">
        <v>39.5</v>
      </c>
      <c r="F1164" s="116">
        <v>78.5</v>
      </c>
      <c r="G1164">
        <v>95545</v>
      </c>
      <c r="H1164" s="116"/>
      <c r="I1164" s="116"/>
      <c r="L1164" s="169">
        <v>43720</v>
      </c>
      <c r="M1164" s="116">
        <v>39.299999999999997</v>
      </c>
      <c r="N1164" s="116">
        <v>40.375</v>
      </c>
      <c r="O1164" s="116">
        <v>38.85</v>
      </c>
      <c r="P1164" s="116">
        <v>39.25</v>
      </c>
      <c r="Q1164" s="116">
        <v>78.599999999999994</v>
      </c>
      <c r="R1164">
        <v>665075</v>
      </c>
    </row>
    <row r="1165" spans="1:18" x14ac:dyDescent="0.25">
      <c r="A1165" s="169">
        <v>43721</v>
      </c>
      <c r="B1165" s="116">
        <v>40.1</v>
      </c>
      <c r="C1165" s="116">
        <v>39.700000000000003</v>
      </c>
      <c r="D1165" s="116">
        <v>38.225000000000001</v>
      </c>
      <c r="E1165" s="116">
        <v>39.25</v>
      </c>
      <c r="F1165" s="116">
        <v>79.400000000000006</v>
      </c>
      <c r="G1165">
        <v>74192</v>
      </c>
      <c r="H1165" s="116"/>
      <c r="I1165" s="116"/>
      <c r="L1165" s="169">
        <v>43721</v>
      </c>
      <c r="M1165" s="116">
        <v>39.75</v>
      </c>
      <c r="N1165" s="116">
        <v>40.174999999999997</v>
      </c>
      <c r="O1165" s="116">
        <v>38.274999999999999</v>
      </c>
      <c r="P1165" s="116">
        <v>39.450000000000003</v>
      </c>
      <c r="Q1165" s="116">
        <v>79.5</v>
      </c>
      <c r="R1165">
        <v>328838</v>
      </c>
    </row>
    <row r="1166" spans="1:18" x14ac:dyDescent="0.25">
      <c r="A1166" s="169">
        <v>43724</v>
      </c>
      <c r="B1166" s="116">
        <v>41.05</v>
      </c>
      <c r="C1166" s="116">
        <v>40.6</v>
      </c>
      <c r="D1166" s="116">
        <v>38.774999999999999</v>
      </c>
      <c r="E1166" s="116">
        <v>39.15</v>
      </c>
      <c r="F1166" s="116">
        <v>81.2</v>
      </c>
      <c r="G1166">
        <v>101141</v>
      </c>
      <c r="H1166" s="116"/>
      <c r="I1166" s="116"/>
      <c r="L1166" s="169">
        <v>43724</v>
      </c>
      <c r="M1166" s="116">
        <v>40.5</v>
      </c>
      <c r="N1166" s="116">
        <v>41</v>
      </c>
      <c r="O1166" s="116">
        <v>38.524999999999999</v>
      </c>
      <c r="P1166" s="116">
        <v>39.274999999999999</v>
      </c>
      <c r="Q1166" s="116">
        <v>81</v>
      </c>
      <c r="R1166">
        <v>540851</v>
      </c>
    </row>
    <row r="1167" spans="1:18" x14ac:dyDescent="0.25">
      <c r="A1167" s="169">
        <v>43725</v>
      </c>
      <c r="B1167" s="116">
        <v>41.575000000000003</v>
      </c>
      <c r="C1167" s="116">
        <v>38.975000000000001</v>
      </c>
      <c r="D1167" s="116">
        <v>38.75</v>
      </c>
      <c r="E1167" s="116">
        <v>41.2</v>
      </c>
      <c r="F1167" s="116">
        <v>77.95</v>
      </c>
      <c r="G1167">
        <v>111821</v>
      </c>
      <c r="H1167" s="116"/>
      <c r="I1167" s="116"/>
      <c r="L1167" s="169">
        <v>43725</v>
      </c>
      <c r="M1167" s="116">
        <v>39</v>
      </c>
      <c r="N1167" s="116">
        <v>41.6</v>
      </c>
      <c r="O1167" s="116">
        <v>38.75</v>
      </c>
      <c r="P1167" s="116">
        <v>41.225000000000001</v>
      </c>
      <c r="Q1167" s="116">
        <v>78</v>
      </c>
      <c r="R1167">
        <v>665616</v>
      </c>
    </row>
    <row r="1168" spans="1:18" x14ac:dyDescent="0.25">
      <c r="A1168" s="169">
        <v>43726</v>
      </c>
      <c r="B1168" s="116">
        <v>41.8</v>
      </c>
      <c r="C1168" s="116">
        <v>40.575000000000003</v>
      </c>
      <c r="D1168" s="116">
        <v>38.774999999999999</v>
      </c>
      <c r="E1168" s="116">
        <v>39.299999999999997</v>
      </c>
      <c r="F1168" s="116">
        <v>81.150000000000006</v>
      </c>
      <c r="G1168">
        <v>201869</v>
      </c>
      <c r="H1168" s="116"/>
      <c r="I1168" s="116"/>
      <c r="L1168" s="169">
        <v>43726</v>
      </c>
      <c r="M1168" s="116">
        <v>40.6</v>
      </c>
      <c r="N1168" s="116">
        <v>41.85</v>
      </c>
      <c r="O1168" s="116">
        <v>38.700000000000003</v>
      </c>
      <c r="P1168" s="116">
        <v>39.075000000000003</v>
      </c>
      <c r="Q1168" s="116">
        <v>81.2</v>
      </c>
      <c r="R1168">
        <v>1722076</v>
      </c>
    </row>
    <row r="1169" spans="1:18" x14ac:dyDescent="0.25">
      <c r="A1169" s="169">
        <v>43727</v>
      </c>
      <c r="B1169" s="116">
        <v>40.549999999999997</v>
      </c>
      <c r="C1169" s="116">
        <v>38.375</v>
      </c>
      <c r="D1169" s="116">
        <v>37.924999999999997</v>
      </c>
      <c r="E1169" s="116">
        <v>40.549999999999997</v>
      </c>
      <c r="F1169" s="116">
        <v>76.75</v>
      </c>
      <c r="G1169">
        <v>72863</v>
      </c>
      <c r="H1169" s="116"/>
      <c r="I1169" s="116"/>
      <c r="L1169" s="169">
        <v>43727</v>
      </c>
      <c r="M1169" s="116">
        <v>38.325000000000003</v>
      </c>
      <c r="N1169" s="116">
        <v>40.700000000000003</v>
      </c>
      <c r="O1169" s="116">
        <v>37.9</v>
      </c>
      <c r="P1169" s="116">
        <v>40.700000000000003</v>
      </c>
      <c r="Q1169" s="116">
        <v>76.650000000000006</v>
      </c>
      <c r="R1169">
        <v>549020</v>
      </c>
    </row>
    <row r="1170" spans="1:18" x14ac:dyDescent="0.25">
      <c r="A1170" s="169">
        <v>43728</v>
      </c>
      <c r="B1170" s="116">
        <v>42.8</v>
      </c>
      <c r="C1170" s="116">
        <v>42.3</v>
      </c>
      <c r="D1170" s="116">
        <v>38.274999999999999</v>
      </c>
      <c r="E1170" s="116">
        <v>38.85</v>
      </c>
      <c r="F1170" s="116">
        <v>84.6</v>
      </c>
      <c r="G1170">
        <v>172143</v>
      </c>
      <c r="H1170" s="116"/>
      <c r="I1170" s="116"/>
      <c r="L1170" s="169">
        <v>43728</v>
      </c>
      <c r="M1170" s="116">
        <v>42.325000000000003</v>
      </c>
      <c r="N1170" s="116">
        <v>42.75</v>
      </c>
      <c r="O1170" s="116">
        <v>38.25</v>
      </c>
      <c r="P1170" s="116">
        <v>38.799999999999997</v>
      </c>
      <c r="Q1170" s="116">
        <v>84.65</v>
      </c>
      <c r="R1170">
        <v>1691924</v>
      </c>
    </row>
    <row r="1171" spans="1:18" x14ac:dyDescent="0.25">
      <c r="A1171" s="169">
        <v>43731</v>
      </c>
      <c r="B1171" s="116">
        <v>44</v>
      </c>
      <c r="C1171" s="116">
        <v>42.6</v>
      </c>
      <c r="D1171" s="116">
        <v>42.5</v>
      </c>
      <c r="E1171" s="116">
        <v>43.5</v>
      </c>
      <c r="F1171" s="116">
        <v>85.2</v>
      </c>
      <c r="G1171">
        <v>135184</v>
      </c>
      <c r="H1171" s="116"/>
      <c r="I1171" s="116"/>
      <c r="L1171" s="169">
        <v>43731</v>
      </c>
      <c r="M1171" s="116">
        <v>42.65</v>
      </c>
      <c r="N1171" s="116">
        <v>44.125</v>
      </c>
      <c r="O1171" s="116">
        <v>42.5</v>
      </c>
      <c r="P1171" s="116">
        <v>43</v>
      </c>
      <c r="Q1171" s="116">
        <v>85.3</v>
      </c>
      <c r="R1171">
        <v>733662</v>
      </c>
    </row>
    <row r="1172" spans="1:18" x14ac:dyDescent="0.25">
      <c r="A1172" s="169">
        <v>43732</v>
      </c>
      <c r="B1172" s="116">
        <v>43.05</v>
      </c>
      <c r="C1172" s="116">
        <v>42.375</v>
      </c>
      <c r="D1172" s="116">
        <v>42</v>
      </c>
      <c r="E1172" s="116">
        <v>42.674999999999997</v>
      </c>
      <c r="F1172" s="116">
        <v>84.75</v>
      </c>
      <c r="G1172">
        <v>86047</v>
      </c>
      <c r="H1172" s="116"/>
      <c r="I1172" s="116"/>
      <c r="L1172" s="169">
        <v>43732</v>
      </c>
      <c r="M1172" s="116">
        <v>42.35</v>
      </c>
      <c r="N1172" s="116">
        <v>43.1</v>
      </c>
      <c r="O1172" s="116">
        <v>41.9</v>
      </c>
      <c r="P1172" s="116">
        <v>42.7</v>
      </c>
      <c r="Q1172" s="116">
        <v>84.7</v>
      </c>
      <c r="R1172">
        <v>395319</v>
      </c>
    </row>
    <row r="1173" spans="1:18" x14ac:dyDescent="0.25">
      <c r="A1173" s="169">
        <v>43733</v>
      </c>
      <c r="B1173" s="116">
        <v>42.7</v>
      </c>
      <c r="C1173" s="116">
        <v>41</v>
      </c>
      <c r="D1173" s="116">
        <v>40.725000000000001</v>
      </c>
      <c r="E1173" s="116">
        <v>42</v>
      </c>
      <c r="F1173" s="116">
        <v>82</v>
      </c>
      <c r="G1173">
        <v>122247</v>
      </c>
      <c r="H1173" s="116"/>
      <c r="I1173" s="116"/>
      <c r="L1173" s="169">
        <v>43733</v>
      </c>
      <c r="M1173" s="116">
        <v>40.975000000000001</v>
      </c>
      <c r="N1173" s="116">
        <v>42.7</v>
      </c>
      <c r="O1173" s="116">
        <v>40.75</v>
      </c>
      <c r="P1173" s="116">
        <v>42.25</v>
      </c>
      <c r="Q1173" s="116">
        <v>81.95</v>
      </c>
      <c r="R1173">
        <v>419159</v>
      </c>
    </row>
    <row r="1174" spans="1:18" x14ac:dyDescent="0.25">
      <c r="A1174" s="169">
        <v>43734</v>
      </c>
      <c r="B1174" s="116">
        <v>42.15</v>
      </c>
      <c r="C1174" s="116">
        <v>41.5</v>
      </c>
      <c r="D1174" s="116">
        <v>41.1</v>
      </c>
      <c r="E1174" s="116">
        <v>41.325000000000003</v>
      </c>
      <c r="F1174" s="116">
        <v>83</v>
      </c>
      <c r="G1174">
        <v>55698</v>
      </c>
      <c r="H1174" s="116"/>
      <c r="I1174" s="116"/>
      <c r="L1174" s="169">
        <v>43734</v>
      </c>
      <c r="M1174" s="116">
        <v>41.65</v>
      </c>
      <c r="N1174" s="116">
        <v>42.15</v>
      </c>
      <c r="O1174" s="116">
        <v>40.975000000000001</v>
      </c>
      <c r="P1174" s="116">
        <v>40.975000000000001</v>
      </c>
      <c r="Q1174" s="116">
        <v>83.3</v>
      </c>
      <c r="R1174">
        <v>377531</v>
      </c>
    </row>
    <row r="1175" spans="1:18" x14ac:dyDescent="0.25">
      <c r="A1175" s="169">
        <v>43735</v>
      </c>
      <c r="B1175" s="116">
        <v>44.25</v>
      </c>
      <c r="C1175" s="116">
        <v>43.45</v>
      </c>
      <c r="D1175" s="116">
        <v>41.75</v>
      </c>
      <c r="E1175" s="116">
        <v>41.75</v>
      </c>
      <c r="F1175" s="116">
        <v>86.9</v>
      </c>
      <c r="G1175">
        <v>129665</v>
      </c>
      <c r="H1175" s="116"/>
      <c r="I1175" s="116"/>
      <c r="L1175" s="169">
        <v>43735</v>
      </c>
      <c r="M1175" s="116">
        <v>43.424999999999997</v>
      </c>
      <c r="N1175" s="116">
        <v>44.25</v>
      </c>
      <c r="O1175" s="116">
        <v>41.674999999999997</v>
      </c>
      <c r="P1175" s="116">
        <v>41.674999999999997</v>
      </c>
      <c r="Q1175" s="116">
        <v>86.85</v>
      </c>
      <c r="R1175">
        <v>1281063</v>
      </c>
    </row>
    <row r="1176" spans="1:18" x14ac:dyDescent="0.25">
      <c r="A1176" s="169">
        <v>43738</v>
      </c>
      <c r="B1176" s="116">
        <v>44.125</v>
      </c>
      <c r="C1176" s="116">
        <v>42.8</v>
      </c>
      <c r="D1176" s="116">
        <v>42.725000000000001</v>
      </c>
      <c r="E1176" s="116">
        <v>43.45</v>
      </c>
      <c r="F1176" s="116">
        <v>85.6</v>
      </c>
      <c r="G1176">
        <v>63711</v>
      </c>
      <c r="H1176" s="116"/>
      <c r="I1176" s="116"/>
      <c r="L1176" s="169">
        <v>43738</v>
      </c>
      <c r="M1176" s="116">
        <v>42.875</v>
      </c>
      <c r="N1176" s="116">
        <v>44.2</v>
      </c>
      <c r="O1176" s="116">
        <v>42.75</v>
      </c>
      <c r="P1176" s="116">
        <v>43.45</v>
      </c>
      <c r="Q1176" s="116">
        <v>85.75</v>
      </c>
      <c r="R1176">
        <v>657462</v>
      </c>
    </row>
    <row r="1177" spans="1:18" x14ac:dyDescent="0.25">
      <c r="A1177" s="169">
        <v>43739</v>
      </c>
      <c r="B1177" s="116">
        <v>43.2</v>
      </c>
      <c r="C1177" s="116">
        <v>42.125</v>
      </c>
      <c r="D1177" s="116">
        <v>40.549999999999997</v>
      </c>
      <c r="E1177" s="116">
        <v>42.9</v>
      </c>
      <c r="F1177" s="116">
        <v>84.25</v>
      </c>
      <c r="G1177">
        <v>83896</v>
      </c>
      <c r="H1177" s="116"/>
      <c r="I1177" s="116"/>
      <c r="L1177" s="169">
        <v>43739</v>
      </c>
      <c r="M1177" s="116">
        <v>42.15</v>
      </c>
      <c r="N1177" s="116">
        <v>43.225000000000001</v>
      </c>
      <c r="O1177" s="116">
        <v>40.5</v>
      </c>
      <c r="P1177" s="116">
        <v>42.5</v>
      </c>
      <c r="Q1177" s="116">
        <v>84.3</v>
      </c>
      <c r="R1177">
        <v>595120</v>
      </c>
    </row>
    <row r="1178" spans="1:18" x14ac:dyDescent="0.25">
      <c r="A1178" s="169">
        <v>43741</v>
      </c>
      <c r="B1178" s="116">
        <v>41.9</v>
      </c>
      <c r="C1178" s="116">
        <v>41.5</v>
      </c>
      <c r="D1178" s="116">
        <v>41</v>
      </c>
      <c r="E1178" s="116">
        <v>41.375</v>
      </c>
      <c r="F1178" s="116">
        <v>83</v>
      </c>
      <c r="G1178">
        <v>21617</v>
      </c>
      <c r="H1178" s="116"/>
      <c r="I1178" s="116"/>
      <c r="L1178" s="169">
        <v>43741</v>
      </c>
      <c r="M1178" s="116">
        <v>41.5</v>
      </c>
      <c r="N1178" s="116">
        <v>41.975000000000001</v>
      </c>
      <c r="O1178" s="116">
        <v>40.924999999999997</v>
      </c>
      <c r="P1178" s="116">
        <v>41.5</v>
      </c>
      <c r="Q1178" s="116">
        <v>83</v>
      </c>
      <c r="R1178">
        <v>313222</v>
      </c>
    </row>
    <row r="1179" spans="1:18" x14ac:dyDescent="0.25">
      <c r="A1179" s="169">
        <v>43742</v>
      </c>
      <c r="B1179" s="116">
        <v>42.225000000000001</v>
      </c>
      <c r="C1179" s="116">
        <v>40.25</v>
      </c>
      <c r="D1179" s="116">
        <v>40.024999999999999</v>
      </c>
      <c r="E1179" s="116">
        <v>41.55</v>
      </c>
      <c r="F1179" s="116">
        <v>80.5</v>
      </c>
      <c r="G1179">
        <v>35648</v>
      </c>
      <c r="H1179" s="116"/>
      <c r="I1179" s="116"/>
      <c r="L1179" s="169">
        <v>43742</v>
      </c>
      <c r="M1179" s="116">
        <v>40.225000000000001</v>
      </c>
      <c r="N1179" s="116">
        <v>42.2</v>
      </c>
      <c r="O1179" s="116">
        <v>40</v>
      </c>
      <c r="P1179" s="116">
        <v>41.75</v>
      </c>
      <c r="Q1179" s="116">
        <v>80.45</v>
      </c>
      <c r="R1179">
        <v>277505</v>
      </c>
    </row>
    <row r="1180" spans="1:18" x14ac:dyDescent="0.25">
      <c r="A1180" s="169">
        <v>43745</v>
      </c>
      <c r="B1180" s="116">
        <v>40.475000000000001</v>
      </c>
      <c r="C1180" s="116">
        <v>39.799999999999997</v>
      </c>
      <c r="D1180" s="116">
        <v>39.174999999999997</v>
      </c>
      <c r="E1180" s="116">
        <v>39.174999999999997</v>
      </c>
      <c r="F1180" s="116">
        <v>79.599999999999994</v>
      </c>
      <c r="G1180">
        <v>40223</v>
      </c>
      <c r="H1180" s="116"/>
      <c r="I1180" s="116"/>
      <c r="L1180" s="169">
        <v>43745</v>
      </c>
      <c r="M1180" s="116">
        <v>39.799999999999997</v>
      </c>
      <c r="N1180" s="116">
        <v>40.5</v>
      </c>
      <c r="O1180" s="116">
        <v>39.549999999999997</v>
      </c>
      <c r="P1180" s="116">
        <v>40.049999999999997</v>
      </c>
      <c r="Q1180" s="116">
        <v>79.599999999999994</v>
      </c>
      <c r="R1180">
        <v>174650</v>
      </c>
    </row>
    <row r="1181" spans="1:18" x14ac:dyDescent="0.25">
      <c r="A1181" s="169">
        <v>43747</v>
      </c>
      <c r="B1181" s="116">
        <v>42.9</v>
      </c>
      <c r="C1181" s="116">
        <v>42.45</v>
      </c>
      <c r="D1181" s="116">
        <v>38.625</v>
      </c>
      <c r="E1181" s="116">
        <v>39.375</v>
      </c>
      <c r="F1181" s="116">
        <v>84.9</v>
      </c>
      <c r="G1181">
        <v>84338</v>
      </c>
      <c r="H1181" s="116"/>
      <c r="I1181" s="116"/>
      <c r="L1181" s="169">
        <v>43747</v>
      </c>
      <c r="M1181" s="116">
        <v>42.325000000000003</v>
      </c>
      <c r="N1181" s="116">
        <v>42.924999999999997</v>
      </c>
      <c r="O1181" s="116">
        <v>38.6</v>
      </c>
      <c r="P1181" s="116">
        <v>39.924999999999997</v>
      </c>
      <c r="Q1181" s="116">
        <v>84.65</v>
      </c>
      <c r="R1181">
        <v>726855</v>
      </c>
    </row>
    <row r="1182" spans="1:18" x14ac:dyDescent="0.25">
      <c r="A1182" s="169">
        <v>43748</v>
      </c>
      <c r="B1182" s="116">
        <v>42.225000000000001</v>
      </c>
      <c r="C1182" s="116">
        <v>40.75</v>
      </c>
      <c r="D1182" s="116">
        <v>40.524999999999999</v>
      </c>
      <c r="E1182" s="116">
        <v>41.6</v>
      </c>
      <c r="F1182" s="116">
        <v>81.5</v>
      </c>
      <c r="G1182">
        <v>25594</v>
      </c>
      <c r="H1182" s="116"/>
      <c r="I1182" s="116"/>
      <c r="L1182" s="169">
        <v>43748</v>
      </c>
      <c r="M1182" s="116">
        <v>40.725000000000001</v>
      </c>
      <c r="N1182" s="116">
        <v>42.25</v>
      </c>
      <c r="O1182" s="116">
        <v>40.524999999999999</v>
      </c>
      <c r="P1182" s="116">
        <v>41.5</v>
      </c>
      <c r="Q1182" s="116">
        <v>81.45</v>
      </c>
      <c r="R1182">
        <v>489911</v>
      </c>
    </row>
    <row r="1183" spans="1:18" x14ac:dyDescent="0.25">
      <c r="A1183" s="169">
        <v>43749</v>
      </c>
      <c r="B1183" s="116">
        <v>41.725000000000001</v>
      </c>
      <c r="C1183" s="116">
        <v>41.3</v>
      </c>
      <c r="D1183" s="116">
        <v>40.75</v>
      </c>
      <c r="E1183" s="116">
        <v>41.075000000000003</v>
      </c>
      <c r="F1183" s="116">
        <v>82.6</v>
      </c>
      <c r="G1183">
        <v>27669</v>
      </c>
      <c r="H1183" s="116"/>
      <c r="I1183" s="116"/>
      <c r="L1183" s="169">
        <v>43749</v>
      </c>
      <c r="M1183" s="116">
        <v>41.15</v>
      </c>
      <c r="N1183" s="116">
        <v>41.75</v>
      </c>
      <c r="O1183" s="116">
        <v>40.700000000000003</v>
      </c>
      <c r="P1183" s="116">
        <v>40.950000000000003</v>
      </c>
      <c r="Q1183" s="116">
        <v>82.3</v>
      </c>
      <c r="R1183">
        <v>309601</v>
      </c>
    </row>
    <row r="1184" spans="1:18" x14ac:dyDescent="0.25">
      <c r="A1184" s="169">
        <v>43752</v>
      </c>
      <c r="B1184" s="116">
        <v>42.9</v>
      </c>
      <c r="C1184" s="116">
        <v>41.25</v>
      </c>
      <c r="D1184" s="116">
        <v>41</v>
      </c>
      <c r="E1184" s="116">
        <v>41.25</v>
      </c>
      <c r="F1184" s="116">
        <v>82.5</v>
      </c>
      <c r="G1184">
        <v>36271</v>
      </c>
      <c r="H1184" s="116"/>
      <c r="I1184" s="116"/>
      <c r="L1184" s="169">
        <v>43752</v>
      </c>
      <c r="M1184" s="116">
        <v>41.25</v>
      </c>
      <c r="N1184" s="116">
        <v>42.924999999999997</v>
      </c>
      <c r="O1184" s="116">
        <v>41.05</v>
      </c>
      <c r="P1184" s="116">
        <v>41.125</v>
      </c>
      <c r="Q1184" s="116">
        <v>82.5</v>
      </c>
      <c r="R1184">
        <v>344449</v>
      </c>
    </row>
    <row r="1185" spans="1:18" x14ac:dyDescent="0.25">
      <c r="A1185" s="169">
        <v>43753</v>
      </c>
      <c r="B1185" s="116">
        <v>42.125</v>
      </c>
      <c r="C1185" s="116">
        <v>41.5</v>
      </c>
      <c r="D1185" s="116">
        <v>39.674999999999997</v>
      </c>
      <c r="E1185" s="116">
        <v>41.45</v>
      </c>
      <c r="F1185" s="116">
        <v>83</v>
      </c>
      <c r="G1185">
        <v>75677</v>
      </c>
      <c r="H1185" s="116"/>
      <c r="I1185" s="116"/>
      <c r="L1185" s="169">
        <v>43753</v>
      </c>
      <c r="M1185" s="116">
        <v>41.575000000000003</v>
      </c>
      <c r="N1185" s="116">
        <v>42.1</v>
      </c>
      <c r="O1185" s="116">
        <v>41.125</v>
      </c>
      <c r="P1185" s="116">
        <v>41.25</v>
      </c>
      <c r="Q1185" s="116">
        <v>83.15</v>
      </c>
      <c r="R1185">
        <v>267403</v>
      </c>
    </row>
    <row r="1186" spans="1:18" x14ac:dyDescent="0.25">
      <c r="A1186" s="169">
        <v>43754</v>
      </c>
      <c r="B1186" s="116">
        <v>41.825000000000003</v>
      </c>
      <c r="C1186" s="116">
        <v>41.125</v>
      </c>
      <c r="D1186" s="116">
        <v>40.924999999999997</v>
      </c>
      <c r="E1186" s="116">
        <v>41.774999999999999</v>
      </c>
      <c r="F1186" s="116">
        <v>82.25</v>
      </c>
      <c r="G1186">
        <v>18687</v>
      </c>
      <c r="H1186" s="116"/>
      <c r="I1186" s="116"/>
      <c r="L1186" s="169">
        <v>43754</v>
      </c>
      <c r="M1186" s="116">
        <v>41</v>
      </c>
      <c r="N1186" s="116">
        <v>41.924999999999997</v>
      </c>
      <c r="O1186" s="116">
        <v>40.85</v>
      </c>
      <c r="P1186" s="116">
        <v>41.85</v>
      </c>
      <c r="Q1186" s="116">
        <v>82</v>
      </c>
      <c r="R1186">
        <v>197937</v>
      </c>
    </row>
    <row r="1187" spans="1:18" x14ac:dyDescent="0.25">
      <c r="A1187" s="169">
        <v>43755</v>
      </c>
      <c r="B1187" s="116">
        <v>42.65</v>
      </c>
      <c r="C1187" s="116">
        <v>42.45</v>
      </c>
      <c r="D1187" s="116">
        <v>40.875</v>
      </c>
      <c r="E1187" s="116">
        <v>41.15</v>
      </c>
      <c r="F1187" s="116">
        <v>84.9</v>
      </c>
      <c r="G1187">
        <v>28478</v>
      </c>
      <c r="H1187" s="116"/>
      <c r="I1187" s="116"/>
      <c r="L1187" s="169">
        <v>43755</v>
      </c>
      <c r="M1187" s="116">
        <v>42.45</v>
      </c>
      <c r="N1187" s="116">
        <v>42.7</v>
      </c>
      <c r="O1187" s="116">
        <v>40.825000000000003</v>
      </c>
      <c r="P1187" s="116">
        <v>41.024999999999999</v>
      </c>
      <c r="Q1187" s="116">
        <v>84.9</v>
      </c>
      <c r="R1187">
        <v>378265</v>
      </c>
    </row>
    <row r="1188" spans="1:18" x14ac:dyDescent="0.25">
      <c r="A1188" s="169">
        <v>43756</v>
      </c>
      <c r="B1188" s="116">
        <v>44.4</v>
      </c>
      <c r="C1188" s="116">
        <v>43.975000000000001</v>
      </c>
      <c r="D1188" s="116">
        <v>42.225000000000001</v>
      </c>
      <c r="E1188" s="116">
        <v>42.4</v>
      </c>
      <c r="F1188" s="116">
        <v>87.95</v>
      </c>
      <c r="G1188">
        <v>77294</v>
      </c>
      <c r="H1188" s="116"/>
      <c r="I1188" s="116"/>
      <c r="L1188" s="169">
        <v>43756</v>
      </c>
      <c r="M1188" s="116">
        <v>44</v>
      </c>
      <c r="N1188" s="116">
        <v>44.5</v>
      </c>
      <c r="O1188" s="116">
        <v>42.2</v>
      </c>
      <c r="P1188" s="116">
        <v>42.424999999999997</v>
      </c>
      <c r="Q1188" s="116">
        <v>88</v>
      </c>
      <c r="R1188">
        <v>900701</v>
      </c>
    </row>
    <row r="1189" spans="1:18" x14ac:dyDescent="0.25">
      <c r="A1189" s="169">
        <v>43760</v>
      </c>
      <c r="B1189" s="116">
        <v>45.575000000000003</v>
      </c>
      <c r="C1189" s="116">
        <v>43.625</v>
      </c>
      <c r="D1189" s="116">
        <v>43.4</v>
      </c>
      <c r="E1189" s="116">
        <v>43.5</v>
      </c>
      <c r="F1189" s="116">
        <v>87.25</v>
      </c>
      <c r="G1189">
        <v>80186</v>
      </c>
      <c r="H1189" s="116"/>
      <c r="I1189" s="116"/>
      <c r="L1189" s="169">
        <v>43760</v>
      </c>
      <c r="M1189" s="116">
        <v>43.65</v>
      </c>
      <c r="N1189" s="116">
        <v>45.6</v>
      </c>
      <c r="O1189" s="116">
        <v>43.3</v>
      </c>
      <c r="P1189" s="116">
        <v>43.9</v>
      </c>
      <c r="Q1189" s="116">
        <v>87.3</v>
      </c>
      <c r="R1189">
        <v>678225</v>
      </c>
    </row>
    <row r="1190" spans="1:18" x14ac:dyDescent="0.25">
      <c r="A1190" s="169">
        <v>43761</v>
      </c>
      <c r="B1190" s="116">
        <v>44.024999999999999</v>
      </c>
      <c r="C1190" s="116">
        <v>43.475000000000001</v>
      </c>
      <c r="D1190" s="116">
        <v>43.274999999999999</v>
      </c>
      <c r="E1190" s="116">
        <v>43.95</v>
      </c>
      <c r="F1190" s="116">
        <v>86.95</v>
      </c>
      <c r="G1190">
        <v>38881</v>
      </c>
      <c r="H1190" s="116"/>
      <c r="I1190" s="116"/>
      <c r="L1190" s="169">
        <v>43761</v>
      </c>
      <c r="M1190" s="116">
        <v>43.55</v>
      </c>
      <c r="N1190" s="116">
        <v>44.225000000000001</v>
      </c>
      <c r="O1190" s="116">
        <v>43.2</v>
      </c>
      <c r="P1190" s="116">
        <v>43.825000000000003</v>
      </c>
      <c r="Q1190" s="116">
        <v>87.1</v>
      </c>
      <c r="R1190">
        <v>331163</v>
      </c>
    </row>
    <row r="1191" spans="1:18" x14ac:dyDescent="0.25">
      <c r="A1191" s="169">
        <v>43762</v>
      </c>
      <c r="B1191" s="116">
        <v>44.125</v>
      </c>
      <c r="C1191" s="116">
        <v>42.774999999999999</v>
      </c>
      <c r="D1191" s="116">
        <v>42.7</v>
      </c>
      <c r="E1191" s="116">
        <v>43.075000000000003</v>
      </c>
      <c r="F1191" s="116">
        <v>85.55</v>
      </c>
      <c r="G1191">
        <v>20392</v>
      </c>
      <c r="H1191" s="116"/>
      <c r="I1191" s="116"/>
      <c r="L1191" s="169">
        <v>43762</v>
      </c>
      <c r="M1191" s="116">
        <v>42.875</v>
      </c>
      <c r="N1191" s="116">
        <v>44.174999999999997</v>
      </c>
      <c r="O1191" s="116">
        <v>42.75</v>
      </c>
      <c r="P1191" s="116">
        <v>43.85</v>
      </c>
      <c r="Q1191" s="116">
        <v>85.75</v>
      </c>
      <c r="R1191">
        <v>160547</v>
      </c>
    </row>
    <row r="1192" spans="1:18" x14ac:dyDescent="0.25">
      <c r="A1192" s="169">
        <v>43763</v>
      </c>
      <c r="B1192" s="116">
        <v>43.375</v>
      </c>
      <c r="C1192" s="116">
        <v>42.15</v>
      </c>
      <c r="D1192" s="116">
        <v>42.024999999999999</v>
      </c>
      <c r="E1192" s="116">
        <v>42.924999999999997</v>
      </c>
      <c r="F1192" s="116">
        <v>84.3</v>
      </c>
      <c r="G1192">
        <v>27114</v>
      </c>
      <c r="H1192" s="116"/>
      <c r="I1192" s="116"/>
      <c r="L1192" s="169">
        <v>43763</v>
      </c>
      <c r="M1192" s="116">
        <v>42.25</v>
      </c>
      <c r="N1192" s="116">
        <v>43.4</v>
      </c>
      <c r="O1192" s="116">
        <v>42.05</v>
      </c>
      <c r="P1192" s="116">
        <v>43.075000000000003</v>
      </c>
      <c r="Q1192" s="116">
        <v>84.5</v>
      </c>
      <c r="R1192">
        <v>278777</v>
      </c>
    </row>
    <row r="1193" spans="1:18" x14ac:dyDescent="0.25">
      <c r="A1193" s="169">
        <v>43765</v>
      </c>
      <c r="B1193" s="116">
        <v>43.325000000000003</v>
      </c>
      <c r="C1193" s="116">
        <v>43.174999999999997</v>
      </c>
      <c r="D1193" s="116">
        <v>42.1</v>
      </c>
      <c r="E1193" s="116">
        <v>42.1</v>
      </c>
      <c r="F1193" s="116">
        <v>86.35</v>
      </c>
      <c r="G1193">
        <v>10856</v>
      </c>
      <c r="H1193" s="116"/>
      <c r="I1193" s="116"/>
      <c r="L1193" s="169">
        <v>43765</v>
      </c>
      <c r="M1193" s="116">
        <v>43.174999999999997</v>
      </c>
      <c r="N1193" s="116">
        <v>43.325000000000003</v>
      </c>
      <c r="O1193" s="116">
        <v>42.174999999999997</v>
      </c>
      <c r="P1193" s="116">
        <v>42.6</v>
      </c>
      <c r="Q1193" s="116">
        <v>86.35</v>
      </c>
      <c r="R1193">
        <v>91479</v>
      </c>
    </row>
    <row r="1194" spans="1:18" x14ac:dyDescent="0.25">
      <c r="A1194" s="169">
        <v>43767</v>
      </c>
      <c r="B1194" s="116">
        <v>44.65</v>
      </c>
      <c r="C1194" s="116">
        <v>43.45</v>
      </c>
      <c r="D1194" s="116">
        <v>42.825000000000003</v>
      </c>
      <c r="E1194" s="116">
        <v>42.875</v>
      </c>
      <c r="F1194" s="116">
        <v>86.9</v>
      </c>
      <c r="G1194">
        <v>57905</v>
      </c>
      <c r="H1194" s="116"/>
      <c r="I1194" s="116"/>
      <c r="L1194" s="169">
        <v>43767</v>
      </c>
      <c r="M1194" s="116">
        <v>43.5</v>
      </c>
      <c r="N1194" s="116">
        <v>44.75</v>
      </c>
      <c r="O1194" s="116">
        <v>42.774999999999999</v>
      </c>
      <c r="P1194" s="116">
        <v>43.325000000000003</v>
      </c>
      <c r="Q1194" s="116">
        <v>87</v>
      </c>
      <c r="R1194">
        <v>439198</v>
      </c>
    </row>
    <row r="1195" spans="1:18" x14ac:dyDescent="0.25">
      <c r="A1195" s="169">
        <v>43768</v>
      </c>
      <c r="B1195" s="116">
        <v>44.575000000000003</v>
      </c>
      <c r="C1195" s="116">
        <v>44.024999999999999</v>
      </c>
      <c r="D1195" s="116">
        <v>43.375</v>
      </c>
      <c r="E1195" s="116">
        <v>43.85</v>
      </c>
      <c r="F1195" s="116">
        <v>88.05</v>
      </c>
      <c r="G1195">
        <v>69151</v>
      </c>
      <c r="H1195" s="116"/>
      <c r="I1195" s="116"/>
      <c r="L1195" s="169">
        <v>43768</v>
      </c>
      <c r="M1195" s="116">
        <v>44.05</v>
      </c>
      <c r="N1195" s="116">
        <v>44.5</v>
      </c>
      <c r="O1195" s="116">
        <v>43.3</v>
      </c>
      <c r="P1195" s="116">
        <v>43.5</v>
      </c>
      <c r="Q1195" s="116">
        <v>88.1</v>
      </c>
      <c r="R1195">
        <v>469960</v>
      </c>
    </row>
    <row r="1196" spans="1:18" x14ac:dyDescent="0.25">
      <c r="A1196" s="169">
        <v>43769</v>
      </c>
      <c r="B1196" s="116">
        <v>45.6</v>
      </c>
      <c r="C1196" s="116">
        <v>44.325000000000003</v>
      </c>
      <c r="D1196" s="116">
        <v>44.1</v>
      </c>
      <c r="E1196" s="116">
        <v>44.4</v>
      </c>
      <c r="F1196" s="116">
        <v>88.65</v>
      </c>
      <c r="G1196">
        <v>106109</v>
      </c>
      <c r="H1196" s="116"/>
      <c r="I1196" s="116"/>
      <c r="L1196" s="169">
        <v>43769</v>
      </c>
      <c r="M1196" s="116">
        <v>44.35</v>
      </c>
      <c r="N1196" s="116">
        <v>45.6</v>
      </c>
      <c r="O1196" s="116">
        <v>44.075000000000003</v>
      </c>
      <c r="P1196" s="116">
        <v>44.625</v>
      </c>
      <c r="Q1196" s="116">
        <v>88.7</v>
      </c>
      <c r="R1196">
        <v>801437</v>
      </c>
    </row>
    <row r="1197" spans="1:18" x14ac:dyDescent="0.25">
      <c r="A1197" s="169">
        <v>43770</v>
      </c>
      <c r="B1197" s="116">
        <v>46.45</v>
      </c>
      <c r="C1197" s="116">
        <v>43.4</v>
      </c>
      <c r="D1197" s="116">
        <v>43.1</v>
      </c>
      <c r="E1197" s="116">
        <v>45.024999999999999</v>
      </c>
      <c r="F1197" s="116">
        <v>86.8</v>
      </c>
      <c r="G1197">
        <v>179105</v>
      </c>
      <c r="H1197" s="116"/>
      <c r="I1197" s="116"/>
      <c r="L1197" s="169">
        <v>43770</v>
      </c>
      <c r="M1197" s="116">
        <v>43.325000000000003</v>
      </c>
      <c r="N1197" s="116">
        <v>46.45</v>
      </c>
      <c r="O1197" s="116">
        <v>43.05</v>
      </c>
      <c r="P1197" s="116">
        <v>45.25</v>
      </c>
      <c r="Q1197" s="116">
        <v>86.65</v>
      </c>
      <c r="R1197">
        <v>1975917</v>
      </c>
    </row>
    <row r="1198" spans="1:18" x14ac:dyDescent="0.25">
      <c r="A1198" s="169">
        <v>43773</v>
      </c>
      <c r="B1198" s="116">
        <v>44.424999999999997</v>
      </c>
      <c r="C1198" s="116">
        <v>43.475000000000001</v>
      </c>
      <c r="D1198" s="116">
        <v>43.35</v>
      </c>
      <c r="E1198" s="116">
        <v>43.575000000000003</v>
      </c>
      <c r="F1198" s="116">
        <v>86.95</v>
      </c>
      <c r="G1198">
        <v>51871</v>
      </c>
      <c r="H1198" s="116"/>
      <c r="I1198" s="116"/>
      <c r="L1198" s="169">
        <v>43773</v>
      </c>
      <c r="M1198" s="116">
        <v>43.45</v>
      </c>
      <c r="N1198" s="116">
        <v>44.424999999999997</v>
      </c>
      <c r="O1198" s="116">
        <v>43.325000000000003</v>
      </c>
      <c r="P1198" s="116">
        <v>43.625</v>
      </c>
      <c r="Q1198" s="116">
        <v>86.9</v>
      </c>
      <c r="R1198">
        <v>538325</v>
      </c>
    </row>
    <row r="1199" spans="1:18" x14ac:dyDescent="0.25">
      <c r="A1199" s="169">
        <v>43774</v>
      </c>
      <c r="B1199" s="116">
        <v>44.7</v>
      </c>
      <c r="C1199" s="116">
        <v>43.674999999999997</v>
      </c>
      <c r="D1199" s="116">
        <v>43.225000000000001</v>
      </c>
      <c r="E1199" s="116">
        <v>44.674999999999997</v>
      </c>
      <c r="F1199" s="116">
        <v>87.35</v>
      </c>
      <c r="G1199">
        <v>50706</v>
      </c>
      <c r="H1199" s="116"/>
      <c r="I1199" s="116"/>
      <c r="L1199" s="169">
        <v>43774</v>
      </c>
      <c r="M1199" s="116">
        <v>43.75</v>
      </c>
      <c r="N1199" s="116">
        <v>44.325000000000003</v>
      </c>
      <c r="O1199" s="116">
        <v>43.15</v>
      </c>
      <c r="P1199" s="116">
        <v>44.174999999999997</v>
      </c>
      <c r="Q1199" s="116">
        <v>87.5</v>
      </c>
      <c r="R1199">
        <v>545424</v>
      </c>
    </row>
    <row r="1200" spans="1:18" x14ac:dyDescent="0.25">
      <c r="A1200" s="169">
        <v>43775</v>
      </c>
      <c r="B1200" s="116">
        <v>43.95</v>
      </c>
      <c r="C1200" s="116">
        <v>43.15</v>
      </c>
      <c r="D1200" s="116">
        <v>42.924999999999997</v>
      </c>
      <c r="E1200" s="116">
        <v>43.674999999999997</v>
      </c>
      <c r="F1200" s="116">
        <v>86.3</v>
      </c>
      <c r="G1200">
        <v>33624</v>
      </c>
      <c r="H1200" s="116"/>
      <c r="I1200" s="116"/>
      <c r="L1200" s="169">
        <v>43775</v>
      </c>
      <c r="M1200" s="116">
        <v>43.25</v>
      </c>
      <c r="N1200" s="116">
        <v>43.975000000000001</v>
      </c>
      <c r="O1200" s="116">
        <v>43</v>
      </c>
      <c r="P1200" s="116">
        <v>43.4</v>
      </c>
      <c r="Q1200" s="116">
        <v>86.5</v>
      </c>
      <c r="R1200">
        <v>390638</v>
      </c>
    </row>
    <row r="1201" spans="1:18" x14ac:dyDescent="0.25">
      <c r="A1201" s="169">
        <v>43776</v>
      </c>
      <c r="B1201" s="116">
        <v>43.65</v>
      </c>
      <c r="C1201" s="116">
        <v>42.975000000000001</v>
      </c>
      <c r="D1201" s="116">
        <v>42.8</v>
      </c>
      <c r="E1201" s="116">
        <v>43.325000000000003</v>
      </c>
      <c r="F1201" s="116">
        <v>85.95</v>
      </c>
      <c r="G1201">
        <v>64033</v>
      </c>
      <c r="H1201" s="116"/>
      <c r="I1201" s="116"/>
      <c r="L1201" s="169">
        <v>43776</v>
      </c>
      <c r="M1201" s="116">
        <v>43</v>
      </c>
      <c r="N1201" s="116">
        <v>43.7</v>
      </c>
      <c r="O1201" s="116">
        <v>42.8</v>
      </c>
      <c r="P1201" s="116">
        <v>43.375</v>
      </c>
      <c r="Q1201" s="116">
        <v>86</v>
      </c>
      <c r="R1201">
        <v>383680</v>
      </c>
    </row>
    <row r="1202" spans="1:18" x14ac:dyDescent="0.25">
      <c r="A1202" s="169">
        <v>43777</v>
      </c>
      <c r="B1202" s="116">
        <v>44.5</v>
      </c>
      <c r="C1202" s="116">
        <v>42.924999999999997</v>
      </c>
      <c r="D1202" s="116">
        <v>42.575000000000003</v>
      </c>
      <c r="E1202" s="116">
        <v>42.95</v>
      </c>
      <c r="F1202" s="116">
        <v>85.85</v>
      </c>
      <c r="G1202">
        <v>71873</v>
      </c>
      <c r="H1202" s="116"/>
      <c r="I1202" s="116"/>
      <c r="L1202" s="169">
        <v>43777</v>
      </c>
      <c r="M1202" s="116">
        <v>42.875</v>
      </c>
      <c r="N1202" s="116">
        <v>44.5</v>
      </c>
      <c r="O1202" s="116">
        <v>42.524999999999999</v>
      </c>
      <c r="P1202" s="116">
        <v>42.975000000000001</v>
      </c>
      <c r="Q1202" s="116">
        <v>85.75</v>
      </c>
      <c r="R1202">
        <v>768240</v>
      </c>
    </row>
    <row r="1203" spans="1:18" x14ac:dyDescent="0.25">
      <c r="A1203" s="169">
        <v>43780</v>
      </c>
      <c r="B1203" s="116">
        <v>43.2</v>
      </c>
      <c r="C1203" s="116">
        <v>42.024999999999999</v>
      </c>
      <c r="D1203" s="116">
        <v>41.725000000000001</v>
      </c>
      <c r="E1203" s="116">
        <v>42.8</v>
      </c>
      <c r="F1203" s="116">
        <v>84.05</v>
      </c>
      <c r="G1203">
        <v>84258</v>
      </c>
      <c r="H1203" s="116"/>
      <c r="I1203" s="116"/>
      <c r="L1203" s="169">
        <v>43780</v>
      </c>
      <c r="M1203" s="116">
        <v>42.024999999999999</v>
      </c>
      <c r="N1203" s="116">
        <v>43.225000000000001</v>
      </c>
      <c r="O1203" s="116">
        <v>41.75</v>
      </c>
      <c r="P1203" s="116">
        <v>42.8</v>
      </c>
      <c r="Q1203" s="116">
        <v>84.05</v>
      </c>
      <c r="R1203">
        <v>456446</v>
      </c>
    </row>
    <row r="1204" spans="1:18" x14ac:dyDescent="0.25">
      <c r="A1204" s="169">
        <v>43782</v>
      </c>
      <c r="B1204" s="116">
        <v>42.125</v>
      </c>
      <c r="C1204" s="116">
        <v>40.875</v>
      </c>
      <c r="D1204" s="116">
        <v>40.65</v>
      </c>
      <c r="E1204" s="116">
        <v>41.85</v>
      </c>
      <c r="F1204" s="116">
        <v>81.75</v>
      </c>
      <c r="G1204">
        <v>58022</v>
      </c>
      <c r="H1204" s="116"/>
      <c r="I1204" s="116"/>
      <c r="L1204" s="169">
        <v>43782</v>
      </c>
      <c r="M1204" s="116">
        <v>40.825000000000003</v>
      </c>
      <c r="N1204" s="116">
        <v>42.125</v>
      </c>
      <c r="O1204" s="116">
        <v>40.674999999999997</v>
      </c>
      <c r="P1204" s="116">
        <v>41.725000000000001</v>
      </c>
      <c r="Q1204" s="116">
        <v>81.650000000000006</v>
      </c>
      <c r="R1204">
        <v>361449</v>
      </c>
    </row>
    <row r="1205" spans="1:18" x14ac:dyDescent="0.25">
      <c r="A1205" s="169">
        <v>43783</v>
      </c>
      <c r="B1205" s="116">
        <v>41.5</v>
      </c>
      <c r="C1205" s="116">
        <v>40.924999999999997</v>
      </c>
      <c r="D1205" s="116">
        <v>40.6</v>
      </c>
      <c r="E1205" s="116">
        <v>40.674999999999997</v>
      </c>
      <c r="F1205" s="116">
        <v>81.849999999999994</v>
      </c>
      <c r="G1205">
        <v>18072</v>
      </c>
      <c r="H1205" s="116"/>
      <c r="I1205" s="116"/>
      <c r="L1205" s="169">
        <v>43783</v>
      </c>
      <c r="M1205" s="116">
        <v>40.950000000000003</v>
      </c>
      <c r="N1205" s="116">
        <v>41.55</v>
      </c>
      <c r="O1205" s="116">
        <v>40.524999999999999</v>
      </c>
      <c r="P1205" s="116">
        <v>41</v>
      </c>
      <c r="Q1205" s="116">
        <v>81.900000000000006</v>
      </c>
      <c r="R1205">
        <v>233106</v>
      </c>
    </row>
    <row r="1206" spans="1:18" x14ac:dyDescent="0.25">
      <c r="A1206" s="169">
        <v>43784</v>
      </c>
      <c r="B1206" s="116">
        <v>41.2</v>
      </c>
      <c r="C1206" s="116">
        <v>40.200000000000003</v>
      </c>
      <c r="D1206" s="116">
        <v>40.1</v>
      </c>
      <c r="E1206" s="116">
        <v>40.85</v>
      </c>
      <c r="F1206" s="116">
        <v>80.400000000000006</v>
      </c>
      <c r="G1206">
        <v>27622</v>
      </c>
      <c r="H1206" s="116"/>
      <c r="I1206" s="116"/>
      <c r="L1206" s="169">
        <v>43784</v>
      </c>
      <c r="M1206" s="116">
        <v>40.174999999999997</v>
      </c>
      <c r="N1206" s="116">
        <v>41.25</v>
      </c>
      <c r="O1206" s="116">
        <v>40.075000000000003</v>
      </c>
      <c r="P1206" s="116">
        <v>40.975000000000001</v>
      </c>
      <c r="Q1206" s="116">
        <v>80.349999999999994</v>
      </c>
      <c r="R1206">
        <v>254811</v>
      </c>
    </row>
    <row r="1207" spans="1:18" x14ac:dyDescent="0.25">
      <c r="A1207" s="169">
        <v>43787</v>
      </c>
      <c r="B1207" s="116">
        <v>41</v>
      </c>
      <c r="C1207" s="116">
        <v>40.049999999999997</v>
      </c>
      <c r="D1207" s="116">
        <v>39.975000000000001</v>
      </c>
      <c r="E1207" s="116">
        <v>40.450000000000003</v>
      </c>
      <c r="F1207" s="116">
        <v>80.099999999999994</v>
      </c>
      <c r="G1207">
        <v>34655</v>
      </c>
      <c r="H1207" s="116"/>
      <c r="I1207" s="116"/>
      <c r="L1207" s="169">
        <v>43787</v>
      </c>
      <c r="M1207" s="116">
        <v>40.049999999999997</v>
      </c>
      <c r="N1207" s="116">
        <v>41.05</v>
      </c>
      <c r="O1207" s="116">
        <v>39.875</v>
      </c>
      <c r="P1207" s="116">
        <v>40.25</v>
      </c>
      <c r="Q1207" s="116">
        <v>80.099999999999994</v>
      </c>
      <c r="R1207">
        <v>313018</v>
      </c>
    </row>
    <row r="1208" spans="1:18" x14ac:dyDescent="0.25">
      <c r="A1208" s="169">
        <v>43788</v>
      </c>
      <c r="B1208" s="116">
        <v>41.174999999999997</v>
      </c>
      <c r="C1208" s="116">
        <v>40.375</v>
      </c>
      <c r="D1208" s="116">
        <v>40.174999999999997</v>
      </c>
      <c r="E1208" s="116">
        <v>40.200000000000003</v>
      </c>
      <c r="F1208" s="116">
        <v>80.75</v>
      </c>
      <c r="G1208">
        <v>98742</v>
      </c>
      <c r="H1208" s="116"/>
      <c r="I1208" s="116"/>
      <c r="L1208" s="169">
        <v>43788</v>
      </c>
      <c r="M1208" s="116">
        <v>40.625</v>
      </c>
      <c r="N1208" s="116">
        <v>41.2</v>
      </c>
      <c r="O1208" s="116">
        <v>40.1</v>
      </c>
      <c r="P1208" s="116">
        <v>40.15</v>
      </c>
      <c r="Q1208" s="116">
        <v>81.25</v>
      </c>
      <c r="R1208">
        <v>393783</v>
      </c>
    </row>
    <row r="1209" spans="1:18" x14ac:dyDescent="0.25">
      <c r="A1209" s="169">
        <v>43789</v>
      </c>
      <c r="B1209" s="116">
        <v>41.2</v>
      </c>
      <c r="C1209" s="116">
        <v>40.625</v>
      </c>
      <c r="D1209" s="116">
        <v>40.450000000000003</v>
      </c>
      <c r="E1209" s="116">
        <v>40.825000000000003</v>
      </c>
      <c r="F1209" s="116">
        <v>81.25</v>
      </c>
      <c r="G1209">
        <v>29813</v>
      </c>
      <c r="H1209" s="116"/>
      <c r="I1209" s="116"/>
      <c r="L1209" s="169">
        <v>43789</v>
      </c>
      <c r="M1209" s="116">
        <v>40.65</v>
      </c>
      <c r="N1209" s="116">
        <v>41.2</v>
      </c>
      <c r="O1209" s="116">
        <v>40.450000000000003</v>
      </c>
      <c r="P1209" s="116">
        <v>40.9</v>
      </c>
      <c r="Q1209" s="116">
        <v>81.3</v>
      </c>
      <c r="R1209">
        <v>178821</v>
      </c>
    </row>
    <row r="1210" spans="1:18" x14ac:dyDescent="0.25">
      <c r="A1210" s="169">
        <v>43790</v>
      </c>
      <c r="B1210" s="116">
        <v>40.875</v>
      </c>
      <c r="C1210" s="116">
        <v>39.774999999999999</v>
      </c>
      <c r="D1210" s="116">
        <v>39.65</v>
      </c>
      <c r="E1210" s="116">
        <v>40.524999999999999</v>
      </c>
      <c r="F1210" s="116">
        <v>79.55</v>
      </c>
      <c r="G1210">
        <v>11387</v>
      </c>
      <c r="H1210" s="116"/>
      <c r="I1210" s="116"/>
      <c r="L1210" s="169">
        <v>43790</v>
      </c>
      <c r="M1210" s="116">
        <v>39.799999999999997</v>
      </c>
      <c r="N1210" s="116">
        <v>40.9</v>
      </c>
      <c r="O1210" s="116">
        <v>39.625</v>
      </c>
      <c r="P1210" s="116">
        <v>40.4</v>
      </c>
      <c r="Q1210" s="116">
        <v>79.599999999999994</v>
      </c>
      <c r="R1210">
        <v>240241</v>
      </c>
    </row>
    <row r="1211" spans="1:18" x14ac:dyDescent="0.25">
      <c r="A1211" s="169">
        <v>43791</v>
      </c>
      <c r="B1211" s="116">
        <v>40.049999999999997</v>
      </c>
      <c r="C1211" s="116">
        <v>39.450000000000003</v>
      </c>
      <c r="D1211" s="116">
        <v>39.274999999999999</v>
      </c>
      <c r="E1211" s="116">
        <v>39.924999999999997</v>
      </c>
      <c r="F1211" s="116">
        <v>78.900000000000006</v>
      </c>
      <c r="G1211">
        <v>24104</v>
      </c>
      <c r="H1211" s="116"/>
      <c r="I1211" s="116"/>
      <c r="L1211" s="169">
        <v>43791</v>
      </c>
      <c r="M1211" s="116">
        <v>39.450000000000003</v>
      </c>
      <c r="N1211" s="116">
        <v>40.024999999999999</v>
      </c>
      <c r="O1211" s="116">
        <v>39.299999999999997</v>
      </c>
      <c r="P1211" s="116">
        <v>39.924999999999997</v>
      </c>
      <c r="Q1211" s="116">
        <v>78.900000000000006</v>
      </c>
      <c r="R1211">
        <v>223422</v>
      </c>
    </row>
    <row r="1212" spans="1:18" x14ac:dyDescent="0.25">
      <c r="A1212" s="169">
        <v>43794</v>
      </c>
      <c r="B1212" s="116">
        <v>40.325000000000003</v>
      </c>
      <c r="C1212" s="116">
        <v>39.875</v>
      </c>
      <c r="D1212" s="116">
        <v>39.625</v>
      </c>
      <c r="E1212" s="116">
        <v>39.700000000000003</v>
      </c>
      <c r="F1212" s="116">
        <v>79.75</v>
      </c>
      <c r="G1212">
        <v>18144</v>
      </c>
      <c r="H1212" s="116"/>
      <c r="I1212" s="116"/>
      <c r="L1212" s="169">
        <v>43794</v>
      </c>
      <c r="M1212" s="116">
        <v>39.875</v>
      </c>
      <c r="N1212" s="116">
        <v>40.325000000000003</v>
      </c>
      <c r="O1212" s="116">
        <v>39.524999999999999</v>
      </c>
      <c r="P1212" s="116">
        <v>39.575000000000003</v>
      </c>
      <c r="Q1212" s="116">
        <v>79.75</v>
      </c>
      <c r="R1212">
        <v>219927</v>
      </c>
    </row>
    <row r="1213" spans="1:18" x14ac:dyDescent="0.25">
      <c r="A1213" s="169">
        <v>43795</v>
      </c>
      <c r="B1213" s="116">
        <v>40.475000000000001</v>
      </c>
      <c r="C1213" s="116">
        <v>39.299999999999997</v>
      </c>
      <c r="D1213" s="116">
        <v>39.125</v>
      </c>
      <c r="E1213" s="116">
        <v>40.299999999999997</v>
      </c>
      <c r="F1213" s="116">
        <v>78.599999999999994</v>
      </c>
      <c r="G1213">
        <v>47113</v>
      </c>
      <c r="H1213" s="116"/>
      <c r="I1213" s="116"/>
      <c r="L1213" s="169">
        <v>43795</v>
      </c>
      <c r="M1213" s="116">
        <v>39.225000000000001</v>
      </c>
      <c r="N1213" s="116">
        <v>40.450000000000003</v>
      </c>
      <c r="O1213" s="116">
        <v>39.125</v>
      </c>
      <c r="P1213" s="116">
        <v>40.1</v>
      </c>
      <c r="Q1213" s="116">
        <v>78.45</v>
      </c>
      <c r="R1213">
        <v>289052</v>
      </c>
    </row>
    <row r="1214" spans="1:18" x14ac:dyDescent="0.25">
      <c r="A1214" s="169">
        <v>43796</v>
      </c>
      <c r="B1214" s="116">
        <v>39.924999999999997</v>
      </c>
      <c r="C1214" s="116">
        <v>39.200000000000003</v>
      </c>
      <c r="D1214" s="116">
        <v>39.125</v>
      </c>
      <c r="E1214" s="116">
        <v>39.475000000000001</v>
      </c>
      <c r="F1214" s="116">
        <v>78.400000000000006</v>
      </c>
      <c r="G1214">
        <v>38930</v>
      </c>
      <c r="H1214" s="116"/>
      <c r="I1214" s="116"/>
      <c r="L1214" s="169">
        <v>43796</v>
      </c>
      <c r="M1214" s="116">
        <v>39.200000000000003</v>
      </c>
      <c r="N1214" s="116">
        <v>40.1</v>
      </c>
      <c r="O1214" s="116">
        <v>39.125</v>
      </c>
      <c r="P1214" s="116">
        <v>39.299999999999997</v>
      </c>
      <c r="Q1214" s="116">
        <v>78.400000000000006</v>
      </c>
      <c r="R1214">
        <v>238239</v>
      </c>
    </row>
    <row r="1215" spans="1:18" x14ac:dyDescent="0.25">
      <c r="A1215" s="169">
        <v>43797</v>
      </c>
      <c r="B1215" s="116">
        <v>39.5</v>
      </c>
      <c r="C1215" s="116">
        <v>39.125</v>
      </c>
      <c r="D1215" s="116">
        <v>38.975000000000001</v>
      </c>
      <c r="E1215" s="116">
        <v>39.049999999999997</v>
      </c>
      <c r="F1215" s="116">
        <v>78.25</v>
      </c>
      <c r="G1215">
        <v>17291</v>
      </c>
      <c r="H1215" s="116"/>
      <c r="I1215" s="116"/>
      <c r="L1215" s="169">
        <v>43797</v>
      </c>
      <c r="M1215" s="116">
        <v>39.174999999999997</v>
      </c>
      <c r="N1215" s="116">
        <v>39.6</v>
      </c>
      <c r="O1215" s="116">
        <v>38.924999999999997</v>
      </c>
      <c r="P1215" s="116">
        <v>39.299999999999997</v>
      </c>
      <c r="Q1215" s="116">
        <v>78.349999999999994</v>
      </c>
      <c r="R1215">
        <v>229636</v>
      </c>
    </row>
    <row r="1216" spans="1:18" x14ac:dyDescent="0.25">
      <c r="A1216" s="169">
        <v>43798</v>
      </c>
      <c r="B1216" s="116">
        <v>40.674999999999997</v>
      </c>
      <c r="C1216" s="116">
        <v>40.299999999999997</v>
      </c>
      <c r="D1216" s="116">
        <v>39</v>
      </c>
      <c r="E1216" s="116">
        <v>39.200000000000003</v>
      </c>
      <c r="F1216" s="116">
        <v>80.599999999999994</v>
      </c>
      <c r="G1216">
        <v>159870</v>
      </c>
      <c r="H1216" s="116"/>
      <c r="I1216" s="116"/>
      <c r="L1216" s="169">
        <v>43798</v>
      </c>
      <c r="M1216" s="116">
        <v>40.299999999999997</v>
      </c>
      <c r="N1216" s="116">
        <v>40.700000000000003</v>
      </c>
      <c r="O1216" s="116">
        <v>38.950000000000003</v>
      </c>
      <c r="P1216" s="116">
        <v>39.049999999999997</v>
      </c>
      <c r="Q1216" s="116">
        <v>80.599999999999994</v>
      </c>
      <c r="R1216">
        <v>493489</v>
      </c>
    </row>
    <row r="1217" spans="1:18" x14ac:dyDescent="0.25">
      <c r="A1217" s="169">
        <v>43801</v>
      </c>
      <c r="B1217" s="116">
        <v>40.674999999999997</v>
      </c>
      <c r="C1217" s="116">
        <v>40.024999999999999</v>
      </c>
      <c r="D1217" s="116">
        <v>39.450000000000003</v>
      </c>
      <c r="E1217" s="116">
        <v>40.35</v>
      </c>
      <c r="F1217" s="116">
        <v>80.05</v>
      </c>
      <c r="G1217">
        <v>61636</v>
      </c>
      <c r="H1217" s="116"/>
      <c r="I1217" s="116"/>
      <c r="L1217" s="169">
        <v>43801</v>
      </c>
      <c r="M1217" s="116">
        <v>40.024999999999999</v>
      </c>
      <c r="N1217" s="116">
        <v>40.725000000000001</v>
      </c>
      <c r="O1217" s="116">
        <v>39.424999999999997</v>
      </c>
      <c r="P1217" s="116">
        <v>40.25</v>
      </c>
      <c r="Q1217" s="116">
        <v>80.05</v>
      </c>
      <c r="R1217">
        <v>426501</v>
      </c>
    </row>
    <row r="1218" spans="1:18" x14ac:dyDescent="0.25">
      <c r="A1218" s="169">
        <v>43802</v>
      </c>
      <c r="B1218" s="116">
        <v>40.200000000000003</v>
      </c>
      <c r="C1218" s="116">
        <v>38.5</v>
      </c>
      <c r="D1218" s="116">
        <v>38.25</v>
      </c>
      <c r="E1218" s="116">
        <v>40.174999999999997</v>
      </c>
      <c r="F1218" s="116">
        <v>77</v>
      </c>
      <c r="G1218">
        <v>70808</v>
      </c>
      <c r="H1218" s="116"/>
      <c r="I1218" s="116"/>
      <c r="L1218" s="169">
        <v>43802</v>
      </c>
      <c r="M1218" s="116">
        <v>38.4</v>
      </c>
      <c r="N1218" s="116">
        <v>40.174999999999997</v>
      </c>
      <c r="O1218" s="116">
        <v>38</v>
      </c>
      <c r="P1218" s="116">
        <v>40.049999999999997</v>
      </c>
      <c r="Q1218" s="116">
        <v>76.8</v>
      </c>
      <c r="R1218">
        <v>368103</v>
      </c>
    </row>
    <row r="1219" spans="1:18" x14ac:dyDescent="0.25">
      <c r="A1219" s="169">
        <v>43803</v>
      </c>
      <c r="B1219" s="116">
        <v>38.5</v>
      </c>
      <c r="C1219" s="116">
        <v>38.299999999999997</v>
      </c>
      <c r="D1219" s="116">
        <v>37.625</v>
      </c>
      <c r="E1219" s="116">
        <v>38.174999999999997</v>
      </c>
      <c r="F1219" s="116">
        <v>76.599999999999994</v>
      </c>
      <c r="G1219">
        <v>63485</v>
      </c>
      <c r="H1219" s="116"/>
      <c r="I1219" s="116"/>
      <c r="L1219" s="169">
        <v>43803</v>
      </c>
      <c r="M1219" s="116">
        <v>38.274999999999999</v>
      </c>
      <c r="N1219" s="116">
        <v>38.5</v>
      </c>
      <c r="O1219" s="116">
        <v>37.625</v>
      </c>
      <c r="P1219" s="116">
        <v>38.200000000000003</v>
      </c>
      <c r="Q1219" s="116">
        <v>76.55</v>
      </c>
      <c r="R1219">
        <v>441638</v>
      </c>
    </row>
    <row r="1220" spans="1:18" x14ac:dyDescent="0.25">
      <c r="A1220" s="169">
        <v>43804</v>
      </c>
      <c r="B1220" s="116">
        <v>38.5</v>
      </c>
      <c r="C1220" s="116">
        <v>37.725000000000001</v>
      </c>
      <c r="D1220" s="116">
        <v>37.625</v>
      </c>
      <c r="E1220" s="116">
        <v>38.5</v>
      </c>
      <c r="F1220" s="116">
        <v>75.45</v>
      </c>
      <c r="G1220">
        <v>38649</v>
      </c>
      <c r="H1220" s="116"/>
      <c r="I1220" s="116"/>
      <c r="L1220" s="169">
        <v>43804</v>
      </c>
      <c r="M1220" s="116">
        <v>37.674999999999997</v>
      </c>
      <c r="N1220" s="116">
        <v>38.549999999999997</v>
      </c>
      <c r="O1220" s="116">
        <v>37.549999999999997</v>
      </c>
      <c r="P1220" s="116">
        <v>38.274999999999999</v>
      </c>
      <c r="Q1220" s="116">
        <v>75.349999999999994</v>
      </c>
      <c r="R1220">
        <v>249608</v>
      </c>
    </row>
    <row r="1221" spans="1:18" x14ac:dyDescent="0.25">
      <c r="A1221" s="169">
        <v>43805</v>
      </c>
      <c r="B1221" s="116">
        <v>38</v>
      </c>
      <c r="C1221" s="116">
        <v>37.125</v>
      </c>
      <c r="D1221" s="116">
        <v>36.674999999999997</v>
      </c>
      <c r="E1221" s="116">
        <v>37.9</v>
      </c>
      <c r="F1221" s="116">
        <v>74.25</v>
      </c>
      <c r="G1221">
        <v>46626</v>
      </c>
      <c r="H1221" s="116"/>
      <c r="I1221" s="116"/>
      <c r="L1221" s="169">
        <v>43805</v>
      </c>
      <c r="M1221" s="116">
        <v>37.125</v>
      </c>
      <c r="N1221" s="116">
        <v>38</v>
      </c>
      <c r="O1221" s="116">
        <v>36.625</v>
      </c>
      <c r="P1221" s="116">
        <v>37.799999999999997</v>
      </c>
      <c r="Q1221" s="116">
        <v>74.25</v>
      </c>
      <c r="R1221">
        <v>317389</v>
      </c>
    </row>
    <row r="1222" spans="1:18" x14ac:dyDescent="0.25">
      <c r="A1222" s="169">
        <v>43808</v>
      </c>
      <c r="B1222" s="116">
        <v>37.225000000000001</v>
      </c>
      <c r="C1222" s="116">
        <v>36.625</v>
      </c>
      <c r="D1222" s="116">
        <v>36.5</v>
      </c>
      <c r="E1222" s="116">
        <v>37.075000000000003</v>
      </c>
      <c r="F1222" s="116">
        <v>73.25</v>
      </c>
      <c r="G1222">
        <v>45282</v>
      </c>
      <c r="H1222" s="116"/>
      <c r="I1222" s="116"/>
      <c r="L1222" s="169">
        <v>43808</v>
      </c>
      <c r="M1222" s="116">
        <v>36.549999999999997</v>
      </c>
      <c r="N1222" s="116">
        <v>37.274999999999999</v>
      </c>
      <c r="O1222" s="116">
        <v>36.5</v>
      </c>
      <c r="P1222" s="116">
        <v>37.15</v>
      </c>
      <c r="Q1222" s="116">
        <v>73.099999999999994</v>
      </c>
      <c r="R1222">
        <v>181078</v>
      </c>
    </row>
    <row r="1223" spans="1:18" x14ac:dyDescent="0.25">
      <c r="A1223" s="169">
        <v>43809</v>
      </c>
      <c r="B1223" s="116">
        <v>36.774999999999999</v>
      </c>
      <c r="C1223" s="116">
        <v>35.825000000000003</v>
      </c>
      <c r="D1223" s="116">
        <v>35.674999999999997</v>
      </c>
      <c r="E1223" s="116">
        <v>36.700000000000003</v>
      </c>
      <c r="F1223" s="116">
        <v>71.650000000000006</v>
      </c>
      <c r="G1223">
        <v>135803</v>
      </c>
      <c r="H1223" s="116"/>
      <c r="I1223" s="116"/>
      <c r="L1223" s="169">
        <v>43809</v>
      </c>
      <c r="M1223" s="116">
        <v>35.85</v>
      </c>
      <c r="N1223" s="116">
        <v>36.774999999999999</v>
      </c>
      <c r="O1223" s="116">
        <v>35.75</v>
      </c>
      <c r="P1223" s="116">
        <v>36.700000000000003</v>
      </c>
      <c r="Q1223" s="116">
        <v>71.7</v>
      </c>
      <c r="R1223">
        <v>227942</v>
      </c>
    </row>
    <row r="1224" spans="1:18" x14ac:dyDescent="0.25">
      <c r="A1224" s="169">
        <v>43810</v>
      </c>
      <c r="B1224" s="116">
        <v>36.25</v>
      </c>
      <c r="C1224" s="116">
        <v>35.274999999999999</v>
      </c>
      <c r="D1224" s="116">
        <v>35.075000000000003</v>
      </c>
      <c r="E1224" s="116">
        <v>35.85</v>
      </c>
      <c r="F1224" s="116">
        <v>70.55</v>
      </c>
      <c r="G1224">
        <v>91421</v>
      </c>
      <c r="H1224" s="116"/>
      <c r="I1224" s="116"/>
      <c r="L1224" s="169">
        <v>43810</v>
      </c>
      <c r="M1224" s="116">
        <v>35.25</v>
      </c>
      <c r="N1224" s="116">
        <v>36.299999999999997</v>
      </c>
      <c r="O1224" s="116">
        <v>35.049999999999997</v>
      </c>
      <c r="P1224" s="116">
        <v>35.75</v>
      </c>
      <c r="Q1224" s="116">
        <v>70.5</v>
      </c>
      <c r="R1224">
        <v>452778</v>
      </c>
    </row>
    <row r="1225" spans="1:18" x14ac:dyDescent="0.25">
      <c r="A1225" s="169">
        <v>43811</v>
      </c>
      <c r="B1225" s="116">
        <v>36.924999999999997</v>
      </c>
      <c r="C1225" s="116">
        <v>36.6</v>
      </c>
      <c r="D1225" s="116">
        <v>35.424999999999997</v>
      </c>
      <c r="E1225" s="116">
        <v>35.424999999999997</v>
      </c>
      <c r="F1225" s="116">
        <v>73.2</v>
      </c>
      <c r="G1225">
        <v>33792</v>
      </c>
      <c r="H1225" s="116"/>
      <c r="I1225" s="116"/>
      <c r="L1225" s="169">
        <v>43811</v>
      </c>
      <c r="M1225" s="116">
        <v>36.625</v>
      </c>
      <c r="N1225" s="116">
        <v>36.9</v>
      </c>
      <c r="O1225" s="116">
        <v>35.4</v>
      </c>
      <c r="P1225" s="116">
        <v>35.424999999999997</v>
      </c>
      <c r="Q1225" s="116">
        <v>73.25</v>
      </c>
      <c r="R1225">
        <v>228770</v>
      </c>
    </row>
    <row r="1226" spans="1:18" x14ac:dyDescent="0.25">
      <c r="A1226" s="169">
        <v>43812</v>
      </c>
      <c r="B1226" s="116">
        <v>38.1</v>
      </c>
      <c r="C1226" s="116">
        <v>37.774999999999999</v>
      </c>
      <c r="D1226" s="116">
        <v>36.575000000000003</v>
      </c>
      <c r="E1226" s="116">
        <v>37.200000000000003</v>
      </c>
      <c r="F1226" s="116">
        <v>75.55</v>
      </c>
      <c r="G1226">
        <v>117984</v>
      </c>
      <c r="H1226" s="116"/>
      <c r="I1226" s="116"/>
      <c r="L1226" s="169">
        <v>43812</v>
      </c>
      <c r="M1226" s="116">
        <v>37.799999999999997</v>
      </c>
      <c r="N1226" s="116">
        <v>38.049999999999997</v>
      </c>
      <c r="O1226" s="116">
        <v>36.6</v>
      </c>
      <c r="P1226" s="116">
        <v>37</v>
      </c>
      <c r="Q1226" s="116">
        <v>75.599999999999994</v>
      </c>
      <c r="R1226">
        <v>423310</v>
      </c>
    </row>
    <row r="1227" spans="1:18" x14ac:dyDescent="0.25">
      <c r="A1227" s="169">
        <v>43815</v>
      </c>
      <c r="B1227" s="116">
        <v>38.125</v>
      </c>
      <c r="C1227" s="116">
        <v>36.9</v>
      </c>
      <c r="D1227" s="116">
        <v>36.65</v>
      </c>
      <c r="E1227" s="116">
        <v>38</v>
      </c>
      <c r="F1227" s="116">
        <v>73.8</v>
      </c>
      <c r="G1227">
        <v>28039</v>
      </c>
      <c r="H1227" s="116"/>
      <c r="I1227" s="116"/>
      <c r="L1227" s="169">
        <v>43815</v>
      </c>
      <c r="M1227" s="116">
        <v>36.799999999999997</v>
      </c>
      <c r="N1227" s="116">
        <v>38.15</v>
      </c>
      <c r="O1227" s="116">
        <v>36.625</v>
      </c>
      <c r="P1227" s="116">
        <v>37.85</v>
      </c>
      <c r="Q1227" s="116">
        <v>73.599999999999994</v>
      </c>
      <c r="R1227">
        <v>176448</v>
      </c>
    </row>
    <row r="1228" spans="1:18" x14ac:dyDescent="0.25">
      <c r="A1228" s="169">
        <v>43816</v>
      </c>
      <c r="B1228" s="116">
        <v>38.15</v>
      </c>
      <c r="C1228" s="116">
        <v>37.975000000000001</v>
      </c>
      <c r="D1228" s="116">
        <v>36.9</v>
      </c>
      <c r="E1228" s="116">
        <v>36.9</v>
      </c>
      <c r="F1228" s="116">
        <v>75.95</v>
      </c>
      <c r="G1228">
        <v>39678</v>
      </c>
      <c r="H1228" s="116"/>
      <c r="I1228" s="116"/>
      <c r="L1228" s="169">
        <v>43816</v>
      </c>
      <c r="M1228" s="116">
        <v>37.9</v>
      </c>
      <c r="N1228" s="116">
        <v>38.15</v>
      </c>
      <c r="O1228" s="116">
        <v>36.774999999999999</v>
      </c>
      <c r="P1228" s="116">
        <v>37</v>
      </c>
      <c r="Q1228" s="116">
        <v>75.8</v>
      </c>
      <c r="R1228">
        <v>322745</v>
      </c>
    </row>
    <row r="1229" spans="1:18" x14ac:dyDescent="0.25">
      <c r="A1229" s="169">
        <v>43817</v>
      </c>
      <c r="B1229" s="116">
        <v>38</v>
      </c>
      <c r="C1229" s="116">
        <v>36.85</v>
      </c>
      <c r="D1229" s="116">
        <v>36.575000000000003</v>
      </c>
      <c r="E1229" s="116">
        <v>38</v>
      </c>
      <c r="F1229" s="116">
        <v>73.7</v>
      </c>
      <c r="G1229">
        <v>57699</v>
      </c>
      <c r="H1229" s="116"/>
      <c r="I1229" s="116"/>
      <c r="L1229" s="169">
        <v>43817</v>
      </c>
      <c r="M1229" s="116">
        <v>36.825000000000003</v>
      </c>
      <c r="N1229" s="116">
        <v>38.125</v>
      </c>
      <c r="O1229" s="116">
        <v>36.5</v>
      </c>
      <c r="P1229" s="116">
        <v>38</v>
      </c>
      <c r="Q1229" s="116">
        <v>73.650000000000006</v>
      </c>
      <c r="R1229">
        <v>297387</v>
      </c>
    </row>
    <row r="1230" spans="1:18" x14ac:dyDescent="0.25">
      <c r="A1230" s="169">
        <v>43818</v>
      </c>
      <c r="B1230" s="116">
        <v>37.225000000000001</v>
      </c>
      <c r="C1230" s="116">
        <v>36.325000000000003</v>
      </c>
      <c r="D1230" s="116">
        <v>36.200000000000003</v>
      </c>
      <c r="E1230" s="116">
        <v>36.85</v>
      </c>
      <c r="F1230" s="116">
        <v>72.650000000000006</v>
      </c>
      <c r="G1230">
        <v>30993</v>
      </c>
      <c r="H1230" s="116"/>
      <c r="I1230" s="116"/>
      <c r="L1230" s="169">
        <v>43818</v>
      </c>
      <c r="M1230" s="116">
        <v>36.325000000000003</v>
      </c>
      <c r="N1230" s="116">
        <v>37.225000000000001</v>
      </c>
      <c r="O1230" s="116">
        <v>36.174999999999997</v>
      </c>
      <c r="P1230" s="116">
        <v>36.674999999999997</v>
      </c>
      <c r="Q1230" s="116">
        <v>72.650000000000006</v>
      </c>
      <c r="R1230">
        <v>220686</v>
      </c>
    </row>
    <row r="1231" spans="1:18" x14ac:dyDescent="0.25">
      <c r="A1231" s="169">
        <v>43819</v>
      </c>
      <c r="B1231" s="116">
        <v>36.575000000000003</v>
      </c>
      <c r="C1231" s="116">
        <v>36.075000000000003</v>
      </c>
      <c r="D1231" s="116">
        <v>35.950000000000003</v>
      </c>
      <c r="E1231" s="116">
        <v>36.375</v>
      </c>
      <c r="F1231" s="116">
        <v>72.150000000000006</v>
      </c>
      <c r="G1231">
        <v>45119</v>
      </c>
      <c r="H1231" s="116"/>
      <c r="I1231" s="116"/>
      <c r="L1231" s="169">
        <v>43819</v>
      </c>
      <c r="M1231" s="116">
        <v>36.049999999999997</v>
      </c>
      <c r="N1231" s="116">
        <v>36.6</v>
      </c>
      <c r="O1231" s="116">
        <v>35.9</v>
      </c>
      <c r="P1231" s="116">
        <v>36.5</v>
      </c>
      <c r="Q1231" s="116">
        <v>72.099999999999994</v>
      </c>
      <c r="R1231">
        <v>284258</v>
      </c>
    </row>
    <row r="1232" spans="1:18" x14ac:dyDescent="0.25">
      <c r="A1232" s="169">
        <v>43822</v>
      </c>
      <c r="B1232" s="116">
        <v>36.274999999999999</v>
      </c>
      <c r="C1232" s="116">
        <v>35.375</v>
      </c>
      <c r="D1232" s="116">
        <v>35.225000000000001</v>
      </c>
      <c r="E1232" s="116">
        <v>36.075000000000003</v>
      </c>
      <c r="F1232" s="116">
        <v>70.75</v>
      </c>
      <c r="G1232">
        <v>48320</v>
      </c>
      <c r="H1232" s="116"/>
      <c r="I1232" s="116"/>
      <c r="L1232" s="169">
        <v>43822</v>
      </c>
      <c r="M1232" s="116">
        <v>35.35</v>
      </c>
      <c r="N1232" s="116">
        <v>36.299999999999997</v>
      </c>
      <c r="O1232" s="116">
        <v>35.25</v>
      </c>
      <c r="P1232" s="116">
        <v>35.774999999999999</v>
      </c>
      <c r="Q1232" s="116">
        <v>70.7</v>
      </c>
      <c r="R1232">
        <v>263199</v>
      </c>
    </row>
    <row r="1233" spans="1:18" x14ac:dyDescent="0.25">
      <c r="A1233" s="169">
        <v>43823</v>
      </c>
      <c r="B1233" s="116">
        <v>35.9</v>
      </c>
      <c r="C1233" s="116">
        <v>35.424999999999997</v>
      </c>
      <c r="D1233" s="116">
        <v>35.375</v>
      </c>
      <c r="E1233" s="116">
        <v>35.575000000000003</v>
      </c>
      <c r="F1233" s="116">
        <v>70.849999999999994</v>
      </c>
      <c r="G1233">
        <v>34163</v>
      </c>
      <c r="H1233" s="116"/>
      <c r="I1233" s="116"/>
      <c r="L1233" s="169">
        <v>43823</v>
      </c>
      <c r="M1233" s="116">
        <v>35.424999999999997</v>
      </c>
      <c r="N1233" s="116">
        <v>35.875</v>
      </c>
      <c r="O1233" s="116">
        <v>35.35</v>
      </c>
      <c r="P1233" s="116">
        <v>35.475000000000001</v>
      </c>
      <c r="Q1233" s="116">
        <v>70.849999999999994</v>
      </c>
      <c r="R1233">
        <v>200290</v>
      </c>
    </row>
    <row r="1234" spans="1:18" x14ac:dyDescent="0.25">
      <c r="A1234" s="169">
        <v>43825</v>
      </c>
      <c r="B1234" s="116">
        <v>36.024999999999999</v>
      </c>
      <c r="C1234" s="116">
        <v>35.65</v>
      </c>
      <c r="D1234" s="116">
        <v>35.25</v>
      </c>
      <c r="E1234" s="116">
        <v>35.524999999999999</v>
      </c>
      <c r="F1234" s="116">
        <v>71.3</v>
      </c>
      <c r="G1234">
        <v>23634</v>
      </c>
      <c r="H1234" s="116"/>
      <c r="I1234" s="116"/>
      <c r="L1234" s="169">
        <v>43825</v>
      </c>
      <c r="M1234" s="116">
        <v>35.65</v>
      </c>
      <c r="N1234" s="116">
        <v>36.049999999999997</v>
      </c>
      <c r="O1234" s="116">
        <v>35.4</v>
      </c>
      <c r="P1234" s="116">
        <v>35.5</v>
      </c>
      <c r="Q1234" s="116">
        <v>71.3</v>
      </c>
      <c r="R1234">
        <v>230518</v>
      </c>
    </row>
    <row r="1235" spans="1:18" x14ac:dyDescent="0.25">
      <c r="A1235" s="169">
        <v>43826</v>
      </c>
      <c r="B1235" s="116">
        <v>36.625</v>
      </c>
      <c r="C1235" s="116">
        <v>35.85</v>
      </c>
      <c r="D1235" s="116">
        <v>35.475000000000001</v>
      </c>
      <c r="E1235" s="116">
        <v>35.475000000000001</v>
      </c>
      <c r="F1235" s="116">
        <v>71.7</v>
      </c>
      <c r="G1235">
        <v>42544</v>
      </c>
      <c r="H1235" s="116"/>
      <c r="I1235" s="116"/>
      <c r="L1235" s="169">
        <v>43826</v>
      </c>
      <c r="M1235" s="116">
        <v>35.825000000000003</v>
      </c>
      <c r="N1235" s="116">
        <v>36.65</v>
      </c>
      <c r="O1235" s="116">
        <v>35.674999999999997</v>
      </c>
      <c r="P1235" s="116">
        <v>35.700000000000003</v>
      </c>
      <c r="Q1235" s="116">
        <v>71.650000000000006</v>
      </c>
      <c r="R1235">
        <v>287224</v>
      </c>
    </row>
    <row r="1236" spans="1:18" x14ac:dyDescent="0.25">
      <c r="A1236" s="169">
        <v>43829</v>
      </c>
      <c r="B1236" s="116">
        <v>36.174999999999997</v>
      </c>
      <c r="C1236" s="116">
        <v>35.549999999999997</v>
      </c>
      <c r="D1236" s="116">
        <v>35.35</v>
      </c>
      <c r="E1236" s="116">
        <v>36.024999999999999</v>
      </c>
      <c r="F1236" s="116">
        <v>71.099999999999994</v>
      </c>
      <c r="G1236">
        <v>44867</v>
      </c>
      <c r="H1236" s="116"/>
      <c r="I1236" s="116"/>
      <c r="L1236" s="169">
        <v>43829</v>
      </c>
      <c r="M1236" s="116">
        <v>35.524999999999999</v>
      </c>
      <c r="N1236" s="116">
        <v>36.174999999999997</v>
      </c>
      <c r="O1236" s="116">
        <v>35.4</v>
      </c>
      <c r="P1236" s="116">
        <v>35.950000000000003</v>
      </c>
      <c r="Q1236" s="116">
        <v>71.05</v>
      </c>
      <c r="R1236">
        <v>268965</v>
      </c>
    </row>
    <row r="1237" spans="1:18" x14ac:dyDescent="0.25">
      <c r="A1237" s="169">
        <v>43830</v>
      </c>
      <c r="B1237" s="116">
        <v>37.375</v>
      </c>
      <c r="C1237" s="116">
        <v>36.549999999999997</v>
      </c>
      <c r="D1237" s="116">
        <v>35.725000000000001</v>
      </c>
      <c r="E1237" s="116">
        <v>35.725000000000001</v>
      </c>
      <c r="F1237" s="116">
        <v>73.099999999999994</v>
      </c>
      <c r="G1237">
        <v>184707</v>
      </c>
      <c r="H1237" s="116"/>
      <c r="I1237" s="116"/>
      <c r="L1237" s="169">
        <v>43830</v>
      </c>
      <c r="M1237" s="116">
        <v>36.524999999999999</v>
      </c>
      <c r="N1237" s="116">
        <v>37.4</v>
      </c>
      <c r="O1237" s="116">
        <v>35.524999999999999</v>
      </c>
      <c r="P1237" s="116">
        <v>35.524999999999999</v>
      </c>
      <c r="Q1237" s="116">
        <v>73.05</v>
      </c>
      <c r="R1237">
        <v>1057583</v>
      </c>
    </row>
    <row r="1238" spans="1:18" x14ac:dyDescent="0.25">
      <c r="A1238" s="169">
        <v>43831</v>
      </c>
      <c r="B1238" s="116">
        <v>43.325000000000003</v>
      </c>
      <c r="C1238" s="116">
        <v>42.674999999999997</v>
      </c>
      <c r="D1238" s="116">
        <v>36.65</v>
      </c>
      <c r="E1238" s="116">
        <v>36.875</v>
      </c>
      <c r="F1238" s="116">
        <v>85.35</v>
      </c>
      <c r="G1238">
        <v>702525</v>
      </c>
      <c r="H1238" s="116"/>
      <c r="I1238" s="116"/>
      <c r="L1238" s="169">
        <v>43831</v>
      </c>
      <c r="M1238" s="116">
        <v>42.575000000000003</v>
      </c>
      <c r="N1238" s="116">
        <v>43.375</v>
      </c>
      <c r="O1238" s="116">
        <v>36.6</v>
      </c>
      <c r="P1238" s="116">
        <v>36.625</v>
      </c>
      <c r="Q1238" s="116">
        <v>85.15</v>
      </c>
      <c r="R1238">
        <v>8307178</v>
      </c>
    </row>
    <row r="1239" spans="1:18" x14ac:dyDescent="0.25">
      <c r="A1239" s="169">
        <v>43832</v>
      </c>
      <c r="B1239" s="116">
        <v>44.7</v>
      </c>
      <c r="C1239" s="116">
        <v>42.5</v>
      </c>
      <c r="D1239" s="116">
        <v>41.1</v>
      </c>
      <c r="E1239" s="116">
        <v>43.25</v>
      </c>
      <c r="F1239" s="116">
        <v>85</v>
      </c>
      <c r="G1239">
        <v>608001</v>
      </c>
      <c r="H1239" s="116"/>
      <c r="I1239" s="116"/>
      <c r="L1239" s="169">
        <v>43832</v>
      </c>
      <c r="M1239" s="116">
        <v>42.55</v>
      </c>
      <c r="N1239" s="116">
        <v>44.7</v>
      </c>
      <c r="O1239" s="116">
        <v>41.1</v>
      </c>
      <c r="P1239" s="116">
        <v>43.15</v>
      </c>
      <c r="Q1239" s="116">
        <v>85.1</v>
      </c>
      <c r="R1239">
        <v>5118349</v>
      </c>
    </row>
    <row r="1240" spans="1:18" x14ac:dyDescent="0.25">
      <c r="A1240" s="169">
        <v>43833</v>
      </c>
      <c r="B1240" s="116">
        <v>45.475000000000001</v>
      </c>
      <c r="C1240" s="116">
        <v>43.95</v>
      </c>
      <c r="D1240" s="116">
        <v>42.7</v>
      </c>
      <c r="E1240" s="116">
        <v>42.725000000000001</v>
      </c>
      <c r="F1240" s="116">
        <v>87.9</v>
      </c>
      <c r="G1240">
        <v>444422</v>
      </c>
      <c r="H1240" s="116"/>
      <c r="I1240" s="116"/>
      <c r="L1240" s="169">
        <v>43833</v>
      </c>
      <c r="M1240" s="116">
        <v>43.95</v>
      </c>
      <c r="N1240" s="116">
        <v>45.5</v>
      </c>
      <c r="O1240" s="116">
        <v>42.6</v>
      </c>
      <c r="P1240" s="116">
        <v>42.65</v>
      </c>
      <c r="Q1240" s="116">
        <v>87.9</v>
      </c>
      <c r="R1240">
        <v>3589621</v>
      </c>
    </row>
    <row r="1241" spans="1:18" x14ac:dyDescent="0.25">
      <c r="A1241" s="169">
        <v>43836</v>
      </c>
      <c r="B1241" s="116">
        <v>43.475000000000001</v>
      </c>
      <c r="C1241" s="116">
        <v>41.2</v>
      </c>
      <c r="D1241" s="116">
        <v>40.924999999999997</v>
      </c>
      <c r="E1241" s="116">
        <v>43.475000000000001</v>
      </c>
      <c r="F1241" s="116">
        <v>82.4</v>
      </c>
      <c r="G1241">
        <v>139049</v>
      </c>
      <c r="H1241" s="116"/>
      <c r="I1241" s="116"/>
      <c r="L1241" s="169">
        <v>43836</v>
      </c>
      <c r="M1241" s="116">
        <v>41.2</v>
      </c>
      <c r="N1241" s="116">
        <v>43.375</v>
      </c>
      <c r="O1241" s="116">
        <v>41.024999999999999</v>
      </c>
      <c r="P1241" s="116">
        <v>43.375</v>
      </c>
      <c r="Q1241" s="116">
        <v>82.4</v>
      </c>
      <c r="R1241">
        <v>1034525</v>
      </c>
    </row>
    <row r="1242" spans="1:18" x14ac:dyDescent="0.25">
      <c r="A1242" s="169">
        <v>43837</v>
      </c>
      <c r="B1242" s="116">
        <v>42.825000000000003</v>
      </c>
      <c r="C1242" s="116">
        <v>41.95</v>
      </c>
      <c r="D1242" s="116">
        <v>41.35</v>
      </c>
      <c r="E1242" s="116">
        <v>41.95</v>
      </c>
      <c r="F1242" s="116">
        <v>83.9</v>
      </c>
      <c r="G1242">
        <v>237802</v>
      </c>
      <c r="H1242" s="116"/>
      <c r="I1242" s="116"/>
      <c r="L1242" s="169">
        <v>43837</v>
      </c>
      <c r="M1242" s="116">
        <v>41.875</v>
      </c>
      <c r="N1242" s="116">
        <v>42.825000000000003</v>
      </c>
      <c r="O1242" s="116">
        <v>41.174999999999997</v>
      </c>
      <c r="P1242" s="116">
        <v>41.924999999999997</v>
      </c>
      <c r="Q1242" s="116">
        <v>83.75</v>
      </c>
      <c r="R1242">
        <v>758620</v>
      </c>
    </row>
    <row r="1243" spans="1:18" x14ac:dyDescent="0.25">
      <c r="A1243" s="169">
        <v>43838</v>
      </c>
      <c r="B1243" s="116">
        <v>42.9</v>
      </c>
      <c r="C1243" s="116">
        <v>42.05</v>
      </c>
      <c r="D1243" s="116">
        <v>40.25</v>
      </c>
      <c r="E1243" s="116">
        <v>41.2</v>
      </c>
      <c r="F1243" s="116">
        <v>84.1</v>
      </c>
      <c r="G1243">
        <v>145723</v>
      </c>
      <c r="H1243" s="116"/>
      <c r="I1243" s="116"/>
      <c r="L1243" s="169">
        <v>43838</v>
      </c>
      <c r="M1243" s="116">
        <v>42.05</v>
      </c>
      <c r="N1243" s="116">
        <v>42.85</v>
      </c>
      <c r="O1243" s="116">
        <v>40.299999999999997</v>
      </c>
      <c r="P1243" s="116">
        <v>40.625</v>
      </c>
      <c r="Q1243" s="116">
        <v>84.1</v>
      </c>
      <c r="R1243">
        <v>1221857</v>
      </c>
    </row>
    <row r="1244" spans="1:18" x14ac:dyDescent="0.25">
      <c r="A1244" s="169">
        <v>43839</v>
      </c>
      <c r="B1244" s="116">
        <v>47.225000000000001</v>
      </c>
      <c r="C1244" s="116">
        <v>46.15</v>
      </c>
      <c r="D1244" s="116">
        <v>42.65</v>
      </c>
      <c r="E1244" s="116">
        <v>42.85</v>
      </c>
      <c r="F1244" s="116">
        <v>92.3</v>
      </c>
      <c r="G1244">
        <v>528054</v>
      </c>
      <c r="H1244" s="116"/>
      <c r="I1244" s="116"/>
      <c r="L1244" s="169">
        <v>43839</v>
      </c>
      <c r="M1244" s="116">
        <v>46.174999999999997</v>
      </c>
      <c r="N1244" s="116">
        <v>47.25</v>
      </c>
      <c r="O1244" s="116">
        <v>42.5</v>
      </c>
      <c r="P1244" s="116">
        <v>42.9</v>
      </c>
      <c r="Q1244" s="116">
        <v>92.35</v>
      </c>
      <c r="R1244">
        <v>4834232</v>
      </c>
    </row>
    <row r="1245" spans="1:18" x14ac:dyDescent="0.25">
      <c r="A1245" s="169">
        <v>43840</v>
      </c>
      <c r="B1245" s="116">
        <v>47.875</v>
      </c>
      <c r="C1245" s="116">
        <v>46.274999999999999</v>
      </c>
      <c r="D1245" s="116">
        <v>45.25</v>
      </c>
      <c r="E1245" s="116">
        <v>46.15</v>
      </c>
      <c r="F1245" s="116">
        <v>92.55</v>
      </c>
      <c r="G1245">
        <v>301723</v>
      </c>
      <c r="H1245" s="116"/>
      <c r="I1245" s="116"/>
      <c r="L1245" s="169">
        <v>43840</v>
      </c>
      <c r="M1245" s="116">
        <v>46.3</v>
      </c>
      <c r="N1245" s="116">
        <v>47.9</v>
      </c>
      <c r="O1245" s="116">
        <v>45.225000000000001</v>
      </c>
      <c r="P1245" s="116">
        <v>46.2</v>
      </c>
      <c r="Q1245" s="116">
        <v>92.6</v>
      </c>
      <c r="R1245">
        <v>2661191</v>
      </c>
    </row>
    <row r="1246" spans="1:18" x14ac:dyDescent="0.25">
      <c r="A1246" s="169">
        <v>43843</v>
      </c>
      <c r="B1246" s="116">
        <v>47.825000000000003</v>
      </c>
      <c r="C1246" s="116">
        <v>46.95</v>
      </c>
      <c r="D1246" s="116">
        <v>45.774999999999999</v>
      </c>
      <c r="E1246" s="116">
        <v>47</v>
      </c>
      <c r="F1246" s="116">
        <v>93.9</v>
      </c>
      <c r="G1246">
        <v>171149</v>
      </c>
      <c r="H1246" s="116"/>
      <c r="I1246" s="116"/>
      <c r="L1246" s="169">
        <v>43843</v>
      </c>
      <c r="M1246" s="116">
        <v>46.95</v>
      </c>
      <c r="N1246" s="116">
        <v>47.85</v>
      </c>
      <c r="O1246" s="116">
        <v>45.7</v>
      </c>
      <c r="P1246" s="116">
        <v>46.5</v>
      </c>
      <c r="Q1246" s="116">
        <v>93.9</v>
      </c>
      <c r="R1246">
        <v>1561380</v>
      </c>
    </row>
    <row r="1247" spans="1:18" x14ac:dyDescent="0.25">
      <c r="A1247" s="169">
        <v>43844</v>
      </c>
      <c r="B1247" s="116">
        <v>47.424999999999997</v>
      </c>
      <c r="C1247" s="116">
        <v>46.45</v>
      </c>
      <c r="D1247" s="116">
        <v>46.1</v>
      </c>
      <c r="E1247" s="116">
        <v>46.95</v>
      </c>
      <c r="F1247" s="116">
        <v>92.9</v>
      </c>
      <c r="G1247">
        <v>93202</v>
      </c>
      <c r="H1247" s="116"/>
      <c r="I1247" s="116"/>
      <c r="L1247" s="169">
        <v>43844</v>
      </c>
      <c r="M1247" s="116">
        <v>46.4</v>
      </c>
      <c r="N1247" s="116">
        <v>47.45</v>
      </c>
      <c r="O1247" s="116">
        <v>46.075000000000003</v>
      </c>
      <c r="P1247" s="116">
        <v>46.95</v>
      </c>
      <c r="Q1247" s="116">
        <v>92.8</v>
      </c>
      <c r="R1247">
        <v>896312</v>
      </c>
    </row>
    <row r="1248" spans="1:18" x14ac:dyDescent="0.25">
      <c r="A1248" s="169">
        <v>43845</v>
      </c>
      <c r="B1248" s="116">
        <v>50.65</v>
      </c>
      <c r="C1248" s="116">
        <v>49.875</v>
      </c>
      <c r="D1248" s="116">
        <v>46</v>
      </c>
      <c r="E1248" s="116">
        <v>46.5</v>
      </c>
      <c r="F1248" s="116">
        <v>99.75</v>
      </c>
      <c r="G1248">
        <v>441510</v>
      </c>
      <c r="H1248" s="116"/>
      <c r="I1248" s="116"/>
      <c r="L1248" s="169">
        <v>43845</v>
      </c>
      <c r="M1248" s="116">
        <v>49.85</v>
      </c>
      <c r="N1248" s="116">
        <v>50.674999999999997</v>
      </c>
      <c r="O1248" s="116">
        <v>46</v>
      </c>
      <c r="P1248" s="116">
        <v>46.5</v>
      </c>
      <c r="Q1248" s="116">
        <v>99.7</v>
      </c>
      <c r="R1248">
        <v>4508448</v>
      </c>
    </row>
    <row r="1249" spans="1:18" x14ac:dyDescent="0.25">
      <c r="A1249" s="169">
        <v>43846</v>
      </c>
      <c r="B1249" s="116">
        <v>51.35</v>
      </c>
      <c r="C1249" s="116">
        <v>49.25</v>
      </c>
      <c r="D1249" s="116">
        <v>49.024999999999999</v>
      </c>
      <c r="E1249" s="116">
        <v>50.3</v>
      </c>
      <c r="F1249" s="116">
        <v>98.5</v>
      </c>
      <c r="G1249">
        <v>254876</v>
      </c>
      <c r="H1249" s="116"/>
      <c r="I1249" s="116"/>
      <c r="L1249" s="169">
        <v>43846</v>
      </c>
      <c r="M1249" s="116">
        <v>49.25</v>
      </c>
      <c r="N1249" s="116">
        <v>51.3</v>
      </c>
      <c r="O1249" s="116">
        <v>49.05</v>
      </c>
      <c r="P1249" s="116">
        <v>50.3</v>
      </c>
      <c r="Q1249" s="116">
        <v>98.5</v>
      </c>
      <c r="R1249">
        <v>2449171</v>
      </c>
    </row>
    <row r="1250" spans="1:18" x14ac:dyDescent="0.25">
      <c r="A1250" s="169">
        <v>43847</v>
      </c>
      <c r="B1250" s="116">
        <v>50.625</v>
      </c>
      <c r="C1250" s="116">
        <v>49.15</v>
      </c>
      <c r="D1250" s="116">
        <v>48.7</v>
      </c>
      <c r="E1250" s="116">
        <v>48.7</v>
      </c>
      <c r="F1250" s="116">
        <v>98.3</v>
      </c>
      <c r="G1250">
        <v>172464</v>
      </c>
      <c r="H1250" s="116"/>
      <c r="I1250" s="116"/>
      <c r="L1250" s="169">
        <v>43847</v>
      </c>
      <c r="M1250" s="116">
        <v>49.174999999999997</v>
      </c>
      <c r="N1250" s="116">
        <v>50.625</v>
      </c>
      <c r="O1250" s="116">
        <v>48.825000000000003</v>
      </c>
      <c r="P1250" s="116">
        <v>49.35</v>
      </c>
      <c r="Q1250" s="116">
        <v>98.35</v>
      </c>
      <c r="R1250">
        <v>1498553</v>
      </c>
    </row>
    <row r="1251" spans="1:18" x14ac:dyDescent="0.25">
      <c r="A1251" s="169">
        <v>43850</v>
      </c>
      <c r="B1251" s="116">
        <v>49.725000000000001</v>
      </c>
      <c r="C1251" s="116">
        <v>47.65</v>
      </c>
      <c r="D1251" s="116">
        <v>47.174999999999997</v>
      </c>
      <c r="E1251" s="116">
        <v>49.475000000000001</v>
      </c>
      <c r="F1251" s="116">
        <v>95.3</v>
      </c>
      <c r="G1251">
        <v>123657</v>
      </c>
      <c r="H1251" s="116"/>
      <c r="I1251" s="116"/>
      <c r="L1251" s="169">
        <v>43850</v>
      </c>
      <c r="M1251" s="116">
        <v>47.65</v>
      </c>
      <c r="N1251" s="116">
        <v>49.725000000000001</v>
      </c>
      <c r="O1251" s="116">
        <v>47.05</v>
      </c>
      <c r="P1251" s="116">
        <v>49.4</v>
      </c>
      <c r="Q1251" s="116">
        <v>95.3</v>
      </c>
      <c r="R1251">
        <v>1064639</v>
      </c>
    </row>
    <row r="1252" spans="1:18" x14ac:dyDescent="0.25">
      <c r="A1252" s="169">
        <v>43851</v>
      </c>
      <c r="B1252" s="116">
        <v>48.4</v>
      </c>
      <c r="C1252" s="116">
        <v>47.174999999999997</v>
      </c>
      <c r="D1252" s="116">
        <v>46.8</v>
      </c>
      <c r="E1252" s="116">
        <v>47.15</v>
      </c>
      <c r="F1252" s="116">
        <v>94.35</v>
      </c>
      <c r="G1252">
        <v>107055</v>
      </c>
      <c r="H1252" s="116"/>
      <c r="I1252" s="116"/>
      <c r="L1252" s="169">
        <v>43851</v>
      </c>
      <c r="M1252" s="116">
        <v>47.15</v>
      </c>
      <c r="N1252" s="116">
        <v>48.35</v>
      </c>
      <c r="O1252" s="116">
        <v>46.575000000000003</v>
      </c>
      <c r="P1252" s="116">
        <v>47.225000000000001</v>
      </c>
      <c r="Q1252" s="116">
        <v>94.3</v>
      </c>
      <c r="R1252">
        <v>1233059</v>
      </c>
    </row>
    <row r="1253" spans="1:18" x14ac:dyDescent="0.25">
      <c r="A1253" s="169">
        <v>43852</v>
      </c>
      <c r="B1253" s="116">
        <v>49.924999999999997</v>
      </c>
      <c r="C1253" s="116">
        <v>49.225000000000001</v>
      </c>
      <c r="D1253" s="116">
        <v>47.1</v>
      </c>
      <c r="E1253" s="116">
        <v>47.3</v>
      </c>
      <c r="F1253" s="116">
        <v>98.45</v>
      </c>
      <c r="G1253">
        <v>272068</v>
      </c>
      <c r="H1253" s="116"/>
      <c r="I1253" s="116"/>
      <c r="L1253" s="169">
        <v>43852</v>
      </c>
      <c r="M1253" s="116">
        <v>49.25</v>
      </c>
      <c r="N1253" s="116">
        <v>49.924999999999997</v>
      </c>
      <c r="O1253" s="116">
        <v>47.05</v>
      </c>
      <c r="P1253" s="116">
        <v>47.424999999999997</v>
      </c>
      <c r="Q1253" s="116">
        <v>98.5</v>
      </c>
      <c r="R1253">
        <v>2139236</v>
      </c>
    </row>
    <row r="1254" spans="1:18" x14ac:dyDescent="0.25">
      <c r="A1254" s="169">
        <v>43853</v>
      </c>
      <c r="B1254" s="116">
        <v>51.2</v>
      </c>
      <c r="C1254" s="116">
        <v>49.8</v>
      </c>
      <c r="D1254" s="116">
        <v>49.25</v>
      </c>
      <c r="E1254" s="116">
        <v>49.274999999999999</v>
      </c>
      <c r="F1254" s="116">
        <v>99.6</v>
      </c>
      <c r="G1254">
        <v>196128</v>
      </c>
      <c r="H1254" s="116"/>
      <c r="I1254" s="116"/>
      <c r="L1254" s="169">
        <v>43853</v>
      </c>
      <c r="M1254" s="116">
        <v>49.8</v>
      </c>
      <c r="N1254" s="116">
        <v>51.174999999999997</v>
      </c>
      <c r="O1254" s="116">
        <v>49.125</v>
      </c>
      <c r="P1254" s="116">
        <v>49.424999999999997</v>
      </c>
      <c r="Q1254" s="116">
        <v>99.6</v>
      </c>
      <c r="R1254">
        <v>2210690</v>
      </c>
    </row>
    <row r="1255" spans="1:18" x14ac:dyDescent="0.25">
      <c r="A1255" s="169">
        <v>43854</v>
      </c>
      <c r="B1255" s="116">
        <v>50.65</v>
      </c>
      <c r="C1255" s="116">
        <v>48.55</v>
      </c>
      <c r="D1255" s="116">
        <v>48.4</v>
      </c>
      <c r="E1255" s="116">
        <v>49.8</v>
      </c>
      <c r="F1255" s="116">
        <v>97.1</v>
      </c>
      <c r="G1255">
        <v>170030</v>
      </c>
      <c r="H1255" s="116"/>
      <c r="I1255" s="116"/>
      <c r="L1255" s="169">
        <v>43854</v>
      </c>
      <c r="M1255" s="116">
        <v>48.6</v>
      </c>
      <c r="N1255" s="116">
        <v>50.674999999999997</v>
      </c>
      <c r="O1255" s="116">
        <v>48.4</v>
      </c>
      <c r="P1255" s="116">
        <v>49.575000000000003</v>
      </c>
      <c r="Q1255" s="116">
        <v>97.2</v>
      </c>
      <c r="R1255">
        <v>1464749</v>
      </c>
    </row>
    <row r="1256" spans="1:18" x14ac:dyDescent="0.25">
      <c r="A1256" s="169">
        <v>43857</v>
      </c>
      <c r="B1256" s="116">
        <v>48.95</v>
      </c>
      <c r="C1256" s="116">
        <v>47.674999999999997</v>
      </c>
      <c r="D1256" s="116">
        <v>47.55</v>
      </c>
      <c r="E1256" s="116">
        <v>48.05</v>
      </c>
      <c r="F1256" s="116">
        <v>95.35</v>
      </c>
      <c r="G1256">
        <v>82408</v>
      </c>
      <c r="H1256" s="116"/>
      <c r="I1256" s="116"/>
      <c r="L1256" s="169">
        <v>43857</v>
      </c>
      <c r="M1256" s="116">
        <v>47.674999999999997</v>
      </c>
      <c r="N1256" s="116">
        <v>48.9</v>
      </c>
      <c r="O1256" s="116">
        <v>47.524999999999999</v>
      </c>
      <c r="P1256" s="116">
        <v>48</v>
      </c>
      <c r="Q1256" s="116">
        <v>95.35</v>
      </c>
      <c r="R1256">
        <v>848430</v>
      </c>
    </row>
    <row r="1257" spans="1:18" x14ac:dyDescent="0.25">
      <c r="A1257" s="169">
        <v>43858</v>
      </c>
      <c r="B1257" s="116">
        <v>48.174999999999997</v>
      </c>
      <c r="C1257" s="116">
        <v>46.625</v>
      </c>
      <c r="D1257" s="116">
        <v>46.125</v>
      </c>
      <c r="E1257" s="116">
        <v>48.15</v>
      </c>
      <c r="F1257" s="116">
        <v>93.25</v>
      </c>
      <c r="G1257">
        <v>104578</v>
      </c>
      <c r="H1257" s="116"/>
      <c r="I1257" s="116"/>
      <c r="L1257" s="169">
        <v>43858</v>
      </c>
      <c r="M1257" s="116">
        <v>46.575000000000003</v>
      </c>
      <c r="N1257" s="116">
        <v>48.15</v>
      </c>
      <c r="O1257" s="116">
        <v>46.05</v>
      </c>
      <c r="P1257" s="116">
        <v>48.05</v>
      </c>
      <c r="Q1257" s="116">
        <v>93.15</v>
      </c>
      <c r="R1257">
        <v>748684</v>
      </c>
    </row>
    <row r="1258" spans="1:18" x14ac:dyDescent="0.25">
      <c r="A1258" s="169">
        <v>43859</v>
      </c>
      <c r="B1258" s="116">
        <v>47.975000000000001</v>
      </c>
      <c r="C1258" s="116">
        <v>47.65</v>
      </c>
      <c r="D1258" s="116">
        <v>46.674999999999997</v>
      </c>
      <c r="E1258" s="116">
        <v>47</v>
      </c>
      <c r="F1258" s="116">
        <v>95.3</v>
      </c>
      <c r="G1258">
        <v>111267</v>
      </c>
      <c r="H1258" s="116"/>
      <c r="I1258" s="116"/>
      <c r="L1258" s="169">
        <v>43859</v>
      </c>
      <c r="M1258" s="116">
        <v>47.7</v>
      </c>
      <c r="N1258" s="116">
        <v>47.975000000000001</v>
      </c>
      <c r="O1258" s="116">
        <v>46.674999999999997</v>
      </c>
      <c r="P1258" s="116">
        <v>46.85</v>
      </c>
      <c r="Q1258" s="116">
        <v>95.4</v>
      </c>
      <c r="R1258">
        <v>817290</v>
      </c>
    </row>
    <row r="1259" spans="1:18" x14ac:dyDescent="0.25">
      <c r="A1259" s="169">
        <v>43860</v>
      </c>
      <c r="B1259" s="116">
        <v>47.65</v>
      </c>
      <c r="C1259" s="116">
        <v>46.35</v>
      </c>
      <c r="D1259" s="116">
        <v>46.2</v>
      </c>
      <c r="E1259" s="116">
        <v>47.65</v>
      </c>
      <c r="F1259" s="116">
        <v>92.7</v>
      </c>
      <c r="G1259">
        <v>64279</v>
      </c>
      <c r="H1259" s="116"/>
      <c r="I1259" s="116"/>
      <c r="L1259" s="169">
        <v>43860</v>
      </c>
      <c r="M1259" s="116">
        <v>46.35</v>
      </c>
      <c r="N1259" s="116">
        <v>47.725000000000001</v>
      </c>
      <c r="O1259" s="116">
        <v>46.2</v>
      </c>
      <c r="P1259" s="116">
        <v>47.65</v>
      </c>
      <c r="Q1259" s="116">
        <v>92.7</v>
      </c>
      <c r="R1259">
        <v>526491</v>
      </c>
    </row>
    <row r="1260" spans="1:18" x14ac:dyDescent="0.25">
      <c r="A1260" s="169">
        <v>43861</v>
      </c>
      <c r="B1260" s="116">
        <v>47.125</v>
      </c>
      <c r="C1260" s="116">
        <v>45.024999999999999</v>
      </c>
      <c r="D1260" s="116">
        <v>44.85</v>
      </c>
      <c r="E1260" s="116">
        <v>46.6</v>
      </c>
      <c r="F1260" s="116">
        <v>90.05</v>
      </c>
      <c r="G1260">
        <v>108435</v>
      </c>
      <c r="H1260" s="116"/>
      <c r="I1260" s="116"/>
      <c r="L1260" s="169">
        <v>43861</v>
      </c>
      <c r="M1260" s="116">
        <v>45.024999999999999</v>
      </c>
      <c r="N1260" s="116">
        <v>47.125</v>
      </c>
      <c r="O1260" s="116">
        <v>44.8</v>
      </c>
      <c r="P1260" s="116">
        <v>46.6</v>
      </c>
      <c r="Q1260" s="116">
        <v>90.05</v>
      </c>
      <c r="R1260">
        <v>709222</v>
      </c>
    </row>
    <row r="1261" spans="1:18" x14ac:dyDescent="0.25">
      <c r="A1261" s="169">
        <v>43862</v>
      </c>
      <c r="B1261" s="116">
        <v>48</v>
      </c>
      <c r="C1261" s="116">
        <v>44.125</v>
      </c>
      <c r="D1261" s="116">
        <v>43.6</v>
      </c>
      <c r="E1261" s="116">
        <v>44.875</v>
      </c>
      <c r="F1261" s="116">
        <v>88.25</v>
      </c>
      <c r="G1261">
        <v>383297</v>
      </c>
      <c r="H1261" s="116"/>
      <c r="I1261" s="116"/>
      <c r="L1261" s="169">
        <v>43862</v>
      </c>
      <c r="M1261" s="116">
        <v>44.05</v>
      </c>
      <c r="N1261" s="116">
        <v>48</v>
      </c>
      <c r="O1261" s="116">
        <v>43.575000000000003</v>
      </c>
      <c r="P1261" s="116">
        <v>44.9</v>
      </c>
      <c r="Q1261" s="116">
        <v>88.1</v>
      </c>
      <c r="R1261">
        <v>2370622</v>
      </c>
    </row>
    <row r="1262" spans="1:18" x14ac:dyDescent="0.25">
      <c r="A1262" s="169">
        <v>43864</v>
      </c>
      <c r="B1262" s="116">
        <v>45.424999999999997</v>
      </c>
      <c r="C1262" s="116">
        <v>44.475000000000001</v>
      </c>
      <c r="D1262" s="116">
        <v>43.15</v>
      </c>
      <c r="E1262" s="116">
        <v>44</v>
      </c>
      <c r="F1262" s="116">
        <v>88.95</v>
      </c>
      <c r="G1262">
        <v>75172</v>
      </c>
      <c r="H1262" s="116"/>
      <c r="I1262" s="116"/>
      <c r="L1262" s="169">
        <v>43864</v>
      </c>
      <c r="M1262" s="116">
        <v>44.524999999999999</v>
      </c>
      <c r="N1262" s="116">
        <v>45.475000000000001</v>
      </c>
      <c r="O1262" s="116">
        <v>43.15</v>
      </c>
      <c r="P1262" s="116">
        <v>43.95</v>
      </c>
      <c r="Q1262" s="116">
        <v>89.05</v>
      </c>
      <c r="R1262">
        <v>910844</v>
      </c>
    </row>
    <row r="1263" spans="1:18" x14ac:dyDescent="0.25">
      <c r="A1263" s="169">
        <v>43865</v>
      </c>
      <c r="B1263" s="116">
        <v>46.45</v>
      </c>
      <c r="C1263" s="116">
        <v>44.35</v>
      </c>
      <c r="D1263" s="116">
        <v>43.325000000000003</v>
      </c>
      <c r="E1263" s="116">
        <v>45</v>
      </c>
      <c r="F1263" s="116">
        <v>88.7</v>
      </c>
      <c r="G1263">
        <v>229063</v>
      </c>
      <c r="H1263" s="116"/>
      <c r="I1263" s="116"/>
      <c r="L1263" s="169">
        <v>43865</v>
      </c>
      <c r="M1263" s="116">
        <v>44.325000000000003</v>
      </c>
      <c r="N1263" s="116">
        <v>46.45</v>
      </c>
      <c r="O1263" s="116">
        <v>43.325000000000003</v>
      </c>
      <c r="P1263" s="116">
        <v>44.924999999999997</v>
      </c>
      <c r="Q1263" s="116">
        <v>88.65</v>
      </c>
      <c r="R1263">
        <v>1593042</v>
      </c>
    </row>
    <row r="1264" spans="1:18" x14ac:dyDescent="0.25">
      <c r="A1264" s="169">
        <v>43866</v>
      </c>
      <c r="B1264" s="116">
        <v>45.375</v>
      </c>
      <c r="C1264" s="116">
        <v>44.6</v>
      </c>
      <c r="D1264" s="116">
        <v>43.85</v>
      </c>
      <c r="E1264" s="116">
        <v>44.1</v>
      </c>
      <c r="F1264" s="116">
        <v>89.2</v>
      </c>
      <c r="G1264">
        <v>130699</v>
      </c>
      <c r="H1264" s="116"/>
      <c r="I1264" s="116"/>
      <c r="L1264" s="169">
        <v>43866</v>
      </c>
      <c r="M1264" s="116">
        <v>44.6</v>
      </c>
      <c r="N1264" s="116">
        <v>45.375</v>
      </c>
      <c r="O1264" s="116">
        <v>43.725000000000001</v>
      </c>
      <c r="P1264" s="116">
        <v>44.3</v>
      </c>
      <c r="Q1264" s="116">
        <v>89.2</v>
      </c>
      <c r="R1264">
        <v>1002535</v>
      </c>
    </row>
    <row r="1265" spans="1:18" x14ac:dyDescent="0.25">
      <c r="A1265" s="169">
        <v>43867</v>
      </c>
      <c r="B1265" s="116">
        <v>45.825000000000003</v>
      </c>
      <c r="C1265" s="116">
        <v>45.125</v>
      </c>
      <c r="D1265" s="116">
        <v>44.674999999999997</v>
      </c>
      <c r="E1265" s="116">
        <v>45</v>
      </c>
      <c r="F1265" s="116">
        <v>90.25</v>
      </c>
      <c r="G1265">
        <v>113125</v>
      </c>
      <c r="H1265" s="116"/>
      <c r="I1265" s="116"/>
      <c r="L1265" s="169">
        <v>43867</v>
      </c>
      <c r="M1265" s="116">
        <v>45.174999999999997</v>
      </c>
      <c r="N1265" s="116">
        <v>45.8</v>
      </c>
      <c r="O1265" s="116">
        <v>44.625</v>
      </c>
      <c r="P1265" s="116">
        <v>44.9</v>
      </c>
      <c r="Q1265" s="116">
        <v>90.35</v>
      </c>
      <c r="R1265">
        <v>817912</v>
      </c>
    </row>
    <row r="1266" spans="1:18" x14ac:dyDescent="0.25">
      <c r="A1266" s="169">
        <v>43868</v>
      </c>
      <c r="B1266" s="116">
        <v>45.325000000000003</v>
      </c>
      <c r="C1266" s="116">
        <v>44.65</v>
      </c>
      <c r="D1266" s="116">
        <v>44.3</v>
      </c>
      <c r="E1266" s="116">
        <v>45.25</v>
      </c>
      <c r="F1266" s="116">
        <v>89.3</v>
      </c>
      <c r="G1266">
        <v>75470</v>
      </c>
      <c r="H1266" s="116"/>
      <c r="I1266" s="116"/>
      <c r="L1266" s="169">
        <v>43868</v>
      </c>
      <c r="M1266" s="116">
        <v>44.575000000000003</v>
      </c>
      <c r="N1266" s="116">
        <v>45.375</v>
      </c>
      <c r="O1266" s="116">
        <v>44.25</v>
      </c>
      <c r="P1266" s="116">
        <v>45.375</v>
      </c>
      <c r="Q1266" s="116">
        <v>89.15</v>
      </c>
      <c r="R1266">
        <v>594728</v>
      </c>
    </row>
    <row r="1267" spans="1:18" x14ac:dyDescent="0.25">
      <c r="A1267" s="169">
        <v>43871</v>
      </c>
      <c r="B1267" s="116">
        <v>44.5</v>
      </c>
      <c r="C1267" s="116">
        <v>42.8</v>
      </c>
      <c r="D1267" s="116">
        <v>42.625</v>
      </c>
      <c r="E1267" s="116">
        <v>44.4</v>
      </c>
      <c r="F1267" s="116">
        <v>85.6</v>
      </c>
      <c r="G1267">
        <v>33114</v>
      </c>
      <c r="H1267" s="116"/>
      <c r="I1267" s="116"/>
      <c r="L1267" s="169">
        <v>43871</v>
      </c>
      <c r="M1267" s="116">
        <v>42.75</v>
      </c>
      <c r="N1267" s="116">
        <v>44.75</v>
      </c>
      <c r="O1267" s="116">
        <v>42.625</v>
      </c>
      <c r="P1267" s="116">
        <v>44.6</v>
      </c>
      <c r="Q1267" s="116">
        <v>85.5</v>
      </c>
      <c r="R1267">
        <v>548110</v>
      </c>
    </row>
    <row r="1268" spans="1:18" x14ac:dyDescent="0.25">
      <c r="A1268" s="169">
        <v>43872</v>
      </c>
      <c r="B1268" s="116">
        <v>43.674999999999997</v>
      </c>
      <c r="C1268" s="116">
        <v>42.575000000000003</v>
      </c>
      <c r="D1268" s="116">
        <v>42.524999999999999</v>
      </c>
      <c r="E1268" s="116">
        <v>43</v>
      </c>
      <c r="F1268" s="116">
        <v>85.15</v>
      </c>
      <c r="G1268">
        <v>91555</v>
      </c>
      <c r="H1268" s="116"/>
      <c r="I1268" s="116"/>
      <c r="L1268" s="169">
        <v>43872</v>
      </c>
      <c r="M1268" s="116">
        <v>42.6</v>
      </c>
      <c r="N1268" s="116">
        <v>43.65</v>
      </c>
      <c r="O1268" s="116">
        <v>42.5</v>
      </c>
      <c r="P1268" s="116">
        <v>42.95</v>
      </c>
      <c r="Q1268" s="116">
        <v>85.2</v>
      </c>
      <c r="R1268">
        <v>506250</v>
      </c>
    </row>
    <row r="1269" spans="1:18" x14ac:dyDescent="0.25">
      <c r="A1269" s="169">
        <v>43873</v>
      </c>
      <c r="B1269" s="116">
        <v>43.1</v>
      </c>
      <c r="C1269" s="116">
        <v>41.424999999999997</v>
      </c>
      <c r="D1269" s="116">
        <v>41.15</v>
      </c>
      <c r="E1269" s="116">
        <v>42.975000000000001</v>
      </c>
      <c r="F1269" s="116">
        <v>82.85</v>
      </c>
      <c r="G1269">
        <v>83892</v>
      </c>
      <c r="H1269" s="116"/>
      <c r="I1269" s="116"/>
      <c r="L1269" s="169">
        <v>43873</v>
      </c>
      <c r="M1269" s="116">
        <v>41.475000000000001</v>
      </c>
      <c r="N1269" s="116">
        <v>43.1</v>
      </c>
      <c r="O1269" s="116">
        <v>41.1</v>
      </c>
      <c r="P1269" s="116">
        <v>42.875</v>
      </c>
      <c r="Q1269" s="116">
        <v>82.95</v>
      </c>
      <c r="R1269">
        <v>515674</v>
      </c>
    </row>
    <row r="1270" spans="1:18" x14ac:dyDescent="0.25">
      <c r="A1270" s="169">
        <v>43874</v>
      </c>
      <c r="B1270" s="116">
        <v>41.35</v>
      </c>
      <c r="C1270" s="116">
        <v>40.950000000000003</v>
      </c>
      <c r="D1270" s="116">
        <v>40.674999999999997</v>
      </c>
      <c r="E1270" s="116">
        <v>41.274999999999999</v>
      </c>
      <c r="F1270" s="116">
        <v>81.900000000000006</v>
      </c>
      <c r="G1270">
        <v>27932</v>
      </c>
      <c r="H1270" s="116"/>
      <c r="I1270" s="116"/>
      <c r="L1270" s="169">
        <v>43874</v>
      </c>
      <c r="M1270" s="116">
        <v>40.924999999999997</v>
      </c>
      <c r="N1270" s="116">
        <v>41.625</v>
      </c>
      <c r="O1270" s="116">
        <v>40.575000000000003</v>
      </c>
      <c r="P1270" s="116">
        <v>41.5</v>
      </c>
      <c r="Q1270" s="116">
        <v>81.849999999999994</v>
      </c>
      <c r="R1270">
        <v>347906</v>
      </c>
    </row>
    <row r="1271" spans="1:18" x14ac:dyDescent="0.25">
      <c r="A1271" s="169">
        <v>43875</v>
      </c>
      <c r="B1271" s="116">
        <v>44.6</v>
      </c>
      <c r="C1271" s="116">
        <v>44.3</v>
      </c>
      <c r="D1271" s="116">
        <v>41.05</v>
      </c>
      <c r="E1271" s="116">
        <v>41.075000000000003</v>
      </c>
      <c r="F1271" s="116">
        <v>88.6</v>
      </c>
      <c r="G1271">
        <v>236782</v>
      </c>
      <c r="H1271" s="116"/>
      <c r="I1271" s="116"/>
      <c r="L1271" s="169">
        <v>43875</v>
      </c>
      <c r="M1271" s="116">
        <v>44.25</v>
      </c>
      <c r="N1271" s="116">
        <v>44.625</v>
      </c>
      <c r="O1271" s="116">
        <v>40.825000000000003</v>
      </c>
      <c r="P1271" s="116">
        <v>40.924999999999997</v>
      </c>
      <c r="Q1271" s="116">
        <v>88.5</v>
      </c>
      <c r="R1271">
        <v>2127376</v>
      </c>
    </row>
    <row r="1272" spans="1:18" x14ac:dyDescent="0.25">
      <c r="A1272" s="169">
        <v>43878</v>
      </c>
      <c r="B1272" s="116">
        <v>46.25</v>
      </c>
      <c r="C1272" s="116">
        <v>45.7</v>
      </c>
      <c r="D1272" s="116">
        <v>43</v>
      </c>
      <c r="E1272" s="116">
        <v>43.424999999999997</v>
      </c>
      <c r="F1272" s="116">
        <v>91.4</v>
      </c>
      <c r="G1272">
        <v>537405</v>
      </c>
      <c r="H1272" s="116"/>
      <c r="I1272" s="116"/>
      <c r="L1272" s="169">
        <v>43878</v>
      </c>
      <c r="M1272" s="116">
        <v>45.625</v>
      </c>
      <c r="N1272" s="116">
        <v>46.1</v>
      </c>
      <c r="O1272" s="116">
        <v>43.25</v>
      </c>
      <c r="P1272" s="116">
        <v>44.475000000000001</v>
      </c>
      <c r="Q1272" s="116">
        <v>91.25</v>
      </c>
      <c r="R1272">
        <v>1769933</v>
      </c>
    </row>
    <row r="1273" spans="1:18" x14ac:dyDescent="0.25">
      <c r="A1273" s="169">
        <v>43879</v>
      </c>
      <c r="B1273" s="116">
        <v>46.575000000000003</v>
      </c>
      <c r="C1273" s="116">
        <v>44.6</v>
      </c>
      <c r="D1273" s="116">
        <v>43.725000000000001</v>
      </c>
      <c r="E1273" s="116">
        <v>45.65</v>
      </c>
      <c r="F1273" s="116">
        <v>89.2</v>
      </c>
      <c r="G1273">
        <v>273966</v>
      </c>
      <c r="H1273" s="116"/>
      <c r="I1273" s="116"/>
      <c r="L1273" s="169">
        <v>43879</v>
      </c>
      <c r="M1273" s="116">
        <v>44.55</v>
      </c>
      <c r="N1273" s="116">
        <v>46.625</v>
      </c>
      <c r="O1273" s="116">
        <v>43.674999999999997</v>
      </c>
      <c r="P1273" s="116">
        <v>45.975000000000001</v>
      </c>
      <c r="Q1273" s="116">
        <v>89.1</v>
      </c>
      <c r="R1273">
        <v>2074454</v>
      </c>
    </row>
    <row r="1274" spans="1:18" x14ac:dyDescent="0.25">
      <c r="A1274" s="169">
        <v>43880</v>
      </c>
      <c r="B1274" s="116">
        <v>45.3</v>
      </c>
      <c r="C1274" s="116">
        <v>44.274999999999999</v>
      </c>
      <c r="D1274" s="116">
        <v>44.05</v>
      </c>
      <c r="E1274" s="116">
        <v>44.7</v>
      </c>
      <c r="F1274" s="116">
        <v>88.55</v>
      </c>
      <c r="G1274">
        <v>85686</v>
      </c>
      <c r="H1274" s="116"/>
      <c r="I1274" s="116"/>
      <c r="L1274" s="169">
        <v>43880</v>
      </c>
      <c r="M1274" s="116">
        <v>44.3</v>
      </c>
      <c r="N1274" s="116">
        <v>45.3</v>
      </c>
      <c r="O1274" s="116">
        <v>44.05</v>
      </c>
      <c r="P1274" s="116">
        <v>44.575000000000003</v>
      </c>
      <c r="Q1274" s="116">
        <v>88.6</v>
      </c>
      <c r="R1274">
        <v>523198</v>
      </c>
    </row>
    <row r="1275" spans="1:18" x14ac:dyDescent="0.25">
      <c r="A1275" s="169">
        <v>43881</v>
      </c>
      <c r="B1275" s="116">
        <v>45.575000000000003</v>
      </c>
      <c r="C1275" s="116">
        <v>44.8</v>
      </c>
      <c r="D1275" s="116">
        <v>44.075000000000003</v>
      </c>
      <c r="E1275" s="116">
        <v>44.1</v>
      </c>
      <c r="F1275" s="116">
        <v>89.6</v>
      </c>
      <c r="G1275">
        <v>153824</v>
      </c>
      <c r="H1275" s="116"/>
      <c r="I1275" s="116"/>
      <c r="L1275" s="169">
        <v>43881</v>
      </c>
      <c r="M1275" s="116">
        <v>44.825000000000003</v>
      </c>
      <c r="N1275" s="116">
        <v>45.65</v>
      </c>
      <c r="O1275" s="116">
        <v>44.024999999999999</v>
      </c>
      <c r="P1275" s="116">
        <v>44.25</v>
      </c>
      <c r="Q1275" s="116">
        <v>89.65</v>
      </c>
      <c r="R1275">
        <v>745320</v>
      </c>
    </row>
    <row r="1276" spans="1:18" x14ac:dyDescent="0.25">
      <c r="A1276" s="169">
        <v>43885</v>
      </c>
      <c r="B1276" s="116">
        <v>44.5</v>
      </c>
      <c r="C1276" s="116">
        <v>42.774999999999999</v>
      </c>
      <c r="D1276" s="116">
        <v>42.65</v>
      </c>
      <c r="E1276" s="116">
        <v>44.35</v>
      </c>
      <c r="F1276" s="116">
        <v>85.55</v>
      </c>
      <c r="G1276">
        <v>79265</v>
      </c>
      <c r="H1276" s="116"/>
      <c r="I1276" s="116"/>
      <c r="L1276" s="169">
        <v>43885</v>
      </c>
      <c r="M1276" s="116">
        <v>42.725000000000001</v>
      </c>
      <c r="N1276" s="116">
        <v>44.7</v>
      </c>
      <c r="O1276" s="116">
        <v>42.575000000000003</v>
      </c>
      <c r="P1276" s="116">
        <v>44.45</v>
      </c>
      <c r="Q1276" s="116">
        <v>85.45</v>
      </c>
      <c r="R1276">
        <v>458181</v>
      </c>
    </row>
    <row r="1277" spans="1:18" x14ac:dyDescent="0.25">
      <c r="A1277" s="169">
        <v>43886</v>
      </c>
      <c r="B1277" s="116">
        <v>43.325000000000003</v>
      </c>
      <c r="C1277" s="116">
        <v>42.024999999999999</v>
      </c>
      <c r="D1277" s="116">
        <v>41.85</v>
      </c>
      <c r="E1277" s="116">
        <v>42.9</v>
      </c>
      <c r="F1277" s="116">
        <v>84.05</v>
      </c>
      <c r="G1277">
        <v>66955</v>
      </c>
      <c r="H1277" s="116"/>
      <c r="I1277" s="116"/>
      <c r="L1277" s="169">
        <v>43886</v>
      </c>
      <c r="M1277" s="116">
        <v>42.024999999999999</v>
      </c>
      <c r="N1277" s="116">
        <v>43.35</v>
      </c>
      <c r="O1277" s="116">
        <v>41.825000000000003</v>
      </c>
      <c r="P1277" s="116">
        <v>42.924999999999997</v>
      </c>
      <c r="Q1277" s="116">
        <v>84.05</v>
      </c>
      <c r="R1277">
        <v>405977</v>
      </c>
    </row>
    <row r="1278" spans="1:18" x14ac:dyDescent="0.25">
      <c r="A1278" s="169">
        <v>43887</v>
      </c>
      <c r="B1278" s="116">
        <v>43.125</v>
      </c>
      <c r="C1278" s="116">
        <v>41.25</v>
      </c>
      <c r="D1278" s="116">
        <v>40.625</v>
      </c>
      <c r="E1278" s="116">
        <v>41.65</v>
      </c>
      <c r="F1278" s="116">
        <v>82.5</v>
      </c>
      <c r="G1278">
        <v>147136</v>
      </c>
      <c r="H1278" s="116"/>
      <c r="I1278" s="116"/>
      <c r="L1278" s="169">
        <v>43887</v>
      </c>
      <c r="M1278" s="116">
        <v>41.25</v>
      </c>
      <c r="N1278" s="116">
        <v>43.125</v>
      </c>
      <c r="O1278" s="116">
        <v>40.6</v>
      </c>
      <c r="P1278" s="116">
        <v>41.875</v>
      </c>
      <c r="Q1278" s="116">
        <v>82.5</v>
      </c>
      <c r="R1278">
        <v>665788</v>
      </c>
    </row>
    <row r="1279" spans="1:18" x14ac:dyDescent="0.25">
      <c r="A1279" s="169">
        <v>43888</v>
      </c>
      <c r="B1279" s="116">
        <v>41.35</v>
      </c>
      <c r="C1279" s="116">
        <v>41.1</v>
      </c>
      <c r="D1279" s="116">
        <v>39.85</v>
      </c>
      <c r="E1279" s="116">
        <v>41.225000000000001</v>
      </c>
      <c r="F1279" s="116">
        <v>82.2</v>
      </c>
      <c r="G1279">
        <v>133430</v>
      </c>
      <c r="H1279" s="116"/>
      <c r="I1279" s="116"/>
      <c r="L1279" s="169">
        <v>43888</v>
      </c>
      <c r="M1279" s="116">
        <v>41.125</v>
      </c>
      <c r="N1279" s="116">
        <v>41.45</v>
      </c>
      <c r="O1279" s="116">
        <v>39.774999999999999</v>
      </c>
      <c r="P1279" s="116">
        <v>41.2</v>
      </c>
      <c r="Q1279" s="116">
        <v>82.25</v>
      </c>
      <c r="R1279">
        <v>552251</v>
      </c>
    </row>
    <row r="1280" spans="1:18" x14ac:dyDescent="0.25">
      <c r="A1280" s="169">
        <v>43889</v>
      </c>
      <c r="B1280" s="116">
        <v>40.125</v>
      </c>
      <c r="C1280" s="116">
        <v>38.024999999999999</v>
      </c>
      <c r="D1280" s="116">
        <v>37.75</v>
      </c>
      <c r="E1280" s="116">
        <v>40.049999999999997</v>
      </c>
      <c r="F1280" s="116">
        <v>76.05</v>
      </c>
      <c r="G1280">
        <v>61893</v>
      </c>
      <c r="H1280" s="116"/>
      <c r="I1280" s="116"/>
      <c r="L1280" s="169">
        <v>43889</v>
      </c>
      <c r="M1280" s="116">
        <v>38</v>
      </c>
      <c r="N1280" s="116">
        <v>40.299999999999997</v>
      </c>
      <c r="O1280" s="116">
        <v>37.5</v>
      </c>
      <c r="P1280" s="116">
        <v>40.299999999999997</v>
      </c>
      <c r="Q1280" s="116">
        <v>76</v>
      </c>
      <c r="R1280">
        <v>623474</v>
      </c>
    </row>
    <row r="1281" spans="1:18" x14ac:dyDescent="0.25">
      <c r="A1281" s="169">
        <v>43892</v>
      </c>
      <c r="B1281" s="116">
        <v>40.65</v>
      </c>
      <c r="C1281" s="116">
        <v>38.475000000000001</v>
      </c>
      <c r="D1281" s="116">
        <v>37.625</v>
      </c>
      <c r="E1281" s="116">
        <v>39.424999999999997</v>
      </c>
      <c r="F1281" s="116">
        <v>76.95</v>
      </c>
      <c r="G1281">
        <v>218501</v>
      </c>
      <c r="H1281" s="116"/>
      <c r="I1281" s="116"/>
      <c r="L1281" s="169">
        <v>43892</v>
      </c>
      <c r="M1281" s="116">
        <v>38.524999999999999</v>
      </c>
      <c r="N1281" s="116">
        <v>40.725000000000001</v>
      </c>
      <c r="O1281" s="116">
        <v>37.6</v>
      </c>
      <c r="P1281" s="116">
        <v>38.65</v>
      </c>
      <c r="Q1281" s="116">
        <v>77.05</v>
      </c>
      <c r="R1281">
        <v>783145</v>
      </c>
    </row>
    <row r="1282" spans="1:18" x14ac:dyDescent="0.25">
      <c r="A1282" s="169">
        <v>43893</v>
      </c>
      <c r="B1282" s="116">
        <v>41.6</v>
      </c>
      <c r="C1282" s="116">
        <v>40.85</v>
      </c>
      <c r="D1282" s="116">
        <v>39.25</v>
      </c>
      <c r="E1282" s="116">
        <v>39.325000000000003</v>
      </c>
      <c r="F1282" s="116">
        <v>81.7</v>
      </c>
      <c r="G1282">
        <v>114514</v>
      </c>
      <c r="H1282" s="116"/>
      <c r="I1282" s="116"/>
      <c r="L1282" s="169">
        <v>43893</v>
      </c>
      <c r="M1282" s="116">
        <v>41.05</v>
      </c>
      <c r="N1282" s="116">
        <v>41.725000000000001</v>
      </c>
      <c r="O1282" s="116">
        <v>39.049999999999997</v>
      </c>
      <c r="P1282" s="116">
        <v>39.049999999999997</v>
      </c>
      <c r="Q1282" s="116">
        <v>82.1</v>
      </c>
      <c r="R1282">
        <v>645994</v>
      </c>
    </row>
    <row r="1283" spans="1:18" x14ac:dyDescent="0.25">
      <c r="A1283" s="169">
        <v>43894</v>
      </c>
      <c r="B1283" s="116">
        <v>42.274999999999999</v>
      </c>
      <c r="C1283" s="116">
        <v>41.65</v>
      </c>
      <c r="D1283" s="116">
        <v>40.200000000000003</v>
      </c>
      <c r="E1283" s="116">
        <v>41</v>
      </c>
      <c r="F1283" s="116">
        <v>83.3</v>
      </c>
      <c r="G1283">
        <v>161834</v>
      </c>
      <c r="H1283" s="116"/>
      <c r="I1283" s="116"/>
      <c r="L1283" s="169">
        <v>43894</v>
      </c>
      <c r="M1283" s="116">
        <v>41.75</v>
      </c>
      <c r="N1283" s="116">
        <v>42.25</v>
      </c>
      <c r="O1283" s="116">
        <v>40.075000000000003</v>
      </c>
      <c r="P1283" s="116">
        <v>41.2</v>
      </c>
      <c r="Q1283" s="116">
        <v>83.5</v>
      </c>
      <c r="R1283">
        <v>835620</v>
      </c>
    </row>
    <row r="1284" spans="1:18" x14ac:dyDescent="0.25">
      <c r="A1284" s="169">
        <v>43895</v>
      </c>
      <c r="B1284" s="116">
        <v>42.75</v>
      </c>
      <c r="C1284" s="116">
        <v>41.65</v>
      </c>
      <c r="D1284" s="116">
        <v>41.35</v>
      </c>
      <c r="E1284" s="116">
        <v>41.375</v>
      </c>
      <c r="F1284" s="116">
        <v>83.3</v>
      </c>
      <c r="G1284">
        <v>108909</v>
      </c>
      <c r="H1284" s="116"/>
      <c r="I1284" s="116"/>
      <c r="L1284" s="169">
        <v>43895</v>
      </c>
      <c r="M1284" s="116">
        <v>41.674999999999997</v>
      </c>
      <c r="N1284" s="116">
        <v>42.774999999999999</v>
      </c>
      <c r="O1284" s="116">
        <v>41.25</v>
      </c>
      <c r="P1284" s="116">
        <v>42.5</v>
      </c>
      <c r="Q1284" s="116">
        <v>83.35</v>
      </c>
      <c r="R1284">
        <v>677634</v>
      </c>
    </row>
    <row r="1285" spans="1:18" x14ac:dyDescent="0.25">
      <c r="A1285" s="169">
        <v>43896</v>
      </c>
      <c r="B1285" s="116">
        <v>40.700000000000003</v>
      </c>
      <c r="C1285" s="116">
        <v>39.299999999999997</v>
      </c>
      <c r="D1285" s="116">
        <v>39.049999999999997</v>
      </c>
      <c r="E1285" s="116">
        <v>40.4</v>
      </c>
      <c r="F1285" s="116">
        <v>78.599999999999994</v>
      </c>
      <c r="G1285">
        <v>111958</v>
      </c>
      <c r="H1285" s="116"/>
      <c r="I1285" s="116"/>
      <c r="L1285" s="169">
        <v>43896</v>
      </c>
      <c r="M1285" s="116">
        <v>39.625</v>
      </c>
      <c r="N1285" s="116">
        <v>40.75</v>
      </c>
      <c r="O1285" s="116">
        <v>39.200000000000003</v>
      </c>
      <c r="P1285" s="116">
        <v>40.375</v>
      </c>
      <c r="Q1285" s="116">
        <v>79.25</v>
      </c>
      <c r="R1285">
        <v>712807</v>
      </c>
    </row>
    <row r="1286" spans="1:18" x14ac:dyDescent="0.25">
      <c r="A1286" s="169">
        <v>43899</v>
      </c>
      <c r="B1286" s="116">
        <v>38.975000000000001</v>
      </c>
      <c r="C1286" s="116">
        <v>36.375</v>
      </c>
      <c r="D1286" s="116">
        <v>35.65</v>
      </c>
      <c r="E1286" s="116">
        <v>38.575000000000003</v>
      </c>
      <c r="F1286" s="116">
        <v>72.75</v>
      </c>
      <c r="G1286">
        <v>95952</v>
      </c>
      <c r="H1286" s="116"/>
      <c r="I1286" s="116"/>
      <c r="L1286" s="169">
        <v>43899</v>
      </c>
      <c r="M1286" s="116">
        <v>36.424999999999997</v>
      </c>
      <c r="N1286" s="116">
        <v>39.200000000000003</v>
      </c>
      <c r="O1286" s="116">
        <v>35.549999999999997</v>
      </c>
      <c r="P1286" s="116">
        <v>38.5</v>
      </c>
      <c r="Q1286" s="116">
        <v>72.849999999999994</v>
      </c>
      <c r="R1286">
        <v>1048865</v>
      </c>
    </row>
    <row r="1287" spans="1:18" x14ac:dyDescent="0.25">
      <c r="A1287" s="169">
        <v>43901</v>
      </c>
      <c r="B1287" s="116">
        <v>37.075000000000003</v>
      </c>
      <c r="C1287" s="116">
        <v>35.85</v>
      </c>
      <c r="D1287" s="116">
        <v>35.700000000000003</v>
      </c>
      <c r="E1287" s="116">
        <v>36.5</v>
      </c>
      <c r="F1287" s="116">
        <v>71.7</v>
      </c>
      <c r="G1287">
        <v>52526</v>
      </c>
      <c r="H1287" s="116"/>
      <c r="I1287" s="116"/>
      <c r="L1287" s="169">
        <v>43901</v>
      </c>
      <c r="M1287" s="116">
        <v>35.9</v>
      </c>
      <c r="N1287" s="116">
        <v>37.125</v>
      </c>
      <c r="O1287" s="116">
        <v>35.625</v>
      </c>
      <c r="P1287" s="116">
        <v>36.5</v>
      </c>
      <c r="Q1287" s="116">
        <v>71.8</v>
      </c>
      <c r="R1287">
        <v>404372</v>
      </c>
    </row>
    <row r="1288" spans="1:18" x14ac:dyDescent="0.25">
      <c r="A1288" s="169">
        <v>43902</v>
      </c>
      <c r="B1288" s="116">
        <v>35.975000000000001</v>
      </c>
      <c r="C1288" s="116">
        <v>31.475000000000001</v>
      </c>
      <c r="D1288" s="116">
        <v>31.1</v>
      </c>
      <c r="E1288" s="116">
        <v>35.975000000000001</v>
      </c>
      <c r="F1288" s="116">
        <v>62.95</v>
      </c>
      <c r="G1288">
        <v>120811</v>
      </c>
      <c r="H1288" s="116"/>
      <c r="I1288" s="116"/>
      <c r="L1288" s="169">
        <v>43902</v>
      </c>
      <c r="M1288" s="116">
        <v>31.4</v>
      </c>
      <c r="N1288" s="116">
        <v>34.75</v>
      </c>
      <c r="O1288" s="116">
        <v>30.975000000000001</v>
      </c>
      <c r="P1288" s="116">
        <v>34.700000000000003</v>
      </c>
      <c r="Q1288" s="116">
        <v>62.8</v>
      </c>
      <c r="R1288">
        <v>755043</v>
      </c>
    </row>
    <row r="1289" spans="1:18" x14ac:dyDescent="0.25">
      <c r="A1289" s="169">
        <v>43903</v>
      </c>
      <c r="B1289" s="116">
        <v>33.5</v>
      </c>
      <c r="C1289" s="116">
        <v>32.975000000000001</v>
      </c>
      <c r="D1289" s="116">
        <v>26.6</v>
      </c>
      <c r="E1289" s="116">
        <v>27.5</v>
      </c>
      <c r="F1289" s="116">
        <v>65.95</v>
      </c>
      <c r="G1289">
        <v>135615</v>
      </c>
      <c r="H1289" s="116"/>
      <c r="I1289" s="116"/>
      <c r="L1289" s="169">
        <v>43903</v>
      </c>
      <c r="M1289" s="116">
        <v>33</v>
      </c>
      <c r="N1289" s="116">
        <v>34.25</v>
      </c>
      <c r="O1289" s="116">
        <v>27.05</v>
      </c>
      <c r="P1289" s="116">
        <v>27.1</v>
      </c>
      <c r="Q1289" s="116">
        <v>66</v>
      </c>
      <c r="R1289">
        <v>937524</v>
      </c>
    </row>
    <row r="1290" spans="1:18" x14ac:dyDescent="0.25">
      <c r="A1290" s="169">
        <v>43906</v>
      </c>
      <c r="B1290" s="116">
        <v>32.774999999999999</v>
      </c>
      <c r="C1290" s="116">
        <v>31.5</v>
      </c>
      <c r="D1290" s="116">
        <v>29.4</v>
      </c>
      <c r="E1290" s="116">
        <v>32</v>
      </c>
      <c r="F1290" s="116">
        <v>63</v>
      </c>
      <c r="G1290">
        <v>101973</v>
      </c>
      <c r="H1290" s="116"/>
      <c r="I1290" s="116"/>
      <c r="L1290" s="169">
        <v>43906</v>
      </c>
      <c r="M1290" s="116">
        <v>32.174999999999997</v>
      </c>
      <c r="N1290" s="116">
        <v>33.075000000000003</v>
      </c>
      <c r="O1290" s="116">
        <v>29.35</v>
      </c>
      <c r="P1290" s="116">
        <v>31.5</v>
      </c>
      <c r="Q1290" s="116">
        <v>64.349999999999994</v>
      </c>
      <c r="R1290">
        <v>1178069</v>
      </c>
    </row>
    <row r="1291" spans="1:18" x14ac:dyDescent="0.25">
      <c r="A1291" s="169">
        <v>43907</v>
      </c>
      <c r="B1291" s="116">
        <v>32.549999999999997</v>
      </c>
      <c r="C1291" s="116">
        <v>30.324999999999999</v>
      </c>
      <c r="D1291" s="116">
        <v>29.925000000000001</v>
      </c>
      <c r="E1291" s="116">
        <v>32.549999999999997</v>
      </c>
      <c r="F1291" s="116">
        <v>60.65</v>
      </c>
      <c r="G1291">
        <v>73303</v>
      </c>
      <c r="H1291" s="116"/>
      <c r="I1291" s="116"/>
      <c r="L1291" s="169">
        <v>43907</v>
      </c>
      <c r="M1291" s="116">
        <v>30.55</v>
      </c>
      <c r="N1291" s="116">
        <v>32.5</v>
      </c>
      <c r="O1291" s="116">
        <v>29.55</v>
      </c>
      <c r="P1291" s="116">
        <v>32.299999999999997</v>
      </c>
      <c r="Q1291" s="116">
        <v>61.1</v>
      </c>
      <c r="R1291">
        <v>620133</v>
      </c>
    </row>
    <row r="1292" spans="1:18" x14ac:dyDescent="0.25">
      <c r="A1292" s="169">
        <v>43908</v>
      </c>
      <c r="B1292" s="116">
        <v>31.05</v>
      </c>
      <c r="C1292" s="116">
        <v>27.2</v>
      </c>
      <c r="D1292" s="116">
        <v>26.85</v>
      </c>
      <c r="E1292" s="116">
        <v>31.05</v>
      </c>
      <c r="F1292" s="116">
        <v>54.4</v>
      </c>
      <c r="G1292">
        <v>64969</v>
      </c>
      <c r="H1292" s="116"/>
      <c r="I1292" s="116"/>
      <c r="L1292" s="169">
        <v>43908</v>
      </c>
      <c r="M1292" s="116">
        <v>27.125</v>
      </c>
      <c r="N1292" s="116">
        <v>31.175000000000001</v>
      </c>
      <c r="O1292" s="116">
        <v>26.85</v>
      </c>
      <c r="P1292" s="116">
        <v>30.2</v>
      </c>
      <c r="Q1292" s="116">
        <v>54.25</v>
      </c>
      <c r="R1292">
        <v>652575</v>
      </c>
    </row>
    <row r="1293" spans="1:18" x14ac:dyDescent="0.25">
      <c r="A1293" s="169">
        <v>43909</v>
      </c>
      <c r="B1293" s="116">
        <v>26.5</v>
      </c>
      <c r="C1293" s="116">
        <v>24.95</v>
      </c>
      <c r="D1293" s="116">
        <v>21.774999999999999</v>
      </c>
      <c r="E1293" s="116">
        <v>26.5</v>
      </c>
      <c r="F1293" s="116">
        <v>49.9</v>
      </c>
      <c r="G1293">
        <v>231370</v>
      </c>
      <c r="H1293" s="116"/>
      <c r="I1293" s="116"/>
      <c r="L1293" s="169">
        <v>43909</v>
      </c>
      <c r="M1293" s="116">
        <v>24.975000000000001</v>
      </c>
      <c r="N1293" s="116">
        <v>26</v>
      </c>
      <c r="O1293" s="116">
        <v>21.7</v>
      </c>
      <c r="P1293" s="116">
        <v>26</v>
      </c>
      <c r="Q1293" s="116">
        <v>49.95</v>
      </c>
      <c r="R1293">
        <v>1455544</v>
      </c>
    </row>
    <row r="1294" spans="1:18" x14ac:dyDescent="0.25">
      <c r="A1294" s="169">
        <v>43910</v>
      </c>
      <c r="B1294" s="116">
        <v>28.95</v>
      </c>
      <c r="C1294" s="116">
        <v>26.5</v>
      </c>
      <c r="D1294" s="116">
        <v>24.9</v>
      </c>
      <c r="E1294" s="116">
        <v>25.2</v>
      </c>
      <c r="F1294" s="116">
        <v>53</v>
      </c>
      <c r="G1294">
        <v>102779</v>
      </c>
      <c r="H1294" s="116"/>
      <c r="I1294" s="116"/>
      <c r="L1294" s="169">
        <v>43910</v>
      </c>
      <c r="M1294" s="116">
        <v>27.15</v>
      </c>
      <c r="N1294" s="116">
        <v>29</v>
      </c>
      <c r="O1294" s="116">
        <v>24.85</v>
      </c>
      <c r="P1294" s="116">
        <v>24.85</v>
      </c>
      <c r="Q1294" s="116">
        <v>54.3</v>
      </c>
      <c r="R1294">
        <v>1041128</v>
      </c>
    </row>
    <row r="1295" spans="1:18" x14ac:dyDescent="0.25">
      <c r="A1295" s="169">
        <v>43913</v>
      </c>
      <c r="B1295" s="116">
        <v>26.5</v>
      </c>
      <c r="C1295" s="116">
        <v>22.6</v>
      </c>
      <c r="D1295" s="116">
        <v>22.175000000000001</v>
      </c>
      <c r="E1295" s="116">
        <v>26.5</v>
      </c>
      <c r="F1295" s="116">
        <v>45.2</v>
      </c>
      <c r="G1295">
        <v>60140</v>
      </c>
      <c r="H1295" s="116"/>
      <c r="I1295" s="116"/>
      <c r="L1295" s="169">
        <v>43913</v>
      </c>
      <c r="M1295" s="116">
        <v>22.6</v>
      </c>
      <c r="N1295" s="116">
        <v>25.95</v>
      </c>
      <c r="O1295" s="116">
        <v>22.1</v>
      </c>
      <c r="P1295" s="116">
        <v>25.125</v>
      </c>
      <c r="Q1295" s="116">
        <v>45.2</v>
      </c>
      <c r="R1295">
        <v>683171</v>
      </c>
    </row>
    <row r="1296" spans="1:18" x14ac:dyDescent="0.25">
      <c r="A1296" s="169">
        <v>43914</v>
      </c>
      <c r="B1296" s="116">
        <v>24.45</v>
      </c>
      <c r="C1296" s="116">
        <v>20.75</v>
      </c>
      <c r="D1296" s="116">
        <v>20.399999999999999</v>
      </c>
      <c r="E1296" s="116">
        <v>23.725000000000001</v>
      </c>
      <c r="F1296" s="116">
        <v>41.5</v>
      </c>
      <c r="G1296">
        <v>113840</v>
      </c>
      <c r="H1296" s="116"/>
      <c r="I1296" s="116"/>
      <c r="L1296" s="169">
        <v>43914</v>
      </c>
      <c r="M1296" s="116">
        <v>20.6</v>
      </c>
      <c r="N1296" s="116">
        <v>24.625</v>
      </c>
      <c r="O1296" s="116">
        <v>20.25</v>
      </c>
      <c r="P1296" s="116">
        <v>24.625</v>
      </c>
      <c r="Q1296" s="116">
        <v>41.2</v>
      </c>
      <c r="R1296">
        <v>1075847</v>
      </c>
    </row>
    <row r="1297" spans="1:18" x14ac:dyDescent="0.25">
      <c r="A1297" s="169">
        <v>43915</v>
      </c>
      <c r="B1297" s="116">
        <v>22.824999999999999</v>
      </c>
      <c r="C1297" s="116">
        <v>22.625</v>
      </c>
      <c r="D1297" s="116">
        <v>20.375</v>
      </c>
      <c r="E1297" s="116">
        <v>21.25</v>
      </c>
      <c r="F1297" s="116">
        <v>45.25</v>
      </c>
      <c r="G1297">
        <v>48962</v>
      </c>
      <c r="H1297" s="116"/>
      <c r="I1297" s="116"/>
      <c r="L1297" s="169">
        <v>43915</v>
      </c>
      <c r="M1297" s="116">
        <v>22.5</v>
      </c>
      <c r="N1297" s="116">
        <v>22.65</v>
      </c>
      <c r="O1297" s="116">
        <v>20.25</v>
      </c>
      <c r="P1297" s="116">
        <v>21.074999999999999</v>
      </c>
      <c r="Q1297" s="116">
        <v>45</v>
      </c>
      <c r="R1297">
        <v>533228</v>
      </c>
    </row>
    <row r="1298" spans="1:18" x14ac:dyDescent="0.25">
      <c r="A1298" s="169">
        <v>43916</v>
      </c>
      <c r="B1298" s="116">
        <v>24</v>
      </c>
      <c r="C1298" s="116">
        <v>21.65</v>
      </c>
      <c r="D1298" s="116">
        <v>21.375</v>
      </c>
      <c r="E1298" s="116">
        <v>23</v>
      </c>
      <c r="F1298" s="116">
        <v>43.3</v>
      </c>
      <c r="G1298">
        <v>107065</v>
      </c>
      <c r="H1298" s="116"/>
      <c r="I1298" s="116"/>
      <c r="L1298" s="169">
        <v>43916</v>
      </c>
      <c r="M1298" s="116">
        <v>21.55</v>
      </c>
      <c r="N1298" s="116">
        <v>24</v>
      </c>
      <c r="O1298" s="116">
        <v>21.274999999999999</v>
      </c>
      <c r="P1298" s="116">
        <v>22.975000000000001</v>
      </c>
      <c r="Q1298" s="116">
        <v>43.1</v>
      </c>
      <c r="R1298">
        <v>841722</v>
      </c>
    </row>
    <row r="1299" spans="1:18" x14ac:dyDescent="0.25">
      <c r="A1299" s="169">
        <v>43917</v>
      </c>
      <c r="B1299" s="116">
        <v>22.65</v>
      </c>
      <c r="C1299" s="116">
        <v>20.8</v>
      </c>
      <c r="D1299" s="116">
        <v>20.524999999999999</v>
      </c>
      <c r="E1299" s="116">
        <v>22.5</v>
      </c>
      <c r="F1299" s="116">
        <v>41.6</v>
      </c>
      <c r="G1299">
        <v>89492</v>
      </c>
      <c r="H1299" s="116"/>
      <c r="I1299" s="116"/>
      <c r="L1299" s="169">
        <v>43917</v>
      </c>
      <c r="M1299" s="116">
        <v>20.75</v>
      </c>
      <c r="N1299" s="116">
        <v>22.6</v>
      </c>
      <c r="O1299" s="116">
        <v>20.399999999999999</v>
      </c>
      <c r="P1299" s="116">
        <v>22.125</v>
      </c>
      <c r="Q1299" s="116">
        <v>41.5</v>
      </c>
      <c r="R1299">
        <v>1233492</v>
      </c>
    </row>
    <row r="1300" spans="1:18" x14ac:dyDescent="0.25">
      <c r="A1300" s="169">
        <v>43920</v>
      </c>
      <c r="B1300" s="116">
        <v>21.625</v>
      </c>
      <c r="C1300" s="116">
        <v>20.824999999999999</v>
      </c>
      <c r="D1300" s="116">
        <v>20</v>
      </c>
      <c r="E1300" s="116">
        <v>20.05</v>
      </c>
      <c r="F1300" s="116">
        <v>41.65</v>
      </c>
      <c r="G1300">
        <v>36401</v>
      </c>
      <c r="H1300" s="116"/>
      <c r="I1300" s="116"/>
      <c r="L1300" s="169">
        <v>43920</v>
      </c>
      <c r="M1300" s="116">
        <v>20.824999999999999</v>
      </c>
      <c r="N1300" s="116">
        <v>21.574999999999999</v>
      </c>
      <c r="O1300" s="116">
        <v>19.925000000000001</v>
      </c>
      <c r="P1300" s="116">
        <v>20.05</v>
      </c>
      <c r="Q1300" s="116">
        <v>41.65</v>
      </c>
      <c r="R1300">
        <v>424276</v>
      </c>
    </row>
    <row r="1301" spans="1:18" x14ac:dyDescent="0.25">
      <c r="A1301" s="169">
        <v>43921</v>
      </c>
      <c r="B1301" s="116">
        <v>22.9</v>
      </c>
      <c r="C1301" s="116">
        <v>22.9</v>
      </c>
      <c r="D1301" s="116">
        <v>20.925000000000001</v>
      </c>
      <c r="E1301" s="116">
        <v>21.324999999999999</v>
      </c>
      <c r="F1301" s="116">
        <v>45.8</v>
      </c>
      <c r="G1301">
        <v>59413</v>
      </c>
      <c r="H1301" s="116"/>
      <c r="I1301" s="116"/>
      <c r="L1301" s="169">
        <v>43921</v>
      </c>
      <c r="M1301" s="116">
        <v>22.9</v>
      </c>
      <c r="N1301" s="116">
        <v>22.9</v>
      </c>
      <c r="O1301" s="116">
        <v>20.875</v>
      </c>
      <c r="P1301" s="116">
        <v>21.175000000000001</v>
      </c>
      <c r="Q1301" s="116">
        <v>45.8</v>
      </c>
      <c r="R1301">
        <v>827083</v>
      </c>
    </row>
    <row r="1302" spans="1:18" x14ac:dyDescent="0.25">
      <c r="A1302" s="169">
        <v>43922</v>
      </c>
      <c r="B1302" s="116">
        <v>25</v>
      </c>
      <c r="C1302" s="116">
        <v>24.45</v>
      </c>
      <c r="D1302" s="116">
        <v>21.9</v>
      </c>
      <c r="E1302" s="116">
        <v>23.975000000000001</v>
      </c>
      <c r="F1302" s="116">
        <v>48.9</v>
      </c>
      <c r="G1302">
        <v>93314</v>
      </c>
      <c r="H1302" s="116"/>
      <c r="I1302" s="116"/>
      <c r="L1302" s="169">
        <v>43922</v>
      </c>
      <c r="M1302" s="116">
        <v>24.274999999999999</v>
      </c>
      <c r="N1302" s="116">
        <v>24.95</v>
      </c>
      <c r="O1302" s="116">
        <v>21.9</v>
      </c>
      <c r="P1302" s="116">
        <v>23.5</v>
      </c>
      <c r="Q1302" s="116">
        <v>48.55</v>
      </c>
      <c r="R1302">
        <v>1160756</v>
      </c>
    </row>
    <row r="1303" spans="1:18" x14ac:dyDescent="0.25">
      <c r="A1303" s="169">
        <v>43924</v>
      </c>
      <c r="B1303" s="116">
        <v>24.6</v>
      </c>
      <c r="C1303" s="116">
        <v>23.65</v>
      </c>
      <c r="D1303" s="116">
        <v>23.324999999999999</v>
      </c>
      <c r="E1303" s="116">
        <v>24.55</v>
      </c>
      <c r="F1303" s="116">
        <v>47.3</v>
      </c>
      <c r="G1303">
        <v>49034</v>
      </c>
      <c r="H1303" s="116"/>
      <c r="I1303" s="116"/>
      <c r="L1303" s="169">
        <v>43924</v>
      </c>
      <c r="M1303" s="116">
        <v>23.625</v>
      </c>
      <c r="N1303" s="116">
        <v>24.5</v>
      </c>
      <c r="O1303" s="116">
        <v>23.274999999999999</v>
      </c>
      <c r="P1303" s="116">
        <v>24.5</v>
      </c>
      <c r="Q1303" s="116">
        <v>47.25</v>
      </c>
      <c r="R1303">
        <v>459285</v>
      </c>
    </row>
    <row r="1304" spans="1:18" x14ac:dyDescent="0.25">
      <c r="A1304" s="169">
        <v>43928</v>
      </c>
      <c r="B1304" s="116">
        <v>25.074999999999999</v>
      </c>
      <c r="C1304" s="116">
        <v>24.6</v>
      </c>
      <c r="D1304" s="116">
        <v>23.75</v>
      </c>
      <c r="E1304" s="116">
        <v>24.3</v>
      </c>
      <c r="F1304" s="116">
        <v>49.2</v>
      </c>
      <c r="G1304">
        <v>59982</v>
      </c>
      <c r="H1304" s="116"/>
      <c r="I1304" s="116"/>
      <c r="L1304" s="169">
        <v>43928</v>
      </c>
      <c r="M1304" s="116">
        <v>24.675000000000001</v>
      </c>
      <c r="N1304" s="116">
        <v>25.05</v>
      </c>
      <c r="O1304" s="116">
        <v>23.774999999999999</v>
      </c>
      <c r="P1304" s="116">
        <v>24.125</v>
      </c>
      <c r="Q1304" s="116">
        <v>49.35</v>
      </c>
      <c r="R1304">
        <v>661047</v>
      </c>
    </row>
    <row r="1305" spans="1:18" x14ac:dyDescent="0.25">
      <c r="A1305" s="169">
        <v>43929</v>
      </c>
      <c r="B1305" s="116">
        <v>26.45</v>
      </c>
      <c r="C1305" s="116">
        <v>25.15</v>
      </c>
      <c r="D1305" s="116">
        <v>24.574999999999999</v>
      </c>
      <c r="E1305" s="116">
        <v>24.574999999999999</v>
      </c>
      <c r="F1305" s="116">
        <v>50.3</v>
      </c>
      <c r="G1305">
        <v>70216</v>
      </c>
      <c r="H1305" s="116"/>
      <c r="I1305" s="116"/>
      <c r="L1305" s="169">
        <v>43929</v>
      </c>
      <c r="M1305" s="116">
        <v>25.15</v>
      </c>
      <c r="N1305" s="116">
        <v>26.475000000000001</v>
      </c>
      <c r="O1305" s="116">
        <v>24.125</v>
      </c>
      <c r="P1305" s="116">
        <v>24.475000000000001</v>
      </c>
      <c r="Q1305" s="116">
        <v>50.3</v>
      </c>
      <c r="R1305">
        <v>644454</v>
      </c>
    </row>
    <row r="1306" spans="1:18" x14ac:dyDescent="0.25">
      <c r="A1306" s="169">
        <v>43930</v>
      </c>
      <c r="B1306" s="116">
        <v>26.425000000000001</v>
      </c>
      <c r="C1306" s="116">
        <v>26.125</v>
      </c>
      <c r="D1306" s="116">
        <v>25.15</v>
      </c>
      <c r="E1306" s="116">
        <v>25.15</v>
      </c>
      <c r="F1306" s="116">
        <v>52.25</v>
      </c>
      <c r="G1306">
        <v>55949</v>
      </c>
      <c r="H1306" s="116"/>
      <c r="I1306" s="116"/>
      <c r="L1306" s="169">
        <v>43930</v>
      </c>
      <c r="M1306" s="116">
        <v>26.074999999999999</v>
      </c>
      <c r="N1306" s="116">
        <v>26.5</v>
      </c>
      <c r="O1306" s="116">
        <v>25.4</v>
      </c>
      <c r="P1306" s="116">
        <v>25.65</v>
      </c>
      <c r="Q1306" s="116">
        <v>52.15</v>
      </c>
      <c r="R1306">
        <v>579488</v>
      </c>
    </row>
    <row r="1307" spans="1:18" x14ac:dyDescent="0.25">
      <c r="A1307" s="169">
        <v>43934</v>
      </c>
      <c r="B1307" s="116">
        <v>28.725000000000001</v>
      </c>
      <c r="C1307" s="116">
        <v>26.625</v>
      </c>
      <c r="D1307" s="116">
        <v>25.074999999999999</v>
      </c>
      <c r="E1307" s="116">
        <v>26.125</v>
      </c>
      <c r="F1307" s="116">
        <v>53.25</v>
      </c>
      <c r="G1307">
        <v>67578</v>
      </c>
      <c r="H1307" s="116"/>
      <c r="I1307" s="116"/>
      <c r="L1307" s="169">
        <v>43934</v>
      </c>
      <c r="M1307" s="116">
        <v>26.625</v>
      </c>
      <c r="N1307" s="116">
        <v>27.2</v>
      </c>
      <c r="O1307" s="116">
        <v>25.05</v>
      </c>
      <c r="P1307" s="116">
        <v>25.85</v>
      </c>
      <c r="Q1307" s="116">
        <v>53.25</v>
      </c>
      <c r="R1307">
        <v>565529</v>
      </c>
    </row>
    <row r="1308" spans="1:18" x14ac:dyDescent="0.25">
      <c r="A1308" s="169">
        <v>43936</v>
      </c>
      <c r="B1308" s="116">
        <v>28.074999999999999</v>
      </c>
      <c r="C1308" s="116">
        <v>26.524999999999999</v>
      </c>
      <c r="D1308" s="116">
        <v>26.074999999999999</v>
      </c>
      <c r="E1308" s="116">
        <v>27.175000000000001</v>
      </c>
      <c r="F1308" s="116">
        <v>53.05</v>
      </c>
      <c r="G1308">
        <v>101353</v>
      </c>
      <c r="H1308" s="116"/>
      <c r="I1308" s="116"/>
      <c r="L1308" s="169">
        <v>43936</v>
      </c>
      <c r="M1308" s="116">
        <v>26.55</v>
      </c>
      <c r="N1308" s="116">
        <v>28.125</v>
      </c>
      <c r="O1308" s="116">
        <v>26.1</v>
      </c>
      <c r="P1308" s="116">
        <v>27.05</v>
      </c>
      <c r="Q1308" s="116">
        <v>53.1</v>
      </c>
      <c r="R1308">
        <v>687835</v>
      </c>
    </row>
    <row r="1309" spans="1:18" x14ac:dyDescent="0.25">
      <c r="A1309" s="169">
        <v>43937</v>
      </c>
      <c r="B1309" s="116">
        <v>29.175000000000001</v>
      </c>
      <c r="C1309" s="116">
        <v>29.175000000000001</v>
      </c>
      <c r="D1309" s="116">
        <v>26.35</v>
      </c>
      <c r="E1309" s="116">
        <v>26.35</v>
      </c>
      <c r="F1309" s="116">
        <v>58.35</v>
      </c>
      <c r="G1309">
        <v>115955</v>
      </c>
      <c r="H1309" s="116"/>
      <c r="I1309" s="116"/>
      <c r="L1309" s="169">
        <v>43937</v>
      </c>
      <c r="M1309" s="116">
        <v>29.2</v>
      </c>
      <c r="N1309" s="116">
        <v>29.2</v>
      </c>
      <c r="O1309" s="116">
        <v>26.05</v>
      </c>
      <c r="P1309" s="116">
        <v>26.25</v>
      </c>
      <c r="Q1309" s="116">
        <v>58.4</v>
      </c>
      <c r="R1309">
        <v>1129274</v>
      </c>
    </row>
    <row r="1310" spans="1:18" x14ac:dyDescent="0.25">
      <c r="A1310" s="169">
        <v>43938</v>
      </c>
      <c r="B1310" s="116">
        <v>30.475000000000001</v>
      </c>
      <c r="C1310" s="116">
        <v>29.274999999999999</v>
      </c>
      <c r="D1310" s="116">
        <v>28.774999999999999</v>
      </c>
      <c r="E1310" s="116">
        <v>30.074999999999999</v>
      </c>
      <c r="F1310" s="116">
        <v>58.55</v>
      </c>
      <c r="G1310">
        <v>119068</v>
      </c>
      <c r="H1310" s="116"/>
      <c r="I1310" s="116"/>
      <c r="L1310" s="169">
        <v>43938</v>
      </c>
      <c r="M1310" s="116">
        <v>29.375</v>
      </c>
      <c r="N1310" s="116">
        <v>30.574999999999999</v>
      </c>
      <c r="O1310" s="116">
        <v>28.824999999999999</v>
      </c>
      <c r="P1310" s="116">
        <v>30</v>
      </c>
      <c r="Q1310" s="116">
        <v>58.75</v>
      </c>
      <c r="R1310">
        <v>761559</v>
      </c>
    </row>
    <row r="1311" spans="1:18" x14ac:dyDescent="0.25">
      <c r="A1311" s="169">
        <v>43941</v>
      </c>
      <c r="B1311" s="116">
        <v>30.9</v>
      </c>
      <c r="C1311" s="116">
        <v>28.475000000000001</v>
      </c>
      <c r="D1311" s="116">
        <v>28.3</v>
      </c>
      <c r="E1311" s="116">
        <v>30.9</v>
      </c>
      <c r="F1311" s="116">
        <v>56.95</v>
      </c>
      <c r="G1311">
        <v>61694</v>
      </c>
      <c r="H1311" s="116"/>
      <c r="I1311" s="116"/>
      <c r="L1311" s="169">
        <v>43941</v>
      </c>
      <c r="M1311" s="116">
        <v>28.475000000000001</v>
      </c>
      <c r="N1311" s="116">
        <v>29.9</v>
      </c>
      <c r="O1311" s="116">
        <v>28.25</v>
      </c>
      <c r="P1311" s="116">
        <v>29.8</v>
      </c>
      <c r="Q1311" s="116">
        <v>56.95</v>
      </c>
      <c r="R1311">
        <v>777998</v>
      </c>
    </row>
    <row r="1312" spans="1:18" x14ac:dyDescent="0.25">
      <c r="A1312" s="169">
        <v>43942</v>
      </c>
      <c r="B1312" s="116">
        <v>27.65</v>
      </c>
      <c r="C1312" s="116">
        <v>26.45</v>
      </c>
      <c r="D1312" s="116">
        <v>25.8</v>
      </c>
      <c r="E1312" s="116">
        <v>27.625</v>
      </c>
      <c r="F1312" s="116">
        <v>52.9</v>
      </c>
      <c r="G1312">
        <v>63405</v>
      </c>
      <c r="H1312" s="116"/>
      <c r="I1312" s="116"/>
      <c r="L1312" s="169">
        <v>43942</v>
      </c>
      <c r="M1312" s="116">
        <v>26.425000000000001</v>
      </c>
      <c r="N1312" s="116">
        <v>27.85</v>
      </c>
      <c r="O1312" s="116">
        <v>25.75</v>
      </c>
      <c r="P1312" s="116">
        <v>27.85</v>
      </c>
      <c r="Q1312" s="116">
        <v>52.85</v>
      </c>
      <c r="R1312">
        <v>566659</v>
      </c>
    </row>
    <row r="1313" spans="1:18" x14ac:dyDescent="0.25">
      <c r="A1313" s="169">
        <v>43943</v>
      </c>
      <c r="B1313" s="116">
        <v>26.7</v>
      </c>
      <c r="C1313" s="116">
        <v>25.8</v>
      </c>
      <c r="D1313" s="116">
        <v>25.65</v>
      </c>
      <c r="E1313" s="116">
        <v>26.3</v>
      </c>
      <c r="F1313" s="116">
        <v>51.6</v>
      </c>
      <c r="G1313">
        <v>129510</v>
      </c>
      <c r="H1313" s="116"/>
      <c r="I1313" s="116"/>
      <c r="L1313" s="169">
        <v>43943</v>
      </c>
      <c r="M1313" s="116">
        <v>25.824999999999999</v>
      </c>
      <c r="N1313" s="116">
        <v>26.725000000000001</v>
      </c>
      <c r="O1313" s="116">
        <v>25.65</v>
      </c>
      <c r="P1313" s="116">
        <v>26</v>
      </c>
      <c r="Q1313" s="116">
        <v>51.65</v>
      </c>
      <c r="R1313">
        <v>582528</v>
      </c>
    </row>
    <row r="1314" spans="1:18" x14ac:dyDescent="0.25">
      <c r="A1314" s="169">
        <v>43944</v>
      </c>
      <c r="B1314" s="116">
        <v>28.1</v>
      </c>
      <c r="C1314" s="116">
        <v>27.35</v>
      </c>
      <c r="D1314" s="116">
        <v>26</v>
      </c>
      <c r="E1314" s="116">
        <v>26.05</v>
      </c>
      <c r="F1314" s="116">
        <v>54.7</v>
      </c>
      <c r="G1314">
        <v>153753</v>
      </c>
      <c r="H1314" s="116"/>
      <c r="I1314" s="116"/>
      <c r="L1314" s="169">
        <v>43944</v>
      </c>
      <c r="M1314" s="116">
        <v>27.3</v>
      </c>
      <c r="N1314" s="116">
        <v>28.1</v>
      </c>
      <c r="O1314" s="116">
        <v>25.975000000000001</v>
      </c>
      <c r="P1314" s="116">
        <v>26.2</v>
      </c>
      <c r="Q1314" s="116">
        <v>54.6</v>
      </c>
      <c r="R1314">
        <v>1403155</v>
      </c>
    </row>
    <row r="1315" spans="1:18" x14ac:dyDescent="0.25">
      <c r="A1315" s="169">
        <v>43945</v>
      </c>
      <c r="B1315" s="116">
        <v>27.074999999999999</v>
      </c>
      <c r="C1315" s="116">
        <v>25.95</v>
      </c>
      <c r="D1315" s="116">
        <v>25.85</v>
      </c>
      <c r="E1315" s="116">
        <v>26.925000000000001</v>
      </c>
      <c r="F1315" s="116">
        <v>51.9</v>
      </c>
      <c r="G1315">
        <v>83234</v>
      </c>
      <c r="H1315" s="116"/>
      <c r="I1315" s="116"/>
      <c r="L1315" s="169">
        <v>43945</v>
      </c>
      <c r="M1315" s="116">
        <v>25.975000000000001</v>
      </c>
      <c r="N1315" s="116">
        <v>27</v>
      </c>
      <c r="O1315" s="116">
        <v>25.8</v>
      </c>
      <c r="P1315" s="116">
        <v>27</v>
      </c>
      <c r="Q1315" s="116">
        <v>51.95</v>
      </c>
      <c r="R1315">
        <v>504840</v>
      </c>
    </row>
    <row r="1316" spans="1:18" x14ac:dyDescent="0.25">
      <c r="A1316" s="169">
        <v>43948</v>
      </c>
      <c r="B1316" s="116">
        <v>26.65</v>
      </c>
      <c r="C1316" s="116">
        <v>26.074999999999999</v>
      </c>
      <c r="D1316" s="116">
        <v>25.925000000000001</v>
      </c>
      <c r="E1316" s="116">
        <v>26.024999999999999</v>
      </c>
      <c r="F1316" s="116">
        <v>52.15</v>
      </c>
      <c r="G1316">
        <v>78608</v>
      </c>
      <c r="H1316" s="116"/>
      <c r="I1316" s="116"/>
      <c r="L1316" s="169">
        <v>43948</v>
      </c>
      <c r="M1316" s="116">
        <v>26.05</v>
      </c>
      <c r="N1316" s="116">
        <v>26.675000000000001</v>
      </c>
      <c r="O1316" s="116">
        <v>25.925000000000001</v>
      </c>
      <c r="P1316" s="116">
        <v>26.225000000000001</v>
      </c>
      <c r="Q1316" s="116">
        <v>52.1</v>
      </c>
      <c r="R1316">
        <v>435494</v>
      </c>
    </row>
    <row r="1317" spans="1:18" x14ac:dyDescent="0.25">
      <c r="A1317" s="169">
        <v>43949</v>
      </c>
      <c r="B1317" s="116">
        <v>27.925000000000001</v>
      </c>
      <c r="C1317" s="116">
        <v>27.3</v>
      </c>
      <c r="D1317" s="116">
        <v>25.55</v>
      </c>
      <c r="E1317" s="116">
        <v>26.5</v>
      </c>
      <c r="F1317" s="116">
        <v>54.6</v>
      </c>
      <c r="G1317">
        <v>116885</v>
      </c>
      <c r="H1317" s="116"/>
      <c r="I1317" s="116"/>
      <c r="L1317" s="169">
        <v>43949</v>
      </c>
      <c r="M1317" s="116">
        <v>27.274999999999999</v>
      </c>
      <c r="N1317" s="116">
        <v>27.9</v>
      </c>
      <c r="O1317" s="116">
        <v>25.55</v>
      </c>
      <c r="P1317" s="116">
        <v>26.425000000000001</v>
      </c>
      <c r="Q1317" s="116">
        <v>54.55</v>
      </c>
      <c r="R1317">
        <v>1179409</v>
      </c>
    </row>
    <row r="1318" spans="1:18" x14ac:dyDescent="0.25">
      <c r="A1318" s="169">
        <v>43950</v>
      </c>
      <c r="B1318" s="116">
        <v>27.875</v>
      </c>
      <c r="C1318" s="116">
        <v>27.375</v>
      </c>
      <c r="D1318" s="116">
        <v>27</v>
      </c>
      <c r="E1318" s="116">
        <v>27.074999999999999</v>
      </c>
      <c r="F1318" s="116">
        <v>54.75</v>
      </c>
      <c r="G1318">
        <v>87263</v>
      </c>
      <c r="H1318" s="116"/>
      <c r="I1318" s="116"/>
      <c r="L1318" s="169">
        <v>43950</v>
      </c>
      <c r="M1318" s="116">
        <v>27.375</v>
      </c>
      <c r="N1318" s="116">
        <v>27.875</v>
      </c>
      <c r="O1318" s="116">
        <v>26.9</v>
      </c>
      <c r="P1318" s="116">
        <v>27.4</v>
      </c>
      <c r="Q1318" s="116">
        <v>54.75</v>
      </c>
      <c r="R1318">
        <v>793914</v>
      </c>
    </row>
    <row r="1319" spans="1:18" x14ac:dyDescent="0.25">
      <c r="A1319" s="169">
        <v>43951</v>
      </c>
      <c r="B1319" s="116">
        <v>28.975000000000001</v>
      </c>
      <c r="C1319" s="116">
        <v>27.95</v>
      </c>
      <c r="D1319" s="116">
        <v>27.225000000000001</v>
      </c>
      <c r="E1319" s="116">
        <v>27.9</v>
      </c>
      <c r="F1319" s="116">
        <v>55.9</v>
      </c>
      <c r="G1319">
        <v>187784</v>
      </c>
      <c r="H1319" s="116"/>
      <c r="I1319" s="116"/>
      <c r="L1319" s="169">
        <v>43951</v>
      </c>
      <c r="M1319" s="116">
        <v>27.9</v>
      </c>
      <c r="N1319" s="116">
        <v>28.975000000000001</v>
      </c>
      <c r="O1319" s="116">
        <v>27.2</v>
      </c>
      <c r="P1319" s="116">
        <v>27.625</v>
      </c>
      <c r="Q1319" s="116">
        <v>55.8</v>
      </c>
      <c r="R1319">
        <v>2165116</v>
      </c>
    </row>
    <row r="1320" spans="1:18" x14ac:dyDescent="0.25">
      <c r="A1320" s="169">
        <v>43955</v>
      </c>
      <c r="B1320" s="116">
        <v>27.125</v>
      </c>
      <c r="C1320" s="116">
        <v>26.175000000000001</v>
      </c>
      <c r="D1320" s="116">
        <v>26</v>
      </c>
      <c r="E1320" s="116">
        <v>27.125</v>
      </c>
      <c r="F1320" s="116">
        <v>52.35</v>
      </c>
      <c r="G1320">
        <v>28026</v>
      </c>
      <c r="H1320" s="116"/>
      <c r="I1320" s="116"/>
      <c r="L1320" s="169">
        <v>43955</v>
      </c>
      <c r="M1320" s="116">
        <v>26.125</v>
      </c>
      <c r="N1320" s="116">
        <v>26.75</v>
      </c>
      <c r="O1320" s="116">
        <v>26</v>
      </c>
      <c r="P1320" s="116">
        <v>26.65</v>
      </c>
      <c r="Q1320" s="116">
        <v>52.25</v>
      </c>
      <c r="R1320">
        <v>373031</v>
      </c>
    </row>
    <row r="1321" spans="1:18" x14ac:dyDescent="0.25">
      <c r="A1321" s="169">
        <v>43956</v>
      </c>
      <c r="B1321" s="116">
        <v>26.85</v>
      </c>
      <c r="C1321" s="116">
        <v>25.274999999999999</v>
      </c>
      <c r="D1321" s="116">
        <v>25.15</v>
      </c>
      <c r="E1321" s="116">
        <v>26.5</v>
      </c>
      <c r="F1321" s="116">
        <v>50.55</v>
      </c>
      <c r="G1321">
        <v>48891</v>
      </c>
      <c r="H1321" s="116"/>
      <c r="I1321" s="116"/>
      <c r="L1321" s="169">
        <v>43956</v>
      </c>
      <c r="M1321" s="116">
        <v>25.225000000000001</v>
      </c>
      <c r="N1321" s="116">
        <v>26.85</v>
      </c>
      <c r="O1321" s="116">
        <v>25.125</v>
      </c>
      <c r="P1321" s="116">
        <v>26.375</v>
      </c>
      <c r="Q1321" s="116">
        <v>50.45</v>
      </c>
      <c r="R1321">
        <v>396663</v>
      </c>
    </row>
    <row r="1322" spans="1:18" x14ac:dyDescent="0.25">
      <c r="A1322" s="169">
        <v>43957</v>
      </c>
      <c r="B1322" s="116">
        <v>26.225000000000001</v>
      </c>
      <c r="C1322" s="116">
        <v>25.625</v>
      </c>
      <c r="D1322" s="116">
        <v>25.25</v>
      </c>
      <c r="E1322" s="116">
        <v>25.4</v>
      </c>
      <c r="F1322" s="116">
        <v>51.25</v>
      </c>
      <c r="G1322">
        <v>40653</v>
      </c>
      <c r="H1322" s="116"/>
      <c r="I1322" s="116"/>
      <c r="L1322" s="169">
        <v>43957</v>
      </c>
      <c r="M1322" s="116">
        <v>25.6</v>
      </c>
      <c r="N1322" s="116">
        <v>26.225000000000001</v>
      </c>
      <c r="O1322" s="116">
        <v>25.225000000000001</v>
      </c>
      <c r="P1322" s="116">
        <v>25.55</v>
      </c>
      <c r="Q1322" s="116">
        <v>51.2</v>
      </c>
      <c r="R1322">
        <v>371186</v>
      </c>
    </row>
    <row r="1323" spans="1:18" x14ac:dyDescent="0.25">
      <c r="A1323" s="169">
        <v>43958</v>
      </c>
      <c r="B1323" s="116">
        <v>26.15</v>
      </c>
      <c r="C1323" s="116">
        <v>25.425000000000001</v>
      </c>
      <c r="D1323" s="116">
        <v>25.25</v>
      </c>
      <c r="E1323" s="116">
        <v>25.45</v>
      </c>
      <c r="F1323" s="116">
        <v>50.85</v>
      </c>
      <c r="G1323">
        <v>80341</v>
      </c>
      <c r="H1323" s="116"/>
      <c r="I1323" s="116"/>
      <c r="L1323" s="169">
        <v>43958</v>
      </c>
      <c r="M1323" s="116">
        <v>25.375</v>
      </c>
      <c r="N1323" s="116">
        <v>26.125</v>
      </c>
      <c r="O1323" s="116">
        <v>25.15</v>
      </c>
      <c r="P1323" s="116">
        <v>25.4</v>
      </c>
      <c r="Q1323" s="116">
        <v>50.75</v>
      </c>
      <c r="R1323">
        <v>331415</v>
      </c>
    </row>
    <row r="1324" spans="1:18" x14ac:dyDescent="0.25">
      <c r="A1324" s="169">
        <v>43959</v>
      </c>
      <c r="B1324" s="116">
        <v>26.4</v>
      </c>
      <c r="C1324" s="116">
        <v>25.5</v>
      </c>
      <c r="D1324" s="116">
        <v>25.375</v>
      </c>
      <c r="E1324" s="116">
        <v>25.9</v>
      </c>
      <c r="F1324" s="116">
        <v>51</v>
      </c>
      <c r="G1324">
        <v>80184</v>
      </c>
      <c r="H1324" s="116"/>
      <c r="I1324" s="116"/>
      <c r="L1324" s="169">
        <v>43959</v>
      </c>
      <c r="M1324" s="116">
        <v>25.524999999999999</v>
      </c>
      <c r="N1324" s="116">
        <v>26.4</v>
      </c>
      <c r="O1324" s="116">
        <v>25.4</v>
      </c>
      <c r="P1324" s="116">
        <v>25.95</v>
      </c>
      <c r="Q1324" s="116">
        <v>51.05</v>
      </c>
      <c r="R1324">
        <v>416481</v>
      </c>
    </row>
    <row r="1325" spans="1:18" x14ac:dyDescent="0.25">
      <c r="A1325" s="169">
        <v>43962</v>
      </c>
      <c r="B1325" s="116">
        <v>26.05</v>
      </c>
      <c r="C1325" s="116">
        <v>25.25</v>
      </c>
      <c r="D1325" s="116">
        <v>25.125</v>
      </c>
      <c r="E1325" s="116">
        <v>25.824999999999999</v>
      </c>
      <c r="F1325" s="116">
        <v>50.5</v>
      </c>
      <c r="G1325">
        <v>30135</v>
      </c>
      <c r="H1325" s="116"/>
      <c r="I1325" s="116"/>
      <c r="L1325" s="169">
        <v>43962</v>
      </c>
      <c r="M1325" s="116">
        <v>25.225000000000001</v>
      </c>
      <c r="N1325" s="116">
        <v>26.05</v>
      </c>
      <c r="O1325" s="116">
        <v>25.1</v>
      </c>
      <c r="P1325" s="116">
        <v>25.65</v>
      </c>
      <c r="Q1325" s="116">
        <v>50.45</v>
      </c>
      <c r="R1325">
        <v>285341</v>
      </c>
    </row>
    <row r="1326" spans="1:18" x14ac:dyDescent="0.25">
      <c r="A1326" s="169">
        <v>43963</v>
      </c>
      <c r="B1326" s="116">
        <v>25.074999999999999</v>
      </c>
      <c r="C1326" s="116">
        <v>24.925000000000001</v>
      </c>
      <c r="D1326" s="116">
        <v>24.5</v>
      </c>
      <c r="E1326" s="116">
        <v>25.074999999999999</v>
      </c>
      <c r="F1326" s="116">
        <v>49.85</v>
      </c>
      <c r="G1326">
        <v>27998</v>
      </c>
      <c r="H1326" s="116"/>
      <c r="I1326" s="116"/>
      <c r="L1326" s="169">
        <v>43963</v>
      </c>
      <c r="M1326" s="116">
        <v>24.9</v>
      </c>
      <c r="N1326" s="116">
        <v>25.15</v>
      </c>
      <c r="O1326" s="116">
        <v>24.45</v>
      </c>
      <c r="P1326" s="116">
        <v>25.15</v>
      </c>
      <c r="Q1326" s="116">
        <v>49.8</v>
      </c>
      <c r="R1326">
        <v>265145</v>
      </c>
    </row>
    <row r="1327" spans="1:18" x14ac:dyDescent="0.25">
      <c r="A1327" s="169">
        <v>43964</v>
      </c>
      <c r="B1327" s="116">
        <v>27.2</v>
      </c>
      <c r="C1327" s="116">
        <v>26.7</v>
      </c>
      <c r="D1327" s="116">
        <v>25.475000000000001</v>
      </c>
      <c r="E1327" s="116">
        <v>25.475000000000001</v>
      </c>
      <c r="F1327" s="116">
        <v>53.4</v>
      </c>
      <c r="G1327">
        <v>92995</v>
      </c>
      <c r="H1327" s="116"/>
      <c r="I1327" s="116"/>
      <c r="L1327" s="169">
        <v>43964</v>
      </c>
      <c r="M1327" s="116">
        <v>26.774999999999999</v>
      </c>
      <c r="N1327" s="116">
        <v>27.225000000000001</v>
      </c>
      <c r="O1327" s="116">
        <v>25.574999999999999</v>
      </c>
      <c r="P1327" s="116">
        <v>26.2</v>
      </c>
      <c r="Q1327" s="116">
        <v>53.55</v>
      </c>
      <c r="R1327">
        <v>841008</v>
      </c>
    </row>
    <row r="1328" spans="1:18" x14ac:dyDescent="0.25">
      <c r="A1328" s="169">
        <v>43965</v>
      </c>
      <c r="B1328" s="116">
        <v>27.475000000000001</v>
      </c>
      <c r="C1328" s="116">
        <v>26.4</v>
      </c>
      <c r="D1328" s="116">
        <v>26.3</v>
      </c>
      <c r="E1328" s="116">
        <v>27.2</v>
      </c>
      <c r="F1328" s="116">
        <v>52.8</v>
      </c>
      <c r="G1328">
        <v>74213</v>
      </c>
      <c r="H1328" s="116"/>
      <c r="I1328" s="116"/>
      <c r="L1328" s="169">
        <v>43965</v>
      </c>
      <c r="M1328" s="116">
        <v>26.4</v>
      </c>
      <c r="N1328" s="116">
        <v>27.5</v>
      </c>
      <c r="O1328" s="116">
        <v>26.25</v>
      </c>
      <c r="P1328" s="116">
        <v>27</v>
      </c>
      <c r="Q1328" s="116">
        <v>52.8</v>
      </c>
      <c r="R1328">
        <v>789227</v>
      </c>
    </row>
    <row r="1329" spans="1:18" x14ac:dyDescent="0.25">
      <c r="A1329" s="169">
        <v>43966</v>
      </c>
      <c r="B1329" s="116">
        <v>26.4</v>
      </c>
      <c r="C1329" s="116">
        <v>25.925000000000001</v>
      </c>
      <c r="D1329" s="116">
        <v>25.75</v>
      </c>
      <c r="E1329" s="116">
        <v>26.4</v>
      </c>
      <c r="F1329" s="116">
        <v>51.85</v>
      </c>
      <c r="G1329">
        <v>40148</v>
      </c>
      <c r="H1329" s="116"/>
      <c r="I1329" s="116"/>
      <c r="L1329" s="169">
        <v>43966</v>
      </c>
      <c r="M1329" s="116">
        <v>25.875</v>
      </c>
      <c r="N1329" s="116">
        <v>26.4</v>
      </c>
      <c r="O1329" s="116">
        <v>25.75</v>
      </c>
      <c r="P1329" s="116">
        <v>26.4</v>
      </c>
      <c r="Q1329" s="116">
        <v>51.75</v>
      </c>
      <c r="R1329">
        <v>427764</v>
      </c>
    </row>
    <row r="1330" spans="1:18" x14ac:dyDescent="0.25">
      <c r="A1330" s="169">
        <v>43969</v>
      </c>
      <c r="B1330" s="116">
        <v>25.725000000000001</v>
      </c>
      <c r="C1330" s="116">
        <v>24.2</v>
      </c>
      <c r="D1330" s="116">
        <v>24.05</v>
      </c>
      <c r="E1330" s="116">
        <v>25.725000000000001</v>
      </c>
      <c r="F1330" s="116">
        <v>48.4</v>
      </c>
      <c r="G1330">
        <v>49818</v>
      </c>
      <c r="H1330" s="116"/>
      <c r="I1330" s="116"/>
      <c r="L1330" s="169">
        <v>43969</v>
      </c>
      <c r="M1330" s="116">
        <v>24.175000000000001</v>
      </c>
      <c r="N1330" s="116">
        <v>25.975000000000001</v>
      </c>
      <c r="O1330" s="116">
        <v>24</v>
      </c>
      <c r="P1330" s="116">
        <v>25.975000000000001</v>
      </c>
      <c r="Q1330" s="116">
        <v>48.35</v>
      </c>
      <c r="R1330">
        <v>555547</v>
      </c>
    </row>
    <row r="1331" spans="1:18" x14ac:dyDescent="0.25">
      <c r="A1331" s="169">
        <v>43970</v>
      </c>
      <c r="B1331" s="116">
        <v>24.7</v>
      </c>
      <c r="C1331" s="116">
        <v>24.324999999999999</v>
      </c>
      <c r="D1331" s="116">
        <v>24.125</v>
      </c>
      <c r="E1331" s="116">
        <v>24.675000000000001</v>
      </c>
      <c r="F1331" s="116">
        <v>48.65</v>
      </c>
      <c r="G1331">
        <v>16398</v>
      </c>
      <c r="H1331" s="116"/>
      <c r="I1331" s="116"/>
      <c r="L1331" s="169">
        <v>43970</v>
      </c>
      <c r="M1331" s="116">
        <v>24.324999999999999</v>
      </c>
      <c r="N1331" s="116">
        <v>24.75</v>
      </c>
      <c r="O1331" s="116">
        <v>24.1</v>
      </c>
      <c r="P1331" s="116">
        <v>24.75</v>
      </c>
      <c r="Q1331" s="116">
        <v>48.65</v>
      </c>
      <c r="R1331">
        <v>290780</v>
      </c>
    </row>
    <row r="1332" spans="1:18" x14ac:dyDescent="0.25">
      <c r="A1332" s="169">
        <v>43971</v>
      </c>
      <c r="B1332" s="116">
        <v>24.85</v>
      </c>
      <c r="C1332" s="116">
        <v>24.45</v>
      </c>
      <c r="D1332" s="116">
        <v>24.225000000000001</v>
      </c>
      <c r="E1332" s="116">
        <v>24.524999999999999</v>
      </c>
      <c r="F1332" s="116">
        <v>48.9</v>
      </c>
      <c r="G1332">
        <v>26001</v>
      </c>
      <c r="H1332" s="116"/>
      <c r="I1332" s="116"/>
      <c r="L1332" s="169">
        <v>43971</v>
      </c>
      <c r="M1332" s="116">
        <v>24.5</v>
      </c>
      <c r="N1332" s="116">
        <v>24.85</v>
      </c>
      <c r="O1332" s="116">
        <v>24.225000000000001</v>
      </c>
      <c r="P1332" s="116">
        <v>24.524999999999999</v>
      </c>
      <c r="Q1332" s="116">
        <v>49</v>
      </c>
      <c r="R1332">
        <v>239078</v>
      </c>
    </row>
    <row r="1333" spans="1:18" x14ac:dyDescent="0.25">
      <c r="A1333" s="169">
        <v>43972</v>
      </c>
      <c r="B1333" s="116">
        <v>24.9</v>
      </c>
      <c r="C1333" s="116">
        <v>24.225000000000001</v>
      </c>
      <c r="D1333" s="116">
        <v>24.175000000000001</v>
      </c>
      <c r="E1333" s="116">
        <v>24.55</v>
      </c>
      <c r="F1333" s="116">
        <v>48.45</v>
      </c>
      <c r="G1333">
        <v>43616</v>
      </c>
      <c r="H1333" s="116"/>
      <c r="I1333" s="116"/>
      <c r="L1333" s="169">
        <v>43972</v>
      </c>
      <c r="M1333" s="116">
        <v>24.225000000000001</v>
      </c>
      <c r="N1333" s="116">
        <v>24.925000000000001</v>
      </c>
      <c r="O1333" s="116">
        <v>24.125</v>
      </c>
      <c r="P1333" s="116">
        <v>24.824999999999999</v>
      </c>
      <c r="Q1333" s="116">
        <v>48.45</v>
      </c>
      <c r="R1333">
        <v>482771</v>
      </c>
    </row>
    <row r="1334" spans="1:18" x14ac:dyDescent="0.25">
      <c r="A1334" s="169">
        <v>43973</v>
      </c>
      <c r="B1334" s="116">
        <v>24.375</v>
      </c>
      <c r="C1334" s="116">
        <v>23.65</v>
      </c>
      <c r="D1334" s="116">
        <v>23.55</v>
      </c>
      <c r="E1334" s="116">
        <v>24.2</v>
      </c>
      <c r="F1334" s="116">
        <v>47.3</v>
      </c>
      <c r="G1334">
        <v>49648</v>
      </c>
      <c r="H1334" s="116"/>
      <c r="I1334" s="116"/>
      <c r="L1334" s="169">
        <v>43973</v>
      </c>
      <c r="M1334" s="116">
        <v>23.6</v>
      </c>
      <c r="N1334" s="116">
        <v>24.35</v>
      </c>
      <c r="O1334" s="116">
        <v>23.55</v>
      </c>
      <c r="P1334" s="116">
        <v>24.15</v>
      </c>
      <c r="Q1334" s="116">
        <v>47.2</v>
      </c>
      <c r="R1334">
        <v>434546</v>
      </c>
    </row>
    <row r="1335" spans="1:18" x14ac:dyDescent="0.25">
      <c r="A1335" s="169">
        <v>43977</v>
      </c>
      <c r="B1335" s="116">
        <v>24</v>
      </c>
      <c r="C1335" s="116">
        <v>23.1</v>
      </c>
      <c r="D1335" s="116">
        <v>23.024999999999999</v>
      </c>
      <c r="E1335" s="116">
        <v>23.925000000000001</v>
      </c>
      <c r="F1335" s="116">
        <v>46.2</v>
      </c>
      <c r="G1335">
        <v>41059</v>
      </c>
      <c r="H1335" s="116"/>
      <c r="I1335" s="116"/>
      <c r="L1335" s="169">
        <v>43977</v>
      </c>
      <c r="M1335" s="116">
        <v>23.074999999999999</v>
      </c>
      <c r="N1335" s="116">
        <v>24</v>
      </c>
      <c r="O1335" s="116">
        <v>23</v>
      </c>
      <c r="P1335" s="116">
        <v>23.824999999999999</v>
      </c>
      <c r="Q1335" s="116">
        <v>46.15</v>
      </c>
      <c r="R1335">
        <v>590828</v>
      </c>
    </row>
    <row r="1336" spans="1:18" x14ac:dyDescent="0.25">
      <c r="A1336" s="169">
        <v>43978</v>
      </c>
      <c r="B1336" s="116">
        <v>23.4</v>
      </c>
      <c r="C1336" s="116">
        <v>23.225000000000001</v>
      </c>
      <c r="D1336" s="116">
        <v>22.875</v>
      </c>
      <c r="E1336" s="116">
        <v>23.375</v>
      </c>
      <c r="F1336" s="116">
        <v>46.45</v>
      </c>
      <c r="G1336">
        <v>41213</v>
      </c>
      <c r="H1336" s="116"/>
      <c r="I1336" s="116"/>
      <c r="L1336" s="169">
        <v>43978</v>
      </c>
      <c r="M1336" s="116">
        <v>23.225000000000001</v>
      </c>
      <c r="N1336" s="116">
        <v>23.4</v>
      </c>
      <c r="O1336" s="116">
        <v>22.85</v>
      </c>
      <c r="P1336" s="116">
        <v>23.2</v>
      </c>
      <c r="Q1336" s="116">
        <v>46.45</v>
      </c>
      <c r="R1336">
        <v>579415</v>
      </c>
    </row>
    <row r="1337" spans="1:18" x14ac:dyDescent="0.25">
      <c r="A1337" s="169">
        <v>43979</v>
      </c>
      <c r="B1337" s="116">
        <v>24.225000000000001</v>
      </c>
      <c r="C1337" s="116">
        <v>23.7</v>
      </c>
      <c r="D1337" s="116">
        <v>23.475000000000001</v>
      </c>
      <c r="E1337" s="116">
        <v>23.475000000000001</v>
      </c>
      <c r="F1337" s="116">
        <v>47.4</v>
      </c>
      <c r="G1337">
        <v>49071</v>
      </c>
      <c r="H1337" s="116"/>
      <c r="I1337" s="116"/>
      <c r="L1337" s="169">
        <v>43979</v>
      </c>
      <c r="M1337" s="116">
        <v>23.7</v>
      </c>
      <c r="N1337" s="116">
        <v>24.225000000000001</v>
      </c>
      <c r="O1337" s="116">
        <v>23.35</v>
      </c>
      <c r="P1337" s="116">
        <v>23.35</v>
      </c>
      <c r="Q1337" s="116">
        <v>47.4</v>
      </c>
      <c r="R1337">
        <v>816178</v>
      </c>
    </row>
    <row r="1338" spans="1:18" x14ac:dyDescent="0.25">
      <c r="A1338" s="169">
        <v>43980</v>
      </c>
      <c r="B1338" s="116">
        <v>24.625</v>
      </c>
      <c r="C1338" s="116">
        <v>22.975000000000001</v>
      </c>
      <c r="D1338" s="116">
        <v>22.75</v>
      </c>
      <c r="E1338" s="116">
        <v>23.7</v>
      </c>
      <c r="F1338" s="116">
        <v>45.95</v>
      </c>
      <c r="G1338">
        <v>112856</v>
      </c>
      <c r="H1338" s="116"/>
      <c r="I1338" s="116"/>
      <c r="L1338" s="169">
        <v>43980</v>
      </c>
      <c r="M1338" s="116">
        <v>23.024999999999999</v>
      </c>
      <c r="N1338" s="116">
        <v>24.625</v>
      </c>
      <c r="O1338" s="116">
        <v>22.774999999999999</v>
      </c>
      <c r="P1338" s="116">
        <v>23.8</v>
      </c>
      <c r="Q1338" s="116">
        <v>46.05</v>
      </c>
      <c r="R1338">
        <v>1792160</v>
      </c>
    </row>
    <row r="1339" spans="1:18" x14ac:dyDescent="0.25">
      <c r="A1339" s="169">
        <v>43983</v>
      </c>
      <c r="B1339" s="116">
        <v>24.95</v>
      </c>
      <c r="C1339" s="116">
        <v>24.6</v>
      </c>
      <c r="D1339" s="116">
        <v>23.5</v>
      </c>
      <c r="E1339" s="116">
        <v>23.5</v>
      </c>
      <c r="F1339" s="116">
        <v>49.2</v>
      </c>
      <c r="G1339">
        <v>203081</v>
      </c>
      <c r="H1339" s="116"/>
      <c r="I1339" s="116"/>
      <c r="L1339" s="169">
        <v>43983</v>
      </c>
      <c r="M1339" s="116">
        <v>24.65</v>
      </c>
      <c r="N1339" s="116">
        <v>24.925000000000001</v>
      </c>
      <c r="O1339" s="116">
        <v>23.45</v>
      </c>
      <c r="P1339" s="116">
        <v>23.5</v>
      </c>
      <c r="Q1339" s="116">
        <v>49.3</v>
      </c>
      <c r="R1339">
        <v>1750123</v>
      </c>
    </row>
    <row r="1340" spans="1:18" x14ac:dyDescent="0.25">
      <c r="A1340" s="169">
        <v>43984</v>
      </c>
      <c r="B1340" s="116">
        <v>26.675000000000001</v>
      </c>
      <c r="C1340" s="116">
        <v>26.4</v>
      </c>
      <c r="D1340" s="116">
        <v>24.55</v>
      </c>
      <c r="E1340" s="116">
        <v>25</v>
      </c>
      <c r="F1340" s="116">
        <v>52.8</v>
      </c>
      <c r="G1340">
        <v>254783</v>
      </c>
      <c r="H1340" s="116"/>
      <c r="I1340" s="116"/>
      <c r="L1340" s="169">
        <v>43984</v>
      </c>
      <c r="M1340" s="116">
        <v>26.4</v>
      </c>
      <c r="N1340" s="116">
        <v>26.7</v>
      </c>
      <c r="O1340" s="116">
        <v>24.524999999999999</v>
      </c>
      <c r="P1340" s="116">
        <v>24.7</v>
      </c>
      <c r="Q1340" s="116">
        <v>52.8</v>
      </c>
      <c r="R1340">
        <v>2165929</v>
      </c>
    </row>
    <row r="1341" spans="1:18" x14ac:dyDescent="0.25">
      <c r="A1341" s="169">
        <v>43985</v>
      </c>
      <c r="B1341" s="116">
        <v>27.75</v>
      </c>
      <c r="C1341" s="116">
        <v>26.35</v>
      </c>
      <c r="D1341" s="116">
        <v>25.8</v>
      </c>
      <c r="E1341" s="116">
        <v>26.85</v>
      </c>
      <c r="F1341" s="116">
        <v>52.7</v>
      </c>
      <c r="G1341">
        <v>300641</v>
      </c>
      <c r="H1341" s="116"/>
      <c r="I1341" s="116"/>
      <c r="L1341" s="169">
        <v>43985</v>
      </c>
      <c r="M1341" s="116">
        <v>26.4</v>
      </c>
      <c r="N1341" s="116">
        <v>27.75</v>
      </c>
      <c r="O1341" s="116">
        <v>25.774999999999999</v>
      </c>
      <c r="P1341" s="116">
        <v>26.85</v>
      </c>
      <c r="Q1341" s="116">
        <v>52.8</v>
      </c>
      <c r="R1341">
        <v>3847502</v>
      </c>
    </row>
    <row r="1342" spans="1:18" x14ac:dyDescent="0.25">
      <c r="A1342" s="169">
        <v>43986</v>
      </c>
      <c r="B1342" s="116">
        <v>27.225000000000001</v>
      </c>
      <c r="C1342" s="116">
        <v>26.574999999999999</v>
      </c>
      <c r="D1342" s="116">
        <v>26.3</v>
      </c>
      <c r="E1342" s="116">
        <v>26.725000000000001</v>
      </c>
      <c r="F1342" s="116">
        <v>53.15</v>
      </c>
      <c r="G1342">
        <v>105266</v>
      </c>
      <c r="H1342" s="116"/>
      <c r="I1342" s="116"/>
      <c r="L1342" s="169">
        <v>43986</v>
      </c>
      <c r="M1342" s="116">
        <v>26.6</v>
      </c>
      <c r="N1342" s="116">
        <v>27.25</v>
      </c>
      <c r="O1342" s="116">
        <v>26.274999999999999</v>
      </c>
      <c r="P1342" s="116">
        <v>26.324999999999999</v>
      </c>
      <c r="Q1342" s="116">
        <v>53.2</v>
      </c>
      <c r="R1342">
        <v>999069</v>
      </c>
    </row>
    <row r="1343" spans="1:18" x14ac:dyDescent="0.25">
      <c r="A1343" s="169">
        <v>43987</v>
      </c>
      <c r="B1343" s="116">
        <v>29.35</v>
      </c>
      <c r="C1343" s="116">
        <v>28.55</v>
      </c>
      <c r="D1343" s="116">
        <v>27.125</v>
      </c>
      <c r="E1343" s="116">
        <v>27.175000000000001</v>
      </c>
      <c r="F1343" s="116">
        <v>57.1</v>
      </c>
      <c r="G1343">
        <v>377742</v>
      </c>
      <c r="H1343" s="116"/>
      <c r="I1343" s="116"/>
      <c r="L1343" s="169">
        <v>43987</v>
      </c>
      <c r="M1343" s="116">
        <v>28.55</v>
      </c>
      <c r="N1343" s="116">
        <v>29.35</v>
      </c>
      <c r="O1343" s="116">
        <v>27.05</v>
      </c>
      <c r="P1343" s="116">
        <v>27.15</v>
      </c>
      <c r="Q1343" s="116">
        <v>57.1</v>
      </c>
      <c r="R1343">
        <v>3163531</v>
      </c>
    </row>
    <row r="1344" spans="1:18" x14ac:dyDescent="0.25">
      <c r="A1344" s="169">
        <v>43990</v>
      </c>
      <c r="B1344" s="116">
        <v>30.925000000000001</v>
      </c>
      <c r="C1344" s="116">
        <v>28.875</v>
      </c>
      <c r="D1344" s="116">
        <v>28.5</v>
      </c>
      <c r="E1344" s="116">
        <v>29.75</v>
      </c>
      <c r="F1344" s="116">
        <v>57.75</v>
      </c>
      <c r="G1344">
        <v>288367</v>
      </c>
      <c r="H1344" s="116"/>
      <c r="I1344" s="116"/>
      <c r="L1344" s="169">
        <v>43990</v>
      </c>
      <c r="M1344" s="116">
        <v>28.9</v>
      </c>
      <c r="N1344" s="116">
        <v>31</v>
      </c>
      <c r="O1344" s="116">
        <v>28.524999999999999</v>
      </c>
      <c r="P1344" s="116">
        <v>30.25</v>
      </c>
      <c r="Q1344" s="116">
        <v>57.8</v>
      </c>
      <c r="R1344">
        <v>2210447</v>
      </c>
    </row>
    <row r="1345" spans="1:18" x14ac:dyDescent="0.25">
      <c r="A1345" s="169">
        <v>43991</v>
      </c>
      <c r="B1345" s="116">
        <v>29.55</v>
      </c>
      <c r="C1345" s="116">
        <v>28.2</v>
      </c>
      <c r="D1345" s="116">
        <v>28</v>
      </c>
      <c r="E1345" s="116">
        <v>29.2</v>
      </c>
      <c r="F1345" s="116">
        <v>56.4</v>
      </c>
      <c r="G1345">
        <v>113423</v>
      </c>
      <c r="H1345" s="116"/>
      <c r="I1345" s="116"/>
      <c r="L1345" s="169">
        <v>43991</v>
      </c>
      <c r="M1345" s="116">
        <v>28.15</v>
      </c>
      <c r="N1345" s="116">
        <v>29.7</v>
      </c>
      <c r="O1345" s="116">
        <v>27.95</v>
      </c>
      <c r="P1345" s="116">
        <v>29.05</v>
      </c>
      <c r="Q1345" s="116">
        <v>56.3</v>
      </c>
      <c r="R1345">
        <v>1126450</v>
      </c>
    </row>
    <row r="1346" spans="1:18" x14ac:dyDescent="0.25">
      <c r="A1346" s="169">
        <v>43992</v>
      </c>
      <c r="B1346" s="116">
        <v>28.375</v>
      </c>
      <c r="C1346" s="116">
        <v>27.5</v>
      </c>
      <c r="D1346" s="116">
        <v>27.225000000000001</v>
      </c>
      <c r="E1346" s="116">
        <v>28.25</v>
      </c>
      <c r="F1346" s="116">
        <v>55</v>
      </c>
      <c r="G1346">
        <v>83400</v>
      </c>
      <c r="H1346" s="116"/>
      <c r="I1346" s="116"/>
      <c r="L1346" s="169">
        <v>43992</v>
      </c>
      <c r="M1346" s="116">
        <v>27.5</v>
      </c>
      <c r="N1346" s="116">
        <v>28.425000000000001</v>
      </c>
      <c r="O1346" s="116">
        <v>27.2</v>
      </c>
      <c r="P1346" s="116">
        <v>28.2</v>
      </c>
      <c r="Q1346" s="116">
        <v>55</v>
      </c>
      <c r="R1346">
        <v>918003</v>
      </c>
    </row>
    <row r="1347" spans="1:18" x14ac:dyDescent="0.25">
      <c r="A1347" s="169">
        <v>43993</v>
      </c>
      <c r="B1347" s="116">
        <v>28.625</v>
      </c>
      <c r="C1347" s="116">
        <v>26.774999999999999</v>
      </c>
      <c r="D1347" s="116">
        <v>26.45</v>
      </c>
      <c r="E1347" s="116">
        <v>27.55</v>
      </c>
      <c r="F1347" s="116">
        <v>53.55</v>
      </c>
      <c r="G1347">
        <v>111760</v>
      </c>
      <c r="H1347" s="116"/>
      <c r="I1347" s="116"/>
      <c r="L1347" s="169">
        <v>43993</v>
      </c>
      <c r="M1347" s="116">
        <v>26.85</v>
      </c>
      <c r="N1347" s="116">
        <v>28.6</v>
      </c>
      <c r="O1347" s="116">
        <v>26.45</v>
      </c>
      <c r="P1347" s="116">
        <v>27.3</v>
      </c>
      <c r="Q1347" s="116">
        <v>53.7</v>
      </c>
      <c r="R1347">
        <v>1155451</v>
      </c>
    </row>
    <row r="1348" spans="1:18" x14ac:dyDescent="0.25">
      <c r="A1348" s="169">
        <v>43994</v>
      </c>
      <c r="B1348" s="116">
        <v>26.675000000000001</v>
      </c>
      <c r="C1348" s="116">
        <v>26.574999999999999</v>
      </c>
      <c r="D1348" s="116">
        <v>25.7</v>
      </c>
      <c r="E1348" s="116">
        <v>26.3</v>
      </c>
      <c r="F1348" s="116">
        <v>53.15</v>
      </c>
      <c r="G1348">
        <v>96247</v>
      </c>
      <c r="H1348" s="116"/>
      <c r="I1348" s="116"/>
      <c r="L1348" s="169">
        <v>43994</v>
      </c>
      <c r="M1348" s="116">
        <v>26.574999999999999</v>
      </c>
      <c r="N1348" s="116">
        <v>26.725000000000001</v>
      </c>
      <c r="O1348" s="116">
        <v>25.574999999999999</v>
      </c>
      <c r="P1348" s="116">
        <v>26</v>
      </c>
      <c r="Q1348" s="116">
        <v>53.15</v>
      </c>
      <c r="R1348">
        <v>1043873</v>
      </c>
    </row>
    <row r="1349" spans="1:18" x14ac:dyDescent="0.25">
      <c r="A1349" s="169">
        <v>43997</v>
      </c>
      <c r="B1349" s="116">
        <v>27.85</v>
      </c>
      <c r="C1349" s="116">
        <v>27.55</v>
      </c>
      <c r="D1349" s="116">
        <v>26.15</v>
      </c>
      <c r="E1349" s="116">
        <v>27</v>
      </c>
      <c r="F1349" s="116">
        <v>55.1</v>
      </c>
      <c r="G1349">
        <v>221978</v>
      </c>
      <c r="H1349" s="116"/>
      <c r="I1349" s="116"/>
      <c r="L1349" s="169">
        <v>43997</v>
      </c>
      <c r="M1349" s="116">
        <v>27.55</v>
      </c>
      <c r="N1349" s="116">
        <v>27.85</v>
      </c>
      <c r="O1349" s="116">
        <v>26.125</v>
      </c>
      <c r="P1349" s="116">
        <v>26.6</v>
      </c>
      <c r="Q1349" s="116">
        <v>55.1</v>
      </c>
      <c r="R1349">
        <v>2424544</v>
      </c>
    </row>
    <row r="1350" spans="1:18" x14ac:dyDescent="0.25">
      <c r="A1350" s="169">
        <v>43998</v>
      </c>
      <c r="B1350" s="116">
        <v>28.675000000000001</v>
      </c>
      <c r="C1350" s="116">
        <v>27.55</v>
      </c>
      <c r="D1350" s="116">
        <v>26.5</v>
      </c>
      <c r="E1350" s="116">
        <v>27.774999999999999</v>
      </c>
      <c r="F1350" s="116">
        <v>55.1</v>
      </c>
      <c r="G1350">
        <v>231020</v>
      </c>
      <c r="H1350" s="116"/>
      <c r="I1350" s="116"/>
      <c r="L1350" s="169">
        <v>43998</v>
      </c>
      <c r="M1350" s="116">
        <v>27.55</v>
      </c>
      <c r="N1350" s="116">
        <v>28.7</v>
      </c>
      <c r="O1350" s="116">
        <v>26.524999999999999</v>
      </c>
      <c r="P1350" s="116">
        <v>28.25</v>
      </c>
      <c r="Q1350" s="116">
        <v>55.1</v>
      </c>
      <c r="R1350">
        <v>2137190</v>
      </c>
    </row>
    <row r="1351" spans="1:18" x14ac:dyDescent="0.25">
      <c r="A1351" s="169">
        <v>43999</v>
      </c>
      <c r="B1351" s="116">
        <v>27.5</v>
      </c>
      <c r="C1351" s="116">
        <v>26.625</v>
      </c>
      <c r="D1351" s="116">
        <v>26.45</v>
      </c>
      <c r="E1351" s="116">
        <v>27.5</v>
      </c>
      <c r="F1351" s="116">
        <v>53.25</v>
      </c>
      <c r="G1351">
        <v>132859</v>
      </c>
      <c r="H1351" s="116"/>
      <c r="I1351" s="116"/>
      <c r="L1351" s="169">
        <v>43999</v>
      </c>
      <c r="M1351" s="116">
        <v>26.65</v>
      </c>
      <c r="N1351" s="116">
        <v>27.25</v>
      </c>
      <c r="O1351" s="116">
        <v>26.35</v>
      </c>
      <c r="P1351" s="116">
        <v>27.25</v>
      </c>
      <c r="Q1351" s="116">
        <v>53.3</v>
      </c>
      <c r="R1351">
        <v>1282025</v>
      </c>
    </row>
    <row r="1352" spans="1:18" x14ac:dyDescent="0.25">
      <c r="A1352" s="169">
        <v>44000</v>
      </c>
      <c r="B1352" s="116">
        <v>31.324999999999999</v>
      </c>
      <c r="C1352" s="116">
        <v>30.45</v>
      </c>
      <c r="D1352" s="116">
        <v>26.75</v>
      </c>
      <c r="E1352" s="116">
        <v>26.9</v>
      </c>
      <c r="F1352" s="116">
        <v>60.9</v>
      </c>
      <c r="G1352">
        <v>717703</v>
      </c>
      <c r="H1352" s="116"/>
      <c r="I1352" s="116"/>
      <c r="L1352" s="169">
        <v>44000</v>
      </c>
      <c r="M1352" s="116">
        <v>30.5</v>
      </c>
      <c r="N1352" s="116">
        <v>31.35</v>
      </c>
      <c r="O1352" s="116">
        <v>26.725000000000001</v>
      </c>
      <c r="P1352" s="116">
        <v>26.725000000000001</v>
      </c>
      <c r="Q1352" s="116">
        <v>61</v>
      </c>
      <c r="R1352">
        <v>8960118</v>
      </c>
    </row>
    <row r="1353" spans="1:18" x14ac:dyDescent="0.25">
      <c r="A1353" s="169">
        <v>44001</v>
      </c>
      <c r="B1353" s="116">
        <v>31.175000000000001</v>
      </c>
      <c r="C1353" s="116">
        <v>29.6</v>
      </c>
      <c r="D1353" s="116">
        <v>29.425000000000001</v>
      </c>
      <c r="E1353" s="116">
        <v>30.95</v>
      </c>
      <c r="F1353" s="116">
        <v>59.2</v>
      </c>
      <c r="G1353">
        <v>294054</v>
      </c>
      <c r="H1353" s="116"/>
      <c r="I1353" s="116"/>
      <c r="L1353" s="169">
        <v>44001</v>
      </c>
      <c r="M1353" s="116">
        <v>29.65</v>
      </c>
      <c r="N1353" s="116">
        <v>31.225000000000001</v>
      </c>
      <c r="O1353" s="116">
        <v>29.5</v>
      </c>
      <c r="P1353" s="116">
        <v>30.5</v>
      </c>
      <c r="Q1353" s="116">
        <v>59.3</v>
      </c>
      <c r="R1353">
        <v>2812849</v>
      </c>
    </row>
    <row r="1354" spans="1:18" x14ac:dyDescent="0.25">
      <c r="A1354" s="169">
        <v>44004</v>
      </c>
      <c r="B1354" s="116">
        <v>30.4</v>
      </c>
      <c r="C1354" s="116">
        <v>29.65</v>
      </c>
      <c r="D1354" s="116">
        <v>29.3</v>
      </c>
      <c r="E1354" s="116">
        <v>29.6</v>
      </c>
      <c r="F1354" s="116">
        <v>59.3</v>
      </c>
      <c r="G1354">
        <v>163861</v>
      </c>
      <c r="H1354" s="116"/>
      <c r="I1354" s="116"/>
      <c r="L1354" s="169">
        <v>44004</v>
      </c>
      <c r="M1354" s="116">
        <v>29.65</v>
      </c>
      <c r="N1354" s="116">
        <v>30.45</v>
      </c>
      <c r="O1354" s="116">
        <v>29.25</v>
      </c>
      <c r="P1354" s="116">
        <v>29.55</v>
      </c>
      <c r="Q1354" s="116">
        <v>59.3</v>
      </c>
      <c r="R1354">
        <v>1968589</v>
      </c>
    </row>
    <row r="1355" spans="1:18" x14ac:dyDescent="0.25">
      <c r="A1355" s="169">
        <v>44005</v>
      </c>
      <c r="B1355" s="116">
        <v>31.9</v>
      </c>
      <c r="C1355" s="116">
        <v>31.05</v>
      </c>
      <c r="D1355" s="116">
        <v>29.55</v>
      </c>
      <c r="E1355" s="116">
        <v>29.55</v>
      </c>
      <c r="F1355" s="116">
        <v>62.1</v>
      </c>
      <c r="G1355">
        <v>456630</v>
      </c>
      <c r="H1355" s="116"/>
      <c r="I1355" s="116"/>
      <c r="L1355" s="169">
        <v>44005</v>
      </c>
      <c r="M1355" s="116">
        <v>31.074999999999999</v>
      </c>
      <c r="N1355" s="116">
        <v>31.95</v>
      </c>
      <c r="O1355" s="116">
        <v>29.65</v>
      </c>
      <c r="P1355" s="116">
        <v>29.824999999999999</v>
      </c>
      <c r="Q1355" s="116">
        <v>62.15</v>
      </c>
      <c r="R1355">
        <v>3787134</v>
      </c>
    </row>
    <row r="1356" spans="1:18" x14ac:dyDescent="0.25">
      <c r="A1356" s="169">
        <v>44006</v>
      </c>
      <c r="B1356" s="116">
        <v>31.65</v>
      </c>
      <c r="C1356" s="116">
        <v>29.824999999999999</v>
      </c>
      <c r="D1356" s="116">
        <v>29.7</v>
      </c>
      <c r="E1356" s="116">
        <v>31.45</v>
      </c>
      <c r="F1356" s="116">
        <v>59.65</v>
      </c>
      <c r="G1356">
        <v>232336</v>
      </c>
      <c r="H1356" s="116"/>
      <c r="I1356" s="116"/>
      <c r="L1356" s="169">
        <v>44006</v>
      </c>
      <c r="M1356" s="116">
        <v>29.824999999999999</v>
      </c>
      <c r="N1356" s="116">
        <v>31.7</v>
      </c>
      <c r="O1356" s="116">
        <v>29.7</v>
      </c>
      <c r="P1356" s="116">
        <v>31.35</v>
      </c>
      <c r="Q1356" s="116">
        <v>59.65</v>
      </c>
      <c r="R1356">
        <v>2149574</v>
      </c>
    </row>
    <row r="1357" spans="1:18" x14ac:dyDescent="0.25">
      <c r="A1357" s="169">
        <v>44007</v>
      </c>
      <c r="B1357" s="116">
        <v>31.35</v>
      </c>
      <c r="C1357" s="116">
        <v>31.05</v>
      </c>
      <c r="D1357" s="116">
        <v>29.024999999999999</v>
      </c>
      <c r="E1357" s="116">
        <v>29.3</v>
      </c>
      <c r="F1357" s="116">
        <v>62.1</v>
      </c>
      <c r="G1357">
        <v>319859</v>
      </c>
      <c r="H1357" s="116"/>
      <c r="I1357" s="116"/>
      <c r="L1357" s="169">
        <v>44007</v>
      </c>
      <c r="M1357" s="116">
        <v>31.074999999999999</v>
      </c>
      <c r="N1357" s="116">
        <v>31.4</v>
      </c>
      <c r="O1357" s="116">
        <v>29</v>
      </c>
      <c r="P1357" s="116">
        <v>29.274999999999999</v>
      </c>
      <c r="Q1357" s="116">
        <v>62.15</v>
      </c>
      <c r="R1357">
        <v>3190000</v>
      </c>
    </row>
    <row r="1358" spans="1:18" x14ac:dyDescent="0.25">
      <c r="A1358" s="169">
        <v>44008</v>
      </c>
      <c r="B1358" s="116">
        <v>31.65</v>
      </c>
      <c r="C1358" s="116">
        <v>30.55</v>
      </c>
      <c r="D1358" s="116">
        <v>30.324999999999999</v>
      </c>
      <c r="E1358" s="116">
        <v>31.25</v>
      </c>
      <c r="F1358" s="116">
        <v>61.1</v>
      </c>
      <c r="G1358">
        <v>155747</v>
      </c>
      <c r="H1358" s="116"/>
      <c r="I1358" s="116"/>
      <c r="L1358" s="169">
        <v>44008</v>
      </c>
      <c r="M1358" s="116">
        <v>30.574999999999999</v>
      </c>
      <c r="N1358" s="116">
        <v>31.625</v>
      </c>
      <c r="O1358" s="116">
        <v>30.324999999999999</v>
      </c>
      <c r="P1358" s="116">
        <v>31.375</v>
      </c>
      <c r="Q1358" s="116">
        <v>61.15</v>
      </c>
      <c r="R1358">
        <v>1591995</v>
      </c>
    </row>
    <row r="1359" spans="1:18" x14ac:dyDescent="0.25">
      <c r="A1359" s="169">
        <v>44011</v>
      </c>
      <c r="B1359" s="116">
        <v>30.25</v>
      </c>
      <c r="C1359" s="116">
        <v>29.1</v>
      </c>
      <c r="D1359" s="116">
        <v>28.574999999999999</v>
      </c>
      <c r="E1359" s="116">
        <v>30.25</v>
      </c>
      <c r="F1359" s="116">
        <v>58.2</v>
      </c>
      <c r="G1359">
        <v>193993</v>
      </c>
      <c r="H1359" s="116"/>
      <c r="I1359" s="116"/>
      <c r="L1359" s="169">
        <v>44011</v>
      </c>
      <c r="M1359" s="116">
        <v>29.15</v>
      </c>
      <c r="N1359" s="116">
        <v>29.675000000000001</v>
      </c>
      <c r="O1359" s="116">
        <v>28.524999999999999</v>
      </c>
      <c r="P1359" s="116">
        <v>29.45</v>
      </c>
      <c r="Q1359" s="116">
        <v>58.3</v>
      </c>
      <c r="R1359">
        <v>2411583</v>
      </c>
    </row>
    <row r="1360" spans="1:18" x14ac:dyDescent="0.25">
      <c r="A1360" s="169">
        <v>44012</v>
      </c>
      <c r="B1360" s="116">
        <v>29.95</v>
      </c>
      <c r="C1360" s="116">
        <v>28.95</v>
      </c>
      <c r="D1360" s="116">
        <v>28.65</v>
      </c>
      <c r="E1360" s="116">
        <v>29.5</v>
      </c>
      <c r="F1360" s="116">
        <v>57.9</v>
      </c>
      <c r="G1360">
        <v>211602</v>
      </c>
      <c r="H1360" s="116"/>
      <c r="I1360" s="116"/>
      <c r="L1360" s="169">
        <v>44012</v>
      </c>
      <c r="M1360" s="116">
        <v>28.95</v>
      </c>
      <c r="N1360" s="116">
        <v>29.975000000000001</v>
      </c>
      <c r="O1360" s="116">
        <v>28.625</v>
      </c>
      <c r="P1360" s="116">
        <v>29.55</v>
      </c>
      <c r="Q1360" s="116">
        <v>57.9</v>
      </c>
      <c r="R1360">
        <v>2219259</v>
      </c>
    </row>
    <row r="1361" spans="1:18" x14ac:dyDescent="0.25">
      <c r="A1361" s="169">
        <v>44013</v>
      </c>
      <c r="B1361" s="116">
        <v>29.4</v>
      </c>
      <c r="C1361" s="116">
        <v>28.824999999999999</v>
      </c>
      <c r="D1361" s="116">
        <v>28.675000000000001</v>
      </c>
      <c r="E1361" s="116">
        <v>29.05</v>
      </c>
      <c r="F1361" s="116">
        <v>57.65</v>
      </c>
      <c r="G1361">
        <v>111534</v>
      </c>
      <c r="H1361" s="116"/>
      <c r="I1361" s="116"/>
      <c r="L1361" s="169">
        <v>44013</v>
      </c>
      <c r="M1361" s="116">
        <v>28.824999999999999</v>
      </c>
      <c r="N1361" s="116">
        <v>29.4</v>
      </c>
      <c r="O1361" s="116">
        <v>28.75</v>
      </c>
      <c r="P1361" s="116">
        <v>29.05</v>
      </c>
      <c r="Q1361" s="116">
        <v>57.65</v>
      </c>
      <c r="R1361">
        <v>1121310</v>
      </c>
    </row>
    <row r="1362" spans="1:18" x14ac:dyDescent="0.25">
      <c r="A1362" s="169">
        <v>44014</v>
      </c>
      <c r="B1362" s="116">
        <v>29.35</v>
      </c>
      <c r="C1362" s="116">
        <v>29.074999999999999</v>
      </c>
      <c r="D1362" s="116">
        <v>28.824999999999999</v>
      </c>
      <c r="E1362" s="116">
        <v>29.074999999999999</v>
      </c>
      <c r="F1362" s="116">
        <v>58.15</v>
      </c>
      <c r="G1362">
        <v>125509</v>
      </c>
      <c r="H1362" s="116"/>
      <c r="I1362" s="116"/>
      <c r="L1362" s="169">
        <v>44014</v>
      </c>
      <c r="M1362" s="116">
        <v>29.05</v>
      </c>
      <c r="N1362" s="116">
        <v>29.35</v>
      </c>
      <c r="O1362" s="116">
        <v>28.8</v>
      </c>
      <c r="P1362" s="116">
        <v>29.1</v>
      </c>
      <c r="Q1362" s="116">
        <v>58.1</v>
      </c>
      <c r="R1362">
        <v>1151257</v>
      </c>
    </row>
    <row r="1363" spans="1:18" x14ac:dyDescent="0.25">
      <c r="A1363" s="169">
        <v>44015</v>
      </c>
      <c r="B1363" s="116">
        <v>30.75</v>
      </c>
      <c r="C1363" s="116">
        <v>30.375</v>
      </c>
      <c r="D1363" s="116">
        <v>29.25</v>
      </c>
      <c r="E1363" s="116">
        <v>29.475000000000001</v>
      </c>
      <c r="F1363" s="116">
        <v>60.75</v>
      </c>
      <c r="G1363">
        <v>378664</v>
      </c>
      <c r="H1363" s="116"/>
      <c r="I1363" s="116"/>
      <c r="L1363" s="169">
        <v>44015</v>
      </c>
      <c r="M1363" s="116">
        <v>30.35</v>
      </c>
      <c r="N1363" s="116">
        <v>30.75</v>
      </c>
      <c r="O1363" s="116">
        <v>29.15</v>
      </c>
      <c r="P1363" s="116">
        <v>29.2</v>
      </c>
      <c r="Q1363" s="116">
        <v>60.7</v>
      </c>
      <c r="R1363">
        <v>3269049</v>
      </c>
    </row>
    <row r="1364" spans="1:18" x14ac:dyDescent="0.25">
      <c r="A1364" s="169">
        <v>44018</v>
      </c>
      <c r="B1364" s="116">
        <v>32.5</v>
      </c>
      <c r="C1364" s="116">
        <v>32.024999999999999</v>
      </c>
      <c r="D1364" s="116">
        <v>30.375</v>
      </c>
      <c r="E1364" s="116">
        <v>30.375</v>
      </c>
      <c r="F1364" s="116">
        <v>64.05</v>
      </c>
      <c r="G1364">
        <v>816945</v>
      </c>
      <c r="H1364" s="116"/>
      <c r="I1364" s="116"/>
      <c r="L1364" s="169">
        <v>44018</v>
      </c>
      <c r="M1364" s="116">
        <v>32.024999999999999</v>
      </c>
      <c r="N1364" s="116">
        <v>32.5</v>
      </c>
      <c r="O1364" s="116">
        <v>30.55</v>
      </c>
      <c r="P1364" s="116">
        <v>30.55</v>
      </c>
      <c r="Q1364" s="116">
        <v>64.05</v>
      </c>
      <c r="R1364">
        <v>8575830</v>
      </c>
    </row>
    <row r="1365" spans="1:18" x14ac:dyDescent="0.25">
      <c r="A1365" s="169">
        <v>44019</v>
      </c>
      <c r="B1365" s="116">
        <v>32.15</v>
      </c>
      <c r="C1365" s="116">
        <v>31.2</v>
      </c>
      <c r="D1365" s="116">
        <v>31.05</v>
      </c>
      <c r="E1365" s="116">
        <v>32</v>
      </c>
      <c r="F1365" s="116">
        <v>62.4</v>
      </c>
      <c r="G1365">
        <v>124462</v>
      </c>
      <c r="H1365" s="116"/>
      <c r="I1365" s="116"/>
      <c r="L1365" s="169">
        <v>44019</v>
      </c>
      <c r="M1365" s="116">
        <v>31.2</v>
      </c>
      <c r="N1365" s="116">
        <v>32.174999999999997</v>
      </c>
      <c r="O1365" s="116">
        <v>31.024999999999999</v>
      </c>
      <c r="P1365" s="116">
        <v>31.85</v>
      </c>
      <c r="Q1365" s="116">
        <v>62.4</v>
      </c>
      <c r="R1365">
        <v>1444605</v>
      </c>
    </row>
    <row r="1366" spans="1:18" x14ac:dyDescent="0.25">
      <c r="A1366" s="169">
        <v>44020</v>
      </c>
      <c r="B1366" s="116">
        <v>31.95</v>
      </c>
      <c r="C1366" s="116">
        <v>31.125</v>
      </c>
      <c r="D1366" s="116">
        <v>31.05</v>
      </c>
      <c r="E1366" s="116">
        <v>31.8</v>
      </c>
      <c r="F1366" s="116">
        <v>62.25</v>
      </c>
      <c r="G1366">
        <v>141863</v>
      </c>
      <c r="H1366" s="116"/>
      <c r="I1366" s="116"/>
      <c r="L1366" s="169">
        <v>44020</v>
      </c>
      <c r="M1366" s="116">
        <v>31.175000000000001</v>
      </c>
      <c r="N1366" s="116">
        <v>31.95</v>
      </c>
      <c r="O1366" s="116">
        <v>31.05</v>
      </c>
      <c r="P1366" s="116">
        <v>31.4</v>
      </c>
      <c r="Q1366" s="116">
        <v>62.35</v>
      </c>
      <c r="R1366">
        <v>1588440</v>
      </c>
    </row>
    <row r="1367" spans="1:18" x14ac:dyDescent="0.25">
      <c r="A1367" s="169">
        <v>44021</v>
      </c>
      <c r="B1367" s="116">
        <v>32.875</v>
      </c>
      <c r="C1367" s="116">
        <v>31.725000000000001</v>
      </c>
      <c r="D1367" s="116">
        <v>31.4</v>
      </c>
      <c r="E1367" s="116">
        <v>31.75</v>
      </c>
      <c r="F1367" s="116">
        <v>63.45</v>
      </c>
      <c r="G1367">
        <v>294736</v>
      </c>
      <c r="H1367" s="116"/>
      <c r="I1367" s="116"/>
      <c r="L1367" s="169">
        <v>44021</v>
      </c>
      <c r="M1367" s="116">
        <v>31.725000000000001</v>
      </c>
      <c r="N1367" s="116">
        <v>32.875</v>
      </c>
      <c r="O1367" s="116">
        <v>31.35</v>
      </c>
      <c r="P1367" s="116">
        <v>31.425000000000001</v>
      </c>
      <c r="Q1367" s="116">
        <v>63.45</v>
      </c>
      <c r="R1367">
        <v>3054070</v>
      </c>
    </row>
    <row r="1368" spans="1:18" x14ac:dyDescent="0.25">
      <c r="A1368" s="169">
        <v>44022</v>
      </c>
      <c r="B1368" s="116">
        <v>32.125</v>
      </c>
      <c r="C1368" s="116">
        <v>31.125</v>
      </c>
      <c r="D1368" s="116">
        <v>30.975000000000001</v>
      </c>
      <c r="E1368" s="116">
        <v>31.725000000000001</v>
      </c>
      <c r="F1368" s="116">
        <v>62.25</v>
      </c>
      <c r="G1368">
        <v>110752</v>
      </c>
      <c r="H1368" s="116"/>
      <c r="I1368" s="116"/>
      <c r="L1368" s="169">
        <v>44022</v>
      </c>
      <c r="M1368" s="116">
        <v>31.125</v>
      </c>
      <c r="N1368" s="116">
        <v>32.15</v>
      </c>
      <c r="O1368" s="116">
        <v>31</v>
      </c>
      <c r="P1368" s="116">
        <v>31.6</v>
      </c>
      <c r="Q1368" s="116">
        <v>62.25</v>
      </c>
      <c r="R1368">
        <v>1163322</v>
      </c>
    </row>
    <row r="1369" spans="1:18" x14ac:dyDescent="0.25">
      <c r="A1369" s="169">
        <v>44025</v>
      </c>
      <c r="B1369" s="116">
        <v>31.625</v>
      </c>
      <c r="C1369" s="116">
        <v>30.375</v>
      </c>
      <c r="D1369" s="116">
        <v>30.15</v>
      </c>
      <c r="E1369" s="116">
        <v>31.15</v>
      </c>
      <c r="F1369" s="116">
        <v>60.75</v>
      </c>
      <c r="G1369">
        <v>251459</v>
      </c>
      <c r="H1369" s="116"/>
      <c r="I1369" s="116"/>
      <c r="L1369" s="169">
        <v>44025</v>
      </c>
      <c r="M1369" s="116">
        <v>30.4</v>
      </c>
      <c r="N1369" s="116">
        <v>31.6</v>
      </c>
      <c r="O1369" s="116">
        <v>30.15</v>
      </c>
      <c r="P1369" s="116">
        <v>31.5</v>
      </c>
      <c r="Q1369" s="116">
        <v>60.8</v>
      </c>
      <c r="R1369">
        <v>1441607</v>
      </c>
    </row>
    <row r="1370" spans="1:18" x14ac:dyDescent="0.25">
      <c r="A1370" s="169">
        <v>44026</v>
      </c>
      <c r="B1370" s="116">
        <v>30.524999999999999</v>
      </c>
      <c r="C1370" s="116">
        <v>29.25</v>
      </c>
      <c r="D1370" s="116">
        <v>29.05</v>
      </c>
      <c r="E1370" s="116">
        <v>30.524999999999999</v>
      </c>
      <c r="F1370" s="116">
        <v>58.5</v>
      </c>
      <c r="G1370">
        <v>118189</v>
      </c>
      <c r="H1370" s="116"/>
      <c r="I1370" s="116"/>
      <c r="L1370" s="169">
        <v>44026</v>
      </c>
      <c r="M1370" s="116">
        <v>29.225000000000001</v>
      </c>
      <c r="N1370" s="116">
        <v>30.25</v>
      </c>
      <c r="O1370" s="116">
        <v>29</v>
      </c>
      <c r="P1370" s="116">
        <v>30.25</v>
      </c>
      <c r="Q1370" s="116">
        <v>58.45</v>
      </c>
      <c r="R1370">
        <v>1159988</v>
      </c>
    </row>
    <row r="1371" spans="1:18" x14ac:dyDescent="0.25">
      <c r="A1371" s="169">
        <v>44027</v>
      </c>
      <c r="B1371" s="116">
        <v>30.6</v>
      </c>
      <c r="C1371" s="116">
        <v>28.875</v>
      </c>
      <c r="D1371" s="116">
        <v>28.574999999999999</v>
      </c>
      <c r="E1371" s="116">
        <v>30.225000000000001</v>
      </c>
      <c r="F1371" s="116">
        <v>57.75</v>
      </c>
      <c r="G1371">
        <v>204341</v>
      </c>
      <c r="H1371" s="116"/>
      <c r="I1371" s="116"/>
      <c r="L1371" s="169">
        <v>44027</v>
      </c>
      <c r="M1371" s="116">
        <v>28.8</v>
      </c>
      <c r="N1371" s="116">
        <v>30.625</v>
      </c>
      <c r="O1371" s="116">
        <v>28.625</v>
      </c>
      <c r="P1371" s="116">
        <v>30.125</v>
      </c>
      <c r="Q1371" s="116">
        <v>57.6</v>
      </c>
      <c r="R1371">
        <v>2103672</v>
      </c>
    </row>
    <row r="1372" spans="1:18" x14ac:dyDescent="0.25">
      <c r="A1372" s="169">
        <v>44028</v>
      </c>
      <c r="B1372" s="116">
        <v>28.95</v>
      </c>
      <c r="C1372" s="116">
        <v>28.425000000000001</v>
      </c>
      <c r="D1372" s="116">
        <v>27.9</v>
      </c>
      <c r="E1372" s="116">
        <v>28.95</v>
      </c>
      <c r="F1372" s="116">
        <v>56.85</v>
      </c>
      <c r="G1372">
        <v>93284</v>
      </c>
      <c r="H1372" s="116"/>
      <c r="I1372" s="116"/>
      <c r="L1372" s="169">
        <v>44028</v>
      </c>
      <c r="M1372" s="116">
        <v>28.425000000000001</v>
      </c>
      <c r="N1372" s="116">
        <v>29</v>
      </c>
      <c r="O1372" s="116">
        <v>27.85</v>
      </c>
      <c r="P1372" s="116">
        <v>28.824999999999999</v>
      </c>
      <c r="Q1372" s="116">
        <v>56.85</v>
      </c>
      <c r="R1372">
        <v>997682</v>
      </c>
    </row>
    <row r="1373" spans="1:18" x14ac:dyDescent="0.25">
      <c r="A1373" s="169">
        <v>44029</v>
      </c>
      <c r="B1373" s="116">
        <v>29.65</v>
      </c>
      <c r="C1373" s="116">
        <v>29.324999999999999</v>
      </c>
      <c r="D1373" s="116">
        <v>28.55</v>
      </c>
      <c r="E1373" s="116">
        <v>28.55</v>
      </c>
      <c r="F1373" s="116">
        <v>58.65</v>
      </c>
      <c r="G1373">
        <v>117856</v>
      </c>
      <c r="H1373" s="116"/>
      <c r="I1373" s="116"/>
      <c r="L1373" s="169">
        <v>44029</v>
      </c>
      <c r="M1373" s="116">
        <v>29.324999999999999</v>
      </c>
      <c r="N1373" s="116">
        <v>29.65</v>
      </c>
      <c r="O1373" s="116">
        <v>28.55</v>
      </c>
      <c r="P1373" s="116">
        <v>28.55</v>
      </c>
      <c r="Q1373" s="116">
        <v>58.65</v>
      </c>
      <c r="R1373">
        <v>1490050</v>
      </c>
    </row>
    <row r="1374" spans="1:18" x14ac:dyDescent="0.25">
      <c r="A1374" s="169">
        <v>44032</v>
      </c>
      <c r="B1374" s="116">
        <v>29.65</v>
      </c>
      <c r="C1374" s="116">
        <v>28.95</v>
      </c>
      <c r="D1374" s="116">
        <v>28.824999999999999</v>
      </c>
      <c r="E1374" s="116">
        <v>29.45</v>
      </c>
      <c r="F1374" s="116">
        <v>57.9</v>
      </c>
      <c r="G1374">
        <v>131449</v>
      </c>
      <c r="H1374" s="116"/>
      <c r="I1374" s="116"/>
      <c r="L1374" s="169">
        <v>44032</v>
      </c>
      <c r="M1374" s="116">
        <v>28.975000000000001</v>
      </c>
      <c r="N1374" s="116">
        <v>29.6</v>
      </c>
      <c r="O1374" s="116">
        <v>28.824999999999999</v>
      </c>
      <c r="P1374" s="116">
        <v>29.5</v>
      </c>
      <c r="Q1374" s="116">
        <v>57.95</v>
      </c>
      <c r="R1374">
        <v>1682944</v>
      </c>
    </row>
    <row r="1375" spans="1:18" x14ac:dyDescent="0.25">
      <c r="A1375" s="169">
        <v>44033</v>
      </c>
      <c r="B1375" s="116">
        <v>29.5</v>
      </c>
      <c r="C1375" s="116">
        <v>28.8</v>
      </c>
      <c r="D1375" s="116">
        <v>28.675000000000001</v>
      </c>
      <c r="E1375" s="116">
        <v>29</v>
      </c>
      <c r="F1375" s="116">
        <v>57.6</v>
      </c>
      <c r="G1375">
        <v>123241</v>
      </c>
      <c r="H1375" s="116"/>
      <c r="I1375" s="116"/>
      <c r="L1375" s="169">
        <v>44033</v>
      </c>
      <c r="M1375" s="116">
        <v>28.774999999999999</v>
      </c>
      <c r="N1375" s="116">
        <v>29.5</v>
      </c>
      <c r="O1375" s="116">
        <v>28.65</v>
      </c>
      <c r="P1375" s="116">
        <v>29.2</v>
      </c>
      <c r="Q1375" s="116">
        <v>57.55</v>
      </c>
      <c r="R1375">
        <v>1049038</v>
      </c>
    </row>
    <row r="1376" spans="1:18" x14ac:dyDescent="0.25">
      <c r="A1376" s="169">
        <v>44034</v>
      </c>
      <c r="B1376" s="116">
        <v>29.4</v>
      </c>
      <c r="C1376" s="116">
        <v>28.774999999999999</v>
      </c>
      <c r="D1376" s="116">
        <v>28.55</v>
      </c>
      <c r="E1376" s="116">
        <v>28.675000000000001</v>
      </c>
      <c r="F1376" s="116">
        <v>57.55</v>
      </c>
      <c r="G1376">
        <v>147678</v>
      </c>
      <c r="H1376" s="116"/>
      <c r="I1376" s="116"/>
      <c r="L1376" s="169">
        <v>44034</v>
      </c>
      <c r="M1376" s="116">
        <v>28.75</v>
      </c>
      <c r="N1376" s="116">
        <v>29.425000000000001</v>
      </c>
      <c r="O1376" s="116">
        <v>28.55</v>
      </c>
      <c r="P1376" s="116">
        <v>28.95</v>
      </c>
      <c r="Q1376" s="116">
        <v>57.5</v>
      </c>
      <c r="R1376">
        <v>1192161</v>
      </c>
    </row>
    <row r="1377" spans="1:18" x14ac:dyDescent="0.25">
      <c r="A1377" s="169">
        <v>44035</v>
      </c>
      <c r="B1377" s="116">
        <v>29.175000000000001</v>
      </c>
      <c r="C1377" s="116">
        <v>28.625</v>
      </c>
      <c r="D1377" s="116">
        <v>28.524999999999999</v>
      </c>
      <c r="E1377" s="116">
        <v>28.65</v>
      </c>
      <c r="F1377" s="116">
        <v>57.25</v>
      </c>
      <c r="G1377">
        <v>111877</v>
      </c>
      <c r="H1377" s="116"/>
      <c r="I1377" s="116"/>
      <c r="L1377" s="169">
        <v>44035</v>
      </c>
      <c r="M1377" s="116">
        <v>28.65</v>
      </c>
      <c r="N1377" s="116">
        <v>29.175000000000001</v>
      </c>
      <c r="O1377" s="116">
        <v>28.524999999999999</v>
      </c>
      <c r="P1377" s="116">
        <v>28.75</v>
      </c>
      <c r="Q1377" s="116">
        <v>57.3</v>
      </c>
      <c r="R1377">
        <v>979491</v>
      </c>
    </row>
    <row r="1378" spans="1:18" x14ac:dyDescent="0.25">
      <c r="A1378" s="169">
        <v>44036</v>
      </c>
      <c r="B1378" s="116">
        <v>28.75</v>
      </c>
      <c r="C1378" s="116">
        <v>28.4</v>
      </c>
      <c r="D1378" s="116">
        <v>28.125</v>
      </c>
      <c r="E1378" s="116">
        <v>28.5</v>
      </c>
      <c r="F1378" s="116">
        <v>56.8</v>
      </c>
      <c r="G1378">
        <v>75494</v>
      </c>
      <c r="H1378" s="116"/>
      <c r="I1378" s="116"/>
      <c r="L1378" s="169">
        <v>44036</v>
      </c>
      <c r="M1378" s="116">
        <v>28.375</v>
      </c>
      <c r="N1378" s="116">
        <v>28.824999999999999</v>
      </c>
      <c r="O1378" s="116">
        <v>28.1</v>
      </c>
      <c r="P1378" s="116">
        <v>28.3</v>
      </c>
      <c r="Q1378" s="116">
        <v>56.75</v>
      </c>
      <c r="R1378">
        <v>776600</v>
      </c>
    </row>
    <row r="1379" spans="1:18" x14ac:dyDescent="0.25">
      <c r="A1379" s="169">
        <v>44039</v>
      </c>
      <c r="B1379" s="116">
        <v>28.5</v>
      </c>
      <c r="C1379" s="116">
        <v>27.7</v>
      </c>
      <c r="D1379" s="116">
        <v>27.6</v>
      </c>
      <c r="E1379" s="116">
        <v>28.45</v>
      </c>
      <c r="F1379" s="116">
        <v>55.4</v>
      </c>
      <c r="G1379">
        <v>82522</v>
      </c>
      <c r="H1379" s="116"/>
      <c r="I1379" s="116"/>
      <c r="L1379" s="169">
        <v>44039</v>
      </c>
      <c r="M1379" s="116">
        <v>27.7</v>
      </c>
      <c r="N1379" s="116">
        <v>28.55</v>
      </c>
      <c r="O1379" s="116">
        <v>27.6</v>
      </c>
      <c r="P1379" s="116">
        <v>28.5</v>
      </c>
      <c r="Q1379" s="116">
        <v>55.4</v>
      </c>
      <c r="R1379">
        <v>560544</v>
      </c>
    </row>
    <row r="1380" spans="1:18" x14ac:dyDescent="0.25">
      <c r="A1380" s="169">
        <v>44040</v>
      </c>
      <c r="B1380" s="116">
        <v>28.2</v>
      </c>
      <c r="C1380" s="116">
        <v>27.8</v>
      </c>
      <c r="D1380" s="116">
        <v>27.6</v>
      </c>
      <c r="E1380" s="116">
        <v>27.6</v>
      </c>
      <c r="F1380" s="116">
        <v>55.6</v>
      </c>
      <c r="G1380">
        <v>35393</v>
      </c>
      <c r="H1380" s="116"/>
      <c r="I1380" s="116"/>
      <c r="L1380" s="169">
        <v>44040</v>
      </c>
      <c r="M1380" s="116">
        <v>27.8</v>
      </c>
      <c r="N1380" s="116">
        <v>28.2</v>
      </c>
      <c r="O1380" s="116">
        <v>27.675000000000001</v>
      </c>
      <c r="P1380" s="116">
        <v>27.824999999999999</v>
      </c>
      <c r="Q1380" s="116">
        <v>55.6</v>
      </c>
      <c r="R1380">
        <v>556115</v>
      </c>
    </row>
    <row r="1381" spans="1:18" x14ac:dyDescent="0.25">
      <c r="A1381" s="169">
        <v>44041</v>
      </c>
      <c r="B1381" s="116">
        <v>29.15</v>
      </c>
      <c r="C1381" s="116">
        <v>28.85</v>
      </c>
      <c r="D1381" s="116">
        <v>27.8</v>
      </c>
      <c r="E1381" s="116">
        <v>27.8</v>
      </c>
      <c r="F1381" s="116">
        <v>57.7</v>
      </c>
      <c r="G1381">
        <v>87702</v>
      </c>
      <c r="H1381" s="116"/>
      <c r="I1381" s="116"/>
      <c r="L1381" s="169">
        <v>44041</v>
      </c>
      <c r="M1381" s="116">
        <v>28.824999999999999</v>
      </c>
      <c r="N1381" s="116">
        <v>29.175000000000001</v>
      </c>
      <c r="O1381" s="116">
        <v>27.85</v>
      </c>
      <c r="P1381" s="116">
        <v>27.95</v>
      </c>
      <c r="Q1381" s="116">
        <v>57.65</v>
      </c>
      <c r="R1381">
        <v>1464839</v>
      </c>
    </row>
    <row r="1382" spans="1:18" x14ac:dyDescent="0.25">
      <c r="A1382" s="169">
        <v>44042</v>
      </c>
      <c r="B1382" s="116">
        <v>29.375</v>
      </c>
      <c r="C1382" s="116">
        <v>28.05</v>
      </c>
      <c r="D1382" s="116">
        <v>27.95</v>
      </c>
      <c r="E1382" s="116">
        <v>29.274999999999999</v>
      </c>
      <c r="F1382" s="116">
        <v>56.1</v>
      </c>
      <c r="G1382">
        <v>79257</v>
      </c>
      <c r="H1382" s="116"/>
      <c r="I1382" s="116"/>
      <c r="L1382" s="169">
        <v>44042</v>
      </c>
      <c r="M1382" s="116">
        <v>28.074999999999999</v>
      </c>
      <c r="N1382" s="116">
        <v>29.274999999999999</v>
      </c>
      <c r="O1382" s="116">
        <v>28</v>
      </c>
      <c r="P1382" s="116">
        <v>28.8</v>
      </c>
      <c r="Q1382" s="116">
        <v>56.15</v>
      </c>
      <c r="R1382">
        <v>595006</v>
      </c>
    </row>
    <row r="1383" spans="1:18" x14ac:dyDescent="0.25">
      <c r="A1383" s="169">
        <v>44043</v>
      </c>
      <c r="B1383" s="116">
        <v>28.15</v>
      </c>
      <c r="C1383" s="116">
        <v>27.375</v>
      </c>
      <c r="D1383" s="116">
        <v>27.274999999999999</v>
      </c>
      <c r="E1383" s="116">
        <v>27.925000000000001</v>
      </c>
      <c r="F1383" s="116">
        <v>54.75</v>
      </c>
      <c r="G1383">
        <v>58995</v>
      </c>
      <c r="H1383" s="116"/>
      <c r="I1383" s="116"/>
      <c r="L1383" s="169">
        <v>44043</v>
      </c>
      <c r="M1383" s="116">
        <v>27.35</v>
      </c>
      <c r="N1383" s="116">
        <v>28.2</v>
      </c>
      <c r="O1383" s="116">
        <v>27.25</v>
      </c>
      <c r="P1383" s="116">
        <v>28.175000000000001</v>
      </c>
      <c r="Q1383" s="116">
        <v>54.7</v>
      </c>
      <c r="R1383">
        <v>699957</v>
      </c>
    </row>
    <row r="1384" spans="1:18" x14ac:dyDescent="0.25">
      <c r="A1384" s="169">
        <v>44046</v>
      </c>
      <c r="B1384" s="116">
        <v>28.1</v>
      </c>
      <c r="C1384" s="116">
        <v>27.625</v>
      </c>
      <c r="D1384" s="116">
        <v>27.175000000000001</v>
      </c>
      <c r="E1384" s="116">
        <v>27.324999999999999</v>
      </c>
      <c r="F1384" s="116">
        <v>55.25</v>
      </c>
      <c r="G1384">
        <v>62943</v>
      </c>
      <c r="H1384" s="116"/>
      <c r="I1384" s="116"/>
      <c r="L1384" s="169">
        <v>44046</v>
      </c>
      <c r="M1384" s="116">
        <v>27.65</v>
      </c>
      <c r="N1384" s="116">
        <v>28.1</v>
      </c>
      <c r="O1384" s="116">
        <v>27.15</v>
      </c>
      <c r="P1384" s="116">
        <v>27.25</v>
      </c>
      <c r="Q1384" s="116">
        <v>55.3</v>
      </c>
      <c r="R1384">
        <v>760115</v>
      </c>
    </row>
    <row r="1385" spans="1:18" x14ac:dyDescent="0.25">
      <c r="A1385" s="169">
        <v>44047</v>
      </c>
      <c r="B1385" s="116">
        <v>29.1</v>
      </c>
      <c r="C1385" s="116">
        <v>28.875</v>
      </c>
      <c r="D1385" s="116">
        <v>27.524999999999999</v>
      </c>
      <c r="E1385" s="116">
        <v>27.524999999999999</v>
      </c>
      <c r="F1385" s="116">
        <v>57.75</v>
      </c>
      <c r="G1385">
        <v>86387</v>
      </c>
      <c r="H1385" s="116"/>
      <c r="I1385" s="116"/>
      <c r="L1385" s="169">
        <v>44047</v>
      </c>
      <c r="M1385" s="116">
        <v>28.875</v>
      </c>
      <c r="N1385" s="116">
        <v>29.074999999999999</v>
      </c>
      <c r="O1385" s="116">
        <v>27.824999999999999</v>
      </c>
      <c r="P1385" s="116">
        <v>27.824999999999999</v>
      </c>
      <c r="Q1385" s="116">
        <v>57.75</v>
      </c>
      <c r="R1385">
        <v>1021413</v>
      </c>
    </row>
    <row r="1386" spans="1:18" x14ac:dyDescent="0.25">
      <c r="A1386" s="169">
        <v>44048</v>
      </c>
      <c r="B1386" s="116">
        <v>29.225000000000001</v>
      </c>
      <c r="C1386" s="116">
        <v>28.9</v>
      </c>
      <c r="D1386" s="116">
        <v>27.65</v>
      </c>
      <c r="E1386" s="116">
        <v>27.85</v>
      </c>
      <c r="F1386" s="116">
        <v>57.8</v>
      </c>
      <c r="G1386">
        <v>149996</v>
      </c>
      <c r="H1386" s="116"/>
      <c r="I1386" s="116"/>
      <c r="L1386" s="169">
        <v>44048</v>
      </c>
      <c r="M1386" s="116">
        <v>28.9</v>
      </c>
      <c r="N1386" s="116">
        <v>29.25</v>
      </c>
      <c r="O1386" s="116">
        <v>27.65</v>
      </c>
      <c r="P1386" s="116">
        <v>27.95</v>
      </c>
      <c r="Q1386" s="116">
        <v>57.8</v>
      </c>
      <c r="R1386">
        <v>1796352</v>
      </c>
    </row>
    <row r="1387" spans="1:18" x14ac:dyDescent="0.25">
      <c r="A1387" s="169">
        <v>44049</v>
      </c>
      <c r="B1387" s="116">
        <v>30.35</v>
      </c>
      <c r="C1387" s="116">
        <v>29.6</v>
      </c>
      <c r="D1387" s="116">
        <v>28.824999999999999</v>
      </c>
      <c r="E1387" s="116">
        <v>28.9</v>
      </c>
      <c r="F1387" s="116">
        <v>59.2</v>
      </c>
      <c r="G1387">
        <v>169202</v>
      </c>
      <c r="H1387" s="116"/>
      <c r="I1387" s="116"/>
      <c r="L1387" s="169">
        <v>44049</v>
      </c>
      <c r="M1387" s="116">
        <v>29.65</v>
      </c>
      <c r="N1387" s="116">
        <v>30.4</v>
      </c>
      <c r="O1387" s="116">
        <v>28.625</v>
      </c>
      <c r="P1387" s="116">
        <v>28.625</v>
      </c>
      <c r="Q1387" s="116">
        <v>59.3</v>
      </c>
      <c r="R1387">
        <v>1716910</v>
      </c>
    </row>
    <row r="1388" spans="1:18" x14ac:dyDescent="0.25">
      <c r="A1388" s="169">
        <v>44050</v>
      </c>
      <c r="B1388" s="116">
        <v>31.125</v>
      </c>
      <c r="C1388" s="116">
        <v>30.425000000000001</v>
      </c>
      <c r="D1388" s="116">
        <v>29.5</v>
      </c>
      <c r="E1388" s="116">
        <v>29.5</v>
      </c>
      <c r="F1388" s="116">
        <v>60.85</v>
      </c>
      <c r="G1388">
        <v>216263</v>
      </c>
      <c r="H1388" s="116"/>
      <c r="I1388" s="116"/>
      <c r="L1388" s="169">
        <v>44050</v>
      </c>
      <c r="M1388" s="116">
        <v>30.425000000000001</v>
      </c>
      <c r="N1388" s="116">
        <v>31.125</v>
      </c>
      <c r="O1388" s="116">
        <v>29.324999999999999</v>
      </c>
      <c r="P1388" s="116">
        <v>29.324999999999999</v>
      </c>
      <c r="Q1388" s="116">
        <v>60.85</v>
      </c>
      <c r="R1388">
        <v>2877102</v>
      </c>
    </row>
    <row r="1389" spans="1:18" x14ac:dyDescent="0.25">
      <c r="A1389" s="169">
        <v>44053</v>
      </c>
      <c r="B1389" s="116">
        <v>30.824999999999999</v>
      </c>
      <c r="C1389" s="116">
        <v>30</v>
      </c>
      <c r="D1389" s="116">
        <v>29.95</v>
      </c>
      <c r="E1389" s="116">
        <v>30.45</v>
      </c>
      <c r="F1389" s="116">
        <v>60</v>
      </c>
      <c r="G1389">
        <v>94089</v>
      </c>
      <c r="H1389" s="116"/>
      <c r="I1389" s="116"/>
      <c r="L1389" s="169">
        <v>44053</v>
      </c>
      <c r="M1389" s="116">
        <v>30</v>
      </c>
      <c r="N1389" s="116">
        <v>30.8</v>
      </c>
      <c r="O1389" s="116">
        <v>29.95</v>
      </c>
      <c r="P1389" s="116">
        <v>30.524999999999999</v>
      </c>
      <c r="Q1389" s="116">
        <v>60</v>
      </c>
      <c r="R1389">
        <v>820481</v>
      </c>
    </row>
    <row r="1390" spans="1:18" x14ac:dyDescent="0.25">
      <c r="A1390" s="169">
        <v>44054</v>
      </c>
      <c r="B1390" s="116">
        <v>30.925000000000001</v>
      </c>
      <c r="C1390" s="116">
        <v>30.524999999999999</v>
      </c>
      <c r="D1390" s="116">
        <v>30.25</v>
      </c>
      <c r="E1390" s="116">
        <v>30.25</v>
      </c>
      <c r="F1390" s="116">
        <v>61.05</v>
      </c>
      <c r="G1390">
        <v>125555</v>
      </c>
      <c r="H1390" s="116"/>
      <c r="I1390" s="116"/>
      <c r="L1390" s="169">
        <v>44054</v>
      </c>
      <c r="M1390" s="116">
        <v>30.524999999999999</v>
      </c>
      <c r="N1390" s="116">
        <v>30.925000000000001</v>
      </c>
      <c r="O1390" s="116">
        <v>30.1</v>
      </c>
      <c r="P1390" s="116">
        <v>30.225000000000001</v>
      </c>
      <c r="Q1390" s="116">
        <v>61.05</v>
      </c>
      <c r="R1390">
        <v>1198685</v>
      </c>
    </row>
    <row r="1391" spans="1:18" x14ac:dyDescent="0.25">
      <c r="A1391" s="169">
        <v>44055</v>
      </c>
      <c r="B1391" s="116">
        <v>31.1</v>
      </c>
      <c r="C1391" s="116">
        <v>30.3</v>
      </c>
      <c r="D1391" s="116">
        <v>30.1</v>
      </c>
      <c r="E1391" s="116">
        <v>30.5</v>
      </c>
      <c r="F1391" s="116">
        <v>60.6</v>
      </c>
      <c r="G1391">
        <v>67609</v>
      </c>
      <c r="H1391" s="116"/>
      <c r="I1391" s="116"/>
      <c r="L1391" s="169">
        <v>44055</v>
      </c>
      <c r="M1391" s="116">
        <v>30.324999999999999</v>
      </c>
      <c r="N1391" s="116">
        <v>31.125</v>
      </c>
      <c r="O1391" s="116">
        <v>30</v>
      </c>
      <c r="P1391" s="116">
        <v>30.35</v>
      </c>
      <c r="Q1391" s="116">
        <v>60.65</v>
      </c>
      <c r="R1391">
        <v>790654</v>
      </c>
    </row>
    <row r="1392" spans="1:18" x14ac:dyDescent="0.25">
      <c r="A1392" s="169">
        <v>44056</v>
      </c>
      <c r="B1392" s="116">
        <v>30.824999999999999</v>
      </c>
      <c r="C1392" s="116">
        <v>29.975000000000001</v>
      </c>
      <c r="D1392" s="116">
        <v>29.9</v>
      </c>
      <c r="E1392" s="116">
        <v>30.65</v>
      </c>
      <c r="F1392" s="116">
        <v>59.95</v>
      </c>
      <c r="G1392">
        <v>73881</v>
      </c>
      <c r="H1392" s="116"/>
      <c r="I1392" s="116"/>
      <c r="L1392" s="169">
        <v>44056</v>
      </c>
      <c r="M1392" s="116">
        <v>29.95</v>
      </c>
      <c r="N1392" s="116">
        <v>30.824999999999999</v>
      </c>
      <c r="O1392" s="116">
        <v>29.9</v>
      </c>
      <c r="P1392" s="116">
        <v>30.574999999999999</v>
      </c>
      <c r="Q1392" s="116">
        <v>59.9</v>
      </c>
      <c r="R1392">
        <v>706694</v>
      </c>
    </row>
    <row r="1393" spans="1:18" x14ac:dyDescent="0.25">
      <c r="A1393" s="169">
        <v>44057</v>
      </c>
      <c r="B1393" s="116">
        <v>30.4</v>
      </c>
      <c r="C1393" s="116">
        <v>29.3</v>
      </c>
      <c r="D1393" s="116">
        <v>29</v>
      </c>
      <c r="E1393" s="116">
        <v>30.225000000000001</v>
      </c>
      <c r="F1393" s="116">
        <v>58.6</v>
      </c>
      <c r="G1393">
        <v>166834</v>
      </c>
      <c r="H1393" s="116"/>
      <c r="I1393" s="116"/>
      <c r="L1393" s="169">
        <v>44057</v>
      </c>
      <c r="M1393" s="116">
        <v>29.3</v>
      </c>
      <c r="N1393" s="116">
        <v>30.425000000000001</v>
      </c>
      <c r="O1393" s="116">
        <v>29</v>
      </c>
      <c r="P1393" s="116">
        <v>30.1</v>
      </c>
      <c r="Q1393" s="116">
        <v>58.6</v>
      </c>
      <c r="R1393">
        <v>1425028</v>
      </c>
    </row>
    <row r="1394" spans="1:18" x14ac:dyDescent="0.25">
      <c r="A1394" s="169">
        <v>44060</v>
      </c>
      <c r="B1394" s="116">
        <v>32.375</v>
      </c>
      <c r="C1394" s="116">
        <v>31.75</v>
      </c>
      <c r="D1394" s="116">
        <v>29.35</v>
      </c>
      <c r="E1394" s="116">
        <v>29.95</v>
      </c>
      <c r="F1394" s="116">
        <v>63.5</v>
      </c>
      <c r="G1394">
        <v>635137</v>
      </c>
      <c r="H1394" s="116"/>
      <c r="I1394" s="116"/>
      <c r="L1394" s="169">
        <v>44060</v>
      </c>
      <c r="M1394" s="116">
        <v>31.75</v>
      </c>
      <c r="N1394" s="116">
        <v>32.375</v>
      </c>
      <c r="O1394" s="116">
        <v>29.4</v>
      </c>
      <c r="P1394" s="116">
        <v>29.574999999999999</v>
      </c>
      <c r="Q1394" s="116">
        <v>63.5</v>
      </c>
      <c r="R1394">
        <v>7733075</v>
      </c>
    </row>
    <row r="1395" spans="1:18" x14ac:dyDescent="0.25">
      <c r="A1395" s="169">
        <v>44061</v>
      </c>
      <c r="B1395" s="116">
        <v>32.85</v>
      </c>
      <c r="C1395" s="116">
        <v>32.375</v>
      </c>
      <c r="D1395" s="116">
        <v>31.85</v>
      </c>
      <c r="E1395" s="116">
        <v>31.85</v>
      </c>
      <c r="F1395" s="116">
        <v>64.75</v>
      </c>
      <c r="G1395">
        <v>249236</v>
      </c>
      <c r="H1395" s="116"/>
      <c r="I1395" s="116"/>
      <c r="L1395" s="169">
        <v>44061</v>
      </c>
      <c r="M1395" s="116">
        <v>32.4</v>
      </c>
      <c r="N1395" s="116">
        <v>32.9</v>
      </c>
      <c r="O1395" s="116">
        <v>31.75</v>
      </c>
      <c r="P1395" s="116">
        <v>31.875</v>
      </c>
      <c r="Q1395" s="116">
        <v>64.8</v>
      </c>
      <c r="R1395">
        <v>3088055</v>
      </c>
    </row>
    <row r="1396" spans="1:18" x14ac:dyDescent="0.25">
      <c r="A1396" s="169">
        <v>44062</v>
      </c>
      <c r="B1396" s="116">
        <v>34.950000000000003</v>
      </c>
      <c r="C1396" s="116">
        <v>34</v>
      </c>
      <c r="D1396" s="116">
        <v>32.4</v>
      </c>
      <c r="E1396" s="116">
        <v>32.5</v>
      </c>
      <c r="F1396" s="116">
        <v>68</v>
      </c>
      <c r="G1396">
        <v>418797</v>
      </c>
      <c r="H1396" s="116"/>
      <c r="I1396" s="116"/>
      <c r="L1396" s="169">
        <v>44062</v>
      </c>
      <c r="M1396" s="116">
        <v>34.024999999999999</v>
      </c>
      <c r="N1396" s="116">
        <v>35</v>
      </c>
      <c r="O1396" s="116">
        <v>32.4</v>
      </c>
      <c r="P1396" s="116">
        <v>32.5</v>
      </c>
      <c r="Q1396" s="116">
        <v>68.05</v>
      </c>
      <c r="R1396">
        <v>5460028</v>
      </c>
    </row>
    <row r="1397" spans="1:18" x14ac:dyDescent="0.25">
      <c r="A1397" s="169">
        <v>44063</v>
      </c>
      <c r="B1397" s="116">
        <v>35.85</v>
      </c>
      <c r="C1397" s="116">
        <v>34</v>
      </c>
      <c r="D1397" s="116">
        <v>33.024999999999999</v>
      </c>
      <c r="E1397" s="116">
        <v>34.024999999999999</v>
      </c>
      <c r="F1397" s="116">
        <v>68</v>
      </c>
      <c r="G1397">
        <v>300723</v>
      </c>
      <c r="H1397" s="116"/>
      <c r="I1397" s="116"/>
      <c r="L1397" s="169">
        <v>44063</v>
      </c>
      <c r="M1397" s="116">
        <v>34.024999999999999</v>
      </c>
      <c r="N1397" s="116">
        <v>35.85</v>
      </c>
      <c r="O1397" s="116">
        <v>32.524999999999999</v>
      </c>
      <c r="P1397" s="116">
        <v>34</v>
      </c>
      <c r="Q1397" s="116">
        <v>68.05</v>
      </c>
      <c r="R1397">
        <v>3789362</v>
      </c>
    </row>
    <row r="1398" spans="1:18" x14ac:dyDescent="0.25">
      <c r="A1398" s="169">
        <v>44064</v>
      </c>
      <c r="B1398" s="116">
        <v>34.774999999999999</v>
      </c>
      <c r="C1398" s="116">
        <v>33.950000000000003</v>
      </c>
      <c r="D1398" s="116">
        <v>33.375</v>
      </c>
      <c r="E1398" s="116">
        <v>33.5</v>
      </c>
      <c r="F1398" s="116">
        <v>67.900000000000006</v>
      </c>
      <c r="G1398">
        <v>306150</v>
      </c>
      <c r="H1398" s="116"/>
      <c r="I1398" s="116"/>
      <c r="L1398" s="169">
        <v>44064</v>
      </c>
      <c r="M1398" s="116">
        <v>33.924999999999997</v>
      </c>
      <c r="N1398" s="116">
        <v>34.774999999999999</v>
      </c>
      <c r="O1398" s="116">
        <v>33.325000000000003</v>
      </c>
      <c r="P1398" s="116">
        <v>33.450000000000003</v>
      </c>
      <c r="Q1398" s="116">
        <v>67.849999999999994</v>
      </c>
      <c r="R1398">
        <v>3312860</v>
      </c>
    </row>
    <row r="1399" spans="1:18" x14ac:dyDescent="0.25">
      <c r="A1399" s="169">
        <v>44067</v>
      </c>
      <c r="B1399" s="116">
        <v>34.625</v>
      </c>
      <c r="C1399" s="116">
        <v>33.924999999999997</v>
      </c>
      <c r="D1399" s="116">
        <v>33.299999999999997</v>
      </c>
      <c r="E1399" s="116">
        <v>33.975000000000001</v>
      </c>
      <c r="F1399" s="116">
        <v>67.849999999999994</v>
      </c>
      <c r="G1399">
        <v>155825</v>
      </c>
      <c r="H1399" s="116"/>
      <c r="I1399" s="116"/>
      <c r="L1399" s="169">
        <v>44067</v>
      </c>
      <c r="M1399" s="116">
        <v>33.924999999999997</v>
      </c>
      <c r="N1399" s="116">
        <v>34.625</v>
      </c>
      <c r="O1399" s="116">
        <v>33.299999999999997</v>
      </c>
      <c r="P1399" s="116">
        <v>34</v>
      </c>
      <c r="Q1399" s="116">
        <v>67.849999999999994</v>
      </c>
      <c r="R1399">
        <v>1454685</v>
      </c>
    </row>
    <row r="1400" spans="1:18" x14ac:dyDescent="0.25">
      <c r="A1400" s="169">
        <v>44068</v>
      </c>
      <c r="B1400" s="116">
        <v>34.5</v>
      </c>
      <c r="C1400" s="116">
        <v>33.85</v>
      </c>
      <c r="D1400" s="116">
        <v>33.5</v>
      </c>
      <c r="E1400" s="116">
        <v>34</v>
      </c>
      <c r="F1400" s="116">
        <v>67.7</v>
      </c>
      <c r="G1400">
        <v>107481</v>
      </c>
      <c r="H1400" s="116"/>
      <c r="I1400" s="116"/>
      <c r="L1400" s="169">
        <v>44068</v>
      </c>
      <c r="M1400" s="116">
        <v>33.875</v>
      </c>
      <c r="N1400" s="116">
        <v>34.5</v>
      </c>
      <c r="O1400" s="116">
        <v>33.5</v>
      </c>
      <c r="P1400" s="116">
        <v>34</v>
      </c>
      <c r="Q1400" s="116">
        <v>67.75</v>
      </c>
      <c r="R1400">
        <v>1017412</v>
      </c>
    </row>
    <row r="1401" spans="1:18" x14ac:dyDescent="0.25">
      <c r="A1401" s="169">
        <v>44069</v>
      </c>
      <c r="B1401" s="116">
        <v>34.25</v>
      </c>
      <c r="C1401" s="116">
        <v>33.799999999999997</v>
      </c>
      <c r="D1401" s="116">
        <v>33.575000000000003</v>
      </c>
      <c r="E1401" s="116">
        <v>34.25</v>
      </c>
      <c r="F1401" s="116">
        <v>67.599999999999994</v>
      </c>
      <c r="G1401">
        <v>65430</v>
      </c>
      <c r="H1401" s="116"/>
      <c r="I1401" s="116"/>
      <c r="L1401" s="169">
        <v>44069</v>
      </c>
      <c r="M1401" s="116">
        <v>33.825000000000003</v>
      </c>
      <c r="N1401" s="116">
        <v>34.125</v>
      </c>
      <c r="O1401" s="116">
        <v>33.549999999999997</v>
      </c>
      <c r="P1401" s="116">
        <v>34.125</v>
      </c>
      <c r="Q1401" s="116">
        <v>67.650000000000006</v>
      </c>
      <c r="R1401">
        <v>942453</v>
      </c>
    </row>
    <row r="1402" spans="1:18" x14ac:dyDescent="0.25">
      <c r="A1402" s="169">
        <v>44070</v>
      </c>
      <c r="B1402" s="116">
        <v>35</v>
      </c>
      <c r="C1402" s="116">
        <v>33.75</v>
      </c>
      <c r="D1402" s="116">
        <v>33.65</v>
      </c>
      <c r="E1402" s="116">
        <v>34.4</v>
      </c>
      <c r="F1402" s="116">
        <v>67.5</v>
      </c>
      <c r="G1402">
        <v>183515</v>
      </c>
      <c r="H1402" s="116"/>
      <c r="I1402" s="116"/>
      <c r="L1402" s="169">
        <v>44070</v>
      </c>
      <c r="M1402" s="116">
        <v>33.774999999999999</v>
      </c>
      <c r="N1402" s="116">
        <v>35</v>
      </c>
      <c r="O1402" s="116">
        <v>33.625</v>
      </c>
      <c r="P1402" s="116">
        <v>33.9</v>
      </c>
      <c r="Q1402" s="116">
        <v>67.55</v>
      </c>
      <c r="R1402">
        <v>1965642</v>
      </c>
    </row>
    <row r="1403" spans="1:18" x14ac:dyDescent="0.25">
      <c r="A1403" s="169">
        <v>44071</v>
      </c>
      <c r="B1403" s="116">
        <v>34.274999999999999</v>
      </c>
      <c r="C1403" s="116">
        <v>33.424999999999997</v>
      </c>
      <c r="D1403" s="116">
        <v>33.375</v>
      </c>
      <c r="E1403" s="116">
        <v>34.125</v>
      </c>
      <c r="F1403" s="116">
        <v>66.849999999999994</v>
      </c>
      <c r="G1403">
        <v>88235</v>
      </c>
      <c r="H1403" s="116"/>
      <c r="I1403" s="116"/>
      <c r="L1403" s="169">
        <v>44071</v>
      </c>
      <c r="M1403" s="116">
        <v>33.424999999999997</v>
      </c>
      <c r="N1403" s="116">
        <v>34.299999999999997</v>
      </c>
      <c r="O1403" s="116">
        <v>33.35</v>
      </c>
      <c r="P1403" s="116">
        <v>34</v>
      </c>
      <c r="Q1403" s="116">
        <v>66.849999999999994</v>
      </c>
      <c r="R1403">
        <v>852275</v>
      </c>
    </row>
    <row r="1404" spans="1:18" x14ac:dyDescent="0.25">
      <c r="A1404" s="169">
        <v>44074</v>
      </c>
      <c r="B1404" s="116">
        <v>34.1</v>
      </c>
      <c r="C1404" s="116">
        <v>31.2</v>
      </c>
      <c r="D1404" s="116">
        <v>30.25</v>
      </c>
      <c r="E1404" s="116">
        <v>33.424999999999997</v>
      </c>
      <c r="F1404" s="116">
        <v>62.4</v>
      </c>
      <c r="G1404">
        <v>332461</v>
      </c>
      <c r="H1404" s="116"/>
      <c r="I1404" s="116"/>
      <c r="L1404" s="169">
        <v>44074</v>
      </c>
      <c r="M1404" s="116">
        <v>31.15</v>
      </c>
      <c r="N1404" s="116">
        <v>33.700000000000003</v>
      </c>
      <c r="O1404" s="116">
        <v>30.074999999999999</v>
      </c>
      <c r="P1404" s="116">
        <v>33.5</v>
      </c>
      <c r="Q1404" s="116">
        <v>62.3</v>
      </c>
      <c r="R1404">
        <v>1801320</v>
      </c>
    </row>
    <row r="1405" spans="1:18" x14ac:dyDescent="0.25">
      <c r="A1405" s="169">
        <v>44075</v>
      </c>
      <c r="B1405" s="116">
        <v>31.625</v>
      </c>
      <c r="C1405" s="116">
        <v>30.9</v>
      </c>
      <c r="D1405" s="116">
        <v>30.175000000000001</v>
      </c>
      <c r="E1405" s="116">
        <v>31</v>
      </c>
      <c r="F1405" s="116">
        <v>61.8</v>
      </c>
      <c r="G1405">
        <v>103321</v>
      </c>
      <c r="H1405" s="116"/>
      <c r="I1405" s="116"/>
      <c r="L1405" s="169">
        <v>44075</v>
      </c>
      <c r="M1405" s="116">
        <v>30.85</v>
      </c>
      <c r="N1405" s="116">
        <v>31.625</v>
      </c>
      <c r="O1405" s="116">
        <v>30.125</v>
      </c>
      <c r="P1405" s="116">
        <v>31.1</v>
      </c>
      <c r="Q1405" s="116">
        <v>61.7</v>
      </c>
      <c r="R1405">
        <v>704768</v>
      </c>
    </row>
    <row r="1406" spans="1:18" x14ac:dyDescent="0.25">
      <c r="A1406" s="169">
        <v>44076</v>
      </c>
      <c r="B1406" s="116">
        <v>32.475000000000001</v>
      </c>
      <c r="C1406" s="116">
        <v>32.15</v>
      </c>
      <c r="D1406" s="116">
        <v>31</v>
      </c>
      <c r="E1406" s="116">
        <v>31.15</v>
      </c>
      <c r="F1406" s="116">
        <v>64.3</v>
      </c>
      <c r="G1406">
        <v>72561</v>
      </c>
      <c r="H1406" s="116"/>
      <c r="I1406" s="116"/>
      <c r="L1406" s="169">
        <v>44076</v>
      </c>
      <c r="M1406" s="116">
        <v>32.25</v>
      </c>
      <c r="N1406" s="116">
        <v>32.5</v>
      </c>
      <c r="O1406" s="116">
        <v>31.05</v>
      </c>
      <c r="P1406" s="116">
        <v>31.175000000000001</v>
      </c>
      <c r="Q1406" s="116">
        <v>64.5</v>
      </c>
      <c r="R1406">
        <v>633918</v>
      </c>
    </row>
    <row r="1407" spans="1:18" x14ac:dyDescent="0.25">
      <c r="A1407" s="169">
        <v>44077</v>
      </c>
      <c r="B1407" s="116">
        <v>33.299999999999997</v>
      </c>
      <c r="C1407" s="116">
        <v>32.875</v>
      </c>
      <c r="D1407" s="116">
        <v>31.85</v>
      </c>
      <c r="E1407" s="116">
        <v>32.85</v>
      </c>
      <c r="F1407" s="116">
        <v>65.75</v>
      </c>
      <c r="G1407">
        <v>81305</v>
      </c>
      <c r="H1407" s="116"/>
      <c r="I1407" s="116"/>
      <c r="L1407" s="169">
        <v>44077</v>
      </c>
      <c r="M1407" s="116">
        <v>32.825000000000003</v>
      </c>
      <c r="N1407" s="116">
        <v>33.35</v>
      </c>
      <c r="O1407" s="116">
        <v>31.824999999999999</v>
      </c>
      <c r="P1407" s="116">
        <v>32.5</v>
      </c>
      <c r="Q1407" s="116">
        <v>65.650000000000006</v>
      </c>
      <c r="R1407">
        <v>892249</v>
      </c>
    </row>
    <row r="1408" spans="1:18" x14ac:dyDescent="0.25">
      <c r="A1408" s="169">
        <v>44078</v>
      </c>
      <c r="B1408" s="116">
        <v>33.25</v>
      </c>
      <c r="C1408" s="116">
        <v>31.75</v>
      </c>
      <c r="D1408" s="116">
        <v>31.6</v>
      </c>
      <c r="E1408" s="116">
        <v>31.6</v>
      </c>
      <c r="F1408" s="116">
        <v>63.5</v>
      </c>
      <c r="G1408">
        <v>145861</v>
      </c>
      <c r="H1408" s="116"/>
      <c r="I1408" s="116"/>
      <c r="L1408" s="169">
        <v>44078</v>
      </c>
      <c r="M1408" s="116">
        <v>31.774999999999999</v>
      </c>
      <c r="N1408" s="116">
        <v>33.299999999999997</v>
      </c>
      <c r="O1408" s="116">
        <v>31.625</v>
      </c>
      <c r="P1408" s="116">
        <v>32.25</v>
      </c>
      <c r="Q1408" s="116">
        <v>63.55</v>
      </c>
      <c r="R1408">
        <v>1023528</v>
      </c>
    </row>
    <row r="1409" spans="1:18" x14ac:dyDescent="0.25">
      <c r="A1409" s="169">
        <v>44081</v>
      </c>
      <c r="B1409" s="116">
        <v>32.200000000000003</v>
      </c>
      <c r="C1409" s="116">
        <v>31.725000000000001</v>
      </c>
      <c r="D1409" s="116">
        <v>31.15</v>
      </c>
      <c r="E1409" s="116">
        <v>32.200000000000003</v>
      </c>
      <c r="F1409" s="116">
        <v>63.45</v>
      </c>
      <c r="G1409">
        <v>32275</v>
      </c>
      <c r="H1409" s="116"/>
      <c r="I1409" s="116"/>
      <c r="L1409" s="169">
        <v>44081</v>
      </c>
      <c r="M1409" s="116">
        <v>31.7</v>
      </c>
      <c r="N1409" s="116">
        <v>32.25</v>
      </c>
      <c r="O1409" s="116">
        <v>31.1</v>
      </c>
      <c r="P1409" s="116">
        <v>31.975000000000001</v>
      </c>
      <c r="Q1409" s="116">
        <v>63.4</v>
      </c>
      <c r="R1409">
        <v>917364</v>
      </c>
    </row>
    <row r="1410" spans="1:18" x14ac:dyDescent="0.25">
      <c r="A1410" s="169">
        <v>44082</v>
      </c>
      <c r="B1410" s="116">
        <v>31.824999999999999</v>
      </c>
      <c r="C1410" s="116">
        <v>31.55</v>
      </c>
      <c r="D1410" s="116">
        <v>31.35</v>
      </c>
      <c r="E1410" s="116">
        <v>31.574999999999999</v>
      </c>
      <c r="F1410" s="116">
        <v>63.1</v>
      </c>
      <c r="G1410">
        <v>54302</v>
      </c>
      <c r="H1410" s="116"/>
      <c r="I1410" s="116"/>
      <c r="L1410" s="169">
        <v>44082</v>
      </c>
      <c r="M1410" s="116">
        <v>31.625</v>
      </c>
      <c r="N1410" s="116">
        <v>31.85</v>
      </c>
      <c r="O1410" s="116">
        <v>31.324999999999999</v>
      </c>
      <c r="P1410" s="116">
        <v>31.7</v>
      </c>
      <c r="Q1410" s="116">
        <v>63.25</v>
      </c>
      <c r="R1410">
        <v>740997</v>
      </c>
    </row>
    <row r="1411" spans="1:18" x14ac:dyDescent="0.25">
      <c r="A1411" s="169">
        <v>44083</v>
      </c>
      <c r="B1411" s="116">
        <v>32.1</v>
      </c>
      <c r="C1411" s="116">
        <v>31.925000000000001</v>
      </c>
      <c r="D1411" s="116">
        <v>31.1</v>
      </c>
      <c r="E1411" s="116">
        <v>31.15</v>
      </c>
      <c r="F1411" s="116">
        <v>63.85</v>
      </c>
      <c r="G1411">
        <v>55739</v>
      </c>
      <c r="H1411" s="116"/>
      <c r="I1411" s="116"/>
      <c r="L1411" s="169">
        <v>44083</v>
      </c>
      <c r="M1411" s="116">
        <v>31.925000000000001</v>
      </c>
      <c r="N1411" s="116">
        <v>32.200000000000003</v>
      </c>
      <c r="O1411" s="116">
        <v>31.024999999999999</v>
      </c>
      <c r="P1411" s="116">
        <v>31.1</v>
      </c>
      <c r="Q1411" s="116">
        <v>63.85</v>
      </c>
      <c r="R1411">
        <v>931422</v>
      </c>
    </row>
    <row r="1412" spans="1:18" x14ac:dyDescent="0.25">
      <c r="A1412" s="169">
        <v>44084</v>
      </c>
      <c r="B1412" s="116">
        <v>32.450000000000003</v>
      </c>
      <c r="C1412" s="116">
        <v>31.8</v>
      </c>
      <c r="D1412" s="116">
        <v>31.524999999999999</v>
      </c>
      <c r="E1412" s="116">
        <v>32.1</v>
      </c>
      <c r="F1412" s="116">
        <v>63.6</v>
      </c>
      <c r="G1412">
        <v>24268</v>
      </c>
      <c r="H1412" s="116"/>
      <c r="I1412" s="116"/>
      <c r="L1412" s="169">
        <v>44084</v>
      </c>
      <c r="M1412" s="116">
        <v>31.824999999999999</v>
      </c>
      <c r="N1412" s="116">
        <v>32.5</v>
      </c>
      <c r="O1412" s="116">
        <v>31.55</v>
      </c>
      <c r="P1412" s="116">
        <v>32.174999999999997</v>
      </c>
      <c r="Q1412" s="116">
        <v>63.65</v>
      </c>
      <c r="R1412">
        <v>349065</v>
      </c>
    </row>
    <row r="1413" spans="1:18" x14ac:dyDescent="0.25">
      <c r="A1413" s="169">
        <v>44085</v>
      </c>
      <c r="B1413" s="116">
        <v>32.125</v>
      </c>
      <c r="C1413" s="116">
        <v>31.6</v>
      </c>
      <c r="D1413" s="116">
        <v>31.375</v>
      </c>
      <c r="E1413" s="116">
        <v>31.975000000000001</v>
      </c>
      <c r="F1413" s="116">
        <v>63.2</v>
      </c>
      <c r="G1413">
        <v>24940</v>
      </c>
      <c r="H1413" s="116"/>
      <c r="I1413" s="116"/>
      <c r="L1413" s="169">
        <v>44085</v>
      </c>
      <c r="M1413" s="116">
        <v>31.65</v>
      </c>
      <c r="N1413" s="116">
        <v>32.15</v>
      </c>
      <c r="O1413" s="116">
        <v>31.375</v>
      </c>
      <c r="P1413" s="116">
        <v>31.95</v>
      </c>
      <c r="Q1413" s="116">
        <v>63.3</v>
      </c>
      <c r="R1413">
        <v>501613</v>
      </c>
    </row>
    <row r="1414" spans="1:18" x14ac:dyDescent="0.25">
      <c r="A1414" s="169">
        <v>44088</v>
      </c>
      <c r="B1414" s="116">
        <v>33.325000000000003</v>
      </c>
      <c r="C1414" s="116">
        <v>32.475000000000001</v>
      </c>
      <c r="D1414" s="116">
        <v>31.95</v>
      </c>
      <c r="E1414" s="116">
        <v>31.975000000000001</v>
      </c>
      <c r="F1414" s="116">
        <v>64.95</v>
      </c>
      <c r="G1414">
        <v>56041</v>
      </c>
      <c r="H1414" s="116"/>
      <c r="I1414" s="116"/>
      <c r="L1414" s="169">
        <v>44088</v>
      </c>
      <c r="M1414" s="116">
        <v>32.549999999999997</v>
      </c>
      <c r="N1414" s="116">
        <v>33.35</v>
      </c>
      <c r="O1414" s="116">
        <v>31.875</v>
      </c>
      <c r="P1414" s="116">
        <v>31.9</v>
      </c>
      <c r="Q1414" s="116">
        <v>65.099999999999994</v>
      </c>
      <c r="R1414">
        <v>850498</v>
      </c>
    </row>
    <row r="1415" spans="1:18" x14ac:dyDescent="0.25">
      <c r="A1415" s="169">
        <v>44089</v>
      </c>
      <c r="B1415" s="116">
        <v>33.1</v>
      </c>
      <c r="C1415" s="116">
        <v>32.4</v>
      </c>
      <c r="D1415" s="116">
        <v>32.274999999999999</v>
      </c>
      <c r="E1415" s="116">
        <v>32.700000000000003</v>
      </c>
      <c r="F1415" s="116">
        <v>64.8</v>
      </c>
      <c r="G1415">
        <v>32740</v>
      </c>
      <c r="H1415" s="116"/>
      <c r="I1415" s="116"/>
      <c r="L1415" s="169">
        <v>44089</v>
      </c>
      <c r="M1415" s="116">
        <v>32.424999999999997</v>
      </c>
      <c r="N1415" s="116">
        <v>33.1</v>
      </c>
      <c r="O1415" s="116">
        <v>32.25</v>
      </c>
      <c r="P1415" s="116">
        <v>32.700000000000003</v>
      </c>
      <c r="Q1415" s="116">
        <v>64.849999999999994</v>
      </c>
      <c r="R1415">
        <v>491826</v>
      </c>
    </row>
    <row r="1416" spans="1:18" x14ac:dyDescent="0.25">
      <c r="A1416" s="169">
        <v>44090</v>
      </c>
      <c r="B1416" s="116">
        <v>35.700000000000003</v>
      </c>
      <c r="C1416" s="116">
        <v>34.875</v>
      </c>
      <c r="D1416" s="116">
        <v>32.450000000000003</v>
      </c>
      <c r="E1416" s="116">
        <v>32.725000000000001</v>
      </c>
      <c r="F1416" s="116">
        <v>69.75</v>
      </c>
      <c r="G1416">
        <v>492110</v>
      </c>
      <c r="H1416" s="116"/>
      <c r="I1416" s="116"/>
      <c r="L1416" s="169">
        <v>44090</v>
      </c>
      <c r="M1416" s="116">
        <v>35</v>
      </c>
      <c r="N1416" s="116">
        <v>35.700000000000003</v>
      </c>
      <c r="O1416" s="116">
        <v>32.424999999999997</v>
      </c>
      <c r="P1416" s="116">
        <v>32.799999999999997</v>
      </c>
      <c r="Q1416" s="116">
        <v>70</v>
      </c>
      <c r="R1416">
        <v>5396373</v>
      </c>
    </row>
    <row r="1417" spans="1:18" x14ac:dyDescent="0.25">
      <c r="A1417" s="169">
        <v>44091</v>
      </c>
      <c r="B1417" s="116">
        <v>37.450000000000003</v>
      </c>
      <c r="C1417" s="116">
        <v>35.524999999999999</v>
      </c>
      <c r="D1417" s="116">
        <v>34.9</v>
      </c>
      <c r="E1417" s="116">
        <v>35</v>
      </c>
      <c r="F1417" s="116">
        <v>71.05</v>
      </c>
      <c r="G1417">
        <v>583842</v>
      </c>
      <c r="H1417" s="116"/>
      <c r="I1417" s="116"/>
      <c r="L1417" s="169">
        <v>44091</v>
      </c>
      <c r="M1417" s="116">
        <v>35.475000000000001</v>
      </c>
      <c r="N1417" s="116">
        <v>37.375</v>
      </c>
      <c r="O1417" s="116">
        <v>34.975000000000001</v>
      </c>
      <c r="P1417" s="116">
        <v>35.225000000000001</v>
      </c>
      <c r="Q1417" s="116">
        <v>70.95</v>
      </c>
      <c r="R1417">
        <v>8161074</v>
      </c>
    </row>
    <row r="1418" spans="1:18" x14ac:dyDescent="0.25">
      <c r="A1418" s="169">
        <v>44092</v>
      </c>
      <c r="B1418" s="116">
        <v>35.5</v>
      </c>
      <c r="C1418" s="116">
        <v>33.674999999999997</v>
      </c>
      <c r="D1418" s="116">
        <v>33.5</v>
      </c>
      <c r="E1418" s="116">
        <v>35.5</v>
      </c>
      <c r="F1418" s="116">
        <v>67.349999999999994</v>
      </c>
      <c r="G1418">
        <v>229128</v>
      </c>
      <c r="H1418" s="116"/>
      <c r="I1418" s="116"/>
      <c r="L1418" s="169">
        <v>44092</v>
      </c>
      <c r="M1418" s="116">
        <v>33.700000000000003</v>
      </c>
      <c r="N1418" s="116">
        <v>35.5</v>
      </c>
      <c r="O1418" s="116">
        <v>33.5</v>
      </c>
      <c r="P1418" s="116">
        <v>35.5</v>
      </c>
      <c r="Q1418" s="116">
        <v>67.400000000000006</v>
      </c>
      <c r="R1418">
        <v>1712115</v>
      </c>
    </row>
    <row r="1419" spans="1:18" x14ac:dyDescent="0.25">
      <c r="A1419" s="169">
        <v>44095</v>
      </c>
      <c r="B1419" s="116">
        <v>33.9</v>
      </c>
      <c r="C1419" s="116">
        <v>31.725000000000001</v>
      </c>
      <c r="D1419" s="116">
        <v>31.55</v>
      </c>
      <c r="E1419" s="116">
        <v>33.6</v>
      </c>
      <c r="F1419" s="116">
        <v>63.45</v>
      </c>
      <c r="G1419">
        <v>113388</v>
      </c>
      <c r="H1419" s="116"/>
      <c r="I1419" s="116"/>
      <c r="L1419" s="169">
        <v>44095</v>
      </c>
      <c r="M1419" s="116">
        <v>31.725000000000001</v>
      </c>
      <c r="N1419" s="116">
        <v>33.975000000000001</v>
      </c>
      <c r="O1419" s="116">
        <v>31.5</v>
      </c>
      <c r="P1419" s="116">
        <v>33.700000000000003</v>
      </c>
      <c r="Q1419" s="116">
        <v>63.45</v>
      </c>
      <c r="R1419">
        <v>1075593</v>
      </c>
    </row>
    <row r="1420" spans="1:18" x14ac:dyDescent="0.25">
      <c r="A1420" s="169">
        <v>44096</v>
      </c>
      <c r="B1420" s="116">
        <v>31.875</v>
      </c>
      <c r="C1420" s="116">
        <v>30.774999999999999</v>
      </c>
      <c r="D1420" s="116">
        <v>30</v>
      </c>
      <c r="E1420" s="116">
        <v>31.85</v>
      </c>
      <c r="F1420" s="116">
        <v>61.55</v>
      </c>
      <c r="G1420">
        <v>136456</v>
      </c>
      <c r="H1420" s="116"/>
      <c r="I1420" s="116"/>
      <c r="L1420" s="169">
        <v>44096</v>
      </c>
      <c r="M1420" s="116">
        <v>30.774999999999999</v>
      </c>
      <c r="N1420" s="116">
        <v>31.975000000000001</v>
      </c>
      <c r="O1420" s="116">
        <v>30.125</v>
      </c>
      <c r="P1420" s="116">
        <v>31.774999999999999</v>
      </c>
      <c r="Q1420" s="116">
        <v>61.55</v>
      </c>
      <c r="R1420">
        <v>1008338</v>
      </c>
    </row>
    <row r="1421" spans="1:18" x14ac:dyDescent="0.25">
      <c r="A1421" s="169">
        <v>44097</v>
      </c>
      <c r="B1421" s="116">
        <v>32.4</v>
      </c>
      <c r="C1421" s="116">
        <v>32.125</v>
      </c>
      <c r="D1421" s="116">
        <v>31.15</v>
      </c>
      <c r="E1421" s="116">
        <v>31.274999999999999</v>
      </c>
      <c r="F1421" s="116">
        <v>64.25</v>
      </c>
      <c r="G1421">
        <v>92765</v>
      </c>
      <c r="H1421" s="116"/>
      <c r="I1421" s="116"/>
      <c r="L1421" s="169">
        <v>44097</v>
      </c>
      <c r="M1421" s="116">
        <v>32.049999999999997</v>
      </c>
      <c r="N1421" s="116">
        <v>32.4</v>
      </c>
      <c r="O1421" s="116">
        <v>31.074999999999999</v>
      </c>
      <c r="P1421" s="116">
        <v>31.2</v>
      </c>
      <c r="Q1421" s="116">
        <v>64.099999999999994</v>
      </c>
      <c r="R1421">
        <v>1254200</v>
      </c>
    </row>
    <row r="1422" spans="1:18" x14ac:dyDescent="0.25">
      <c r="A1422" s="169">
        <v>44098</v>
      </c>
      <c r="B1422" s="116">
        <v>32.174999999999997</v>
      </c>
      <c r="C1422" s="116">
        <v>31.425000000000001</v>
      </c>
      <c r="D1422" s="116">
        <v>31.175000000000001</v>
      </c>
      <c r="E1422" s="116">
        <v>31.175000000000001</v>
      </c>
      <c r="F1422" s="116">
        <v>62.85</v>
      </c>
      <c r="G1422">
        <v>95635</v>
      </c>
      <c r="H1422" s="116"/>
      <c r="I1422" s="116"/>
      <c r="L1422" s="169">
        <v>44098</v>
      </c>
      <c r="M1422" s="116">
        <v>31.425000000000001</v>
      </c>
      <c r="N1422" s="116">
        <v>32.200000000000003</v>
      </c>
      <c r="O1422" s="116">
        <v>31.274999999999999</v>
      </c>
      <c r="P1422" s="116">
        <v>31.725000000000001</v>
      </c>
      <c r="Q1422" s="116">
        <v>62.85</v>
      </c>
      <c r="R1422">
        <v>865131</v>
      </c>
    </row>
    <row r="1423" spans="1:18" x14ac:dyDescent="0.25">
      <c r="A1423" s="169">
        <v>44099</v>
      </c>
      <c r="B1423" s="116">
        <v>32.075000000000003</v>
      </c>
      <c r="C1423" s="116">
        <v>31.65</v>
      </c>
      <c r="D1423" s="116">
        <v>31.125</v>
      </c>
      <c r="E1423" s="116">
        <v>31.975000000000001</v>
      </c>
      <c r="F1423" s="116">
        <v>63.3</v>
      </c>
      <c r="G1423">
        <v>72888</v>
      </c>
      <c r="H1423" s="116"/>
      <c r="I1423" s="116"/>
      <c r="L1423" s="169">
        <v>44099</v>
      </c>
      <c r="M1423" s="116">
        <v>31.6</v>
      </c>
      <c r="N1423" s="116">
        <v>32.075000000000003</v>
      </c>
      <c r="O1423" s="116">
        <v>31.1</v>
      </c>
      <c r="P1423" s="116">
        <v>31.774999999999999</v>
      </c>
      <c r="Q1423" s="116">
        <v>63.2</v>
      </c>
      <c r="R1423">
        <v>710444</v>
      </c>
    </row>
    <row r="1424" spans="1:18" x14ac:dyDescent="0.25">
      <c r="A1424" s="169">
        <v>44102</v>
      </c>
      <c r="B1424" s="116">
        <v>32.700000000000003</v>
      </c>
      <c r="C1424" s="116">
        <v>32.200000000000003</v>
      </c>
      <c r="D1424" s="116">
        <v>31.774999999999999</v>
      </c>
      <c r="E1424" s="116">
        <v>31.774999999999999</v>
      </c>
      <c r="F1424" s="116">
        <v>64.400000000000006</v>
      </c>
      <c r="G1424">
        <v>63517</v>
      </c>
      <c r="H1424" s="116"/>
      <c r="I1424" s="116"/>
      <c r="L1424" s="169">
        <v>44102</v>
      </c>
      <c r="M1424" s="116">
        <v>32.225000000000001</v>
      </c>
      <c r="N1424" s="116">
        <v>32.725000000000001</v>
      </c>
      <c r="O1424" s="116">
        <v>31.725000000000001</v>
      </c>
      <c r="P1424" s="116">
        <v>32</v>
      </c>
      <c r="Q1424" s="116">
        <v>64.45</v>
      </c>
      <c r="R1424">
        <v>614324</v>
      </c>
    </row>
    <row r="1425" spans="1:18" x14ac:dyDescent="0.25">
      <c r="A1425" s="169">
        <v>44103</v>
      </c>
      <c r="B1425" s="116">
        <v>32.75</v>
      </c>
      <c r="C1425" s="116">
        <v>32.25</v>
      </c>
      <c r="D1425" s="116">
        <v>32.1</v>
      </c>
      <c r="E1425" s="116">
        <v>32.424999999999997</v>
      </c>
      <c r="F1425" s="116">
        <v>64.5</v>
      </c>
      <c r="G1425">
        <v>27040</v>
      </c>
      <c r="H1425" s="116"/>
      <c r="I1425" s="116"/>
      <c r="L1425" s="169">
        <v>44103</v>
      </c>
      <c r="M1425" s="116">
        <v>32.225000000000001</v>
      </c>
      <c r="N1425" s="116">
        <v>32.75</v>
      </c>
      <c r="O1425" s="116">
        <v>32.049999999999997</v>
      </c>
      <c r="P1425" s="116">
        <v>32.35</v>
      </c>
      <c r="Q1425" s="116">
        <v>64.45</v>
      </c>
      <c r="R1425">
        <v>485412</v>
      </c>
    </row>
    <row r="1426" spans="1:18" x14ac:dyDescent="0.25">
      <c r="A1426" s="169">
        <v>44104</v>
      </c>
      <c r="B1426" s="116">
        <v>32.475000000000001</v>
      </c>
      <c r="C1426" s="116">
        <v>31.475000000000001</v>
      </c>
      <c r="D1426" s="116">
        <v>31.35</v>
      </c>
      <c r="E1426" s="116">
        <v>32.475000000000001</v>
      </c>
      <c r="F1426" s="116">
        <v>62.95</v>
      </c>
      <c r="G1426">
        <v>40290</v>
      </c>
      <c r="H1426" s="116"/>
      <c r="I1426" s="116"/>
      <c r="L1426" s="169">
        <v>44104</v>
      </c>
      <c r="M1426" s="116">
        <v>31.45</v>
      </c>
      <c r="N1426" s="116">
        <v>32.475000000000001</v>
      </c>
      <c r="O1426" s="116">
        <v>31.274999999999999</v>
      </c>
      <c r="P1426" s="116">
        <v>32.375</v>
      </c>
      <c r="Q1426" s="116">
        <v>62.9</v>
      </c>
      <c r="R1426">
        <v>452626</v>
      </c>
    </row>
    <row r="1427" spans="1:18" x14ac:dyDescent="0.25">
      <c r="A1427" s="169">
        <v>44105</v>
      </c>
      <c r="B1427" s="116">
        <v>32.575000000000003</v>
      </c>
      <c r="C1427" s="116">
        <v>31.725000000000001</v>
      </c>
      <c r="D1427" s="116">
        <v>31.6</v>
      </c>
      <c r="E1427" s="116">
        <v>31.8</v>
      </c>
      <c r="F1427" s="116">
        <v>63.45</v>
      </c>
      <c r="G1427">
        <v>61102</v>
      </c>
      <c r="H1427" s="116"/>
      <c r="I1427" s="116"/>
      <c r="L1427" s="169">
        <v>44105</v>
      </c>
      <c r="M1427" s="116">
        <v>31.725000000000001</v>
      </c>
      <c r="N1427" s="116">
        <v>32.6</v>
      </c>
      <c r="O1427" s="116">
        <v>31.524999999999999</v>
      </c>
      <c r="P1427" s="116">
        <v>31.65</v>
      </c>
      <c r="Q1427" s="116">
        <v>63.45</v>
      </c>
      <c r="R1427">
        <v>485444</v>
      </c>
    </row>
    <row r="1428" spans="1:18" x14ac:dyDescent="0.25">
      <c r="A1428" s="169">
        <v>44109</v>
      </c>
      <c r="B1428" s="116">
        <v>32.274999999999999</v>
      </c>
      <c r="C1428" s="116">
        <v>31.7</v>
      </c>
      <c r="D1428" s="116">
        <v>31.25</v>
      </c>
      <c r="E1428" s="116">
        <v>32</v>
      </c>
      <c r="F1428" s="116">
        <v>63.4</v>
      </c>
      <c r="G1428">
        <v>34273</v>
      </c>
      <c r="H1428" s="116"/>
      <c r="I1428" s="116"/>
      <c r="L1428" s="169">
        <v>44109</v>
      </c>
      <c r="M1428" s="116">
        <v>31.675000000000001</v>
      </c>
      <c r="N1428" s="116">
        <v>32.299999999999997</v>
      </c>
      <c r="O1428" s="116">
        <v>31.225000000000001</v>
      </c>
      <c r="P1428" s="116">
        <v>31.925000000000001</v>
      </c>
      <c r="Q1428" s="116">
        <v>63.35</v>
      </c>
      <c r="R1428">
        <v>361669</v>
      </c>
    </row>
    <row r="1429" spans="1:18" x14ac:dyDescent="0.25">
      <c r="A1429" s="169">
        <v>44110</v>
      </c>
      <c r="B1429" s="116">
        <v>32.35</v>
      </c>
      <c r="C1429" s="116">
        <v>31.85</v>
      </c>
      <c r="D1429" s="116">
        <v>31.7</v>
      </c>
      <c r="E1429" s="116">
        <v>31.975000000000001</v>
      </c>
      <c r="F1429" s="116">
        <v>63.7</v>
      </c>
      <c r="G1429">
        <v>53171</v>
      </c>
      <c r="H1429" s="116"/>
      <c r="I1429" s="116"/>
      <c r="L1429" s="169">
        <v>44110</v>
      </c>
      <c r="M1429" s="116">
        <v>31.85</v>
      </c>
      <c r="N1429" s="116">
        <v>32.4</v>
      </c>
      <c r="O1429" s="116">
        <v>31.7</v>
      </c>
      <c r="P1429" s="116">
        <v>31.75</v>
      </c>
      <c r="Q1429" s="116">
        <v>63.7</v>
      </c>
      <c r="R1429">
        <v>559331</v>
      </c>
    </row>
    <row r="1430" spans="1:18" x14ac:dyDescent="0.25">
      <c r="A1430" s="169">
        <v>44111</v>
      </c>
      <c r="B1430" s="116">
        <v>32.174999999999997</v>
      </c>
      <c r="C1430" s="116">
        <v>31.05</v>
      </c>
      <c r="D1430" s="116">
        <v>30.85</v>
      </c>
      <c r="E1430" s="116">
        <v>31.824999999999999</v>
      </c>
      <c r="F1430" s="116">
        <v>62.1</v>
      </c>
      <c r="G1430">
        <v>73223</v>
      </c>
      <c r="H1430" s="116"/>
      <c r="I1430" s="116"/>
      <c r="L1430" s="169">
        <v>44111</v>
      </c>
      <c r="M1430" s="116">
        <v>31.05</v>
      </c>
      <c r="N1430" s="116">
        <v>32.200000000000003</v>
      </c>
      <c r="O1430" s="116">
        <v>30.85</v>
      </c>
      <c r="P1430" s="116">
        <v>32</v>
      </c>
      <c r="Q1430" s="116">
        <v>62.1</v>
      </c>
      <c r="R1430">
        <v>499232</v>
      </c>
    </row>
    <row r="1431" spans="1:18" x14ac:dyDescent="0.25">
      <c r="A1431" s="169">
        <v>44112</v>
      </c>
      <c r="B1431" s="116">
        <v>31.7</v>
      </c>
      <c r="C1431" s="116">
        <v>31.2</v>
      </c>
      <c r="D1431" s="116">
        <v>30.95</v>
      </c>
      <c r="E1431" s="116">
        <v>31.05</v>
      </c>
      <c r="F1431" s="116">
        <v>62.4</v>
      </c>
      <c r="G1431">
        <v>36262</v>
      </c>
      <c r="H1431" s="116"/>
      <c r="I1431" s="116"/>
      <c r="L1431" s="169">
        <v>44112</v>
      </c>
      <c r="M1431" s="116">
        <v>31.15</v>
      </c>
      <c r="N1431" s="116">
        <v>31.75</v>
      </c>
      <c r="O1431" s="116">
        <v>30.925000000000001</v>
      </c>
      <c r="P1431" s="116">
        <v>31.15</v>
      </c>
      <c r="Q1431" s="116">
        <v>62.3</v>
      </c>
      <c r="R1431">
        <v>449246</v>
      </c>
    </row>
    <row r="1432" spans="1:18" x14ac:dyDescent="0.25">
      <c r="A1432" s="169">
        <v>44113</v>
      </c>
      <c r="B1432" s="116">
        <v>31.5</v>
      </c>
      <c r="C1432" s="116">
        <v>30.925000000000001</v>
      </c>
      <c r="D1432" s="116">
        <v>30.75</v>
      </c>
      <c r="E1432" s="116">
        <v>31.475000000000001</v>
      </c>
      <c r="F1432" s="116">
        <v>61.85</v>
      </c>
      <c r="G1432">
        <v>55034</v>
      </c>
      <c r="H1432" s="116"/>
      <c r="I1432" s="116"/>
      <c r="L1432" s="169">
        <v>44113</v>
      </c>
      <c r="M1432" s="116">
        <v>30.9</v>
      </c>
      <c r="N1432" s="116">
        <v>31.6</v>
      </c>
      <c r="O1432" s="116">
        <v>30.725000000000001</v>
      </c>
      <c r="P1432" s="116">
        <v>31.15</v>
      </c>
      <c r="Q1432" s="116">
        <v>61.8</v>
      </c>
      <c r="R1432">
        <v>402148</v>
      </c>
    </row>
    <row r="1433" spans="1:18" x14ac:dyDescent="0.25">
      <c r="A1433" s="169">
        <v>44116</v>
      </c>
      <c r="B1433" s="116">
        <v>31.35</v>
      </c>
      <c r="C1433" s="116">
        <v>30.425000000000001</v>
      </c>
      <c r="D1433" s="116">
        <v>30.274999999999999</v>
      </c>
      <c r="E1433" s="116">
        <v>31.15</v>
      </c>
      <c r="F1433" s="116">
        <v>60.85</v>
      </c>
      <c r="G1433">
        <v>42144</v>
      </c>
      <c r="H1433" s="116"/>
      <c r="I1433" s="116"/>
      <c r="L1433" s="169">
        <v>44116</v>
      </c>
      <c r="M1433" s="116">
        <v>30.425000000000001</v>
      </c>
      <c r="N1433" s="116">
        <v>31.45</v>
      </c>
      <c r="O1433" s="116">
        <v>30.25</v>
      </c>
      <c r="P1433" s="116">
        <v>31.45</v>
      </c>
      <c r="Q1433" s="116">
        <v>60.85</v>
      </c>
      <c r="R1433">
        <v>445636</v>
      </c>
    </row>
    <row r="1434" spans="1:18" x14ac:dyDescent="0.25">
      <c r="A1434" s="169">
        <v>44117</v>
      </c>
      <c r="B1434" s="116">
        <v>30.574999999999999</v>
      </c>
      <c r="C1434" s="116">
        <v>30.35</v>
      </c>
      <c r="D1434" s="116">
        <v>30.074999999999999</v>
      </c>
      <c r="E1434" s="116">
        <v>30.1</v>
      </c>
      <c r="F1434" s="116">
        <v>60.7</v>
      </c>
      <c r="G1434">
        <v>35572</v>
      </c>
      <c r="H1434" s="116"/>
      <c r="I1434" s="116"/>
      <c r="L1434" s="169">
        <v>44117</v>
      </c>
      <c r="M1434" s="116">
        <v>30.375</v>
      </c>
      <c r="N1434" s="116">
        <v>30.55</v>
      </c>
      <c r="O1434" s="116">
        <v>30.05</v>
      </c>
      <c r="P1434" s="116">
        <v>30.425000000000001</v>
      </c>
      <c r="Q1434" s="116">
        <v>60.75</v>
      </c>
      <c r="R1434">
        <v>489563</v>
      </c>
    </row>
    <row r="1435" spans="1:18" x14ac:dyDescent="0.25">
      <c r="A1435" s="169">
        <v>44118</v>
      </c>
      <c r="B1435" s="116">
        <v>30.85</v>
      </c>
      <c r="C1435" s="116">
        <v>30.3</v>
      </c>
      <c r="D1435" s="116">
        <v>29.1</v>
      </c>
      <c r="E1435" s="116">
        <v>30.125</v>
      </c>
      <c r="F1435" s="116">
        <v>60.6</v>
      </c>
      <c r="G1435">
        <v>63758</v>
      </c>
      <c r="H1435" s="116"/>
      <c r="I1435" s="116"/>
      <c r="L1435" s="169">
        <v>44118</v>
      </c>
      <c r="M1435" s="116">
        <v>30.324999999999999</v>
      </c>
      <c r="N1435" s="116">
        <v>30.875</v>
      </c>
      <c r="O1435" s="116">
        <v>29</v>
      </c>
      <c r="P1435" s="116">
        <v>30</v>
      </c>
      <c r="Q1435" s="116">
        <v>60.65</v>
      </c>
      <c r="R1435">
        <v>1128666</v>
      </c>
    </row>
    <row r="1436" spans="1:18" x14ac:dyDescent="0.25">
      <c r="A1436" s="169">
        <v>44119</v>
      </c>
      <c r="B1436" s="116">
        <v>30.85</v>
      </c>
      <c r="C1436" s="116">
        <v>30.35</v>
      </c>
      <c r="D1436" s="116">
        <v>30.1</v>
      </c>
      <c r="E1436" s="116">
        <v>30.475000000000001</v>
      </c>
      <c r="F1436" s="116">
        <v>60.7</v>
      </c>
      <c r="G1436">
        <v>34727</v>
      </c>
      <c r="H1436" s="116"/>
      <c r="I1436" s="116"/>
      <c r="L1436" s="169">
        <v>44119</v>
      </c>
      <c r="M1436" s="116">
        <v>30.375</v>
      </c>
      <c r="N1436" s="116">
        <v>30.9</v>
      </c>
      <c r="O1436" s="116">
        <v>30.15</v>
      </c>
      <c r="P1436" s="116">
        <v>30.524999999999999</v>
      </c>
      <c r="Q1436" s="116">
        <v>60.75</v>
      </c>
      <c r="R1436">
        <v>582184</v>
      </c>
    </row>
    <row r="1437" spans="1:18" x14ac:dyDescent="0.25">
      <c r="A1437" s="169">
        <v>44120</v>
      </c>
      <c r="B1437" s="116">
        <v>30.7</v>
      </c>
      <c r="C1437" s="116">
        <v>30.4</v>
      </c>
      <c r="D1437" s="116">
        <v>30</v>
      </c>
      <c r="E1437" s="116">
        <v>30.475000000000001</v>
      </c>
      <c r="F1437" s="116">
        <v>60.8</v>
      </c>
      <c r="G1437">
        <v>17631</v>
      </c>
      <c r="H1437" s="116"/>
      <c r="I1437" s="116"/>
      <c r="L1437" s="169">
        <v>44120</v>
      </c>
      <c r="M1437" s="116">
        <v>30.4</v>
      </c>
      <c r="N1437" s="116">
        <v>30.75</v>
      </c>
      <c r="O1437" s="116">
        <v>29.9</v>
      </c>
      <c r="P1437" s="116">
        <v>30.4</v>
      </c>
      <c r="Q1437" s="116">
        <v>60.8</v>
      </c>
      <c r="R1437">
        <v>336579</v>
      </c>
    </row>
    <row r="1438" spans="1:18" x14ac:dyDescent="0.25">
      <c r="A1438" s="169">
        <v>44123</v>
      </c>
      <c r="B1438" s="116">
        <v>31.25</v>
      </c>
      <c r="C1438" s="116">
        <v>31.05</v>
      </c>
      <c r="D1438" s="116">
        <v>30.25</v>
      </c>
      <c r="E1438" s="116">
        <v>31</v>
      </c>
      <c r="F1438" s="116">
        <v>62.1</v>
      </c>
      <c r="G1438">
        <v>75051</v>
      </c>
      <c r="H1438" s="116"/>
      <c r="I1438" s="116"/>
      <c r="L1438" s="169">
        <v>44123</v>
      </c>
      <c r="M1438" s="116">
        <v>31.05</v>
      </c>
      <c r="N1438" s="116">
        <v>31.274999999999999</v>
      </c>
      <c r="O1438" s="116">
        <v>30.15</v>
      </c>
      <c r="P1438" s="116">
        <v>30.5</v>
      </c>
      <c r="Q1438" s="116">
        <v>62.1</v>
      </c>
      <c r="R1438">
        <v>593559</v>
      </c>
    </row>
    <row r="1439" spans="1:18" x14ac:dyDescent="0.25">
      <c r="A1439" s="169">
        <v>44124</v>
      </c>
      <c r="B1439" s="116">
        <v>31.3</v>
      </c>
      <c r="C1439" s="116">
        <v>31</v>
      </c>
      <c r="D1439" s="116">
        <v>30.75</v>
      </c>
      <c r="E1439" s="116">
        <v>31.25</v>
      </c>
      <c r="F1439" s="116">
        <v>62</v>
      </c>
      <c r="G1439">
        <v>36345</v>
      </c>
      <c r="H1439" s="116"/>
      <c r="I1439" s="116"/>
      <c r="L1439" s="169">
        <v>44124</v>
      </c>
      <c r="M1439" s="116">
        <v>30.975000000000001</v>
      </c>
      <c r="N1439" s="116">
        <v>31.324999999999999</v>
      </c>
      <c r="O1439" s="116">
        <v>30.7</v>
      </c>
      <c r="P1439" s="116">
        <v>31</v>
      </c>
      <c r="Q1439" s="116">
        <v>61.95</v>
      </c>
      <c r="R1439">
        <v>556494</v>
      </c>
    </row>
    <row r="1440" spans="1:18" x14ac:dyDescent="0.25">
      <c r="A1440" s="169">
        <v>44125</v>
      </c>
      <c r="B1440" s="116">
        <v>31.975000000000001</v>
      </c>
      <c r="C1440" s="116">
        <v>31.6</v>
      </c>
      <c r="D1440" s="116">
        <v>31.024999999999999</v>
      </c>
      <c r="E1440" s="116">
        <v>31.125</v>
      </c>
      <c r="F1440" s="116">
        <v>63.2</v>
      </c>
      <c r="G1440">
        <v>76628</v>
      </c>
      <c r="H1440" s="116"/>
      <c r="I1440" s="116"/>
      <c r="L1440" s="169">
        <v>44125</v>
      </c>
      <c r="M1440" s="116">
        <v>31.625</v>
      </c>
      <c r="N1440" s="116">
        <v>31.925000000000001</v>
      </c>
      <c r="O1440" s="116">
        <v>31.074999999999999</v>
      </c>
      <c r="P1440" s="116">
        <v>31.175000000000001</v>
      </c>
      <c r="Q1440" s="116">
        <v>63.25</v>
      </c>
      <c r="R1440">
        <v>602243</v>
      </c>
    </row>
    <row r="1441" spans="1:18" x14ac:dyDescent="0.25">
      <c r="A1441" s="169">
        <v>44126</v>
      </c>
      <c r="B1441" s="116">
        <v>32</v>
      </c>
      <c r="C1441" s="116">
        <v>31.2</v>
      </c>
      <c r="D1441" s="116">
        <v>30.75</v>
      </c>
      <c r="E1441" s="116">
        <v>32</v>
      </c>
      <c r="F1441" s="116">
        <v>62.4</v>
      </c>
      <c r="G1441">
        <v>32342</v>
      </c>
      <c r="H1441" s="116"/>
      <c r="I1441" s="116"/>
      <c r="L1441" s="169">
        <v>44126</v>
      </c>
      <c r="M1441" s="116">
        <v>31.25</v>
      </c>
      <c r="N1441" s="116">
        <v>31.824999999999999</v>
      </c>
      <c r="O1441" s="116">
        <v>30.725000000000001</v>
      </c>
      <c r="P1441" s="116">
        <v>31.824999999999999</v>
      </c>
      <c r="Q1441" s="116">
        <v>62.5</v>
      </c>
      <c r="R1441">
        <v>446564</v>
      </c>
    </row>
    <row r="1442" spans="1:18" x14ac:dyDescent="0.25">
      <c r="A1442" s="169">
        <v>44127</v>
      </c>
      <c r="B1442" s="116">
        <v>31.774999999999999</v>
      </c>
      <c r="C1442" s="116">
        <v>31.024999999999999</v>
      </c>
      <c r="D1442" s="116">
        <v>30.75</v>
      </c>
      <c r="E1442" s="116">
        <v>31.425000000000001</v>
      </c>
      <c r="F1442" s="116">
        <v>62.05</v>
      </c>
      <c r="G1442">
        <v>70845</v>
      </c>
      <c r="H1442" s="116"/>
      <c r="I1442" s="116"/>
      <c r="L1442" s="169">
        <v>44127</v>
      </c>
      <c r="M1442" s="116">
        <v>31.024999999999999</v>
      </c>
      <c r="N1442" s="116">
        <v>31.85</v>
      </c>
      <c r="O1442" s="116">
        <v>30.8</v>
      </c>
      <c r="P1442" s="116">
        <v>31.425000000000001</v>
      </c>
      <c r="Q1442" s="116">
        <v>62.05</v>
      </c>
      <c r="R1442">
        <v>427599</v>
      </c>
    </row>
    <row r="1443" spans="1:18" x14ac:dyDescent="0.25">
      <c r="A1443" s="169">
        <v>44130</v>
      </c>
      <c r="B1443" s="116">
        <v>31.45</v>
      </c>
      <c r="C1443" s="116">
        <v>30.45</v>
      </c>
      <c r="D1443" s="116">
        <v>30.375</v>
      </c>
      <c r="E1443" s="116">
        <v>31.125</v>
      </c>
      <c r="F1443" s="116">
        <v>60.9</v>
      </c>
      <c r="G1443">
        <v>44726</v>
      </c>
      <c r="H1443" s="116"/>
      <c r="I1443" s="116"/>
      <c r="L1443" s="169">
        <v>44130</v>
      </c>
      <c r="M1443" s="116">
        <v>30.425000000000001</v>
      </c>
      <c r="N1443" s="116">
        <v>31.5</v>
      </c>
      <c r="O1443" s="116">
        <v>30.3</v>
      </c>
      <c r="P1443" s="116">
        <v>31.25</v>
      </c>
      <c r="Q1443" s="116">
        <v>60.85</v>
      </c>
      <c r="R1443">
        <v>448381</v>
      </c>
    </row>
    <row r="1444" spans="1:18" x14ac:dyDescent="0.25">
      <c r="A1444" s="169">
        <v>44131</v>
      </c>
      <c r="B1444" s="116">
        <v>30.824999999999999</v>
      </c>
      <c r="C1444" s="116">
        <v>30.524999999999999</v>
      </c>
      <c r="D1444" s="116">
        <v>29.925000000000001</v>
      </c>
      <c r="E1444" s="116">
        <v>30.45</v>
      </c>
      <c r="F1444" s="116">
        <v>61.05</v>
      </c>
      <c r="G1444">
        <v>38277</v>
      </c>
      <c r="H1444" s="116"/>
      <c r="I1444" s="116"/>
      <c r="L1444" s="169">
        <v>44131</v>
      </c>
      <c r="M1444" s="116">
        <v>30.524999999999999</v>
      </c>
      <c r="N1444" s="116">
        <v>30.85</v>
      </c>
      <c r="O1444" s="116">
        <v>30.1</v>
      </c>
      <c r="P1444" s="116">
        <v>30.4</v>
      </c>
      <c r="Q1444" s="116">
        <v>61.05</v>
      </c>
      <c r="R1444">
        <v>323189</v>
      </c>
    </row>
    <row r="1445" spans="1:18" x14ac:dyDescent="0.25">
      <c r="A1445" s="169">
        <v>44132</v>
      </c>
      <c r="B1445" s="116">
        <v>30.65</v>
      </c>
      <c r="C1445" s="116">
        <v>30.024999999999999</v>
      </c>
      <c r="D1445" s="116">
        <v>29.875</v>
      </c>
      <c r="E1445" s="116">
        <v>30.5</v>
      </c>
      <c r="F1445" s="116">
        <v>60.05</v>
      </c>
      <c r="G1445">
        <v>35202</v>
      </c>
      <c r="H1445" s="116"/>
      <c r="I1445" s="116"/>
      <c r="L1445" s="169">
        <v>44132</v>
      </c>
      <c r="M1445" s="116">
        <v>30.024999999999999</v>
      </c>
      <c r="N1445" s="116">
        <v>30.7</v>
      </c>
      <c r="O1445" s="116">
        <v>29.875</v>
      </c>
      <c r="P1445" s="116">
        <v>30.5</v>
      </c>
      <c r="Q1445" s="116">
        <v>60.05</v>
      </c>
      <c r="R1445">
        <v>484763</v>
      </c>
    </row>
    <row r="1446" spans="1:18" x14ac:dyDescent="0.25">
      <c r="A1446" s="169">
        <v>44133</v>
      </c>
      <c r="B1446" s="116">
        <v>30.25</v>
      </c>
      <c r="C1446" s="116">
        <v>29.95</v>
      </c>
      <c r="D1446" s="116">
        <v>29.2</v>
      </c>
      <c r="E1446" s="116">
        <v>29.2</v>
      </c>
      <c r="F1446" s="116">
        <v>59.9</v>
      </c>
      <c r="G1446">
        <v>32648</v>
      </c>
      <c r="H1446" s="116"/>
      <c r="I1446" s="116"/>
      <c r="L1446" s="169">
        <v>44133</v>
      </c>
      <c r="M1446" s="116">
        <v>29.925000000000001</v>
      </c>
      <c r="N1446" s="116">
        <v>30.2</v>
      </c>
      <c r="O1446" s="116">
        <v>29.55</v>
      </c>
      <c r="P1446" s="116">
        <v>29.625</v>
      </c>
      <c r="Q1446" s="116">
        <v>59.85</v>
      </c>
      <c r="R1446">
        <v>387475</v>
      </c>
    </row>
    <row r="1447" spans="1:18" x14ac:dyDescent="0.25">
      <c r="A1447" s="169">
        <v>44134</v>
      </c>
      <c r="B1447" s="116">
        <v>30.475000000000001</v>
      </c>
      <c r="C1447" s="116">
        <v>30.1</v>
      </c>
      <c r="D1447" s="116">
        <v>29.75</v>
      </c>
      <c r="E1447" s="116">
        <v>29.975000000000001</v>
      </c>
      <c r="F1447" s="116">
        <v>60.2</v>
      </c>
      <c r="G1447">
        <v>47879</v>
      </c>
      <c r="H1447" s="116"/>
      <c r="I1447" s="116"/>
      <c r="L1447" s="169">
        <v>44134</v>
      </c>
      <c r="M1447" s="116">
        <v>30.125</v>
      </c>
      <c r="N1447" s="116">
        <v>30.55</v>
      </c>
      <c r="O1447" s="116">
        <v>29.8</v>
      </c>
      <c r="P1447" s="116">
        <v>30</v>
      </c>
      <c r="Q1447" s="116">
        <v>60.25</v>
      </c>
      <c r="R1447">
        <v>429115</v>
      </c>
    </row>
    <row r="1448" spans="1:18" x14ac:dyDescent="0.25">
      <c r="A1448" s="169">
        <v>44137</v>
      </c>
      <c r="B1448" s="116">
        <v>30.225000000000001</v>
      </c>
      <c r="C1448" s="116">
        <v>29.95</v>
      </c>
      <c r="D1448" s="116">
        <v>29.9</v>
      </c>
      <c r="E1448" s="116">
        <v>30.225000000000001</v>
      </c>
      <c r="F1448" s="116">
        <v>59.9</v>
      </c>
      <c r="G1448">
        <v>8520</v>
      </c>
      <c r="H1448" s="116"/>
      <c r="I1448" s="116"/>
      <c r="L1448" s="169">
        <v>44137</v>
      </c>
      <c r="M1448" s="116">
        <v>29.975000000000001</v>
      </c>
      <c r="N1448" s="116">
        <v>30.524999999999999</v>
      </c>
      <c r="O1448" s="116">
        <v>29.875</v>
      </c>
      <c r="P1448" s="116">
        <v>30.274999999999999</v>
      </c>
      <c r="Q1448" s="116">
        <v>59.95</v>
      </c>
      <c r="R1448">
        <v>271285</v>
      </c>
    </row>
    <row r="1449" spans="1:18" x14ac:dyDescent="0.25">
      <c r="A1449" s="169">
        <v>44138</v>
      </c>
      <c r="B1449" s="116">
        <v>31.35</v>
      </c>
      <c r="C1449" s="116">
        <v>30.425000000000001</v>
      </c>
      <c r="D1449" s="116">
        <v>30.3</v>
      </c>
      <c r="E1449" s="116">
        <v>30.45</v>
      </c>
      <c r="F1449" s="116">
        <v>60.85</v>
      </c>
      <c r="G1449">
        <v>34205</v>
      </c>
      <c r="H1449" s="116"/>
      <c r="I1449" s="116"/>
      <c r="L1449" s="169">
        <v>44138</v>
      </c>
      <c r="M1449" s="116">
        <v>30.425000000000001</v>
      </c>
      <c r="N1449" s="116">
        <v>31.35</v>
      </c>
      <c r="O1449" s="116">
        <v>30.2</v>
      </c>
      <c r="P1449" s="116">
        <v>30.5</v>
      </c>
      <c r="Q1449" s="116">
        <v>60.85</v>
      </c>
      <c r="R1449">
        <v>468892</v>
      </c>
    </row>
    <row r="1450" spans="1:18" x14ac:dyDescent="0.25">
      <c r="A1450" s="169">
        <v>44139</v>
      </c>
      <c r="B1450" s="116">
        <v>30.574999999999999</v>
      </c>
      <c r="C1450" s="116">
        <v>29.925000000000001</v>
      </c>
      <c r="D1450" s="116">
        <v>29.45</v>
      </c>
      <c r="E1450" s="116">
        <v>30.5</v>
      </c>
      <c r="F1450" s="116">
        <v>59.85</v>
      </c>
      <c r="G1450">
        <v>31307</v>
      </c>
      <c r="H1450" s="116"/>
      <c r="I1450" s="116"/>
      <c r="L1450" s="169">
        <v>44139</v>
      </c>
      <c r="M1450" s="116">
        <v>29.9</v>
      </c>
      <c r="N1450" s="116">
        <v>30.65</v>
      </c>
      <c r="O1450" s="116">
        <v>29.4</v>
      </c>
      <c r="P1450" s="116">
        <v>30.65</v>
      </c>
      <c r="Q1450" s="116">
        <v>59.8</v>
      </c>
      <c r="R1450">
        <v>321997</v>
      </c>
    </row>
    <row r="1451" spans="1:18" x14ac:dyDescent="0.25">
      <c r="A1451" s="169">
        <v>44140</v>
      </c>
      <c r="B1451" s="116">
        <v>31.2</v>
      </c>
      <c r="C1451" s="116">
        <v>30.975000000000001</v>
      </c>
      <c r="D1451" s="116">
        <v>30.1</v>
      </c>
      <c r="E1451" s="116">
        <v>30.3</v>
      </c>
      <c r="F1451" s="116">
        <v>61.95</v>
      </c>
      <c r="G1451">
        <v>47181</v>
      </c>
      <c r="H1451" s="116"/>
      <c r="I1451" s="116"/>
      <c r="L1451" s="169">
        <v>44140</v>
      </c>
      <c r="M1451" s="116">
        <v>31</v>
      </c>
      <c r="N1451" s="116">
        <v>31.25</v>
      </c>
      <c r="O1451" s="116">
        <v>30.125</v>
      </c>
      <c r="P1451" s="116">
        <v>30.324999999999999</v>
      </c>
      <c r="Q1451" s="116">
        <v>62</v>
      </c>
      <c r="R1451">
        <v>565408</v>
      </c>
    </row>
    <row r="1452" spans="1:18" x14ac:dyDescent="0.25">
      <c r="A1452" s="169">
        <v>44141</v>
      </c>
      <c r="B1452" s="116">
        <v>31.65</v>
      </c>
      <c r="C1452" s="116">
        <v>31.1</v>
      </c>
      <c r="D1452" s="116">
        <v>31</v>
      </c>
      <c r="E1452" s="116">
        <v>31.1</v>
      </c>
      <c r="F1452" s="116">
        <v>62.2</v>
      </c>
      <c r="G1452">
        <v>23204</v>
      </c>
      <c r="H1452" s="116"/>
      <c r="I1452" s="116"/>
      <c r="L1452" s="169">
        <v>44141</v>
      </c>
      <c r="M1452" s="116">
        <v>31.125</v>
      </c>
      <c r="N1452" s="116">
        <v>31.65</v>
      </c>
      <c r="O1452" s="116">
        <v>30.9</v>
      </c>
      <c r="P1452" s="116">
        <v>31.25</v>
      </c>
      <c r="Q1452" s="116">
        <v>62.25</v>
      </c>
      <c r="R1452">
        <v>526580</v>
      </c>
    </row>
    <row r="1453" spans="1:18" x14ac:dyDescent="0.25">
      <c r="A1453" s="169">
        <v>44144</v>
      </c>
      <c r="B1453" s="116">
        <v>31.75</v>
      </c>
      <c r="C1453" s="116">
        <v>30.774999999999999</v>
      </c>
      <c r="D1453" s="116">
        <v>30.65</v>
      </c>
      <c r="E1453" s="116">
        <v>31.375</v>
      </c>
      <c r="F1453" s="116">
        <v>61.55</v>
      </c>
      <c r="G1453">
        <v>63962</v>
      </c>
      <c r="H1453" s="116"/>
      <c r="I1453" s="116"/>
      <c r="L1453" s="169">
        <v>44144</v>
      </c>
      <c r="M1453" s="116">
        <v>30.8</v>
      </c>
      <c r="N1453" s="116">
        <v>31.9</v>
      </c>
      <c r="O1453" s="116">
        <v>30.625</v>
      </c>
      <c r="P1453" s="116">
        <v>31.324999999999999</v>
      </c>
      <c r="Q1453" s="116">
        <v>61.6</v>
      </c>
      <c r="R1453">
        <v>837211</v>
      </c>
    </row>
    <row r="1454" spans="1:18" x14ac:dyDescent="0.25">
      <c r="A1454" s="169">
        <v>44145</v>
      </c>
      <c r="B1454" s="116">
        <v>31.175000000000001</v>
      </c>
      <c r="C1454" s="116">
        <v>30.824999999999999</v>
      </c>
      <c r="D1454" s="116">
        <v>30.574999999999999</v>
      </c>
      <c r="E1454" s="116">
        <v>30.8</v>
      </c>
      <c r="F1454" s="116">
        <v>61.65</v>
      </c>
      <c r="G1454">
        <v>52291</v>
      </c>
      <c r="H1454" s="116"/>
      <c r="I1454" s="116"/>
      <c r="L1454" s="169">
        <v>44145</v>
      </c>
      <c r="M1454" s="116">
        <v>30.8</v>
      </c>
      <c r="N1454" s="116">
        <v>31.2</v>
      </c>
      <c r="O1454" s="116">
        <v>30.5</v>
      </c>
      <c r="P1454" s="116">
        <v>30.85</v>
      </c>
      <c r="Q1454" s="116">
        <v>61.6</v>
      </c>
      <c r="R1454">
        <v>795425</v>
      </c>
    </row>
    <row r="1455" spans="1:18" x14ac:dyDescent="0.25">
      <c r="A1455" s="169">
        <v>44146</v>
      </c>
      <c r="B1455" s="116">
        <v>31.2</v>
      </c>
      <c r="C1455" s="116">
        <v>31.024999999999999</v>
      </c>
      <c r="D1455" s="116">
        <v>30.725000000000001</v>
      </c>
      <c r="E1455" s="116">
        <v>31.074999999999999</v>
      </c>
      <c r="F1455" s="116">
        <v>62.05</v>
      </c>
      <c r="G1455">
        <v>52108</v>
      </c>
      <c r="H1455" s="116"/>
      <c r="I1455" s="116"/>
      <c r="L1455" s="169">
        <v>44146</v>
      </c>
      <c r="M1455" s="116">
        <v>31</v>
      </c>
      <c r="N1455" s="116">
        <v>31.35</v>
      </c>
      <c r="O1455" s="116">
        <v>30.725000000000001</v>
      </c>
      <c r="P1455" s="116">
        <v>30.975000000000001</v>
      </c>
      <c r="Q1455" s="116">
        <v>62</v>
      </c>
      <c r="R1455">
        <v>485339</v>
      </c>
    </row>
    <row r="1456" spans="1:18" x14ac:dyDescent="0.25">
      <c r="A1456" s="169">
        <v>44147</v>
      </c>
      <c r="B1456" s="116">
        <v>32.65</v>
      </c>
      <c r="C1456" s="116">
        <v>31.95</v>
      </c>
      <c r="D1456" s="116">
        <v>31.024999999999999</v>
      </c>
      <c r="E1456" s="116">
        <v>31.024999999999999</v>
      </c>
      <c r="F1456" s="116">
        <v>63.9</v>
      </c>
      <c r="G1456">
        <v>160452</v>
      </c>
      <c r="H1456" s="116"/>
      <c r="I1456" s="116"/>
      <c r="L1456" s="169">
        <v>44147</v>
      </c>
      <c r="M1456" s="116">
        <v>32</v>
      </c>
      <c r="N1456" s="116">
        <v>32.700000000000003</v>
      </c>
      <c r="O1456" s="116">
        <v>31.024999999999999</v>
      </c>
      <c r="P1456" s="116">
        <v>31.35</v>
      </c>
      <c r="Q1456" s="116">
        <v>64</v>
      </c>
      <c r="R1456">
        <v>1700285</v>
      </c>
    </row>
    <row r="1457" spans="1:18" x14ac:dyDescent="0.25">
      <c r="A1457" s="169">
        <v>44148</v>
      </c>
      <c r="B1457" s="116">
        <v>32.725000000000001</v>
      </c>
      <c r="C1457" s="116">
        <v>32.35</v>
      </c>
      <c r="D1457" s="116">
        <v>31.6</v>
      </c>
      <c r="E1457" s="116">
        <v>32.450000000000003</v>
      </c>
      <c r="F1457" s="116">
        <v>64.7</v>
      </c>
      <c r="G1457">
        <v>35926</v>
      </c>
      <c r="H1457" s="116"/>
      <c r="I1457" s="116"/>
      <c r="L1457" s="169">
        <v>44148</v>
      </c>
      <c r="M1457" s="116">
        <v>32.274999999999999</v>
      </c>
      <c r="N1457" s="116">
        <v>32.9</v>
      </c>
      <c r="O1457" s="116">
        <v>31.65</v>
      </c>
      <c r="P1457" s="116">
        <v>32.15</v>
      </c>
      <c r="Q1457" s="116">
        <v>64.55</v>
      </c>
      <c r="R1457">
        <v>520276</v>
      </c>
    </row>
    <row r="1458" spans="1:18" x14ac:dyDescent="0.25">
      <c r="A1458" s="169">
        <v>44149</v>
      </c>
      <c r="B1458" s="116">
        <v>33.15</v>
      </c>
      <c r="C1458" s="116">
        <v>32.475000000000001</v>
      </c>
      <c r="D1458" s="116">
        <v>32.375</v>
      </c>
      <c r="E1458" s="116">
        <v>33</v>
      </c>
      <c r="F1458" s="116">
        <v>64.95</v>
      </c>
      <c r="G1458">
        <v>33844</v>
      </c>
      <c r="H1458" s="116"/>
      <c r="I1458" s="116"/>
      <c r="L1458" s="169">
        <v>44149</v>
      </c>
      <c r="M1458" s="116">
        <v>32.475000000000001</v>
      </c>
      <c r="N1458" s="116">
        <v>33.25</v>
      </c>
      <c r="O1458" s="116">
        <v>32.375</v>
      </c>
      <c r="P1458" s="116">
        <v>33.049999999999997</v>
      </c>
      <c r="Q1458" s="116">
        <v>64.95</v>
      </c>
      <c r="R1458">
        <v>243853</v>
      </c>
    </row>
    <row r="1459" spans="1:18" x14ac:dyDescent="0.25">
      <c r="A1459" s="169">
        <v>44152</v>
      </c>
      <c r="B1459" s="116">
        <v>33.9</v>
      </c>
      <c r="C1459" s="116">
        <v>32.799999999999997</v>
      </c>
      <c r="D1459" s="116">
        <v>32.6</v>
      </c>
      <c r="E1459" s="116">
        <v>33</v>
      </c>
      <c r="F1459" s="116">
        <v>65.599999999999994</v>
      </c>
      <c r="G1459">
        <v>113685</v>
      </c>
      <c r="H1459" s="116"/>
      <c r="I1459" s="116"/>
      <c r="L1459" s="169">
        <v>44152</v>
      </c>
      <c r="M1459" s="116">
        <v>32.825000000000003</v>
      </c>
      <c r="N1459" s="116">
        <v>33.875</v>
      </c>
      <c r="O1459" s="116">
        <v>32.65</v>
      </c>
      <c r="P1459" s="116">
        <v>32.825000000000003</v>
      </c>
      <c r="Q1459" s="116">
        <v>65.650000000000006</v>
      </c>
      <c r="R1459">
        <v>1172638</v>
      </c>
    </row>
    <row r="1460" spans="1:18" x14ac:dyDescent="0.25">
      <c r="A1460" s="169">
        <v>44153</v>
      </c>
      <c r="B1460" s="116">
        <v>33.9</v>
      </c>
      <c r="C1460" s="116">
        <v>33.375</v>
      </c>
      <c r="D1460" s="116">
        <v>32.875</v>
      </c>
      <c r="E1460" s="116">
        <v>33.1</v>
      </c>
      <c r="F1460" s="116">
        <v>66.75</v>
      </c>
      <c r="G1460">
        <v>105153</v>
      </c>
      <c r="H1460" s="116"/>
      <c r="I1460" s="116"/>
      <c r="L1460" s="169">
        <v>44153</v>
      </c>
      <c r="M1460" s="116">
        <v>33.375</v>
      </c>
      <c r="N1460" s="116">
        <v>33.924999999999997</v>
      </c>
      <c r="O1460" s="116">
        <v>32.875</v>
      </c>
      <c r="P1460" s="116">
        <v>33</v>
      </c>
      <c r="Q1460" s="116">
        <v>66.75</v>
      </c>
      <c r="R1460">
        <v>1911832</v>
      </c>
    </row>
    <row r="1461" spans="1:18" x14ac:dyDescent="0.25">
      <c r="A1461" s="169">
        <v>44154</v>
      </c>
      <c r="B1461" s="116">
        <v>34.375</v>
      </c>
      <c r="C1461" s="116">
        <v>33.125</v>
      </c>
      <c r="D1461" s="116">
        <v>32.774999999999999</v>
      </c>
      <c r="E1461" s="116">
        <v>33.25</v>
      </c>
      <c r="F1461" s="116">
        <v>66.25</v>
      </c>
      <c r="G1461">
        <v>140697</v>
      </c>
      <c r="H1461" s="116"/>
      <c r="I1461" s="116"/>
      <c r="L1461" s="169">
        <v>44154</v>
      </c>
      <c r="M1461" s="116">
        <v>33.125</v>
      </c>
      <c r="N1461" s="116">
        <v>34.4</v>
      </c>
      <c r="O1461" s="116">
        <v>32.725000000000001</v>
      </c>
      <c r="P1461" s="116">
        <v>32.85</v>
      </c>
      <c r="Q1461" s="116">
        <v>66.25</v>
      </c>
      <c r="R1461">
        <v>1596441</v>
      </c>
    </row>
    <row r="1462" spans="1:18" x14ac:dyDescent="0.25">
      <c r="A1462" s="169">
        <v>44155</v>
      </c>
      <c r="B1462" s="116">
        <v>33.65</v>
      </c>
      <c r="C1462" s="116">
        <v>32.774999999999999</v>
      </c>
      <c r="D1462" s="116">
        <v>32.575000000000003</v>
      </c>
      <c r="E1462" s="116">
        <v>33.325000000000003</v>
      </c>
      <c r="F1462" s="116">
        <v>65.55</v>
      </c>
      <c r="G1462">
        <v>51578</v>
      </c>
      <c r="H1462" s="116"/>
      <c r="I1462" s="116"/>
      <c r="L1462" s="169">
        <v>44155</v>
      </c>
      <c r="M1462" s="116">
        <v>32.75</v>
      </c>
      <c r="N1462" s="116">
        <v>33.700000000000003</v>
      </c>
      <c r="O1462" s="116">
        <v>32.6</v>
      </c>
      <c r="P1462" s="116">
        <v>33.35</v>
      </c>
      <c r="Q1462" s="116">
        <v>65.5</v>
      </c>
      <c r="R1462">
        <v>558714</v>
      </c>
    </row>
    <row r="1463" spans="1:18" x14ac:dyDescent="0.25">
      <c r="A1463" s="169">
        <v>44158</v>
      </c>
      <c r="B1463" s="116">
        <v>33.799999999999997</v>
      </c>
      <c r="C1463" s="116">
        <v>33.5</v>
      </c>
      <c r="D1463" s="116">
        <v>32.9</v>
      </c>
      <c r="E1463" s="116">
        <v>32.9</v>
      </c>
      <c r="F1463" s="116">
        <v>67</v>
      </c>
      <c r="G1463">
        <v>112378</v>
      </c>
      <c r="H1463" s="116"/>
      <c r="I1463" s="116"/>
      <c r="L1463" s="169">
        <v>44158</v>
      </c>
      <c r="M1463" s="116">
        <v>33.5</v>
      </c>
      <c r="N1463" s="116">
        <v>33.85</v>
      </c>
      <c r="O1463" s="116">
        <v>33</v>
      </c>
      <c r="P1463" s="116">
        <v>33.15</v>
      </c>
      <c r="Q1463" s="116">
        <v>67</v>
      </c>
      <c r="R1463">
        <v>946219</v>
      </c>
    </row>
    <row r="1464" spans="1:18" x14ac:dyDescent="0.25">
      <c r="A1464" s="169">
        <v>44159</v>
      </c>
      <c r="B1464" s="116">
        <v>33.75</v>
      </c>
      <c r="C1464" s="116">
        <v>33.325000000000003</v>
      </c>
      <c r="D1464" s="116">
        <v>33.1</v>
      </c>
      <c r="E1464" s="116">
        <v>33.5</v>
      </c>
      <c r="F1464" s="116">
        <v>66.650000000000006</v>
      </c>
      <c r="G1464">
        <v>52524</v>
      </c>
      <c r="H1464" s="116"/>
      <c r="I1464" s="116"/>
      <c r="L1464" s="169">
        <v>44159</v>
      </c>
      <c r="M1464" s="116">
        <v>33.325000000000003</v>
      </c>
      <c r="N1464" s="116">
        <v>33.799999999999997</v>
      </c>
      <c r="O1464" s="116">
        <v>33.075000000000003</v>
      </c>
      <c r="P1464" s="116">
        <v>33.625</v>
      </c>
      <c r="Q1464" s="116">
        <v>66.650000000000006</v>
      </c>
      <c r="R1464">
        <v>437512</v>
      </c>
    </row>
    <row r="1465" spans="1:18" x14ac:dyDescent="0.25">
      <c r="A1465" s="169">
        <v>44160</v>
      </c>
      <c r="B1465" s="116">
        <v>34.424999999999997</v>
      </c>
      <c r="C1465" s="116">
        <v>33.85</v>
      </c>
      <c r="D1465" s="116">
        <v>33.1</v>
      </c>
      <c r="E1465" s="116">
        <v>33.799999999999997</v>
      </c>
      <c r="F1465" s="116">
        <v>67.7</v>
      </c>
      <c r="G1465">
        <v>218089</v>
      </c>
      <c r="H1465" s="116"/>
      <c r="I1465" s="116"/>
      <c r="L1465" s="169">
        <v>44160</v>
      </c>
      <c r="M1465" s="116">
        <v>33.85</v>
      </c>
      <c r="N1465" s="116">
        <v>34.450000000000003</v>
      </c>
      <c r="O1465" s="116">
        <v>33.075000000000003</v>
      </c>
      <c r="P1465" s="116">
        <v>34</v>
      </c>
      <c r="Q1465" s="116">
        <v>67.7</v>
      </c>
      <c r="R1465">
        <v>2014096</v>
      </c>
    </row>
    <row r="1466" spans="1:18" x14ac:dyDescent="0.25">
      <c r="A1466" s="169">
        <v>44161</v>
      </c>
      <c r="B1466" s="116">
        <v>34.375</v>
      </c>
      <c r="C1466" s="116">
        <v>34.075000000000003</v>
      </c>
      <c r="D1466" s="116">
        <v>33.575000000000003</v>
      </c>
      <c r="E1466" s="116">
        <v>34.1</v>
      </c>
      <c r="F1466" s="116">
        <v>68.150000000000006</v>
      </c>
      <c r="G1466">
        <v>117466</v>
      </c>
      <c r="H1466" s="116"/>
      <c r="I1466" s="116"/>
      <c r="L1466" s="169">
        <v>44161</v>
      </c>
      <c r="M1466" s="116">
        <v>34.15</v>
      </c>
      <c r="N1466" s="116">
        <v>34.424999999999997</v>
      </c>
      <c r="O1466" s="116">
        <v>33.549999999999997</v>
      </c>
      <c r="P1466" s="116">
        <v>33.85</v>
      </c>
      <c r="Q1466" s="116">
        <v>68.3</v>
      </c>
      <c r="R1466">
        <v>858483</v>
      </c>
    </row>
    <row r="1467" spans="1:18" x14ac:dyDescent="0.25">
      <c r="A1467" s="169">
        <v>44162</v>
      </c>
      <c r="B1467" s="116">
        <v>35.6</v>
      </c>
      <c r="C1467" s="116">
        <v>34.875</v>
      </c>
      <c r="D1467" s="116">
        <v>34.4</v>
      </c>
      <c r="E1467" s="116">
        <v>34.924999999999997</v>
      </c>
      <c r="F1467" s="116">
        <v>69.75</v>
      </c>
      <c r="G1467">
        <v>174353</v>
      </c>
      <c r="H1467" s="116"/>
      <c r="I1467" s="116"/>
      <c r="L1467" s="169">
        <v>44162</v>
      </c>
      <c r="M1467" s="116">
        <v>34.875</v>
      </c>
      <c r="N1467" s="116">
        <v>35.625</v>
      </c>
      <c r="O1467" s="116">
        <v>34.25</v>
      </c>
      <c r="P1467" s="116">
        <v>34.25</v>
      </c>
      <c r="Q1467" s="116">
        <v>69.75</v>
      </c>
      <c r="R1467">
        <v>2040036</v>
      </c>
    </row>
    <row r="1468" spans="1:18" x14ac:dyDescent="0.25">
      <c r="A1468" s="169">
        <v>44166</v>
      </c>
      <c r="B1468" s="116">
        <v>36.549999999999997</v>
      </c>
      <c r="C1468" s="116">
        <v>36</v>
      </c>
      <c r="D1468" s="116">
        <v>34.575000000000003</v>
      </c>
      <c r="E1468" s="116">
        <v>35</v>
      </c>
      <c r="F1468" s="116">
        <v>72</v>
      </c>
      <c r="G1468">
        <v>244871</v>
      </c>
      <c r="H1468" s="116"/>
      <c r="I1468" s="116"/>
      <c r="L1468" s="169">
        <v>44166</v>
      </c>
      <c r="M1468" s="116">
        <v>36</v>
      </c>
      <c r="N1468" s="116">
        <v>36.549999999999997</v>
      </c>
      <c r="O1468" s="116">
        <v>34.575000000000003</v>
      </c>
      <c r="P1468" s="116">
        <v>35.075000000000003</v>
      </c>
      <c r="Q1468" s="116">
        <v>72</v>
      </c>
      <c r="R1468">
        <v>2377632</v>
      </c>
    </row>
    <row r="1469" spans="1:18" x14ac:dyDescent="0.25">
      <c r="A1469" s="169">
        <v>44167</v>
      </c>
      <c r="B1469" s="116">
        <v>38.15</v>
      </c>
      <c r="C1469" s="116">
        <v>37.75</v>
      </c>
      <c r="D1469" s="116">
        <v>36</v>
      </c>
      <c r="E1469" s="116">
        <v>36</v>
      </c>
      <c r="F1469" s="116">
        <v>75.5</v>
      </c>
      <c r="G1469">
        <v>385202</v>
      </c>
      <c r="H1469" s="116"/>
      <c r="I1469" s="116"/>
      <c r="L1469" s="169">
        <v>44167</v>
      </c>
      <c r="M1469" s="116">
        <v>37.700000000000003</v>
      </c>
      <c r="N1469" s="116">
        <v>38.200000000000003</v>
      </c>
      <c r="O1469" s="116">
        <v>36</v>
      </c>
      <c r="P1469" s="116">
        <v>36.25</v>
      </c>
      <c r="Q1469" s="116">
        <v>75.400000000000006</v>
      </c>
      <c r="R1469">
        <v>3667046</v>
      </c>
    </row>
    <row r="1470" spans="1:18" x14ac:dyDescent="0.25">
      <c r="A1470" s="169">
        <v>44168</v>
      </c>
      <c r="B1470" s="116">
        <v>38.975000000000001</v>
      </c>
      <c r="C1470" s="116">
        <v>37.975000000000001</v>
      </c>
      <c r="D1470" s="116">
        <v>37.799999999999997</v>
      </c>
      <c r="E1470" s="116">
        <v>38.35</v>
      </c>
      <c r="F1470" s="116">
        <v>75.95</v>
      </c>
      <c r="G1470">
        <v>249812</v>
      </c>
      <c r="H1470" s="116"/>
      <c r="I1470" s="116"/>
      <c r="L1470" s="169">
        <v>44168</v>
      </c>
      <c r="M1470" s="116">
        <v>37.975000000000001</v>
      </c>
      <c r="N1470" s="116">
        <v>39</v>
      </c>
      <c r="O1470" s="116">
        <v>37.85</v>
      </c>
      <c r="P1470" s="116">
        <v>38.450000000000003</v>
      </c>
      <c r="Q1470" s="116">
        <v>75.95</v>
      </c>
      <c r="R1470">
        <v>2357907</v>
      </c>
    </row>
    <row r="1471" spans="1:18" x14ac:dyDescent="0.25">
      <c r="A1471" s="169">
        <v>44169</v>
      </c>
      <c r="B1471" s="116">
        <v>38.450000000000003</v>
      </c>
      <c r="C1471" s="116">
        <v>36.950000000000003</v>
      </c>
      <c r="D1471" s="116">
        <v>36.35</v>
      </c>
      <c r="E1471" s="116">
        <v>38.450000000000003</v>
      </c>
      <c r="F1471" s="116">
        <v>73.900000000000006</v>
      </c>
      <c r="G1471">
        <v>175937</v>
      </c>
      <c r="H1471" s="116"/>
      <c r="I1471" s="116"/>
      <c r="L1471" s="169">
        <v>44169</v>
      </c>
      <c r="M1471" s="116">
        <v>36.950000000000003</v>
      </c>
      <c r="N1471" s="116">
        <v>38.35</v>
      </c>
      <c r="O1471" s="116">
        <v>36.274999999999999</v>
      </c>
      <c r="P1471" s="116">
        <v>38.25</v>
      </c>
      <c r="Q1471" s="116">
        <v>73.900000000000006</v>
      </c>
      <c r="R1471">
        <v>1484281</v>
      </c>
    </row>
    <row r="1472" spans="1:18" x14ac:dyDescent="0.25">
      <c r="A1472" s="169">
        <v>44172</v>
      </c>
      <c r="B1472" s="116">
        <v>38.475000000000001</v>
      </c>
      <c r="C1472" s="116">
        <v>38.1</v>
      </c>
      <c r="D1472" s="116">
        <v>37.475000000000001</v>
      </c>
      <c r="E1472" s="116">
        <v>38</v>
      </c>
      <c r="F1472" s="116">
        <v>76.2</v>
      </c>
      <c r="G1472">
        <v>200984</v>
      </c>
      <c r="H1472" s="116"/>
      <c r="I1472" s="116"/>
      <c r="L1472" s="169">
        <v>44172</v>
      </c>
      <c r="M1472" s="116">
        <v>38.1</v>
      </c>
      <c r="N1472" s="116">
        <v>38.5</v>
      </c>
      <c r="O1472" s="116">
        <v>37.424999999999997</v>
      </c>
      <c r="P1472" s="116">
        <v>37.450000000000003</v>
      </c>
      <c r="Q1472" s="116">
        <v>76.2</v>
      </c>
      <c r="R1472">
        <v>1879035</v>
      </c>
    </row>
    <row r="1473" spans="1:18" x14ac:dyDescent="0.25">
      <c r="A1473" s="169">
        <v>44173</v>
      </c>
      <c r="B1473" s="116">
        <v>38.299999999999997</v>
      </c>
      <c r="C1473" s="116">
        <v>36.65</v>
      </c>
      <c r="D1473" s="116">
        <v>36.475000000000001</v>
      </c>
      <c r="E1473" s="116">
        <v>37.799999999999997</v>
      </c>
      <c r="F1473" s="116">
        <v>73.3</v>
      </c>
      <c r="G1473">
        <v>75421</v>
      </c>
      <c r="H1473" s="116"/>
      <c r="I1473" s="116"/>
      <c r="L1473" s="169">
        <v>44173</v>
      </c>
      <c r="M1473" s="116">
        <v>36.625</v>
      </c>
      <c r="N1473" s="116">
        <v>38.375</v>
      </c>
      <c r="O1473" s="116">
        <v>36.4</v>
      </c>
      <c r="P1473" s="116">
        <v>38.225000000000001</v>
      </c>
      <c r="Q1473" s="116">
        <v>73.25</v>
      </c>
      <c r="R1473">
        <v>1863311</v>
      </c>
    </row>
    <row r="1474" spans="1:18" x14ac:dyDescent="0.25">
      <c r="A1474" s="169">
        <v>44174</v>
      </c>
      <c r="B1474" s="116">
        <v>37.4</v>
      </c>
      <c r="C1474" s="116">
        <v>36.799999999999997</v>
      </c>
      <c r="D1474" s="116">
        <v>36.524999999999999</v>
      </c>
      <c r="E1474" s="116">
        <v>37.4</v>
      </c>
      <c r="F1474" s="116">
        <v>73.599999999999994</v>
      </c>
      <c r="G1474">
        <v>126527</v>
      </c>
      <c r="H1474" s="116"/>
      <c r="I1474" s="116"/>
      <c r="L1474" s="169">
        <v>44174</v>
      </c>
      <c r="M1474" s="116">
        <v>36.825000000000003</v>
      </c>
      <c r="N1474" s="116">
        <v>37.4</v>
      </c>
      <c r="O1474" s="116">
        <v>36.450000000000003</v>
      </c>
      <c r="P1474" s="116">
        <v>37</v>
      </c>
      <c r="Q1474" s="116">
        <v>73.650000000000006</v>
      </c>
      <c r="R1474">
        <v>1001786</v>
      </c>
    </row>
    <row r="1475" spans="1:18" x14ac:dyDescent="0.25">
      <c r="A1475" s="169">
        <v>44175</v>
      </c>
      <c r="B1475" s="116">
        <v>36.799999999999997</v>
      </c>
      <c r="C1475" s="116">
        <v>36.174999999999997</v>
      </c>
      <c r="D1475" s="116">
        <v>35.625</v>
      </c>
      <c r="E1475" s="116">
        <v>36.725000000000001</v>
      </c>
      <c r="F1475" s="116">
        <v>72.349999999999994</v>
      </c>
      <c r="G1475">
        <v>58198</v>
      </c>
      <c r="H1475" s="116"/>
      <c r="I1475" s="116"/>
      <c r="L1475" s="169">
        <v>44175</v>
      </c>
      <c r="M1475" s="116">
        <v>36.174999999999997</v>
      </c>
      <c r="N1475" s="116">
        <v>36.875</v>
      </c>
      <c r="O1475" s="116">
        <v>35.625</v>
      </c>
      <c r="P1475" s="116">
        <v>36.524999999999999</v>
      </c>
      <c r="Q1475" s="116">
        <v>72.349999999999994</v>
      </c>
      <c r="R1475">
        <v>911560</v>
      </c>
    </row>
    <row r="1476" spans="1:18" x14ac:dyDescent="0.25">
      <c r="A1476" s="169">
        <v>44176</v>
      </c>
      <c r="B1476" s="116">
        <v>39.125</v>
      </c>
      <c r="C1476" s="116">
        <v>38.225000000000001</v>
      </c>
      <c r="D1476" s="116">
        <v>36.35</v>
      </c>
      <c r="E1476" s="116">
        <v>36.35</v>
      </c>
      <c r="F1476" s="116">
        <v>76.45</v>
      </c>
      <c r="G1476">
        <v>394483</v>
      </c>
      <c r="H1476" s="116"/>
      <c r="I1476" s="116"/>
      <c r="L1476" s="169">
        <v>44176</v>
      </c>
      <c r="M1476" s="116">
        <v>38.225000000000001</v>
      </c>
      <c r="N1476" s="116">
        <v>39.15</v>
      </c>
      <c r="O1476" s="116">
        <v>36.4</v>
      </c>
      <c r="P1476" s="116">
        <v>36.475000000000001</v>
      </c>
      <c r="Q1476" s="116">
        <v>76.45</v>
      </c>
      <c r="R1476">
        <v>3590931</v>
      </c>
    </row>
    <row r="1477" spans="1:18" x14ac:dyDescent="0.25">
      <c r="A1477" s="169">
        <v>44179</v>
      </c>
      <c r="B1477" s="116">
        <v>38.825000000000003</v>
      </c>
      <c r="C1477" s="116">
        <v>38.475000000000001</v>
      </c>
      <c r="D1477" s="116">
        <v>37</v>
      </c>
      <c r="E1477" s="116">
        <v>38.475000000000001</v>
      </c>
      <c r="F1477" s="116">
        <v>76.95</v>
      </c>
      <c r="G1477">
        <v>163722</v>
      </c>
      <c r="H1477" s="116"/>
      <c r="I1477" s="116"/>
      <c r="L1477" s="169">
        <v>44179</v>
      </c>
      <c r="M1477" s="116">
        <v>38.450000000000003</v>
      </c>
      <c r="N1477" s="116">
        <v>38.85</v>
      </c>
      <c r="O1477" s="116">
        <v>37.85</v>
      </c>
      <c r="P1477" s="116">
        <v>38.5</v>
      </c>
      <c r="Q1477" s="116">
        <v>76.900000000000006</v>
      </c>
      <c r="R1477">
        <v>1330110</v>
      </c>
    </row>
    <row r="1478" spans="1:18" x14ac:dyDescent="0.25">
      <c r="A1478" s="169">
        <v>44180</v>
      </c>
      <c r="B1478" s="116">
        <v>40.375</v>
      </c>
      <c r="C1478" s="116">
        <v>39.799999999999997</v>
      </c>
      <c r="D1478" s="116">
        <v>38.25</v>
      </c>
      <c r="E1478" s="116">
        <v>38.75</v>
      </c>
      <c r="F1478" s="116">
        <v>79.599999999999994</v>
      </c>
      <c r="G1478">
        <v>261984</v>
      </c>
      <c r="H1478" s="116"/>
      <c r="I1478" s="116"/>
      <c r="L1478" s="169">
        <v>44180</v>
      </c>
      <c r="M1478" s="116">
        <v>39.774999999999999</v>
      </c>
      <c r="N1478" s="116">
        <v>40.4</v>
      </c>
      <c r="O1478" s="116">
        <v>38.25</v>
      </c>
      <c r="P1478" s="116">
        <v>38.75</v>
      </c>
      <c r="Q1478" s="116">
        <v>79.55</v>
      </c>
      <c r="R1478">
        <v>2836415</v>
      </c>
    </row>
    <row r="1479" spans="1:18" x14ac:dyDescent="0.25">
      <c r="A1479" s="169">
        <v>44181</v>
      </c>
      <c r="B1479" s="116">
        <v>40.950000000000003</v>
      </c>
      <c r="C1479" s="116">
        <v>39.674999999999997</v>
      </c>
      <c r="D1479" s="116">
        <v>39.475000000000001</v>
      </c>
      <c r="E1479" s="116">
        <v>40.075000000000003</v>
      </c>
      <c r="F1479" s="116">
        <v>79.349999999999994</v>
      </c>
      <c r="G1479">
        <v>347524</v>
      </c>
      <c r="H1479" s="116"/>
      <c r="I1479" s="116"/>
      <c r="L1479" s="169">
        <v>44181</v>
      </c>
      <c r="M1479" s="116">
        <v>39.674999999999997</v>
      </c>
      <c r="N1479" s="116">
        <v>40.950000000000003</v>
      </c>
      <c r="O1479" s="116">
        <v>39.5</v>
      </c>
      <c r="P1479" s="116">
        <v>40.375</v>
      </c>
      <c r="Q1479" s="116">
        <v>79.349999999999994</v>
      </c>
      <c r="R1479">
        <v>2602335</v>
      </c>
    </row>
    <row r="1480" spans="1:18" x14ac:dyDescent="0.25">
      <c r="A1480" s="169">
        <v>44182</v>
      </c>
      <c r="B1480" s="116">
        <v>40</v>
      </c>
      <c r="C1480" s="116">
        <v>38.524999999999999</v>
      </c>
      <c r="D1480" s="116">
        <v>38.35</v>
      </c>
      <c r="E1480" s="116">
        <v>40</v>
      </c>
      <c r="F1480" s="116">
        <v>77.05</v>
      </c>
      <c r="G1480">
        <v>137237</v>
      </c>
      <c r="H1480" s="116"/>
      <c r="I1480" s="116"/>
      <c r="L1480" s="169">
        <v>44182</v>
      </c>
      <c r="M1480" s="116">
        <v>38.575000000000003</v>
      </c>
      <c r="N1480" s="116">
        <v>39.9</v>
      </c>
      <c r="O1480" s="116">
        <v>38.325000000000003</v>
      </c>
      <c r="P1480" s="116">
        <v>39.85</v>
      </c>
      <c r="Q1480" s="116">
        <v>77.150000000000006</v>
      </c>
      <c r="R1480">
        <v>1031479</v>
      </c>
    </row>
    <row r="1481" spans="1:18" x14ac:dyDescent="0.25">
      <c r="A1481" s="169">
        <v>44183</v>
      </c>
      <c r="B1481" s="116">
        <v>38.674999999999997</v>
      </c>
      <c r="C1481" s="116">
        <v>38.075000000000003</v>
      </c>
      <c r="D1481" s="116">
        <v>37.325000000000003</v>
      </c>
      <c r="E1481" s="116">
        <v>38.674999999999997</v>
      </c>
      <c r="F1481" s="116">
        <v>76.150000000000006</v>
      </c>
      <c r="G1481">
        <v>46314</v>
      </c>
      <c r="H1481" s="116"/>
      <c r="I1481" s="116"/>
      <c r="L1481" s="169">
        <v>44183</v>
      </c>
      <c r="M1481" s="116">
        <v>38.1</v>
      </c>
      <c r="N1481" s="116">
        <v>38.725000000000001</v>
      </c>
      <c r="O1481" s="116">
        <v>37.274999999999999</v>
      </c>
      <c r="P1481" s="116">
        <v>38.6</v>
      </c>
      <c r="Q1481" s="116">
        <v>76.2</v>
      </c>
      <c r="R1481">
        <v>939751</v>
      </c>
    </row>
    <row r="1482" spans="1:18" x14ac:dyDescent="0.25">
      <c r="A1482" s="169">
        <v>44186</v>
      </c>
      <c r="B1482" s="116">
        <v>38.950000000000003</v>
      </c>
      <c r="C1482" s="116">
        <v>35.325000000000003</v>
      </c>
      <c r="D1482" s="116">
        <v>34.174999999999997</v>
      </c>
      <c r="E1482" s="116">
        <v>38.075000000000003</v>
      </c>
      <c r="F1482" s="116">
        <v>70.650000000000006</v>
      </c>
      <c r="G1482">
        <v>117636</v>
      </c>
      <c r="H1482" s="116"/>
      <c r="I1482" s="116"/>
      <c r="L1482" s="169">
        <v>44186</v>
      </c>
      <c r="M1482" s="116">
        <v>35.1</v>
      </c>
      <c r="N1482" s="116">
        <v>38.975000000000001</v>
      </c>
      <c r="O1482" s="116">
        <v>34.1</v>
      </c>
      <c r="P1482" s="116">
        <v>38.299999999999997</v>
      </c>
      <c r="Q1482" s="116">
        <v>70.2</v>
      </c>
      <c r="R1482">
        <v>1305856</v>
      </c>
    </row>
    <row r="1483" spans="1:18" x14ac:dyDescent="0.25">
      <c r="A1483" s="169">
        <v>44187</v>
      </c>
      <c r="B1483" s="116">
        <v>36.15</v>
      </c>
      <c r="C1483" s="116">
        <v>35.725000000000001</v>
      </c>
      <c r="D1483" s="116">
        <v>33.725000000000001</v>
      </c>
      <c r="E1483" s="116">
        <v>35.325000000000003</v>
      </c>
      <c r="F1483" s="116">
        <v>71.45</v>
      </c>
      <c r="G1483">
        <v>111701</v>
      </c>
      <c r="H1483" s="116"/>
      <c r="I1483" s="116"/>
      <c r="L1483" s="169">
        <v>44187</v>
      </c>
      <c r="M1483" s="116">
        <v>35.799999999999997</v>
      </c>
      <c r="N1483" s="116">
        <v>36.200000000000003</v>
      </c>
      <c r="O1483" s="116">
        <v>33.75</v>
      </c>
      <c r="P1483" s="116">
        <v>35.6</v>
      </c>
      <c r="Q1483" s="116">
        <v>71.599999999999994</v>
      </c>
      <c r="R1483">
        <v>1036234</v>
      </c>
    </row>
    <row r="1484" spans="1:18" x14ac:dyDescent="0.25">
      <c r="A1484" s="169">
        <v>44188</v>
      </c>
      <c r="B1484" s="116">
        <v>37.5</v>
      </c>
      <c r="C1484" s="116">
        <v>37.299999999999997</v>
      </c>
      <c r="D1484" s="116">
        <v>35.75</v>
      </c>
      <c r="E1484" s="116">
        <v>36.75</v>
      </c>
      <c r="F1484" s="116">
        <v>74.599999999999994</v>
      </c>
      <c r="G1484">
        <v>56551</v>
      </c>
      <c r="H1484" s="116"/>
      <c r="I1484" s="116"/>
      <c r="L1484" s="169">
        <v>44188</v>
      </c>
      <c r="M1484" s="116">
        <v>37.274999999999999</v>
      </c>
      <c r="N1484" s="116">
        <v>37.450000000000003</v>
      </c>
      <c r="O1484" s="116">
        <v>35.725000000000001</v>
      </c>
      <c r="P1484" s="116">
        <v>36.125</v>
      </c>
      <c r="Q1484" s="116">
        <v>74.55</v>
      </c>
      <c r="R1484">
        <v>986383</v>
      </c>
    </row>
    <row r="1485" spans="1:18" x14ac:dyDescent="0.25">
      <c r="A1485" s="169">
        <v>44189</v>
      </c>
      <c r="B1485" s="116">
        <v>37.9</v>
      </c>
      <c r="C1485" s="116">
        <v>36.700000000000003</v>
      </c>
      <c r="D1485" s="116">
        <v>36.4</v>
      </c>
      <c r="E1485" s="116">
        <v>37.700000000000003</v>
      </c>
      <c r="F1485" s="116">
        <v>73.400000000000006</v>
      </c>
      <c r="G1485">
        <v>91148</v>
      </c>
      <c r="H1485" s="116"/>
      <c r="I1485" s="116"/>
      <c r="L1485" s="169">
        <v>44189</v>
      </c>
      <c r="M1485" s="116">
        <v>36.625</v>
      </c>
      <c r="N1485" s="116">
        <v>37.975000000000001</v>
      </c>
      <c r="O1485" s="116">
        <v>36.174999999999997</v>
      </c>
      <c r="P1485" s="116">
        <v>37.6</v>
      </c>
      <c r="Q1485" s="116">
        <v>73.25</v>
      </c>
      <c r="R1485">
        <v>974718</v>
      </c>
    </row>
    <row r="1486" spans="1:18" x14ac:dyDescent="0.25">
      <c r="A1486" s="169">
        <v>44193</v>
      </c>
      <c r="B1486" s="116">
        <v>40.174999999999997</v>
      </c>
      <c r="C1486" s="116">
        <v>39.049999999999997</v>
      </c>
      <c r="D1486" s="116">
        <v>37.15</v>
      </c>
      <c r="E1486" s="116">
        <v>37.450000000000003</v>
      </c>
      <c r="F1486" s="116">
        <v>78.099999999999994</v>
      </c>
      <c r="G1486">
        <v>373722</v>
      </c>
      <c r="H1486" s="116"/>
      <c r="I1486" s="116"/>
      <c r="L1486" s="169">
        <v>44193</v>
      </c>
      <c r="M1486" s="116">
        <v>39.049999999999997</v>
      </c>
      <c r="N1486" s="116">
        <v>40.25</v>
      </c>
      <c r="O1486" s="116">
        <v>36.950000000000003</v>
      </c>
      <c r="P1486" s="116">
        <v>36.950000000000003</v>
      </c>
      <c r="Q1486" s="116">
        <v>78.099999999999994</v>
      </c>
      <c r="R1486">
        <v>4345499</v>
      </c>
    </row>
    <row r="1487" spans="1:18" x14ac:dyDescent="0.25">
      <c r="A1487" s="169">
        <v>44194</v>
      </c>
      <c r="B1487" s="116">
        <v>39.700000000000003</v>
      </c>
      <c r="C1487" s="116">
        <v>38.125</v>
      </c>
      <c r="D1487" s="116">
        <v>37.85</v>
      </c>
      <c r="E1487" s="116">
        <v>39.475000000000001</v>
      </c>
      <c r="F1487" s="116">
        <v>76.25</v>
      </c>
      <c r="G1487">
        <v>163977</v>
      </c>
      <c r="H1487" s="116"/>
      <c r="I1487" s="116"/>
      <c r="L1487" s="169">
        <v>44194</v>
      </c>
      <c r="M1487" s="116">
        <v>38.15</v>
      </c>
      <c r="N1487" s="116">
        <v>39.85</v>
      </c>
      <c r="O1487" s="116">
        <v>37.799999999999997</v>
      </c>
      <c r="P1487" s="116">
        <v>39.475000000000001</v>
      </c>
      <c r="Q1487" s="116">
        <v>76.3</v>
      </c>
      <c r="R1487">
        <v>1370304</v>
      </c>
    </row>
    <row r="1488" spans="1:18" x14ac:dyDescent="0.25">
      <c r="A1488" s="169">
        <v>44195</v>
      </c>
      <c r="B1488" s="116">
        <v>38.424999999999997</v>
      </c>
      <c r="C1488" s="116">
        <v>37.9</v>
      </c>
      <c r="D1488" s="116">
        <v>37.625</v>
      </c>
      <c r="E1488" s="116">
        <v>38.424999999999997</v>
      </c>
      <c r="F1488" s="116">
        <v>75.8</v>
      </c>
      <c r="G1488">
        <v>47581</v>
      </c>
      <c r="H1488" s="116"/>
      <c r="I1488" s="116"/>
      <c r="L1488" s="169">
        <v>44195</v>
      </c>
      <c r="M1488" s="116">
        <v>37.924999999999997</v>
      </c>
      <c r="N1488" s="116">
        <v>38.450000000000003</v>
      </c>
      <c r="O1488" s="116">
        <v>37.6</v>
      </c>
      <c r="P1488" s="116">
        <v>38.4</v>
      </c>
      <c r="Q1488" s="116">
        <v>75.849999999999994</v>
      </c>
      <c r="R1488">
        <v>774650</v>
      </c>
    </row>
    <row r="1489" spans="1:18" x14ac:dyDescent="0.25">
      <c r="A1489" s="169">
        <v>44196</v>
      </c>
      <c r="B1489" s="116">
        <v>38.6</v>
      </c>
      <c r="C1489" s="116">
        <v>37.924999999999997</v>
      </c>
      <c r="D1489" s="116">
        <v>37.65</v>
      </c>
      <c r="E1489" s="116">
        <v>37.774999999999999</v>
      </c>
      <c r="F1489" s="116">
        <v>75.849999999999994</v>
      </c>
      <c r="G1489">
        <v>53039</v>
      </c>
      <c r="H1489" s="116"/>
      <c r="I1489" s="116"/>
      <c r="L1489" s="169">
        <v>44196</v>
      </c>
      <c r="M1489" s="116">
        <v>37.924999999999997</v>
      </c>
      <c r="N1489" s="116">
        <v>38.65</v>
      </c>
      <c r="O1489" s="116">
        <v>37.625</v>
      </c>
      <c r="P1489" s="116">
        <v>37.75</v>
      </c>
      <c r="Q1489" s="116">
        <v>75.849999999999994</v>
      </c>
      <c r="R1489">
        <v>771322</v>
      </c>
    </row>
    <row r="1490" spans="1:18" x14ac:dyDescent="0.25">
      <c r="A1490" s="169">
        <v>44197</v>
      </c>
      <c r="B1490" s="116">
        <v>38.674999999999997</v>
      </c>
      <c r="C1490" s="116">
        <v>38.15</v>
      </c>
      <c r="D1490" s="116">
        <v>37.975000000000001</v>
      </c>
      <c r="E1490" s="116">
        <v>38.049999999999997</v>
      </c>
      <c r="F1490" s="116">
        <v>76.3</v>
      </c>
      <c r="G1490">
        <v>85697</v>
      </c>
      <c r="H1490" s="116"/>
      <c r="I1490" s="116"/>
      <c r="L1490" s="169">
        <v>44197</v>
      </c>
      <c r="M1490" s="116">
        <v>38.225000000000001</v>
      </c>
      <c r="N1490" s="116">
        <v>38.65</v>
      </c>
      <c r="O1490" s="116">
        <v>37.875</v>
      </c>
      <c r="P1490" s="116">
        <v>38.049999999999997</v>
      </c>
      <c r="Q1490" s="116">
        <v>76.45</v>
      </c>
      <c r="R1490">
        <v>748672</v>
      </c>
    </row>
    <row r="1491" spans="1:18" x14ac:dyDescent="0.25">
      <c r="A1491" s="169">
        <v>44200</v>
      </c>
      <c r="B1491" s="116">
        <v>39.35</v>
      </c>
      <c r="C1491" s="116">
        <v>39.075000000000003</v>
      </c>
      <c r="D1491" s="116">
        <v>38.1</v>
      </c>
      <c r="E1491" s="116">
        <v>38.475000000000001</v>
      </c>
      <c r="F1491" s="116">
        <v>78.150000000000006</v>
      </c>
      <c r="G1491">
        <v>90347</v>
      </c>
      <c r="H1491" s="116"/>
      <c r="I1491" s="116"/>
      <c r="L1491" s="169">
        <v>44200</v>
      </c>
      <c r="M1491" s="116">
        <v>39.075000000000003</v>
      </c>
      <c r="N1491" s="116">
        <v>39.475000000000001</v>
      </c>
      <c r="O1491" s="116">
        <v>38</v>
      </c>
      <c r="P1491" s="116">
        <v>38.524999999999999</v>
      </c>
      <c r="Q1491" s="116">
        <v>78.150000000000006</v>
      </c>
      <c r="R1491">
        <v>1718941</v>
      </c>
    </row>
    <row r="1492" spans="1:18" x14ac:dyDescent="0.25">
      <c r="A1492" s="169">
        <v>44201</v>
      </c>
      <c r="B1492" s="116">
        <v>41.3</v>
      </c>
      <c r="C1492" s="116">
        <v>40.725000000000001</v>
      </c>
      <c r="D1492" s="116">
        <v>38.4</v>
      </c>
      <c r="E1492" s="116">
        <v>38.950000000000003</v>
      </c>
      <c r="F1492" s="116">
        <v>81.45</v>
      </c>
      <c r="G1492">
        <v>572020</v>
      </c>
      <c r="H1492" s="116"/>
      <c r="I1492" s="116"/>
      <c r="L1492" s="169">
        <v>44201</v>
      </c>
      <c r="M1492" s="116">
        <v>40.625</v>
      </c>
      <c r="N1492" s="116">
        <v>41.35</v>
      </c>
      <c r="O1492" s="116">
        <v>38.450000000000003</v>
      </c>
      <c r="P1492" s="116">
        <v>38.524999999999999</v>
      </c>
      <c r="Q1492" s="116">
        <v>81.25</v>
      </c>
      <c r="R1492">
        <v>5888131</v>
      </c>
    </row>
    <row r="1493" spans="1:18" x14ac:dyDescent="0.25">
      <c r="A1493" s="169">
        <v>44202</v>
      </c>
      <c r="B1493" s="116">
        <v>42.1</v>
      </c>
      <c r="C1493" s="116">
        <v>41.125</v>
      </c>
      <c r="D1493" s="116">
        <v>39.65</v>
      </c>
      <c r="E1493" s="116">
        <v>41.5</v>
      </c>
      <c r="F1493" s="116">
        <v>82.25</v>
      </c>
      <c r="G1493">
        <v>401937</v>
      </c>
      <c r="H1493" s="116"/>
      <c r="I1493" s="116"/>
      <c r="L1493" s="169">
        <v>44202</v>
      </c>
      <c r="M1493" s="116">
        <v>41.15</v>
      </c>
      <c r="N1493" s="116">
        <v>42.125</v>
      </c>
      <c r="O1493" s="116">
        <v>39.6</v>
      </c>
      <c r="P1493" s="116">
        <v>41.375</v>
      </c>
      <c r="Q1493" s="116">
        <v>82.3</v>
      </c>
      <c r="R1493">
        <v>3610696</v>
      </c>
    </row>
    <row r="1494" spans="1:18" x14ac:dyDescent="0.25">
      <c r="A1494" s="169">
        <v>44203</v>
      </c>
      <c r="B1494" s="116">
        <v>42.174999999999997</v>
      </c>
      <c r="C1494" s="116">
        <v>41.7</v>
      </c>
      <c r="D1494" s="116">
        <v>41.5</v>
      </c>
      <c r="E1494" s="116">
        <v>41.725000000000001</v>
      </c>
      <c r="F1494" s="116">
        <v>83.4</v>
      </c>
      <c r="G1494">
        <v>190521</v>
      </c>
      <c r="H1494" s="116"/>
      <c r="I1494" s="116"/>
      <c r="L1494" s="169">
        <v>44203</v>
      </c>
      <c r="M1494" s="116">
        <v>41.7</v>
      </c>
      <c r="N1494" s="116">
        <v>42.25</v>
      </c>
      <c r="O1494" s="116">
        <v>41.5</v>
      </c>
      <c r="P1494" s="116">
        <v>41.7</v>
      </c>
      <c r="Q1494" s="116">
        <v>83.4</v>
      </c>
      <c r="R1494">
        <v>2193155</v>
      </c>
    </row>
    <row r="1495" spans="1:18" x14ac:dyDescent="0.25">
      <c r="A1495" s="169">
        <v>44204</v>
      </c>
      <c r="B1495" s="116">
        <v>42.475000000000001</v>
      </c>
      <c r="C1495" s="116">
        <v>41.15</v>
      </c>
      <c r="D1495" s="116">
        <v>41.024999999999999</v>
      </c>
      <c r="E1495" s="116">
        <v>42</v>
      </c>
      <c r="F1495" s="116">
        <v>82.3</v>
      </c>
      <c r="G1495">
        <v>177425</v>
      </c>
      <c r="H1495" s="116"/>
      <c r="I1495" s="116"/>
      <c r="L1495" s="169">
        <v>44204</v>
      </c>
      <c r="M1495" s="116">
        <v>41.174999999999997</v>
      </c>
      <c r="N1495" s="116">
        <v>42.475000000000001</v>
      </c>
      <c r="O1495" s="116">
        <v>41</v>
      </c>
      <c r="P1495" s="116">
        <v>42.1</v>
      </c>
      <c r="Q1495" s="116">
        <v>82.35</v>
      </c>
      <c r="R1495">
        <v>1579977</v>
      </c>
    </row>
    <row r="1496" spans="1:18" x14ac:dyDescent="0.25">
      <c r="A1496" s="169">
        <v>44207</v>
      </c>
      <c r="B1496" s="116">
        <v>41.9</v>
      </c>
      <c r="C1496" s="116">
        <v>40.325000000000003</v>
      </c>
      <c r="D1496" s="116">
        <v>39.75</v>
      </c>
      <c r="E1496" s="116">
        <v>41.9</v>
      </c>
      <c r="F1496" s="116">
        <v>80.650000000000006</v>
      </c>
      <c r="G1496">
        <v>118077</v>
      </c>
      <c r="H1496" s="116"/>
      <c r="I1496" s="116"/>
      <c r="L1496" s="169">
        <v>44207</v>
      </c>
      <c r="M1496" s="116">
        <v>40.325000000000003</v>
      </c>
      <c r="N1496" s="116">
        <v>41.424999999999997</v>
      </c>
      <c r="O1496" s="116">
        <v>39.75</v>
      </c>
      <c r="P1496" s="116">
        <v>41.35</v>
      </c>
      <c r="Q1496" s="116">
        <v>80.650000000000006</v>
      </c>
      <c r="R1496">
        <v>1254275</v>
      </c>
    </row>
    <row r="1497" spans="1:18" x14ac:dyDescent="0.25">
      <c r="A1497" s="169">
        <v>44208</v>
      </c>
      <c r="B1497" s="116">
        <v>41.35</v>
      </c>
      <c r="C1497" s="116">
        <v>40.799999999999997</v>
      </c>
      <c r="D1497" s="116">
        <v>39.85</v>
      </c>
      <c r="E1497" s="116">
        <v>40.424999999999997</v>
      </c>
      <c r="F1497" s="116">
        <v>81.599999999999994</v>
      </c>
      <c r="G1497">
        <v>89769</v>
      </c>
      <c r="H1497" s="116"/>
      <c r="I1497" s="116"/>
      <c r="L1497" s="169">
        <v>44208</v>
      </c>
      <c r="M1497" s="116">
        <v>40.825000000000003</v>
      </c>
      <c r="N1497" s="116">
        <v>41.375</v>
      </c>
      <c r="O1497" s="116">
        <v>39.799999999999997</v>
      </c>
      <c r="P1497" s="116">
        <v>40</v>
      </c>
      <c r="Q1497" s="116">
        <v>81.650000000000006</v>
      </c>
      <c r="R1497">
        <v>1033097</v>
      </c>
    </row>
    <row r="1498" spans="1:18" x14ac:dyDescent="0.25">
      <c r="A1498" s="169">
        <v>44209</v>
      </c>
      <c r="B1498" s="116">
        <v>41.4</v>
      </c>
      <c r="C1498" s="116">
        <v>39.4</v>
      </c>
      <c r="D1498" s="116">
        <v>39.225000000000001</v>
      </c>
      <c r="E1498" s="116">
        <v>40.75</v>
      </c>
      <c r="F1498" s="116">
        <v>78.8</v>
      </c>
      <c r="G1498">
        <v>95782</v>
      </c>
      <c r="H1498" s="116"/>
      <c r="I1498" s="116"/>
      <c r="L1498" s="169">
        <v>44209</v>
      </c>
      <c r="M1498" s="116">
        <v>39.450000000000003</v>
      </c>
      <c r="N1498" s="116">
        <v>41.4</v>
      </c>
      <c r="O1498" s="116">
        <v>39.174999999999997</v>
      </c>
      <c r="P1498" s="116">
        <v>40.9</v>
      </c>
      <c r="Q1498" s="116">
        <v>78.900000000000006</v>
      </c>
      <c r="R1498">
        <v>1339170</v>
      </c>
    </row>
    <row r="1499" spans="1:18" x14ac:dyDescent="0.25">
      <c r="A1499" s="169">
        <v>44210</v>
      </c>
      <c r="B1499" s="116">
        <v>39.825000000000003</v>
      </c>
      <c r="C1499" s="116">
        <v>39.6</v>
      </c>
      <c r="D1499" s="116">
        <v>39.075000000000003</v>
      </c>
      <c r="E1499" s="116">
        <v>39.5</v>
      </c>
      <c r="F1499" s="116">
        <v>79.2</v>
      </c>
      <c r="G1499">
        <v>83043</v>
      </c>
      <c r="H1499" s="116"/>
      <c r="I1499" s="116"/>
      <c r="L1499" s="169">
        <v>44210</v>
      </c>
      <c r="M1499" s="116">
        <v>39.575000000000003</v>
      </c>
      <c r="N1499" s="116">
        <v>39.85</v>
      </c>
      <c r="O1499" s="116">
        <v>39.049999999999997</v>
      </c>
      <c r="P1499" s="116">
        <v>39.475000000000001</v>
      </c>
      <c r="Q1499" s="116">
        <v>79.150000000000006</v>
      </c>
      <c r="R1499">
        <v>655193</v>
      </c>
    </row>
    <row r="1500" spans="1:18" x14ac:dyDescent="0.25">
      <c r="A1500" s="169">
        <v>44211</v>
      </c>
      <c r="B1500" s="116">
        <v>39.875</v>
      </c>
      <c r="C1500" s="116">
        <v>38.524999999999999</v>
      </c>
      <c r="D1500" s="116">
        <v>38.4</v>
      </c>
      <c r="E1500" s="116">
        <v>39.6</v>
      </c>
      <c r="F1500" s="116">
        <v>77.05</v>
      </c>
      <c r="G1500">
        <v>137822</v>
      </c>
      <c r="H1500" s="116"/>
      <c r="I1500" s="116"/>
      <c r="L1500" s="169">
        <v>44211</v>
      </c>
      <c r="M1500" s="116">
        <v>38.549999999999997</v>
      </c>
      <c r="N1500" s="116">
        <v>39.85</v>
      </c>
      <c r="O1500" s="116">
        <v>38.4</v>
      </c>
      <c r="P1500" s="116">
        <v>39.4</v>
      </c>
      <c r="Q1500" s="116">
        <v>77.099999999999994</v>
      </c>
      <c r="R1500">
        <v>1078409</v>
      </c>
    </row>
    <row r="1501" spans="1:18" x14ac:dyDescent="0.25">
      <c r="A1501" s="169">
        <v>44214</v>
      </c>
      <c r="B1501" s="116">
        <v>38.975000000000001</v>
      </c>
      <c r="C1501" s="116">
        <v>37.325000000000003</v>
      </c>
      <c r="D1501" s="116">
        <v>36.5</v>
      </c>
      <c r="E1501" s="116">
        <v>38.975000000000001</v>
      </c>
      <c r="F1501" s="116">
        <v>74.650000000000006</v>
      </c>
      <c r="G1501">
        <v>158720</v>
      </c>
      <c r="H1501" s="116"/>
      <c r="I1501" s="116"/>
      <c r="L1501" s="169">
        <v>44214</v>
      </c>
      <c r="M1501" s="116">
        <v>37.325000000000003</v>
      </c>
      <c r="N1501" s="116">
        <v>38.575000000000003</v>
      </c>
      <c r="O1501" s="116">
        <v>36.475000000000001</v>
      </c>
      <c r="P1501" s="116">
        <v>38.549999999999997</v>
      </c>
      <c r="Q1501" s="116">
        <v>74.650000000000006</v>
      </c>
      <c r="R1501">
        <v>1054038</v>
      </c>
    </row>
    <row r="1502" spans="1:18" x14ac:dyDescent="0.25">
      <c r="A1502" s="169">
        <v>44215</v>
      </c>
      <c r="B1502" s="116">
        <v>38.549999999999997</v>
      </c>
      <c r="C1502" s="116">
        <v>38.1</v>
      </c>
      <c r="D1502" s="116">
        <v>37.325000000000003</v>
      </c>
      <c r="E1502" s="116">
        <v>37.325000000000003</v>
      </c>
      <c r="F1502" s="116">
        <v>76.2</v>
      </c>
      <c r="G1502">
        <v>64304</v>
      </c>
      <c r="H1502" s="116"/>
      <c r="I1502" s="116"/>
      <c r="L1502" s="169">
        <v>44215</v>
      </c>
      <c r="M1502" s="116">
        <v>38</v>
      </c>
      <c r="N1502" s="116">
        <v>38.575000000000003</v>
      </c>
      <c r="O1502" s="116">
        <v>37.5</v>
      </c>
      <c r="P1502" s="116">
        <v>37.5</v>
      </c>
      <c r="Q1502" s="116">
        <v>76</v>
      </c>
      <c r="R1502">
        <v>604827</v>
      </c>
    </row>
    <row r="1503" spans="1:18" x14ac:dyDescent="0.25">
      <c r="A1503" s="169">
        <v>44216</v>
      </c>
      <c r="B1503" s="116">
        <v>38.65</v>
      </c>
      <c r="C1503" s="116">
        <v>38.024999999999999</v>
      </c>
      <c r="D1503" s="116">
        <v>37.9</v>
      </c>
      <c r="E1503" s="116">
        <v>38.325000000000003</v>
      </c>
      <c r="F1503" s="116">
        <v>76.05</v>
      </c>
      <c r="G1503">
        <v>90083</v>
      </c>
      <c r="H1503" s="116"/>
      <c r="I1503" s="116"/>
      <c r="L1503" s="169">
        <v>44216</v>
      </c>
      <c r="M1503" s="116">
        <v>38.049999999999997</v>
      </c>
      <c r="N1503" s="116">
        <v>38.674999999999997</v>
      </c>
      <c r="O1503" s="116">
        <v>37.875</v>
      </c>
      <c r="P1503" s="116">
        <v>38.174999999999997</v>
      </c>
      <c r="Q1503" s="116">
        <v>76.099999999999994</v>
      </c>
      <c r="R1503">
        <v>871099</v>
      </c>
    </row>
    <row r="1504" spans="1:18" x14ac:dyDescent="0.25">
      <c r="A1504" s="169">
        <v>44217</v>
      </c>
      <c r="B1504" s="116">
        <v>39.049999999999997</v>
      </c>
      <c r="C1504" s="116">
        <v>38.200000000000003</v>
      </c>
      <c r="D1504" s="116">
        <v>37.975000000000001</v>
      </c>
      <c r="E1504" s="116">
        <v>38.049999999999997</v>
      </c>
      <c r="F1504" s="116">
        <v>76.400000000000006</v>
      </c>
      <c r="G1504">
        <v>73258</v>
      </c>
      <c r="H1504" s="116"/>
      <c r="I1504" s="116"/>
      <c r="L1504" s="169">
        <v>44217</v>
      </c>
      <c r="M1504" s="116">
        <v>38.274999999999999</v>
      </c>
      <c r="N1504" s="116">
        <v>39.125</v>
      </c>
      <c r="O1504" s="116">
        <v>38</v>
      </c>
      <c r="P1504" s="116">
        <v>38.274999999999999</v>
      </c>
      <c r="Q1504" s="116">
        <v>76.55</v>
      </c>
      <c r="R1504">
        <v>1134852</v>
      </c>
    </row>
    <row r="1505" spans="1:18" x14ac:dyDescent="0.25">
      <c r="A1505" s="169">
        <v>44218</v>
      </c>
      <c r="B1505" s="116">
        <v>38.524999999999999</v>
      </c>
      <c r="C1505" s="116">
        <v>37</v>
      </c>
      <c r="D1505" s="116">
        <v>36.674999999999997</v>
      </c>
      <c r="E1505" s="116">
        <v>38.450000000000003</v>
      </c>
      <c r="F1505" s="116">
        <v>74</v>
      </c>
      <c r="G1505">
        <v>86122</v>
      </c>
      <c r="H1505" s="116"/>
      <c r="I1505" s="116"/>
      <c r="L1505" s="169">
        <v>44218</v>
      </c>
      <c r="M1505" s="116">
        <v>36.875</v>
      </c>
      <c r="N1505" s="116">
        <v>38.6</v>
      </c>
      <c r="O1505" s="116">
        <v>36.625</v>
      </c>
      <c r="P1505" s="116">
        <v>38</v>
      </c>
      <c r="Q1505" s="116">
        <v>73.75</v>
      </c>
      <c r="R1505">
        <v>701418</v>
      </c>
    </row>
    <row r="1506" spans="1:18" x14ac:dyDescent="0.25">
      <c r="A1506" s="169">
        <v>44221</v>
      </c>
      <c r="B1506" s="116">
        <v>37.475000000000001</v>
      </c>
      <c r="C1506" s="116">
        <v>36.125</v>
      </c>
      <c r="D1506" s="116">
        <v>36</v>
      </c>
      <c r="E1506" s="116">
        <v>37.35</v>
      </c>
      <c r="F1506" s="116">
        <v>72.25</v>
      </c>
      <c r="G1506">
        <v>106973</v>
      </c>
      <c r="H1506" s="116"/>
      <c r="I1506" s="116"/>
      <c r="L1506" s="169">
        <v>44221</v>
      </c>
      <c r="M1506" s="116">
        <v>36.125</v>
      </c>
      <c r="N1506" s="116">
        <v>37.6</v>
      </c>
      <c r="O1506" s="116">
        <v>35.950000000000003</v>
      </c>
      <c r="P1506" s="116">
        <v>37.35</v>
      </c>
      <c r="Q1506" s="116">
        <v>72.25</v>
      </c>
      <c r="R1506">
        <v>570490</v>
      </c>
    </row>
    <row r="1507" spans="1:18" x14ac:dyDescent="0.25">
      <c r="A1507" s="169">
        <v>44223</v>
      </c>
      <c r="B1507" s="116">
        <v>36.024999999999999</v>
      </c>
      <c r="C1507" s="116">
        <v>35.575000000000003</v>
      </c>
      <c r="D1507" s="116">
        <v>35.4</v>
      </c>
      <c r="E1507" s="116">
        <v>35.75</v>
      </c>
      <c r="F1507" s="116">
        <v>71.150000000000006</v>
      </c>
      <c r="G1507">
        <v>139354</v>
      </c>
      <c r="H1507" s="116"/>
      <c r="I1507" s="116"/>
      <c r="L1507" s="169">
        <v>44223</v>
      </c>
      <c r="M1507" s="116">
        <v>35.6</v>
      </c>
      <c r="N1507" s="116">
        <v>36.049999999999997</v>
      </c>
      <c r="O1507" s="116">
        <v>35.299999999999997</v>
      </c>
      <c r="P1507" s="116">
        <v>35.85</v>
      </c>
      <c r="Q1507" s="116">
        <v>71.2</v>
      </c>
      <c r="R1507">
        <v>556523</v>
      </c>
    </row>
    <row r="1508" spans="1:18" x14ac:dyDescent="0.25">
      <c r="A1508" s="169">
        <v>44224</v>
      </c>
      <c r="B1508" s="116">
        <v>36.075000000000003</v>
      </c>
      <c r="C1508" s="116">
        <v>35.65</v>
      </c>
      <c r="D1508" s="116">
        <v>34.5</v>
      </c>
      <c r="E1508" s="116">
        <v>35.5</v>
      </c>
      <c r="F1508" s="116">
        <v>71.3</v>
      </c>
      <c r="G1508">
        <v>112390</v>
      </c>
      <c r="H1508" s="116"/>
      <c r="I1508" s="116"/>
      <c r="L1508" s="169">
        <v>44224</v>
      </c>
      <c r="M1508" s="116">
        <v>35.65</v>
      </c>
      <c r="N1508" s="116">
        <v>36.174999999999997</v>
      </c>
      <c r="O1508" s="116">
        <v>34.924999999999997</v>
      </c>
      <c r="P1508" s="116">
        <v>35</v>
      </c>
      <c r="Q1508" s="116">
        <v>71.3</v>
      </c>
      <c r="R1508">
        <v>499073</v>
      </c>
    </row>
    <row r="1509" spans="1:18" x14ac:dyDescent="0.25">
      <c r="A1509" s="169">
        <v>44225</v>
      </c>
      <c r="B1509" s="116">
        <v>36.200000000000003</v>
      </c>
      <c r="C1509" s="116">
        <v>35.524999999999999</v>
      </c>
      <c r="D1509" s="116">
        <v>35.299999999999997</v>
      </c>
      <c r="E1509" s="116">
        <v>35.674999999999997</v>
      </c>
      <c r="F1509" s="116">
        <v>71.05</v>
      </c>
      <c r="G1509">
        <v>67699</v>
      </c>
      <c r="H1509" s="116"/>
      <c r="I1509" s="116"/>
      <c r="L1509" s="169">
        <v>44225</v>
      </c>
      <c r="M1509" s="116">
        <v>35.424999999999997</v>
      </c>
      <c r="N1509" s="116">
        <v>36.325000000000003</v>
      </c>
      <c r="O1509" s="116">
        <v>35.25</v>
      </c>
      <c r="P1509" s="116">
        <v>35.975000000000001</v>
      </c>
      <c r="Q1509" s="116">
        <v>70.849999999999994</v>
      </c>
      <c r="R1509">
        <v>464838</v>
      </c>
    </row>
    <row r="1510" spans="1:18" x14ac:dyDescent="0.25">
      <c r="A1510" s="169">
        <v>44228</v>
      </c>
      <c r="B1510" s="116">
        <v>36.950000000000003</v>
      </c>
      <c r="C1510" s="116">
        <v>36.450000000000003</v>
      </c>
      <c r="D1510" s="116">
        <v>34.674999999999997</v>
      </c>
      <c r="E1510" s="116">
        <v>34.674999999999997</v>
      </c>
      <c r="F1510" s="116">
        <v>72.900000000000006</v>
      </c>
      <c r="G1510">
        <v>88893</v>
      </c>
      <c r="H1510" s="116"/>
      <c r="I1510" s="116"/>
      <c r="L1510" s="169">
        <v>44228</v>
      </c>
      <c r="M1510" s="116">
        <v>36.424999999999997</v>
      </c>
      <c r="N1510" s="116">
        <v>36.975000000000001</v>
      </c>
      <c r="O1510" s="116">
        <v>35.15</v>
      </c>
      <c r="P1510" s="116">
        <v>35.549999999999997</v>
      </c>
      <c r="Q1510" s="116">
        <v>72.849999999999994</v>
      </c>
      <c r="R1510">
        <v>826346</v>
      </c>
    </row>
    <row r="1511" spans="1:18" x14ac:dyDescent="0.25">
      <c r="A1511" s="169">
        <v>44229</v>
      </c>
      <c r="B1511" s="116">
        <v>37.450000000000003</v>
      </c>
      <c r="C1511" s="116">
        <v>36.825000000000003</v>
      </c>
      <c r="D1511" s="116">
        <v>36.325000000000003</v>
      </c>
      <c r="E1511" s="116">
        <v>36.475000000000001</v>
      </c>
      <c r="F1511" s="116">
        <v>73.650000000000006</v>
      </c>
      <c r="G1511">
        <v>88078</v>
      </c>
      <c r="H1511" s="116"/>
      <c r="I1511" s="116"/>
      <c r="L1511" s="169">
        <v>44229</v>
      </c>
      <c r="M1511" s="116">
        <v>36.799999999999997</v>
      </c>
      <c r="N1511" s="116">
        <v>37.35</v>
      </c>
      <c r="O1511" s="116">
        <v>36.325000000000003</v>
      </c>
      <c r="P1511" s="116">
        <v>36.950000000000003</v>
      </c>
      <c r="Q1511" s="116">
        <v>73.599999999999994</v>
      </c>
      <c r="R1511">
        <v>623553</v>
      </c>
    </row>
    <row r="1512" spans="1:18" x14ac:dyDescent="0.25">
      <c r="A1512" s="169">
        <v>44230</v>
      </c>
      <c r="B1512" s="116">
        <v>38.674999999999997</v>
      </c>
      <c r="C1512" s="116">
        <v>38.424999999999997</v>
      </c>
      <c r="D1512" s="116">
        <v>36.85</v>
      </c>
      <c r="E1512" s="116">
        <v>37.1</v>
      </c>
      <c r="F1512" s="116">
        <v>76.849999999999994</v>
      </c>
      <c r="G1512">
        <v>186096</v>
      </c>
      <c r="H1512" s="116"/>
      <c r="I1512" s="116"/>
      <c r="L1512" s="169">
        <v>44230</v>
      </c>
      <c r="M1512" s="116">
        <v>38.375</v>
      </c>
      <c r="N1512" s="116">
        <v>38.75</v>
      </c>
      <c r="O1512" s="116">
        <v>36.85</v>
      </c>
      <c r="P1512" s="116">
        <v>37.049999999999997</v>
      </c>
      <c r="Q1512" s="116">
        <v>76.75</v>
      </c>
      <c r="R1512">
        <v>1190006</v>
      </c>
    </row>
    <row r="1513" spans="1:18" x14ac:dyDescent="0.25">
      <c r="A1513" s="169">
        <v>44231</v>
      </c>
      <c r="B1513" s="116">
        <v>39.35</v>
      </c>
      <c r="C1513" s="116">
        <v>38.799999999999997</v>
      </c>
      <c r="D1513" s="116">
        <v>38.325000000000003</v>
      </c>
      <c r="E1513" s="116">
        <v>38.424999999999997</v>
      </c>
      <c r="F1513" s="116">
        <v>77.599999999999994</v>
      </c>
      <c r="G1513">
        <v>216305</v>
      </c>
      <c r="H1513" s="116"/>
      <c r="I1513" s="116"/>
      <c r="L1513" s="169">
        <v>44231</v>
      </c>
      <c r="M1513" s="116">
        <v>38.799999999999997</v>
      </c>
      <c r="N1513" s="116">
        <v>39.4</v>
      </c>
      <c r="O1513" s="116">
        <v>38.35</v>
      </c>
      <c r="P1513" s="116">
        <v>38.6</v>
      </c>
      <c r="Q1513" s="116">
        <v>77.599999999999994</v>
      </c>
      <c r="R1513">
        <v>964599</v>
      </c>
    </row>
    <row r="1514" spans="1:18" x14ac:dyDescent="0.25">
      <c r="A1514" s="169">
        <v>44232</v>
      </c>
      <c r="B1514" s="116">
        <v>39.950000000000003</v>
      </c>
      <c r="C1514" s="116">
        <v>37.799999999999997</v>
      </c>
      <c r="D1514" s="116">
        <v>37.549999999999997</v>
      </c>
      <c r="E1514" s="116">
        <v>39.5</v>
      </c>
      <c r="F1514" s="116">
        <v>75.599999999999994</v>
      </c>
      <c r="G1514">
        <v>116921</v>
      </c>
      <c r="H1514" s="116"/>
      <c r="I1514" s="116"/>
      <c r="L1514" s="169">
        <v>44232</v>
      </c>
      <c r="M1514" s="116">
        <v>37.85</v>
      </c>
      <c r="N1514" s="116">
        <v>39.450000000000003</v>
      </c>
      <c r="O1514" s="116">
        <v>37.65</v>
      </c>
      <c r="P1514" s="116">
        <v>39.125</v>
      </c>
      <c r="Q1514" s="116">
        <v>75.7</v>
      </c>
      <c r="R1514">
        <v>868744</v>
      </c>
    </row>
    <row r="1515" spans="1:18" x14ac:dyDescent="0.25">
      <c r="A1515" s="169">
        <v>44235</v>
      </c>
      <c r="B1515" s="116">
        <v>37.549999999999997</v>
      </c>
      <c r="C1515" s="116">
        <v>36.65</v>
      </c>
      <c r="D1515" s="116">
        <v>36.4</v>
      </c>
      <c r="E1515" s="116">
        <v>37.549999999999997</v>
      </c>
      <c r="F1515" s="116">
        <v>73.3</v>
      </c>
      <c r="G1515">
        <v>83232</v>
      </c>
      <c r="H1515" s="116"/>
      <c r="I1515" s="116"/>
      <c r="L1515" s="169">
        <v>44235</v>
      </c>
      <c r="M1515" s="116">
        <v>36.674999999999997</v>
      </c>
      <c r="N1515" s="116">
        <v>37.65</v>
      </c>
      <c r="O1515" s="116">
        <v>36.4</v>
      </c>
      <c r="P1515" s="116">
        <v>37.65</v>
      </c>
      <c r="Q1515" s="116">
        <v>73.349999999999994</v>
      </c>
      <c r="R1515">
        <v>1188751</v>
      </c>
    </row>
    <row r="1516" spans="1:18" x14ac:dyDescent="0.25">
      <c r="A1516" s="169">
        <v>44236</v>
      </c>
      <c r="B1516" s="116">
        <v>37.15</v>
      </c>
      <c r="C1516" s="116">
        <v>36.524999999999999</v>
      </c>
      <c r="D1516" s="116">
        <v>36.4</v>
      </c>
      <c r="E1516" s="116">
        <v>36.85</v>
      </c>
      <c r="F1516" s="116">
        <v>73.05</v>
      </c>
      <c r="G1516">
        <v>44140</v>
      </c>
      <c r="H1516" s="116"/>
      <c r="I1516" s="116"/>
      <c r="L1516" s="169">
        <v>44236</v>
      </c>
      <c r="M1516" s="116">
        <v>36.575000000000003</v>
      </c>
      <c r="N1516" s="116">
        <v>37.174999999999997</v>
      </c>
      <c r="O1516" s="116">
        <v>36.424999999999997</v>
      </c>
      <c r="P1516" s="116">
        <v>36.975000000000001</v>
      </c>
      <c r="Q1516" s="116">
        <v>73.150000000000006</v>
      </c>
      <c r="R1516">
        <v>661776</v>
      </c>
    </row>
    <row r="1517" spans="1:18" x14ac:dyDescent="0.25">
      <c r="A1517" s="169">
        <v>44237</v>
      </c>
      <c r="B1517" s="116">
        <v>37.15</v>
      </c>
      <c r="C1517" s="116">
        <v>36.15</v>
      </c>
      <c r="D1517" s="116">
        <v>36</v>
      </c>
      <c r="E1517" s="116">
        <v>37.15</v>
      </c>
      <c r="F1517" s="116">
        <v>72.3</v>
      </c>
      <c r="G1517">
        <v>36763</v>
      </c>
      <c r="H1517" s="116"/>
      <c r="I1517" s="116"/>
      <c r="L1517" s="169">
        <v>44237</v>
      </c>
      <c r="M1517" s="116">
        <v>36.125</v>
      </c>
      <c r="N1517" s="116">
        <v>36.975000000000001</v>
      </c>
      <c r="O1517" s="116">
        <v>35.625</v>
      </c>
      <c r="P1517" s="116">
        <v>36.75</v>
      </c>
      <c r="Q1517" s="116">
        <v>72.25</v>
      </c>
      <c r="R1517">
        <v>542760</v>
      </c>
    </row>
    <row r="1518" spans="1:18" x14ac:dyDescent="0.25">
      <c r="A1518" s="169">
        <v>44238</v>
      </c>
      <c r="B1518" s="116">
        <v>36.975000000000001</v>
      </c>
      <c r="C1518" s="116">
        <v>36.049999999999997</v>
      </c>
      <c r="D1518" s="116">
        <v>35.85</v>
      </c>
      <c r="E1518" s="116">
        <v>36.75</v>
      </c>
      <c r="F1518" s="116">
        <v>72.099999999999994</v>
      </c>
      <c r="G1518">
        <v>119298</v>
      </c>
      <c r="H1518" s="116"/>
      <c r="I1518" s="116"/>
      <c r="L1518" s="169">
        <v>44238</v>
      </c>
      <c r="M1518" s="116">
        <v>36.049999999999997</v>
      </c>
      <c r="N1518" s="116">
        <v>37</v>
      </c>
      <c r="O1518" s="116">
        <v>35.799999999999997</v>
      </c>
      <c r="P1518" s="116">
        <v>36.174999999999997</v>
      </c>
      <c r="Q1518" s="116">
        <v>72.099999999999994</v>
      </c>
      <c r="R1518">
        <v>1026019</v>
      </c>
    </row>
    <row r="1519" spans="1:18" x14ac:dyDescent="0.25">
      <c r="A1519" s="169">
        <v>44239</v>
      </c>
      <c r="B1519" s="116">
        <v>36.5</v>
      </c>
      <c r="C1519" s="116">
        <v>36</v>
      </c>
      <c r="D1519" s="116">
        <v>35.875</v>
      </c>
      <c r="E1519" s="116">
        <v>36.15</v>
      </c>
      <c r="F1519" s="116">
        <v>72</v>
      </c>
      <c r="G1519">
        <v>57927</v>
      </c>
      <c r="H1519" s="116"/>
      <c r="I1519" s="116"/>
      <c r="L1519" s="169">
        <v>44239</v>
      </c>
      <c r="M1519" s="116">
        <v>36.024999999999999</v>
      </c>
      <c r="N1519" s="116">
        <v>36.5</v>
      </c>
      <c r="O1519" s="116">
        <v>35.9</v>
      </c>
      <c r="P1519" s="116">
        <v>36.174999999999997</v>
      </c>
      <c r="Q1519" s="116">
        <v>72.05</v>
      </c>
      <c r="R1519">
        <v>511320</v>
      </c>
    </row>
    <row r="1520" spans="1:18" x14ac:dyDescent="0.25">
      <c r="A1520" s="169">
        <v>44242</v>
      </c>
      <c r="B1520" s="116">
        <v>37.200000000000003</v>
      </c>
      <c r="C1520" s="116">
        <v>35.325000000000003</v>
      </c>
      <c r="D1520" s="116">
        <v>35.225000000000001</v>
      </c>
      <c r="E1520" s="116">
        <v>37.200000000000003</v>
      </c>
      <c r="F1520" s="116">
        <v>70.650000000000006</v>
      </c>
      <c r="G1520">
        <v>64524</v>
      </c>
      <c r="H1520" s="116"/>
      <c r="I1520" s="116"/>
      <c r="L1520" s="169">
        <v>44242</v>
      </c>
      <c r="M1520" s="116">
        <v>35.299999999999997</v>
      </c>
      <c r="N1520" s="116">
        <v>36.35</v>
      </c>
      <c r="O1520" s="116">
        <v>35.25</v>
      </c>
      <c r="P1520" s="116">
        <v>36.225000000000001</v>
      </c>
      <c r="Q1520" s="116">
        <v>70.599999999999994</v>
      </c>
      <c r="R1520">
        <v>780403</v>
      </c>
    </row>
    <row r="1521" spans="1:18" x14ac:dyDescent="0.25">
      <c r="A1521" s="169">
        <v>44243</v>
      </c>
      <c r="B1521" s="116">
        <v>36.299999999999997</v>
      </c>
      <c r="C1521" s="116">
        <v>35.6</v>
      </c>
      <c r="D1521" s="116">
        <v>35.35</v>
      </c>
      <c r="E1521" s="116">
        <v>35.450000000000003</v>
      </c>
      <c r="F1521" s="116">
        <v>71.2</v>
      </c>
      <c r="G1521">
        <v>233181</v>
      </c>
      <c r="H1521" s="116"/>
      <c r="I1521" s="116"/>
      <c r="L1521" s="169">
        <v>44243</v>
      </c>
      <c r="M1521" s="116">
        <v>35.625</v>
      </c>
      <c r="N1521" s="116">
        <v>36.35</v>
      </c>
      <c r="O1521" s="116">
        <v>35.299999999999997</v>
      </c>
      <c r="P1521" s="116">
        <v>35.4</v>
      </c>
      <c r="Q1521" s="116">
        <v>71.25</v>
      </c>
      <c r="R1521">
        <v>1872325</v>
      </c>
    </row>
    <row r="1522" spans="1:18" x14ac:dyDescent="0.25">
      <c r="A1522" s="169">
        <v>44244</v>
      </c>
      <c r="B1522" s="116">
        <v>36.450000000000003</v>
      </c>
      <c r="C1522" s="116">
        <v>35.049999999999997</v>
      </c>
      <c r="D1522" s="116">
        <v>34.375</v>
      </c>
      <c r="E1522" s="116">
        <v>35.625</v>
      </c>
      <c r="F1522" s="116">
        <v>70.099999999999994</v>
      </c>
      <c r="G1522">
        <v>201107</v>
      </c>
      <c r="H1522" s="116"/>
      <c r="I1522" s="116"/>
      <c r="L1522" s="169">
        <v>44244</v>
      </c>
      <c r="M1522" s="116">
        <v>35.274999999999999</v>
      </c>
      <c r="N1522" s="116">
        <v>35.825000000000003</v>
      </c>
      <c r="O1522" s="116">
        <v>35.15</v>
      </c>
      <c r="P1522" s="116">
        <v>35.799999999999997</v>
      </c>
      <c r="Q1522" s="116">
        <v>70.55</v>
      </c>
      <c r="R1522">
        <v>1042385</v>
      </c>
    </row>
    <row r="1523" spans="1:18" x14ac:dyDescent="0.25">
      <c r="A1523" s="169">
        <v>44245</v>
      </c>
      <c r="B1523" s="116">
        <v>37.450000000000003</v>
      </c>
      <c r="C1523" s="116">
        <v>36.450000000000003</v>
      </c>
      <c r="D1523" s="116">
        <v>35.200000000000003</v>
      </c>
      <c r="E1523" s="116">
        <v>35.200000000000003</v>
      </c>
      <c r="F1523" s="116">
        <v>72.900000000000006</v>
      </c>
      <c r="G1523">
        <v>164838</v>
      </c>
      <c r="H1523" s="116"/>
      <c r="I1523" s="116"/>
      <c r="L1523" s="169">
        <v>44245</v>
      </c>
      <c r="M1523" s="116">
        <v>36.549999999999997</v>
      </c>
      <c r="N1523" s="116">
        <v>37.5</v>
      </c>
      <c r="O1523" s="116">
        <v>35.299999999999997</v>
      </c>
      <c r="P1523" s="116">
        <v>35.549999999999997</v>
      </c>
      <c r="Q1523" s="116">
        <v>73.099999999999994</v>
      </c>
      <c r="R1523">
        <v>3439175</v>
      </c>
    </row>
    <row r="1524" spans="1:18" x14ac:dyDescent="0.25">
      <c r="A1524" s="169">
        <v>44246</v>
      </c>
      <c r="B1524" s="116">
        <v>38.299999999999997</v>
      </c>
      <c r="C1524" s="116">
        <v>37.25</v>
      </c>
      <c r="D1524" s="116">
        <v>36.549999999999997</v>
      </c>
      <c r="E1524" s="116">
        <v>36.549999999999997</v>
      </c>
      <c r="F1524" s="116">
        <v>74.5</v>
      </c>
      <c r="G1524">
        <v>119046</v>
      </c>
      <c r="H1524" s="116"/>
      <c r="I1524" s="116"/>
      <c r="L1524" s="169">
        <v>44246</v>
      </c>
      <c r="M1524" s="116">
        <v>37.299999999999997</v>
      </c>
      <c r="N1524" s="116">
        <v>38.35</v>
      </c>
      <c r="O1524" s="116">
        <v>36.575000000000003</v>
      </c>
      <c r="P1524" s="116">
        <v>36.75</v>
      </c>
      <c r="Q1524" s="116">
        <v>74.599999999999994</v>
      </c>
      <c r="R1524">
        <v>2627640</v>
      </c>
    </row>
    <row r="1525" spans="1:18" x14ac:dyDescent="0.25">
      <c r="A1525" s="169">
        <v>44249</v>
      </c>
      <c r="B1525" s="116">
        <v>37.950000000000003</v>
      </c>
      <c r="C1525" s="116">
        <v>35.975000000000001</v>
      </c>
      <c r="D1525" s="116">
        <v>35.575000000000003</v>
      </c>
      <c r="E1525" s="116">
        <v>37.950000000000003</v>
      </c>
      <c r="F1525" s="116">
        <v>71.95</v>
      </c>
      <c r="G1525">
        <v>85756</v>
      </c>
      <c r="H1525" s="116"/>
      <c r="I1525" s="116"/>
      <c r="L1525" s="169">
        <v>44249</v>
      </c>
      <c r="M1525" s="116">
        <v>36</v>
      </c>
      <c r="N1525" s="116">
        <v>37.85</v>
      </c>
      <c r="O1525" s="116">
        <v>35.549999999999997</v>
      </c>
      <c r="P1525" s="116">
        <v>37.6</v>
      </c>
      <c r="Q1525" s="116">
        <v>72</v>
      </c>
      <c r="R1525">
        <v>1311780</v>
      </c>
    </row>
    <row r="1526" spans="1:18" x14ac:dyDescent="0.25">
      <c r="A1526" s="169">
        <v>44250</v>
      </c>
      <c r="B1526" s="116">
        <v>37.299999999999997</v>
      </c>
      <c r="C1526" s="116">
        <v>36.6</v>
      </c>
      <c r="D1526" s="116">
        <v>35.85</v>
      </c>
      <c r="E1526" s="116">
        <v>36.5</v>
      </c>
      <c r="F1526" s="116">
        <v>73.2</v>
      </c>
      <c r="G1526">
        <v>109718</v>
      </c>
      <c r="H1526" s="116"/>
      <c r="I1526" s="116"/>
      <c r="L1526" s="169">
        <v>44250</v>
      </c>
      <c r="M1526" s="116">
        <v>36.6</v>
      </c>
      <c r="N1526" s="116">
        <v>37.375</v>
      </c>
      <c r="O1526" s="116">
        <v>35.799999999999997</v>
      </c>
      <c r="P1526" s="116">
        <v>36.25</v>
      </c>
      <c r="Q1526" s="116">
        <v>73.2</v>
      </c>
      <c r="R1526">
        <v>2164806</v>
      </c>
    </row>
    <row r="1527" spans="1:18" x14ac:dyDescent="0.25">
      <c r="A1527" s="169">
        <v>44251</v>
      </c>
      <c r="B1527" s="116">
        <v>37.424999999999997</v>
      </c>
      <c r="C1527" s="116">
        <v>36.950000000000003</v>
      </c>
      <c r="D1527" s="116">
        <v>36.6</v>
      </c>
      <c r="E1527" s="116">
        <v>36.9</v>
      </c>
      <c r="F1527" s="116">
        <v>73.900000000000006</v>
      </c>
      <c r="G1527">
        <v>238779</v>
      </c>
      <c r="H1527" s="116"/>
      <c r="I1527" s="116"/>
      <c r="L1527" s="169">
        <v>44251</v>
      </c>
      <c r="M1527" s="116">
        <v>36.924999999999997</v>
      </c>
      <c r="N1527" s="116">
        <v>37.475000000000001</v>
      </c>
      <c r="O1527" s="116">
        <v>36.024999999999999</v>
      </c>
      <c r="P1527" s="116">
        <v>36.65</v>
      </c>
      <c r="Q1527" s="116">
        <v>73.849999999999994</v>
      </c>
      <c r="R1527">
        <v>1003802</v>
      </c>
    </row>
    <row r="1528" spans="1:18" x14ac:dyDescent="0.25">
      <c r="A1528" s="169">
        <v>44252</v>
      </c>
      <c r="B1528" s="116">
        <v>42.2</v>
      </c>
      <c r="C1528" s="116">
        <v>41.375</v>
      </c>
      <c r="D1528" s="116">
        <v>37</v>
      </c>
      <c r="E1528" s="116">
        <v>37</v>
      </c>
      <c r="F1528" s="116">
        <v>82.75</v>
      </c>
      <c r="G1528">
        <v>1077570</v>
      </c>
      <c r="H1528" s="116"/>
      <c r="I1528" s="116"/>
      <c r="L1528" s="169">
        <v>44252</v>
      </c>
      <c r="M1528" s="116">
        <v>41.4</v>
      </c>
      <c r="N1528" s="116">
        <v>42.2</v>
      </c>
      <c r="O1528" s="116">
        <v>37.1</v>
      </c>
      <c r="P1528" s="116">
        <v>37.15</v>
      </c>
      <c r="Q1528" s="116">
        <v>82.8</v>
      </c>
      <c r="R1528">
        <v>11385574</v>
      </c>
    </row>
    <row r="1529" spans="1:18" x14ac:dyDescent="0.25">
      <c r="A1529" s="169">
        <v>44253</v>
      </c>
      <c r="B1529" s="116">
        <v>40.975000000000001</v>
      </c>
      <c r="C1529" s="116">
        <v>39.774999999999999</v>
      </c>
      <c r="D1529" s="116">
        <v>39.25</v>
      </c>
      <c r="E1529" s="116">
        <v>40.35</v>
      </c>
      <c r="F1529" s="116">
        <v>79.55</v>
      </c>
      <c r="G1529">
        <v>217157</v>
      </c>
      <c r="H1529" s="116"/>
      <c r="I1529" s="116"/>
      <c r="L1529" s="169">
        <v>44253</v>
      </c>
      <c r="M1529" s="116">
        <v>39.799999999999997</v>
      </c>
      <c r="N1529" s="116">
        <v>40.950000000000003</v>
      </c>
      <c r="O1529" s="116">
        <v>39.25</v>
      </c>
      <c r="P1529" s="116">
        <v>39.9</v>
      </c>
      <c r="Q1529" s="116">
        <v>79.599999999999994</v>
      </c>
      <c r="R1529">
        <v>3664974</v>
      </c>
    </row>
    <row r="1530" spans="1:18" x14ac:dyDescent="0.25">
      <c r="A1530" s="169">
        <v>44256</v>
      </c>
      <c r="B1530" s="116">
        <v>40.924999999999997</v>
      </c>
      <c r="C1530" s="116">
        <v>39.799999999999997</v>
      </c>
      <c r="D1530" s="116">
        <v>39.424999999999997</v>
      </c>
      <c r="E1530" s="116">
        <v>40.5</v>
      </c>
      <c r="F1530" s="116">
        <v>79.599999999999994</v>
      </c>
      <c r="G1530">
        <v>137845</v>
      </c>
      <c r="H1530" s="116"/>
      <c r="I1530" s="116"/>
      <c r="L1530" s="169">
        <v>44256</v>
      </c>
      <c r="M1530" s="116">
        <v>39.85</v>
      </c>
      <c r="N1530" s="116">
        <v>40.950000000000003</v>
      </c>
      <c r="O1530" s="116">
        <v>39.4</v>
      </c>
      <c r="P1530" s="116">
        <v>40.424999999999997</v>
      </c>
      <c r="Q1530" s="116">
        <v>79.7</v>
      </c>
      <c r="R1530">
        <v>2370665</v>
      </c>
    </row>
    <row r="1531" spans="1:18" x14ac:dyDescent="0.25">
      <c r="A1531" s="169">
        <v>44257</v>
      </c>
      <c r="B1531" s="116">
        <v>40.774999999999999</v>
      </c>
      <c r="C1531" s="116">
        <v>39.975000000000001</v>
      </c>
      <c r="D1531" s="116">
        <v>39.5</v>
      </c>
      <c r="E1531" s="116">
        <v>40.024999999999999</v>
      </c>
      <c r="F1531" s="116">
        <v>79.95</v>
      </c>
      <c r="G1531">
        <v>97221</v>
      </c>
      <c r="H1531" s="116"/>
      <c r="I1531" s="116"/>
      <c r="L1531" s="169">
        <v>44257</v>
      </c>
      <c r="M1531" s="116">
        <v>39.975000000000001</v>
      </c>
      <c r="N1531" s="116">
        <v>40.75</v>
      </c>
      <c r="O1531" s="116">
        <v>39.450000000000003</v>
      </c>
      <c r="P1531" s="116">
        <v>40.15</v>
      </c>
      <c r="Q1531" s="116">
        <v>79.95</v>
      </c>
      <c r="R1531">
        <v>1895156</v>
      </c>
    </row>
    <row r="1532" spans="1:18" x14ac:dyDescent="0.25">
      <c r="A1532" s="169">
        <v>44258</v>
      </c>
      <c r="B1532" s="116">
        <v>41.45</v>
      </c>
      <c r="C1532" s="116">
        <v>40.024999999999999</v>
      </c>
      <c r="D1532" s="116">
        <v>39.725000000000001</v>
      </c>
      <c r="E1532" s="116">
        <v>40.75</v>
      </c>
      <c r="F1532" s="116">
        <v>80.05</v>
      </c>
      <c r="G1532">
        <v>272881</v>
      </c>
      <c r="H1532" s="116"/>
      <c r="I1532" s="116"/>
      <c r="L1532" s="169">
        <v>44258</v>
      </c>
      <c r="M1532" s="116">
        <v>40</v>
      </c>
      <c r="N1532" s="116">
        <v>41.4</v>
      </c>
      <c r="O1532" s="116">
        <v>39.65</v>
      </c>
      <c r="P1532" s="116">
        <v>39.65</v>
      </c>
      <c r="Q1532" s="116">
        <v>80</v>
      </c>
      <c r="R1532">
        <v>3709238</v>
      </c>
    </row>
    <row r="1533" spans="1:18" x14ac:dyDescent="0.25">
      <c r="A1533" s="169">
        <v>44259</v>
      </c>
      <c r="B1533" s="116">
        <v>42.325000000000003</v>
      </c>
      <c r="C1533" s="116">
        <v>41.174999999999997</v>
      </c>
      <c r="D1533" s="116">
        <v>39.200000000000003</v>
      </c>
      <c r="E1533" s="116">
        <v>39.5</v>
      </c>
      <c r="F1533" s="116">
        <v>82.35</v>
      </c>
      <c r="G1533">
        <v>507041</v>
      </c>
      <c r="H1533" s="116"/>
      <c r="I1533" s="116"/>
      <c r="L1533" s="169">
        <v>44259</v>
      </c>
      <c r="M1533" s="116">
        <v>41.174999999999997</v>
      </c>
      <c r="N1533" s="116">
        <v>42.4</v>
      </c>
      <c r="O1533" s="116">
        <v>39.225000000000001</v>
      </c>
      <c r="P1533" s="116">
        <v>39.25</v>
      </c>
      <c r="Q1533" s="116">
        <v>82.35</v>
      </c>
      <c r="R1533">
        <v>4309918</v>
      </c>
    </row>
    <row r="1534" spans="1:18" x14ac:dyDescent="0.25">
      <c r="A1534" s="169">
        <v>44260</v>
      </c>
      <c r="B1534" s="116">
        <v>42.125</v>
      </c>
      <c r="C1534" s="116">
        <v>40.924999999999997</v>
      </c>
      <c r="D1534" s="116">
        <v>40.1</v>
      </c>
      <c r="E1534" s="116">
        <v>41.174999999999997</v>
      </c>
      <c r="F1534" s="116">
        <v>81.849999999999994</v>
      </c>
      <c r="G1534">
        <v>272914</v>
      </c>
      <c r="H1534" s="116"/>
      <c r="I1534" s="116"/>
      <c r="L1534" s="169">
        <v>44260</v>
      </c>
      <c r="M1534" s="116">
        <v>40.924999999999997</v>
      </c>
      <c r="N1534" s="116">
        <v>42.2</v>
      </c>
      <c r="O1534" s="116">
        <v>40.1</v>
      </c>
      <c r="P1534" s="116">
        <v>41.35</v>
      </c>
      <c r="Q1534" s="116">
        <v>81.849999999999994</v>
      </c>
      <c r="R1534">
        <v>2679411</v>
      </c>
    </row>
    <row r="1535" spans="1:18" x14ac:dyDescent="0.25">
      <c r="A1535" s="169">
        <v>44263</v>
      </c>
      <c r="B1535" s="116">
        <v>43.8</v>
      </c>
      <c r="C1535" s="116">
        <v>42.524999999999999</v>
      </c>
      <c r="D1535" s="116">
        <v>41.325000000000003</v>
      </c>
      <c r="E1535" s="116">
        <v>41.424999999999997</v>
      </c>
      <c r="F1535" s="116">
        <v>85.05</v>
      </c>
      <c r="G1535">
        <v>648037</v>
      </c>
      <c r="H1535" s="116"/>
      <c r="I1535" s="116"/>
      <c r="L1535" s="169">
        <v>44263</v>
      </c>
      <c r="M1535" s="116">
        <v>42.575000000000003</v>
      </c>
      <c r="N1535" s="116">
        <v>43.825000000000003</v>
      </c>
      <c r="O1535" s="116">
        <v>41.274999999999999</v>
      </c>
      <c r="P1535" s="116">
        <v>41.274999999999999</v>
      </c>
      <c r="Q1535" s="116">
        <v>85.15</v>
      </c>
      <c r="R1535">
        <v>7843480</v>
      </c>
    </row>
    <row r="1536" spans="1:18" x14ac:dyDescent="0.25">
      <c r="A1536" s="169">
        <v>44264</v>
      </c>
      <c r="B1536" s="116">
        <v>43.2</v>
      </c>
      <c r="C1536" s="116">
        <v>41.225000000000001</v>
      </c>
      <c r="D1536" s="116">
        <v>40.625</v>
      </c>
      <c r="E1536" s="116">
        <v>43</v>
      </c>
      <c r="F1536" s="116">
        <v>82.45</v>
      </c>
      <c r="G1536">
        <v>144780</v>
      </c>
      <c r="H1536" s="116"/>
      <c r="I1536" s="116"/>
      <c r="L1536" s="169">
        <v>44264</v>
      </c>
      <c r="M1536" s="116">
        <v>41.3</v>
      </c>
      <c r="N1536" s="116">
        <v>43.25</v>
      </c>
      <c r="O1536" s="116">
        <v>40.6</v>
      </c>
      <c r="P1536" s="116">
        <v>42.9</v>
      </c>
      <c r="Q1536" s="116">
        <v>82.6</v>
      </c>
      <c r="R1536">
        <v>2713842</v>
      </c>
    </row>
    <row r="1537" spans="1:18" x14ac:dyDescent="0.25">
      <c r="A1537" s="169">
        <v>44265</v>
      </c>
      <c r="B1537" s="116">
        <v>42.125</v>
      </c>
      <c r="C1537" s="116">
        <v>41.75</v>
      </c>
      <c r="D1537" s="116">
        <v>40.950000000000003</v>
      </c>
      <c r="E1537" s="116">
        <v>41.85</v>
      </c>
      <c r="F1537" s="116">
        <v>83.5</v>
      </c>
      <c r="G1537">
        <v>157742</v>
      </c>
      <c r="H1537" s="116"/>
      <c r="I1537" s="116"/>
      <c r="L1537" s="169">
        <v>44265</v>
      </c>
      <c r="M1537" s="116">
        <v>41.774999999999999</v>
      </c>
      <c r="N1537" s="116">
        <v>42.15</v>
      </c>
      <c r="O1537" s="116">
        <v>40.924999999999997</v>
      </c>
      <c r="P1537" s="116">
        <v>41.5</v>
      </c>
      <c r="Q1537" s="116">
        <v>83.55</v>
      </c>
      <c r="R1537">
        <v>1718557</v>
      </c>
    </row>
    <row r="1538" spans="1:18" x14ac:dyDescent="0.25">
      <c r="A1538" s="169">
        <v>44267</v>
      </c>
      <c r="B1538" s="116">
        <v>42.4</v>
      </c>
      <c r="C1538" s="116">
        <v>40.575000000000003</v>
      </c>
      <c r="D1538" s="116">
        <v>39.875</v>
      </c>
      <c r="E1538" s="116">
        <v>42.4</v>
      </c>
      <c r="F1538" s="116">
        <v>81.150000000000006</v>
      </c>
      <c r="G1538">
        <v>109365</v>
      </c>
      <c r="H1538" s="116"/>
      <c r="I1538" s="116"/>
      <c r="L1538" s="169">
        <v>44267</v>
      </c>
      <c r="M1538" s="116">
        <v>40.6</v>
      </c>
      <c r="N1538" s="116">
        <v>42.2</v>
      </c>
      <c r="O1538" s="116">
        <v>40.075000000000003</v>
      </c>
      <c r="P1538" s="116">
        <v>42.2</v>
      </c>
      <c r="Q1538" s="116">
        <v>81.2</v>
      </c>
      <c r="R1538">
        <v>1585953</v>
      </c>
    </row>
    <row r="1539" spans="1:18" x14ac:dyDescent="0.25">
      <c r="A1539" s="169">
        <v>44270</v>
      </c>
      <c r="B1539" s="116">
        <v>41.225000000000001</v>
      </c>
      <c r="C1539" s="116">
        <v>39.75</v>
      </c>
      <c r="D1539" s="116">
        <v>38.85</v>
      </c>
      <c r="E1539" s="116">
        <v>41.225000000000001</v>
      </c>
      <c r="F1539" s="116">
        <v>79.5</v>
      </c>
      <c r="G1539">
        <v>123316</v>
      </c>
      <c r="H1539" s="116"/>
      <c r="I1539" s="116"/>
      <c r="L1539" s="169">
        <v>44270</v>
      </c>
      <c r="M1539" s="116">
        <v>39.799999999999997</v>
      </c>
      <c r="N1539" s="116">
        <v>40.875</v>
      </c>
      <c r="O1539" s="116">
        <v>38.825000000000003</v>
      </c>
      <c r="P1539" s="116">
        <v>40.799999999999997</v>
      </c>
      <c r="Q1539" s="116">
        <v>79.599999999999994</v>
      </c>
      <c r="R1539">
        <v>1490900</v>
      </c>
    </row>
    <row r="1540" spans="1:18" x14ac:dyDescent="0.25">
      <c r="A1540" s="169">
        <v>44271</v>
      </c>
      <c r="B1540" s="116">
        <v>40.524999999999999</v>
      </c>
      <c r="C1540" s="116">
        <v>39.375</v>
      </c>
      <c r="D1540" s="116">
        <v>39.225000000000001</v>
      </c>
      <c r="E1540" s="116">
        <v>39.950000000000003</v>
      </c>
      <c r="F1540" s="116">
        <v>78.75</v>
      </c>
      <c r="G1540">
        <v>126896</v>
      </c>
      <c r="H1540" s="116"/>
      <c r="I1540" s="116"/>
      <c r="L1540" s="169">
        <v>44271</v>
      </c>
      <c r="M1540" s="116">
        <v>39.375</v>
      </c>
      <c r="N1540" s="116">
        <v>40.6</v>
      </c>
      <c r="O1540" s="116">
        <v>39.15</v>
      </c>
      <c r="P1540" s="116">
        <v>39.975000000000001</v>
      </c>
      <c r="Q1540" s="116">
        <v>78.75</v>
      </c>
      <c r="R1540">
        <v>1296411</v>
      </c>
    </row>
    <row r="1541" spans="1:18" x14ac:dyDescent="0.25">
      <c r="A1541" s="169">
        <v>44272</v>
      </c>
      <c r="B1541" s="116">
        <v>39.875</v>
      </c>
      <c r="C1541" s="116">
        <v>38.15</v>
      </c>
      <c r="D1541" s="116">
        <v>37.85</v>
      </c>
      <c r="E1541" s="116">
        <v>39.325000000000003</v>
      </c>
      <c r="F1541" s="116">
        <v>76.3</v>
      </c>
      <c r="G1541">
        <v>117330</v>
      </c>
      <c r="H1541" s="116"/>
      <c r="I1541" s="116"/>
      <c r="L1541" s="169">
        <v>44272</v>
      </c>
      <c r="M1541" s="116">
        <v>38.125</v>
      </c>
      <c r="N1541" s="116">
        <v>39.875</v>
      </c>
      <c r="O1541" s="116">
        <v>37.9</v>
      </c>
      <c r="P1541" s="116">
        <v>39.325000000000003</v>
      </c>
      <c r="Q1541" s="116">
        <v>76.25</v>
      </c>
      <c r="R1541">
        <v>875720</v>
      </c>
    </row>
    <row r="1542" spans="1:18" x14ac:dyDescent="0.25">
      <c r="A1542" s="169">
        <v>44273</v>
      </c>
      <c r="B1542" s="116">
        <v>38.85</v>
      </c>
      <c r="C1542" s="116">
        <v>37.15</v>
      </c>
      <c r="D1542" s="116">
        <v>36.549999999999997</v>
      </c>
      <c r="E1542" s="116">
        <v>38.6</v>
      </c>
      <c r="F1542" s="116">
        <v>74.3</v>
      </c>
      <c r="G1542">
        <v>93700</v>
      </c>
      <c r="H1542" s="116"/>
      <c r="I1542" s="116"/>
      <c r="L1542" s="169">
        <v>44273</v>
      </c>
      <c r="M1542" s="116">
        <v>37.075000000000003</v>
      </c>
      <c r="N1542" s="116">
        <v>38.975000000000001</v>
      </c>
      <c r="O1542" s="116">
        <v>36.5</v>
      </c>
      <c r="P1542" s="116">
        <v>38.6</v>
      </c>
      <c r="Q1542" s="116">
        <v>74.150000000000006</v>
      </c>
      <c r="R1542">
        <v>1271496</v>
      </c>
    </row>
    <row r="1543" spans="1:18" x14ac:dyDescent="0.25">
      <c r="A1543" s="169">
        <v>44274</v>
      </c>
      <c r="B1543" s="116">
        <v>37.825000000000003</v>
      </c>
      <c r="C1543" s="116">
        <v>37.575000000000003</v>
      </c>
      <c r="D1543" s="116">
        <v>35.325000000000003</v>
      </c>
      <c r="E1543" s="116">
        <v>36.975000000000001</v>
      </c>
      <c r="F1543" s="116">
        <v>75.150000000000006</v>
      </c>
      <c r="G1543">
        <v>102210</v>
      </c>
      <c r="H1543" s="116"/>
      <c r="I1543" s="116"/>
      <c r="L1543" s="169">
        <v>44274</v>
      </c>
      <c r="M1543" s="116">
        <v>37.575000000000003</v>
      </c>
      <c r="N1543" s="116">
        <v>37.85</v>
      </c>
      <c r="O1543" s="116">
        <v>35.299999999999997</v>
      </c>
      <c r="P1543" s="116">
        <v>36.825000000000003</v>
      </c>
      <c r="Q1543" s="116">
        <v>75.150000000000006</v>
      </c>
      <c r="R1543">
        <v>1335381</v>
      </c>
    </row>
    <row r="1544" spans="1:18" x14ac:dyDescent="0.25">
      <c r="A1544" s="169">
        <v>44277</v>
      </c>
      <c r="B1544" s="116">
        <v>38.475000000000001</v>
      </c>
      <c r="C1544" s="116">
        <v>37.799999999999997</v>
      </c>
      <c r="D1544" s="116">
        <v>37.200000000000003</v>
      </c>
      <c r="E1544" s="116">
        <v>37.975000000000001</v>
      </c>
      <c r="F1544" s="116">
        <v>75.599999999999994</v>
      </c>
      <c r="G1544">
        <v>69967</v>
      </c>
      <c r="H1544" s="116"/>
      <c r="I1544" s="116"/>
      <c r="L1544" s="169">
        <v>44277</v>
      </c>
      <c r="M1544" s="116">
        <v>37.774999999999999</v>
      </c>
      <c r="N1544" s="116">
        <v>38.5</v>
      </c>
      <c r="O1544" s="116">
        <v>37.174999999999997</v>
      </c>
      <c r="P1544" s="116">
        <v>37.924999999999997</v>
      </c>
      <c r="Q1544" s="116">
        <v>75.55</v>
      </c>
      <c r="R1544">
        <v>633458</v>
      </c>
    </row>
    <row r="1545" spans="1:18" x14ac:dyDescent="0.25">
      <c r="A1545" s="169">
        <v>44278</v>
      </c>
      <c r="B1545" s="116">
        <v>38.1</v>
      </c>
      <c r="C1545" s="116">
        <v>37.174999999999997</v>
      </c>
      <c r="D1545" s="116">
        <v>36.924999999999997</v>
      </c>
      <c r="E1545" s="116">
        <v>37.799999999999997</v>
      </c>
      <c r="F1545" s="116">
        <v>74.349999999999994</v>
      </c>
      <c r="G1545">
        <v>92380</v>
      </c>
      <c r="H1545" s="116"/>
      <c r="I1545" s="116"/>
      <c r="L1545" s="169">
        <v>44278</v>
      </c>
      <c r="M1545" s="116">
        <v>37.174999999999997</v>
      </c>
      <c r="N1545" s="116">
        <v>38.125</v>
      </c>
      <c r="O1545" s="116">
        <v>36.85</v>
      </c>
      <c r="P1545" s="116">
        <v>37.549999999999997</v>
      </c>
      <c r="Q1545" s="116">
        <v>74.349999999999994</v>
      </c>
      <c r="R1545">
        <v>652826</v>
      </c>
    </row>
    <row r="1546" spans="1:18" x14ac:dyDescent="0.25">
      <c r="A1546" s="169">
        <v>44279</v>
      </c>
      <c r="B1546" s="116">
        <v>37.424999999999997</v>
      </c>
      <c r="C1546" s="116">
        <v>36.024999999999999</v>
      </c>
      <c r="D1546" s="116">
        <v>35.950000000000003</v>
      </c>
      <c r="E1546" s="116">
        <v>37.1</v>
      </c>
      <c r="F1546" s="116">
        <v>72.05</v>
      </c>
      <c r="G1546">
        <v>146508</v>
      </c>
      <c r="H1546" s="116"/>
      <c r="I1546" s="116"/>
      <c r="L1546" s="169">
        <v>44279</v>
      </c>
      <c r="M1546" s="116">
        <v>36.024999999999999</v>
      </c>
      <c r="N1546" s="116">
        <v>37.424999999999997</v>
      </c>
      <c r="O1546" s="116">
        <v>35.950000000000003</v>
      </c>
      <c r="P1546" s="116">
        <v>37</v>
      </c>
      <c r="Q1546" s="116">
        <v>72.05</v>
      </c>
      <c r="R1546">
        <v>993236</v>
      </c>
    </row>
    <row r="1547" spans="1:18" x14ac:dyDescent="0.25">
      <c r="A1547" s="169">
        <v>44280</v>
      </c>
      <c r="B1547" s="116">
        <v>36.125</v>
      </c>
      <c r="C1547" s="116">
        <v>35.625</v>
      </c>
      <c r="D1547" s="116">
        <v>35.075000000000003</v>
      </c>
      <c r="E1547" s="116">
        <v>35.524999999999999</v>
      </c>
      <c r="F1547" s="116">
        <v>71.25</v>
      </c>
      <c r="G1547">
        <v>338531</v>
      </c>
      <c r="H1547" s="116"/>
      <c r="I1547" s="116"/>
      <c r="L1547" s="169">
        <v>44280</v>
      </c>
      <c r="M1547" s="116">
        <v>35.700000000000003</v>
      </c>
      <c r="N1547" s="116">
        <v>36.325000000000003</v>
      </c>
      <c r="O1547" s="116">
        <v>35.075000000000003</v>
      </c>
      <c r="P1547" s="116">
        <v>36.049999999999997</v>
      </c>
      <c r="Q1547" s="116">
        <v>71.400000000000006</v>
      </c>
      <c r="R1547">
        <v>889866</v>
      </c>
    </row>
    <row r="1548" spans="1:18" x14ac:dyDescent="0.25">
      <c r="A1548" s="169">
        <v>44281</v>
      </c>
      <c r="B1548" s="116">
        <v>37</v>
      </c>
      <c r="C1548" s="116">
        <v>35.774999999999999</v>
      </c>
      <c r="D1548" s="116">
        <v>35.65</v>
      </c>
      <c r="E1548" s="116">
        <v>36</v>
      </c>
      <c r="F1548" s="116">
        <v>71.55</v>
      </c>
      <c r="G1548">
        <v>211394</v>
      </c>
      <c r="H1548" s="116"/>
      <c r="I1548" s="116"/>
      <c r="L1548" s="169">
        <v>44281</v>
      </c>
      <c r="M1548" s="116">
        <v>35.75</v>
      </c>
      <c r="N1548" s="116">
        <v>37.25</v>
      </c>
      <c r="O1548" s="116">
        <v>35.6</v>
      </c>
      <c r="P1548" s="116">
        <v>35.950000000000003</v>
      </c>
      <c r="Q1548" s="116">
        <v>71.5</v>
      </c>
      <c r="R1548">
        <v>883306</v>
      </c>
    </row>
    <row r="1549" spans="1:18" x14ac:dyDescent="0.25">
      <c r="A1549" s="169">
        <v>44285</v>
      </c>
      <c r="B1549" s="116">
        <v>36.524999999999999</v>
      </c>
      <c r="C1549" s="116">
        <v>35.975000000000001</v>
      </c>
      <c r="D1549" s="116">
        <v>35.75</v>
      </c>
      <c r="E1549" s="116">
        <v>35.75</v>
      </c>
      <c r="F1549" s="116">
        <v>71.95</v>
      </c>
      <c r="G1549">
        <v>155612</v>
      </c>
      <c r="H1549" s="116"/>
      <c r="I1549" s="116"/>
      <c r="L1549" s="169">
        <v>44285</v>
      </c>
      <c r="M1549" s="116">
        <v>35.975000000000001</v>
      </c>
      <c r="N1549" s="116">
        <v>36.549999999999997</v>
      </c>
      <c r="O1549" s="116">
        <v>35.75</v>
      </c>
      <c r="P1549" s="116">
        <v>36.424999999999997</v>
      </c>
      <c r="Q1549" s="116">
        <v>71.95</v>
      </c>
      <c r="R1549">
        <v>884521</v>
      </c>
    </row>
    <row r="1550" spans="1:18" x14ac:dyDescent="0.25">
      <c r="A1550" s="169">
        <v>44286</v>
      </c>
      <c r="B1550" s="116">
        <v>37.9</v>
      </c>
      <c r="C1550" s="116">
        <v>37.075000000000003</v>
      </c>
      <c r="D1550" s="116">
        <v>36.1</v>
      </c>
      <c r="E1550" s="116">
        <v>36.1</v>
      </c>
      <c r="F1550" s="116">
        <v>74.150000000000006</v>
      </c>
      <c r="G1550">
        <v>219244</v>
      </c>
      <c r="H1550" s="116"/>
      <c r="I1550" s="116"/>
      <c r="L1550" s="169">
        <v>44286</v>
      </c>
      <c r="M1550" s="116">
        <v>37.075000000000003</v>
      </c>
      <c r="N1550" s="116">
        <v>37.9</v>
      </c>
      <c r="O1550" s="116">
        <v>35.825000000000003</v>
      </c>
      <c r="P1550" s="116">
        <v>36.024999999999999</v>
      </c>
      <c r="Q1550" s="116">
        <v>74.150000000000006</v>
      </c>
      <c r="R1550">
        <v>2264823</v>
      </c>
    </row>
    <row r="1551" spans="1:18" x14ac:dyDescent="0.25">
      <c r="A1551" s="169">
        <v>44287</v>
      </c>
      <c r="B1551" s="116">
        <v>38.799999999999997</v>
      </c>
      <c r="C1551" s="116">
        <v>38.325000000000003</v>
      </c>
      <c r="D1551" s="116">
        <v>37.375</v>
      </c>
      <c r="E1551" s="116">
        <v>37.4</v>
      </c>
      <c r="F1551" s="116">
        <v>76.650000000000006</v>
      </c>
      <c r="G1551">
        <v>130139</v>
      </c>
      <c r="H1551" s="116"/>
      <c r="I1551" s="116"/>
      <c r="L1551" s="169">
        <v>44287</v>
      </c>
      <c r="M1551" s="116">
        <v>38.325000000000003</v>
      </c>
      <c r="N1551" s="116">
        <v>38.799999999999997</v>
      </c>
      <c r="O1551" s="116">
        <v>37.25</v>
      </c>
      <c r="P1551" s="116">
        <v>37.35</v>
      </c>
      <c r="Q1551" s="116">
        <v>76.650000000000006</v>
      </c>
      <c r="R1551">
        <v>1269286</v>
      </c>
    </row>
    <row r="1552" spans="1:18" x14ac:dyDescent="0.25">
      <c r="A1552" s="169">
        <v>44291</v>
      </c>
      <c r="B1552" s="116">
        <v>38.950000000000003</v>
      </c>
      <c r="C1552" s="116">
        <v>37.274999999999999</v>
      </c>
      <c r="D1552" s="116">
        <v>36.6</v>
      </c>
      <c r="E1552" s="116">
        <v>37.5</v>
      </c>
      <c r="F1552" s="116">
        <v>74.55</v>
      </c>
      <c r="G1552">
        <v>86486</v>
      </c>
      <c r="H1552" s="116"/>
      <c r="I1552" s="116"/>
      <c r="L1552" s="169">
        <v>44291</v>
      </c>
      <c r="M1552" s="116">
        <v>37.35</v>
      </c>
      <c r="N1552" s="116">
        <v>38.950000000000003</v>
      </c>
      <c r="O1552" s="116">
        <v>36.5</v>
      </c>
      <c r="P1552" s="116">
        <v>38.450000000000003</v>
      </c>
      <c r="Q1552" s="116">
        <v>74.7</v>
      </c>
      <c r="R1552">
        <v>1154814</v>
      </c>
    </row>
    <row r="1553" spans="1:18" x14ac:dyDescent="0.25">
      <c r="A1553" s="169">
        <v>44292</v>
      </c>
      <c r="B1553" s="116">
        <v>37.975000000000001</v>
      </c>
      <c r="C1553" s="116">
        <v>36.975000000000001</v>
      </c>
      <c r="D1553" s="116">
        <v>36.825000000000003</v>
      </c>
      <c r="E1553" s="116">
        <v>37.75</v>
      </c>
      <c r="F1553" s="116">
        <v>73.95</v>
      </c>
      <c r="G1553">
        <v>46799</v>
      </c>
      <c r="H1553" s="116"/>
      <c r="I1553" s="116"/>
      <c r="L1553" s="169">
        <v>44292</v>
      </c>
      <c r="M1553" s="116">
        <v>36.950000000000003</v>
      </c>
      <c r="N1553" s="116">
        <v>38</v>
      </c>
      <c r="O1553" s="116">
        <v>36.75</v>
      </c>
      <c r="P1553" s="116">
        <v>37.6</v>
      </c>
      <c r="Q1553" s="116">
        <v>73.900000000000006</v>
      </c>
      <c r="R1553">
        <v>734265</v>
      </c>
    </row>
    <row r="1554" spans="1:18" x14ac:dyDescent="0.25">
      <c r="A1554" s="169">
        <v>44293</v>
      </c>
      <c r="B1554" s="116">
        <v>37.9</v>
      </c>
      <c r="C1554" s="116">
        <v>37.65</v>
      </c>
      <c r="D1554" s="116">
        <v>37</v>
      </c>
      <c r="E1554" s="116">
        <v>37.15</v>
      </c>
      <c r="F1554" s="116">
        <v>75.3</v>
      </c>
      <c r="G1554">
        <v>94486</v>
      </c>
      <c r="H1554" s="116"/>
      <c r="I1554" s="116"/>
      <c r="L1554" s="169">
        <v>44293</v>
      </c>
      <c r="M1554" s="116">
        <v>37.674999999999997</v>
      </c>
      <c r="N1554" s="116">
        <v>37.924999999999997</v>
      </c>
      <c r="O1554" s="116">
        <v>37</v>
      </c>
      <c r="P1554" s="116">
        <v>37.475000000000001</v>
      </c>
      <c r="Q1554" s="116">
        <v>75.349999999999994</v>
      </c>
      <c r="R1554">
        <v>980767</v>
      </c>
    </row>
    <row r="1555" spans="1:18" x14ac:dyDescent="0.25">
      <c r="A1555" s="169">
        <v>44294</v>
      </c>
      <c r="B1555" s="116">
        <v>40.5</v>
      </c>
      <c r="C1555" s="116">
        <v>39.125</v>
      </c>
      <c r="D1555" s="116">
        <v>37.674999999999997</v>
      </c>
      <c r="E1555" s="116">
        <v>37.674999999999997</v>
      </c>
      <c r="F1555" s="116">
        <v>78.25</v>
      </c>
      <c r="G1555">
        <v>217611</v>
      </c>
      <c r="H1555" s="116"/>
      <c r="I1555" s="116"/>
      <c r="L1555" s="169">
        <v>44294</v>
      </c>
      <c r="M1555" s="116">
        <v>39.049999999999997</v>
      </c>
      <c r="N1555" s="116">
        <v>40.5</v>
      </c>
      <c r="O1555" s="116">
        <v>37.774999999999999</v>
      </c>
      <c r="P1555" s="116">
        <v>37.799999999999997</v>
      </c>
      <c r="Q1555" s="116">
        <v>78.099999999999994</v>
      </c>
      <c r="R1555">
        <v>4175703</v>
      </c>
    </row>
    <row r="1556" spans="1:18" x14ac:dyDescent="0.25">
      <c r="A1556" s="169">
        <v>44295</v>
      </c>
      <c r="B1556" s="116">
        <v>39.799999999999997</v>
      </c>
      <c r="C1556" s="116">
        <v>39.125</v>
      </c>
      <c r="D1556" s="116">
        <v>38.575000000000003</v>
      </c>
      <c r="E1556" s="116">
        <v>39.450000000000003</v>
      </c>
      <c r="F1556" s="116">
        <v>78.25</v>
      </c>
      <c r="G1556">
        <v>145511</v>
      </c>
      <c r="H1556" s="116"/>
      <c r="I1556" s="116"/>
      <c r="L1556" s="169">
        <v>44295</v>
      </c>
      <c r="M1556" s="116">
        <v>39.200000000000003</v>
      </c>
      <c r="N1556" s="116">
        <v>39.85</v>
      </c>
      <c r="O1556" s="116">
        <v>38.799999999999997</v>
      </c>
      <c r="P1556" s="116">
        <v>39.15</v>
      </c>
      <c r="Q1556" s="116">
        <v>78.400000000000006</v>
      </c>
      <c r="R1556">
        <v>1533031</v>
      </c>
    </row>
    <row r="1557" spans="1:18" x14ac:dyDescent="0.25">
      <c r="A1557" s="169">
        <v>44298</v>
      </c>
      <c r="B1557" s="116">
        <v>39</v>
      </c>
      <c r="C1557" s="116">
        <v>35.799999999999997</v>
      </c>
      <c r="D1557" s="116">
        <v>35.325000000000003</v>
      </c>
      <c r="E1557" s="116">
        <v>39</v>
      </c>
      <c r="F1557" s="116">
        <v>71.599999999999994</v>
      </c>
      <c r="G1557">
        <v>99399</v>
      </c>
      <c r="H1557" s="116"/>
      <c r="I1557" s="116"/>
      <c r="L1557" s="169">
        <v>44298</v>
      </c>
      <c r="M1557" s="116">
        <v>35.725000000000001</v>
      </c>
      <c r="N1557" s="116">
        <v>38.299999999999997</v>
      </c>
      <c r="O1557" s="116">
        <v>35.299999999999997</v>
      </c>
      <c r="P1557" s="116">
        <v>38.299999999999997</v>
      </c>
      <c r="Q1557" s="116">
        <v>71.45</v>
      </c>
      <c r="R1557">
        <v>1309099</v>
      </c>
    </row>
    <row r="1558" spans="1:18" x14ac:dyDescent="0.25">
      <c r="A1558" s="169">
        <v>44299</v>
      </c>
      <c r="B1558" s="116">
        <v>37.200000000000003</v>
      </c>
      <c r="C1558" s="116">
        <v>36.924999999999997</v>
      </c>
      <c r="D1558" s="116">
        <v>35.75</v>
      </c>
      <c r="E1558" s="116">
        <v>35.75</v>
      </c>
      <c r="F1558" s="116">
        <v>73.849999999999994</v>
      </c>
      <c r="G1558">
        <v>77001</v>
      </c>
      <c r="H1558" s="116"/>
      <c r="I1558" s="116"/>
      <c r="L1558" s="169">
        <v>44299</v>
      </c>
      <c r="M1558" s="116">
        <v>36.975000000000001</v>
      </c>
      <c r="N1558" s="116">
        <v>37.174999999999997</v>
      </c>
      <c r="O1558" s="116">
        <v>35.725000000000001</v>
      </c>
      <c r="P1558" s="116">
        <v>36.1</v>
      </c>
      <c r="Q1558" s="116">
        <v>73.95</v>
      </c>
      <c r="R1558">
        <v>709370</v>
      </c>
    </row>
    <row r="1559" spans="1:18" x14ac:dyDescent="0.25">
      <c r="A1559" s="169">
        <v>44301</v>
      </c>
      <c r="B1559" s="116">
        <v>37.5</v>
      </c>
      <c r="C1559" s="116">
        <v>37.325000000000003</v>
      </c>
      <c r="D1559" s="116">
        <v>36.15</v>
      </c>
      <c r="E1559" s="116">
        <v>37.25</v>
      </c>
      <c r="F1559" s="116">
        <v>74.650000000000006</v>
      </c>
      <c r="G1559">
        <v>60720</v>
      </c>
      <c r="H1559" s="116"/>
      <c r="I1559" s="116"/>
      <c r="L1559" s="169">
        <v>44301</v>
      </c>
      <c r="M1559" s="116">
        <v>37.225000000000001</v>
      </c>
      <c r="N1559" s="116">
        <v>37.549999999999997</v>
      </c>
      <c r="O1559" s="116">
        <v>36.024999999999999</v>
      </c>
      <c r="P1559" s="116">
        <v>36.774999999999999</v>
      </c>
      <c r="Q1559" s="116">
        <v>74.45</v>
      </c>
      <c r="R1559">
        <v>871474</v>
      </c>
    </row>
    <row r="1560" spans="1:18" x14ac:dyDescent="0.25">
      <c r="A1560" s="169">
        <v>44302</v>
      </c>
      <c r="B1560" s="116">
        <v>38.299999999999997</v>
      </c>
      <c r="C1560" s="116">
        <v>37.875</v>
      </c>
      <c r="D1560" s="116">
        <v>36.875</v>
      </c>
      <c r="E1560" s="116">
        <v>36.875</v>
      </c>
      <c r="F1560" s="116">
        <v>75.75</v>
      </c>
      <c r="G1560">
        <v>90209</v>
      </c>
      <c r="H1560" s="116"/>
      <c r="I1560" s="116"/>
      <c r="L1560" s="169">
        <v>44302</v>
      </c>
      <c r="M1560" s="116">
        <v>37.9</v>
      </c>
      <c r="N1560" s="116">
        <v>38.299999999999997</v>
      </c>
      <c r="O1560" s="116">
        <v>37.075000000000003</v>
      </c>
      <c r="P1560" s="116">
        <v>37.225000000000001</v>
      </c>
      <c r="Q1560" s="116">
        <v>75.8</v>
      </c>
      <c r="R1560">
        <v>851842</v>
      </c>
    </row>
    <row r="1561" spans="1:18" x14ac:dyDescent="0.25">
      <c r="A1561" s="169">
        <v>44305</v>
      </c>
      <c r="B1561" s="116">
        <v>37.65</v>
      </c>
      <c r="C1561" s="116">
        <v>36.4</v>
      </c>
      <c r="D1561" s="116">
        <v>36.075000000000003</v>
      </c>
      <c r="E1561" s="116">
        <v>37.65</v>
      </c>
      <c r="F1561" s="116">
        <v>72.8</v>
      </c>
      <c r="G1561">
        <v>63850</v>
      </c>
      <c r="H1561" s="116"/>
      <c r="I1561" s="116"/>
      <c r="L1561" s="169">
        <v>44305</v>
      </c>
      <c r="M1561" s="116">
        <v>36.35</v>
      </c>
      <c r="N1561" s="116">
        <v>37.450000000000003</v>
      </c>
      <c r="O1561" s="116">
        <v>36</v>
      </c>
      <c r="P1561" s="116">
        <v>37.450000000000003</v>
      </c>
      <c r="Q1561" s="116">
        <v>72.7</v>
      </c>
      <c r="R1561">
        <v>910144</v>
      </c>
    </row>
    <row r="1562" spans="1:18" x14ac:dyDescent="0.25">
      <c r="A1562" s="169">
        <v>44306</v>
      </c>
      <c r="B1562" s="116">
        <v>37.325000000000003</v>
      </c>
      <c r="C1562" s="116">
        <v>36.25</v>
      </c>
      <c r="D1562" s="116">
        <v>35.924999999999997</v>
      </c>
      <c r="E1562" s="116">
        <v>37</v>
      </c>
      <c r="F1562" s="116">
        <v>72.5</v>
      </c>
      <c r="G1562">
        <v>70497</v>
      </c>
      <c r="H1562" s="116"/>
      <c r="I1562" s="116"/>
      <c r="L1562" s="169">
        <v>44306</v>
      </c>
      <c r="M1562" s="116">
        <v>36.35</v>
      </c>
      <c r="N1562" s="116">
        <v>37.35</v>
      </c>
      <c r="O1562" s="116">
        <v>36</v>
      </c>
      <c r="P1562" s="116">
        <v>36.700000000000003</v>
      </c>
      <c r="Q1562" s="116">
        <v>72.7</v>
      </c>
      <c r="R1562">
        <v>764610</v>
      </c>
    </row>
    <row r="1563" spans="1:18" x14ac:dyDescent="0.25">
      <c r="A1563" s="169">
        <v>44308</v>
      </c>
      <c r="B1563" s="116">
        <v>37.299999999999997</v>
      </c>
      <c r="C1563" s="116">
        <v>36.875</v>
      </c>
      <c r="D1563" s="116">
        <v>35.950000000000003</v>
      </c>
      <c r="E1563" s="116">
        <v>36.024999999999999</v>
      </c>
      <c r="F1563" s="116">
        <v>73.75</v>
      </c>
      <c r="G1563">
        <v>174808</v>
      </c>
      <c r="H1563" s="116"/>
      <c r="I1563" s="116"/>
      <c r="L1563" s="169">
        <v>44308</v>
      </c>
      <c r="M1563" s="116">
        <v>36.774999999999999</v>
      </c>
      <c r="N1563" s="116">
        <v>37.325000000000003</v>
      </c>
      <c r="O1563" s="116">
        <v>35.825000000000003</v>
      </c>
      <c r="P1563" s="116">
        <v>36</v>
      </c>
      <c r="Q1563" s="116">
        <v>73.55</v>
      </c>
      <c r="R1563">
        <v>992808</v>
      </c>
    </row>
    <row r="1564" spans="1:18" x14ac:dyDescent="0.25">
      <c r="A1564" s="169">
        <v>44309</v>
      </c>
      <c r="B1564" s="116">
        <v>37.25</v>
      </c>
      <c r="C1564" s="116">
        <v>36.299999999999997</v>
      </c>
      <c r="D1564" s="116">
        <v>36.15</v>
      </c>
      <c r="E1564" s="116">
        <v>37</v>
      </c>
      <c r="F1564" s="116">
        <v>72.599999999999994</v>
      </c>
      <c r="G1564">
        <v>188432</v>
      </c>
      <c r="H1564" s="116"/>
      <c r="I1564" s="116"/>
      <c r="L1564" s="169">
        <v>44309</v>
      </c>
      <c r="M1564" s="116">
        <v>36.274999999999999</v>
      </c>
      <c r="N1564" s="116">
        <v>37.274999999999999</v>
      </c>
      <c r="O1564" s="116">
        <v>36.049999999999997</v>
      </c>
      <c r="P1564" s="116">
        <v>36.75</v>
      </c>
      <c r="Q1564" s="116">
        <v>72.55</v>
      </c>
      <c r="R1564">
        <v>943515</v>
      </c>
    </row>
    <row r="1565" spans="1:18" x14ac:dyDescent="0.25">
      <c r="A1565" s="169">
        <v>44312</v>
      </c>
      <c r="B1565" s="116">
        <v>37.325000000000003</v>
      </c>
      <c r="C1565" s="116">
        <v>36.875</v>
      </c>
      <c r="D1565" s="116">
        <v>36.6</v>
      </c>
      <c r="E1565" s="116">
        <v>36.950000000000003</v>
      </c>
      <c r="F1565" s="116">
        <v>73.75</v>
      </c>
      <c r="G1565">
        <v>93700</v>
      </c>
      <c r="H1565" s="116"/>
      <c r="I1565" s="116"/>
      <c r="L1565" s="169">
        <v>44312</v>
      </c>
      <c r="M1565" s="116">
        <v>36.799999999999997</v>
      </c>
      <c r="N1565" s="116">
        <v>37.35</v>
      </c>
      <c r="O1565" s="116">
        <v>36.5</v>
      </c>
      <c r="P1565" s="116">
        <v>36.5</v>
      </c>
      <c r="Q1565" s="116">
        <v>73.599999999999994</v>
      </c>
      <c r="R1565">
        <v>853673</v>
      </c>
    </row>
    <row r="1566" spans="1:18" x14ac:dyDescent="0.25">
      <c r="A1566" s="169">
        <v>44313</v>
      </c>
      <c r="B1566" s="116">
        <v>38.5</v>
      </c>
      <c r="C1566" s="116">
        <v>37.75</v>
      </c>
      <c r="D1566" s="116">
        <v>36.9</v>
      </c>
      <c r="E1566" s="116">
        <v>37</v>
      </c>
      <c r="F1566" s="116">
        <v>75.5</v>
      </c>
      <c r="G1566">
        <v>153083</v>
      </c>
      <c r="H1566" s="116"/>
      <c r="I1566" s="116"/>
      <c r="L1566" s="169">
        <v>44313</v>
      </c>
      <c r="M1566" s="116">
        <v>37.799999999999997</v>
      </c>
      <c r="N1566" s="116">
        <v>38.6</v>
      </c>
      <c r="O1566" s="116">
        <v>36.825000000000003</v>
      </c>
      <c r="P1566" s="116">
        <v>36.975000000000001</v>
      </c>
      <c r="Q1566" s="116">
        <v>75.599999999999994</v>
      </c>
      <c r="R1566">
        <v>1709940</v>
      </c>
    </row>
    <row r="1567" spans="1:18" x14ac:dyDescent="0.25">
      <c r="A1567" s="169">
        <v>44314</v>
      </c>
      <c r="B1567" s="116">
        <v>38.25</v>
      </c>
      <c r="C1567" s="116">
        <v>37.700000000000003</v>
      </c>
      <c r="D1567" s="116">
        <v>37.575000000000003</v>
      </c>
      <c r="E1567" s="116">
        <v>38</v>
      </c>
      <c r="F1567" s="116">
        <v>75.400000000000006</v>
      </c>
      <c r="G1567">
        <v>51257</v>
      </c>
      <c r="H1567" s="116"/>
      <c r="I1567" s="116"/>
      <c r="L1567" s="169">
        <v>44314</v>
      </c>
      <c r="M1567" s="116">
        <v>37.75</v>
      </c>
      <c r="N1567" s="116">
        <v>38.35</v>
      </c>
      <c r="O1567" s="116">
        <v>37.524999999999999</v>
      </c>
      <c r="P1567" s="116">
        <v>37.975000000000001</v>
      </c>
      <c r="Q1567" s="116">
        <v>75.5</v>
      </c>
      <c r="R1567">
        <v>664609</v>
      </c>
    </row>
    <row r="1568" spans="1:18" x14ac:dyDescent="0.25">
      <c r="A1568" s="169">
        <v>44315</v>
      </c>
      <c r="B1568" s="116">
        <v>41.875</v>
      </c>
      <c r="C1568" s="116">
        <v>40.700000000000003</v>
      </c>
      <c r="D1568" s="116">
        <v>38.049999999999997</v>
      </c>
      <c r="E1568" s="116">
        <v>38.225000000000001</v>
      </c>
      <c r="F1568" s="116">
        <v>81.400000000000006</v>
      </c>
      <c r="G1568">
        <v>761712</v>
      </c>
      <c r="H1568" s="116"/>
      <c r="I1568" s="116"/>
      <c r="L1568" s="169">
        <v>44315</v>
      </c>
      <c r="M1568" s="116">
        <v>40.65</v>
      </c>
      <c r="N1568" s="116">
        <v>41.9</v>
      </c>
      <c r="O1568" s="116">
        <v>38</v>
      </c>
      <c r="P1568" s="116">
        <v>38</v>
      </c>
      <c r="Q1568" s="116">
        <v>81.3</v>
      </c>
      <c r="R1568">
        <v>10921965</v>
      </c>
    </row>
    <row r="1569" spans="1:18" x14ac:dyDescent="0.25">
      <c r="A1569" s="169">
        <v>44316</v>
      </c>
      <c r="B1569" s="116">
        <v>43.8</v>
      </c>
      <c r="C1569" s="116">
        <v>42.75</v>
      </c>
      <c r="D1569" s="116">
        <v>40</v>
      </c>
      <c r="E1569" s="116">
        <v>40.5</v>
      </c>
      <c r="F1569" s="116">
        <v>85.5</v>
      </c>
      <c r="G1569">
        <v>776331</v>
      </c>
      <c r="H1569" s="116"/>
      <c r="I1569" s="116"/>
      <c r="L1569" s="169">
        <v>44316</v>
      </c>
      <c r="M1569" s="116">
        <v>42.774999999999999</v>
      </c>
      <c r="N1569" s="116">
        <v>43.825000000000003</v>
      </c>
      <c r="O1569" s="116">
        <v>40.1</v>
      </c>
      <c r="P1569" s="116">
        <v>40.475000000000001</v>
      </c>
      <c r="Q1569" s="116">
        <v>85.55</v>
      </c>
      <c r="R1569">
        <v>9807199</v>
      </c>
    </row>
    <row r="1570" spans="1:18" x14ac:dyDescent="0.25">
      <c r="A1570" s="169">
        <v>44319</v>
      </c>
      <c r="B1570" s="116">
        <v>47.25</v>
      </c>
      <c r="C1570" s="116">
        <v>46.325000000000003</v>
      </c>
      <c r="D1570" s="116">
        <v>42.3</v>
      </c>
      <c r="E1570" s="116">
        <v>42.75</v>
      </c>
      <c r="F1570" s="116">
        <v>92.65</v>
      </c>
      <c r="G1570">
        <v>1292390</v>
      </c>
      <c r="H1570" s="116"/>
      <c r="I1570" s="116"/>
      <c r="L1570" s="169">
        <v>44319</v>
      </c>
      <c r="M1570" s="116">
        <v>46.35</v>
      </c>
      <c r="N1570" s="116">
        <v>47.2</v>
      </c>
      <c r="O1570" s="116">
        <v>42.25</v>
      </c>
      <c r="P1570" s="116">
        <v>42.45</v>
      </c>
      <c r="Q1570" s="116">
        <v>92.7</v>
      </c>
      <c r="R1570">
        <v>16596656</v>
      </c>
    </row>
    <row r="1571" spans="1:18" x14ac:dyDescent="0.25">
      <c r="A1571" s="169">
        <v>44320</v>
      </c>
      <c r="B1571" s="116">
        <v>48.424999999999997</v>
      </c>
      <c r="C1571" s="116">
        <v>43.825000000000003</v>
      </c>
      <c r="D1571" s="116">
        <v>43.325000000000003</v>
      </c>
      <c r="E1571" s="116">
        <v>46.85</v>
      </c>
      <c r="F1571" s="116">
        <v>87.65</v>
      </c>
      <c r="G1571">
        <v>607412</v>
      </c>
      <c r="H1571" s="116"/>
      <c r="I1571" s="116"/>
      <c r="L1571" s="169">
        <v>44320</v>
      </c>
      <c r="M1571" s="116">
        <v>43.825000000000003</v>
      </c>
      <c r="N1571" s="116">
        <v>48.5</v>
      </c>
      <c r="O1571" s="116">
        <v>43.375</v>
      </c>
      <c r="P1571" s="116">
        <v>46.8</v>
      </c>
      <c r="Q1571" s="116">
        <v>87.65</v>
      </c>
      <c r="R1571">
        <v>9504199</v>
      </c>
    </row>
    <row r="1572" spans="1:18" x14ac:dyDescent="0.25">
      <c r="A1572" s="169">
        <v>44321</v>
      </c>
      <c r="B1572" s="116">
        <v>45.174999999999997</v>
      </c>
      <c r="C1572" s="116">
        <v>44.45</v>
      </c>
      <c r="D1572" s="116">
        <v>43.6</v>
      </c>
      <c r="E1572" s="116">
        <v>44.725000000000001</v>
      </c>
      <c r="F1572" s="116">
        <v>88.9</v>
      </c>
      <c r="G1572">
        <v>283040</v>
      </c>
      <c r="H1572" s="116"/>
      <c r="I1572" s="116"/>
      <c r="L1572" s="169">
        <v>44321</v>
      </c>
      <c r="M1572" s="116">
        <v>44.475000000000001</v>
      </c>
      <c r="N1572" s="116">
        <v>45.2</v>
      </c>
      <c r="O1572" s="116">
        <v>43.575000000000003</v>
      </c>
      <c r="P1572" s="116">
        <v>44.3</v>
      </c>
      <c r="Q1572" s="116">
        <v>88.95</v>
      </c>
      <c r="R1572">
        <v>3138147</v>
      </c>
    </row>
    <row r="1573" spans="1:18" x14ac:dyDescent="0.25">
      <c r="A1573" s="169">
        <v>44322</v>
      </c>
      <c r="B1573" s="116">
        <v>44.975000000000001</v>
      </c>
      <c r="C1573" s="116">
        <v>43.024999999999999</v>
      </c>
      <c r="D1573" s="116">
        <v>42.7</v>
      </c>
      <c r="E1573" s="116">
        <v>44.5</v>
      </c>
      <c r="F1573" s="116">
        <v>86.05</v>
      </c>
      <c r="G1573">
        <v>210549</v>
      </c>
      <c r="H1573" s="116"/>
      <c r="I1573" s="116"/>
      <c r="L1573" s="169">
        <v>44322</v>
      </c>
      <c r="M1573" s="116">
        <v>43.024999999999999</v>
      </c>
      <c r="N1573" s="116">
        <v>44.975000000000001</v>
      </c>
      <c r="O1573" s="116">
        <v>42.65</v>
      </c>
      <c r="P1573" s="116">
        <v>44.774999999999999</v>
      </c>
      <c r="Q1573" s="116">
        <v>86.05</v>
      </c>
      <c r="R1573">
        <v>3342620</v>
      </c>
    </row>
    <row r="1574" spans="1:18" x14ac:dyDescent="0.25">
      <c r="A1574" s="169">
        <v>44323</v>
      </c>
      <c r="B1574" s="116">
        <v>47.45</v>
      </c>
      <c r="C1574" s="116">
        <v>46.15</v>
      </c>
      <c r="D1574" s="116">
        <v>43.375</v>
      </c>
      <c r="E1574" s="116">
        <v>43.475000000000001</v>
      </c>
      <c r="F1574" s="116">
        <v>92.3</v>
      </c>
      <c r="G1574">
        <v>617553</v>
      </c>
      <c r="H1574" s="116"/>
      <c r="I1574" s="116"/>
      <c r="L1574" s="169">
        <v>44323</v>
      </c>
      <c r="M1574" s="116">
        <v>46.2</v>
      </c>
      <c r="N1574" s="116">
        <v>47.475000000000001</v>
      </c>
      <c r="O1574" s="116">
        <v>43.325000000000003</v>
      </c>
      <c r="P1574" s="116">
        <v>43.325000000000003</v>
      </c>
      <c r="Q1574" s="116">
        <v>92.4</v>
      </c>
      <c r="R1574">
        <v>8576239</v>
      </c>
    </row>
    <row r="1575" spans="1:18" x14ac:dyDescent="0.25">
      <c r="A1575" s="169">
        <v>44326</v>
      </c>
      <c r="B1575" s="116">
        <v>48.55</v>
      </c>
      <c r="C1575" s="116">
        <v>47.625</v>
      </c>
      <c r="D1575" s="116">
        <v>46.825000000000003</v>
      </c>
      <c r="E1575" s="116">
        <v>47.1</v>
      </c>
      <c r="F1575" s="116">
        <v>95.25</v>
      </c>
      <c r="G1575">
        <v>403552</v>
      </c>
      <c r="H1575" s="116"/>
      <c r="I1575" s="116"/>
      <c r="L1575" s="169">
        <v>44326</v>
      </c>
      <c r="M1575" s="116">
        <v>47.625</v>
      </c>
      <c r="N1575" s="116">
        <v>48.5</v>
      </c>
      <c r="O1575" s="116">
        <v>46.55</v>
      </c>
      <c r="P1575" s="116">
        <v>46.9</v>
      </c>
      <c r="Q1575" s="116">
        <v>95.25</v>
      </c>
      <c r="R1575">
        <v>7083373</v>
      </c>
    </row>
    <row r="1576" spans="1:18" x14ac:dyDescent="0.25">
      <c r="A1576" s="169">
        <v>44327</v>
      </c>
      <c r="B1576" s="116">
        <v>47.674999999999997</v>
      </c>
      <c r="C1576" s="116">
        <v>46.3</v>
      </c>
      <c r="D1576" s="116">
        <v>45.575000000000003</v>
      </c>
      <c r="E1576" s="116">
        <v>46.15</v>
      </c>
      <c r="F1576" s="116">
        <v>92.6</v>
      </c>
      <c r="G1576">
        <v>330445</v>
      </c>
      <c r="H1576" s="116"/>
      <c r="I1576" s="116"/>
      <c r="L1576" s="169">
        <v>44327</v>
      </c>
      <c r="M1576" s="116">
        <v>46.3</v>
      </c>
      <c r="N1576" s="116">
        <v>47.725000000000001</v>
      </c>
      <c r="O1576" s="116">
        <v>45.6</v>
      </c>
      <c r="P1576" s="116">
        <v>46.5</v>
      </c>
      <c r="Q1576" s="116">
        <v>92.6</v>
      </c>
      <c r="R1576">
        <v>3953336</v>
      </c>
    </row>
    <row r="1577" spans="1:18" x14ac:dyDescent="0.25">
      <c r="A1577" s="169">
        <v>44328</v>
      </c>
      <c r="B1577" s="116">
        <v>47.35</v>
      </c>
      <c r="C1577" s="116">
        <v>44.475000000000001</v>
      </c>
      <c r="D1577" s="116">
        <v>44</v>
      </c>
      <c r="E1577" s="116">
        <v>46.075000000000003</v>
      </c>
      <c r="F1577" s="116">
        <v>88.95</v>
      </c>
      <c r="G1577">
        <v>292250</v>
      </c>
      <c r="H1577" s="116"/>
      <c r="I1577" s="116"/>
      <c r="L1577" s="169">
        <v>44328</v>
      </c>
      <c r="M1577" s="116">
        <v>44.475000000000001</v>
      </c>
      <c r="N1577" s="116">
        <v>47.25</v>
      </c>
      <c r="O1577" s="116">
        <v>44</v>
      </c>
      <c r="P1577" s="116">
        <v>46.5</v>
      </c>
      <c r="Q1577" s="116">
        <v>88.95</v>
      </c>
      <c r="R1577">
        <v>2970125</v>
      </c>
    </row>
    <row r="1578" spans="1:18" x14ac:dyDescent="0.25">
      <c r="A1578" s="169">
        <v>44330</v>
      </c>
      <c r="B1578" s="116">
        <v>46.5</v>
      </c>
      <c r="C1578" s="116">
        <v>43.1</v>
      </c>
      <c r="D1578" s="116">
        <v>42.625</v>
      </c>
      <c r="E1578" s="116">
        <v>44.674999999999997</v>
      </c>
      <c r="F1578" s="116">
        <v>86.2</v>
      </c>
      <c r="G1578">
        <v>298433</v>
      </c>
      <c r="H1578" s="116"/>
      <c r="I1578" s="116"/>
      <c r="L1578" s="169">
        <v>44330</v>
      </c>
      <c r="M1578" s="116">
        <v>43.125</v>
      </c>
      <c r="N1578" s="116">
        <v>45.65</v>
      </c>
      <c r="O1578" s="116">
        <v>42.6</v>
      </c>
      <c r="P1578" s="116">
        <v>44.95</v>
      </c>
      <c r="Q1578" s="116">
        <v>86.25</v>
      </c>
      <c r="R1578">
        <v>2544527</v>
      </c>
    </row>
    <row r="1579" spans="1:18" x14ac:dyDescent="0.25">
      <c r="A1579" s="169">
        <v>44333</v>
      </c>
      <c r="B1579" s="116">
        <v>44.75</v>
      </c>
      <c r="C1579" s="116">
        <v>44.25</v>
      </c>
      <c r="D1579" s="116">
        <v>42.975000000000001</v>
      </c>
      <c r="E1579" s="116">
        <v>44.35</v>
      </c>
      <c r="F1579" s="116">
        <v>88.5</v>
      </c>
      <c r="G1579">
        <v>167285</v>
      </c>
      <c r="H1579" s="116"/>
      <c r="I1579" s="116"/>
      <c r="L1579" s="169">
        <v>44333</v>
      </c>
      <c r="M1579" s="116">
        <v>44.3</v>
      </c>
      <c r="N1579" s="116">
        <v>44.75</v>
      </c>
      <c r="O1579" s="116">
        <v>42.774999999999999</v>
      </c>
      <c r="P1579" s="116">
        <v>43.45</v>
      </c>
      <c r="Q1579" s="116">
        <v>88.6</v>
      </c>
      <c r="R1579">
        <v>2166324</v>
      </c>
    </row>
    <row r="1580" spans="1:18" x14ac:dyDescent="0.25">
      <c r="A1580" s="169">
        <v>44334</v>
      </c>
      <c r="B1580" s="116">
        <v>45.325000000000003</v>
      </c>
      <c r="C1580" s="116">
        <v>43.875</v>
      </c>
      <c r="D1580" s="116">
        <v>43.674999999999997</v>
      </c>
      <c r="E1580" s="116">
        <v>44.9</v>
      </c>
      <c r="F1580" s="116">
        <v>87.75</v>
      </c>
      <c r="G1580">
        <v>171694</v>
      </c>
      <c r="H1580" s="116"/>
      <c r="I1580" s="116"/>
      <c r="L1580" s="169">
        <v>44334</v>
      </c>
      <c r="M1580" s="116">
        <v>43.85</v>
      </c>
      <c r="N1580" s="116">
        <v>45.35</v>
      </c>
      <c r="O1580" s="116">
        <v>43.6</v>
      </c>
      <c r="P1580" s="116">
        <v>44.625</v>
      </c>
      <c r="Q1580" s="116">
        <v>87.7</v>
      </c>
      <c r="R1580">
        <v>2397967</v>
      </c>
    </row>
    <row r="1581" spans="1:18" x14ac:dyDescent="0.25">
      <c r="A1581" s="169">
        <v>44335</v>
      </c>
      <c r="B1581" s="116">
        <v>44.25</v>
      </c>
      <c r="C1581" s="116">
        <v>43.7</v>
      </c>
      <c r="D1581" s="116">
        <v>43.524999999999999</v>
      </c>
      <c r="E1581" s="116">
        <v>43.524999999999999</v>
      </c>
      <c r="F1581" s="116">
        <v>87.4</v>
      </c>
      <c r="G1581">
        <v>138153</v>
      </c>
      <c r="H1581" s="116"/>
      <c r="I1581" s="116"/>
      <c r="L1581" s="169">
        <v>44335</v>
      </c>
      <c r="M1581" s="116">
        <v>43.7</v>
      </c>
      <c r="N1581" s="116">
        <v>44.25</v>
      </c>
      <c r="O1581" s="116">
        <v>43.5</v>
      </c>
      <c r="P1581" s="116">
        <v>43.85</v>
      </c>
      <c r="Q1581" s="116">
        <v>87.4</v>
      </c>
      <c r="R1581">
        <v>1764948</v>
      </c>
    </row>
    <row r="1582" spans="1:18" x14ac:dyDescent="0.25">
      <c r="A1582" s="169">
        <v>44336</v>
      </c>
      <c r="B1582" s="116">
        <v>44</v>
      </c>
      <c r="C1582" s="116">
        <v>42.95</v>
      </c>
      <c r="D1582" s="116">
        <v>42.774999999999999</v>
      </c>
      <c r="E1582" s="116">
        <v>43.975000000000001</v>
      </c>
      <c r="F1582" s="116">
        <v>85.9</v>
      </c>
      <c r="G1582">
        <v>173320</v>
      </c>
      <c r="H1582" s="116"/>
      <c r="I1582" s="116"/>
      <c r="L1582" s="169">
        <v>44336</v>
      </c>
      <c r="M1582" s="116">
        <v>43</v>
      </c>
      <c r="N1582" s="116">
        <v>43.95</v>
      </c>
      <c r="O1582" s="116">
        <v>42.8</v>
      </c>
      <c r="P1582" s="116">
        <v>43.95</v>
      </c>
      <c r="Q1582" s="116">
        <v>86</v>
      </c>
      <c r="R1582">
        <v>1554700</v>
      </c>
    </row>
    <row r="1583" spans="1:18" x14ac:dyDescent="0.25">
      <c r="A1583" s="169">
        <v>44337</v>
      </c>
      <c r="B1583" s="116">
        <v>44.8</v>
      </c>
      <c r="C1583" s="116">
        <v>44.55</v>
      </c>
      <c r="D1583" s="116">
        <v>43</v>
      </c>
      <c r="E1583" s="116">
        <v>43.85</v>
      </c>
      <c r="F1583" s="116">
        <v>89.1</v>
      </c>
      <c r="G1583">
        <v>175849</v>
      </c>
      <c r="H1583" s="116"/>
      <c r="I1583" s="116"/>
      <c r="L1583" s="169">
        <v>44337</v>
      </c>
      <c r="M1583" s="116">
        <v>44.575000000000003</v>
      </c>
      <c r="N1583" s="116">
        <v>44.85</v>
      </c>
      <c r="O1583" s="116">
        <v>43.25</v>
      </c>
      <c r="P1583" s="116">
        <v>43.475000000000001</v>
      </c>
      <c r="Q1583" s="116">
        <v>89.15</v>
      </c>
      <c r="R1583">
        <v>2195979</v>
      </c>
    </row>
    <row r="1584" spans="1:18" x14ac:dyDescent="0.25">
      <c r="A1584" s="169">
        <v>44340</v>
      </c>
      <c r="B1584" s="116">
        <v>46.375</v>
      </c>
      <c r="C1584" s="116">
        <v>45.424999999999997</v>
      </c>
      <c r="D1584" s="116">
        <v>45.125</v>
      </c>
      <c r="E1584" s="116">
        <v>45.5</v>
      </c>
      <c r="F1584" s="116">
        <v>90.85</v>
      </c>
      <c r="G1584">
        <v>345747</v>
      </c>
      <c r="H1584" s="116"/>
      <c r="I1584" s="116"/>
      <c r="L1584" s="169">
        <v>44340</v>
      </c>
      <c r="M1584" s="116">
        <v>45.4</v>
      </c>
      <c r="N1584" s="116">
        <v>46.35</v>
      </c>
      <c r="O1584" s="116">
        <v>45</v>
      </c>
      <c r="P1584" s="116">
        <v>45.25</v>
      </c>
      <c r="Q1584" s="116">
        <v>90.8</v>
      </c>
      <c r="R1584">
        <v>4307797</v>
      </c>
    </row>
    <row r="1585" spans="1:18" x14ac:dyDescent="0.25">
      <c r="A1585" s="169">
        <v>44341</v>
      </c>
      <c r="B1585" s="116">
        <v>47.8</v>
      </c>
      <c r="C1585" s="116">
        <v>47.325000000000003</v>
      </c>
      <c r="D1585" s="116">
        <v>45.575000000000003</v>
      </c>
      <c r="E1585" s="116">
        <v>45.575000000000003</v>
      </c>
      <c r="F1585" s="116">
        <v>94.65</v>
      </c>
      <c r="G1585">
        <v>676012</v>
      </c>
      <c r="H1585" s="116"/>
      <c r="I1585" s="116"/>
      <c r="L1585" s="169">
        <v>44341</v>
      </c>
      <c r="M1585" s="116">
        <v>47.274999999999999</v>
      </c>
      <c r="N1585" s="116">
        <v>47.8</v>
      </c>
      <c r="O1585" s="116">
        <v>45.575000000000003</v>
      </c>
      <c r="P1585" s="116">
        <v>45.774999999999999</v>
      </c>
      <c r="Q1585" s="116">
        <v>94.55</v>
      </c>
      <c r="R1585">
        <v>6513266</v>
      </c>
    </row>
    <row r="1586" spans="1:18" x14ac:dyDescent="0.25">
      <c r="A1586" s="169">
        <v>44342</v>
      </c>
      <c r="B1586" s="116">
        <v>49.274999999999999</v>
      </c>
      <c r="C1586" s="116">
        <v>47.875</v>
      </c>
      <c r="D1586" s="116">
        <v>47.625</v>
      </c>
      <c r="E1586" s="116">
        <v>48.5</v>
      </c>
      <c r="F1586" s="116">
        <v>95.75</v>
      </c>
      <c r="G1586">
        <v>685568</v>
      </c>
      <c r="H1586" s="116"/>
      <c r="I1586" s="116"/>
      <c r="L1586" s="169">
        <v>44342</v>
      </c>
      <c r="M1586" s="116">
        <v>47.924999999999997</v>
      </c>
      <c r="N1586" s="116">
        <v>49.3</v>
      </c>
      <c r="O1586" s="116">
        <v>47.55</v>
      </c>
      <c r="P1586" s="116">
        <v>48.5</v>
      </c>
      <c r="Q1586" s="116">
        <v>95.85</v>
      </c>
      <c r="R1586">
        <v>6943213</v>
      </c>
    </row>
    <row r="1587" spans="1:18" x14ac:dyDescent="0.25">
      <c r="A1587" s="169">
        <v>44343</v>
      </c>
      <c r="B1587" s="116">
        <v>48.7</v>
      </c>
      <c r="C1587" s="116">
        <v>47.274999999999999</v>
      </c>
      <c r="D1587" s="116">
        <v>46.725000000000001</v>
      </c>
      <c r="E1587" s="116">
        <v>48.45</v>
      </c>
      <c r="F1587" s="116">
        <v>94.55</v>
      </c>
      <c r="G1587">
        <v>304752</v>
      </c>
      <c r="H1587" s="116"/>
      <c r="I1587" s="116"/>
      <c r="L1587" s="169">
        <v>44343</v>
      </c>
      <c r="M1587" s="116">
        <v>47.225000000000001</v>
      </c>
      <c r="N1587" s="116">
        <v>48.75</v>
      </c>
      <c r="O1587" s="116">
        <v>46.575000000000003</v>
      </c>
      <c r="P1587" s="116">
        <v>48.5</v>
      </c>
      <c r="Q1587" s="116">
        <v>94.45</v>
      </c>
      <c r="R1587">
        <v>2680881</v>
      </c>
    </row>
    <row r="1588" spans="1:18" x14ac:dyDescent="0.25">
      <c r="A1588" s="169">
        <v>44344</v>
      </c>
      <c r="B1588" s="116">
        <v>51.45</v>
      </c>
      <c r="C1588" s="116">
        <v>49.674999999999997</v>
      </c>
      <c r="D1588" s="116">
        <v>47.575000000000003</v>
      </c>
      <c r="E1588" s="116">
        <v>48.65</v>
      </c>
      <c r="F1588" s="116">
        <v>99.35</v>
      </c>
      <c r="G1588">
        <v>1258863</v>
      </c>
      <c r="H1588" s="116"/>
      <c r="I1588" s="116"/>
      <c r="L1588" s="169">
        <v>44344</v>
      </c>
      <c r="M1588" s="116">
        <v>49.7</v>
      </c>
      <c r="N1588" s="116">
        <v>51.5</v>
      </c>
      <c r="O1588" s="116">
        <v>47.575000000000003</v>
      </c>
      <c r="P1588" s="116">
        <v>48.9</v>
      </c>
      <c r="Q1588" s="116">
        <v>99.4</v>
      </c>
      <c r="R1588">
        <v>13071401</v>
      </c>
    </row>
    <row r="1589" spans="1:18" x14ac:dyDescent="0.25">
      <c r="A1589" s="169">
        <v>44347</v>
      </c>
      <c r="B1589" s="116">
        <v>55.35</v>
      </c>
      <c r="C1589" s="116">
        <v>53.975000000000001</v>
      </c>
      <c r="D1589" s="116">
        <v>50.274999999999999</v>
      </c>
      <c r="E1589" s="116">
        <v>51</v>
      </c>
      <c r="F1589" s="116">
        <v>107.95</v>
      </c>
      <c r="G1589">
        <v>1426199</v>
      </c>
      <c r="H1589" s="116"/>
      <c r="I1589" s="116"/>
      <c r="L1589" s="169">
        <v>44347</v>
      </c>
      <c r="M1589" s="116">
        <v>53.924999999999997</v>
      </c>
      <c r="N1589" s="116">
        <v>55.35</v>
      </c>
      <c r="O1589" s="116">
        <v>50.25</v>
      </c>
      <c r="P1589" s="116">
        <v>51</v>
      </c>
      <c r="Q1589" s="116">
        <v>107.85</v>
      </c>
      <c r="R1589">
        <v>22749871</v>
      </c>
    </row>
    <row r="1590" spans="1:18" x14ac:dyDescent="0.25">
      <c r="A1590" s="169">
        <v>44348</v>
      </c>
      <c r="B1590" s="116">
        <v>56.75</v>
      </c>
      <c r="C1590" s="116">
        <v>53.975000000000001</v>
      </c>
      <c r="D1590" s="116">
        <v>52.674999999999997</v>
      </c>
      <c r="E1590" s="116">
        <v>55</v>
      </c>
      <c r="F1590" s="116">
        <v>107.95</v>
      </c>
      <c r="G1590">
        <v>1019113</v>
      </c>
      <c r="H1590" s="116"/>
      <c r="I1590" s="116"/>
      <c r="L1590" s="169">
        <v>44348</v>
      </c>
      <c r="M1590" s="116">
        <v>54.05</v>
      </c>
      <c r="N1590" s="116">
        <v>56.75</v>
      </c>
      <c r="O1590" s="116">
        <v>52.7</v>
      </c>
      <c r="P1590" s="116">
        <v>55.9</v>
      </c>
      <c r="Q1590" s="116">
        <v>108.1</v>
      </c>
      <c r="R1590">
        <v>10956101</v>
      </c>
    </row>
    <row r="1591" spans="1:18" x14ac:dyDescent="0.25">
      <c r="A1591" s="169">
        <v>44349</v>
      </c>
      <c r="B1591" s="116">
        <v>56.825000000000003</v>
      </c>
      <c r="C1591" s="116">
        <v>56.3</v>
      </c>
      <c r="D1591" s="116">
        <v>53.375</v>
      </c>
      <c r="E1591" s="116">
        <v>54.65</v>
      </c>
      <c r="F1591" s="116">
        <v>112.6</v>
      </c>
      <c r="G1591">
        <v>651075</v>
      </c>
      <c r="H1591" s="116"/>
      <c r="I1591" s="116"/>
      <c r="L1591" s="169">
        <v>44349</v>
      </c>
      <c r="M1591" s="116">
        <v>56.325000000000003</v>
      </c>
      <c r="N1591" s="116">
        <v>56.825000000000003</v>
      </c>
      <c r="O1591" s="116">
        <v>53.35</v>
      </c>
      <c r="P1591" s="116">
        <v>54.55</v>
      </c>
      <c r="Q1591" s="116">
        <v>112.65</v>
      </c>
      <c r="R1591">
        <v>9170220</v>
      </c>
    </row>
    <row r="1592" spans="1:18" x14ac:dyDescent="0.25">
      <c r="A1592" s="169">
        <v>44350</v>
      </c>
      <c r="B1592" s="116">
        <v>57.625</v>
      </c>
      <c r="C1592" s="116">
        <v>57.15</v>
      </c>
      <c r="D1592" s="116">
        <v>55.9</v>
      </c>
      <c r="E1592" s="116">
        <v>56.975000000000001</v>
      </c>
      <c r="F1592" s="116">
        <v>114.3</v>
      </c>
      <c r="G1592">
        <v>415308</v>
      </c>
      <c r="H1592" s="116"/>
      <c r="I1592" s="116"/>
      <c r="L1592" s="169">
        <v>44350</v>
      </c>
      <c r="M1592" s="116">
        <v>57.2</v>
      </c>
      <c r="N1592" s="116">
        <v>57.65</v>
      </c>
      <c r="O1592" s="116">
        <v>55.875</v>
      </c>
      <c r="P1592" s="116">
        <v>56.75</v>
      </c>
      <c r="Q1592" s="116">
        <v>114.4</v>
      </c>
      <c r="R1592">
        <v>6590307</v>
      </c>
    </row>
    <row r="1593" spans="1:18" x14ac:dyDescent="0.25">
      <c r="A1593" s="169">
        <v>44351</v>
      </c>
      <c r="B1593" s="116">
        <v>57.75</v>
      </c>
      <c r="C1593" s="116">
        <v>55.975000000000001</v>
      </c>
      <c r="D1593" s="116">
        <v>55.325000000000003</v>
      </c>
      <c r="E1593" s="116">
        <v>57.75</v>
      </c>
      <c r="F1593" s="116">
        <v>111.95</v>
      </c>
      <c r="G1593">
        <v>273744</v>
      </c>
      <c r="H1593" s="116"/>
      <c r="I1593" s="116"/>
      <c r="L1593" s="169">
        <v>44351</v>
      </c>
      <c r="M1593" s="116">
        <v>55.9</v>
      </c>
      <c r="N1593" s="116">
        <v>57.575000000000003</v>
      </c>
      <c r="O1593" s="116">
        <v>55.35</v>
      </c>
      <c r="P1593" s="116">
        <v>57.475000000000001</v>
      </c>
      <c r="Q1593" s="116">
        <v>111.8</v>
      </c>
      <c r="R1593">
        <v>3726029</v>
      </c>
    </row>
    <row r="1594" spans="1:18" x14ac:dyDescent="0.25">
      <c r="A1594" s="169">
        <v>44354</v>
      </c>
      <c r="B1594" s="116">
        <v>56.45</v>
      </c>
      <c r="C1594" s="116">
        <v>54.7</v>
      </c>
      <c r="D1594" s="116">
        <v>54.024999999999999</v>
      </c>
      <c r="E1594" s="116">
        <v>56</v>
      </c>
      <c r="F1594" s="116">
        <v>109.4</v>
      </c>
      <c r="G1594">
        <v>384066</v>
      </c>
      <c r="H1594" s="116"/>
      <c r="I1594" s="116"/>
      <c r="L1594" s="169">
        <v>44354</v>
      </c>
      <c r="M1594" s="116">
        <v>54.725000000000001</v>
      </c>
      <c r="N1594" s="116">
        <v>56.424999999999997</v>
      </c>
      <c r="O1594" s="116">
        <v>54</v>
      </c>
      <c r="P1594" s="116">
        <v>56.4</v>
      </c>
      <c r="Q1594" s="116">
        <v>109.45</v>
      </c>
      <c r="R1594">
        <v>3553144</v>
      </c>
    </row>
    <row r="1595" spans="1:18" x14ac:dyDescent="0.25">
      <c r="A1595" s="169">
        <v>44355</v>
      </c>
      <c r="B1595" s="116">
        <v>58.674999999999997</v>
      </c>
      <c r="C1595" s="116">
        <v>56.85</v>
      </c>
      <c r="D1595" s="116">
        <v>54.125</v>
      </c>
      <c r="E1595" s="116">
        <v>55.2</v>
      </c>
      <c r="F1595" s="116">
        <v>113.7</v>
      </c>
      <c r="G1595">
        <v>517064</v>
      </c>
      <c r="H1595" s="116"/>
      <c r="I1595" s="116"/>
      <c r="L1595" s="169">
        <v>44355</v>
      </c>
      <c r="M1595" s="116">
        <v>56.85</v>
      </c>
      <c r="N1595" s="116">
        <v>58.674999999999997</v>
      </c>
      <c r="O1595" s="116">
        <v>54.125</v>
      </c>
      <c r="P1595" s="116">
        <v>55</v>
      </c>
      <c r="Q1595" s="116">
        <v>113.7</v>
      </c>
      <c r="R1595">
        <v>6521310</v>
      </c>
    </row>
    <row r="1596" spans="1:18" x14ac:dyDescent="0.25">
      <c r="A1596" s="169">
        <v>44356</v>
      </c>
      <c r="B1596" s="116">
        <v>58.725000000000001</v>
      </c>
      <c r="C1596" s="116">
        <v>56.774999999999999</v>
      </c>
      <c r="D1596" s="116">
        <v>55.325000000000003</v>
      </c>
      <c r="E1596" s="116">
        <v>57.4</v>
      </c>
      <c r="F1596" s="116">
        <v>113.55</v>
      </c>
      <c r="G1596">
        <v>508784</v>
      </c>
      <c r="H1596" s="116"/>
      <c r="I1596" s="116"/>
      <c r="L1596" s="169">
        <v>44356</v>
      </c>
      <c r="M1596" s="116">
        <v>56.8</v>
      </c>
      <c r="N1596" s="116">
        <v>58.75</v>
      </c>
      <c r="O1596" s="116">
        <v>55.3</v>
      </c>
      <c r="P1596" s="116">
        <v>57.25</v>
      </c>
      <c r="Q1596" s="116">
        <v>113.6</v>
      </c>
      <c r="R1596">
        <v>5095906</v>
      </c>
    </row>
    <row r="1597" spans="1:18" x14ac:dyDescent="0.25">
      <c r="A1597" s="169">
        <v>44357</v>
      </c>
      <c r="B1597" s="116">
        <v>59.174999999999997</v>
      </c>
      <c r="C1597" s="116">
        <v>58.674999999999997</v>
      </c>
      <c r="D1597" s="116">
        <v>56.3</v>
      </c>
      <c r="E1597" s="116">
        <v>56.85</v>
      </c>
      <c r="F1597" s="116">
        <v>117.35</v>
      </c>
      <c r="G1597">
        <v>416264</v>
      </c>
      <c r="H1597" s="116"/>
      <c r="I1597" s="116"/>
      <c r="L1597" s="169">
        <v>44357</v>
      </c>
      <c r="M1597" s="116">
        <v>58.7</v>
      </c>
      <c r="N1597" s="116">
        <v>59.1</v>
      </c>
      <c r="O1597" s="116">
        <v>56.3</v>
      </c>
      <c r="P1597" s="116">
        <v>57.1</v>
      </c>
      <c r="Q1597" s="116">
        <v>117.4</v>
      </c>
      <c r="R1597">
        <v>5221466</v>
      </c>
    </row>
    <row r="1598" spans="1:18" x14ac:dyDescent="0.25">
      <c r="A1598" s="169">
        <v>44358</v>
      </c>
      <c r="B1598" s="116">
        <v>59.7</v>
      </c>
      <c r="C1598" s="116">
        <v>57.325000000000003</v>
      </c>
      <c r="D1598" s="116">
        <v>56.774999999999999</v>
      </c>
      <c r="E1598" s="116">
        <v>59.45</v>
      </c>
      <c r="F1598" s="116">
        <v>114.65</v>
      </c>
      <c r="G1598">
        <v>263127</v>
      </c>
      <c r="H1598" s="116"/>
      <c r="I1598" s="116"/>
      <c r="L1598" s="169">
        <v>44358</v>
      </c>
      <c r="M1598" s="116">
        <v>57.25</v>
      </c>
      <c r="N1598" s="116">
        <v>59.75</v>
      </c>
      <c r="O1598" s="116">
        <v>56.65</v>
      </c>
      <c r="P1598" s="116">
        <v>58.975000000000001</v>
      </c>
      <c r="Q1598" s="116">
        <v>114.5</v>
      </c>
      <c r="R1598">
        <v>3273422</v>
      </c>
    </row>
    <row r="1599" spans="1:18" x14ac:dyDescent="0.25">
      <c r="A1599" s="169">
        <v>44361</v>
      </c>
      <c r="B1599" s="116">
        <v>57.424999999999997</v>
      </c>
      <c r="C1599" s="116">
        <v>56.15</v>
      </c>
      <c r="D1599" s="116">
        <v>54.674999999999997</v>
      </c>
      <c r="E1599" s="116">
        <v>57.15</v>
      </c>
      <c r="F1599" s="116">
        <v>112.3</v>
      </c>
      <c r="G1599">
        <v>511790</v>
      </c>
      <c r="H1599" s="116"/>
      <c r="I1599" s="116"/>
      <c r="L1599" s="169">
        <v>44361</v>
      </c>
      <c r="M1599" s="116">
        <v>55.875</v>
      </c>
      <c r="N1599" s="116">
        <v>57.375</v>
      </c>
      <c r="O1599" s="116">
        <v>54.725000000000001</v>
      </c>
      <c r="P1599" s="116">
        <v>57.15</v>
      </c>
      <c r="Q1599" s="116">
        <v>111.75</v>
      </c>
      <c r="R1599">
        <v>4447581</v>
      </c>
    </row>
    <row r="1600" spans="1:18" x14ac:dyDescent="0.25">
      <c r="A1600" s="169">
        <v>44362</v>
      </c>
      <c r="B1600" s="116">
        <v>57.7</v>
      </c>
      <c r="C1600" s="116">
        <v>56.125</v>
      </c>
      <c r="D1600" s="116">
        <v>55.674999999999997</v>
      </c>
      <c r="E1600" s="116">
        <v>56.15</v>
      </c>
      <c r="F1600" s="116">
        <v>112.25</v>
      </c>
      <c r="G1600">
        <v>322337</v>
      </c>
      <c r="H1600" s="116"/>
      <c r="I1600" s="116"/>
      <c r="L1600" s="169">
        <v>44362</v>
      </c>
      <c r="M1600" s="116">
        <v>56.125</v>
      </c>
      <c r="N1600" s="116">
        <v>57.725000000000001</v>
      </c>
      <c r="O1600" s="116">
        <v>55.625</v>
      </c>
      <c r="P1600" s="116">
        <v>56.225000000000001</v>
      </c>
      <c r="Q1600" s="116">
        <v>112.25</v>
      </c>
      <c r="R1600">
        <v>3106082</v>
      </c>
    </row>
    <row r="1601" spans="1:18" x14ac:dyDescent="0.25">
      <c r="A1601" s="169">
        <v>44363</v>
      </c>
      <c r="B1601" s="116">
        <v>56.274999999999999</v>
      </c>
      <c r="C1601" s="116">
        <v>53.174999999999997</v>
      </c>
      <c r="D1601" s="116">
        <v>52.7</v>
      </c>
      <c r="E1601" s="116">
        <v>56.15</v>
      </c>
      <c r="F1601" s="116">
        <v>106.35</v>
      </c>
      <c r="G1601">
        <v>490822</v>
      </c>
      <c r="H1601" s="116"/>
      <c r="I1601" s="116"/>
      <c r="L1601" s="169">
        <v>44363</v>
      </c>
      <c r="M1601" s="116">
        <v>53.125</v>
      </c>
      <c r="N1601" s="116">
        <v>56.225000000000001</v>
      </c>
      <c r="O1601" s="116">
        <v>52.625</v>
      </c>
      <c r="P1601" s="116">
        <v>55.75</v>
      </c>
      <c r="Q1601" s="116">
        <v>106.25</v>
      </c>
      <c r="R1601">
        <v>4376619</v>
      </c>
    </row>
    <row r="1602" spans="1:18" x14ac:dyDescent="0.25">
      <c r="A1602" s="169">
        <v>44364</v>
      </c>
      <c r="B1602" s="116">
        <v>55.024999999999999</v>
      </c>
      <c r="C1602" s="116">
        <v>53</v>
      </c>
      <c r="D1602" s="116">
        <v>52.5</v>
      </c>
      <c r="E1602" s="116">
        <v>53.024999999999999</v>
      </c>
      <c r="F1602" s="116">
        <v>106</v>
      </c>
      <c r="G1602">
        <v>321109</v>
      </c>
      <c r="H1602" s="116"/>
      <c r="I1602" s="116"/>
      <c r="L1602" s="169">
        <v>44364</v>
      </c>
      <c r="M1602" s="116">
        <v>52.95</v>
      </c>
      <c r="N1602" s="116">
        <v>55.05</v>
      </c>
      <c r="O1602" s="116">
        <v>52.5</v>
      </c>
      <c r="P1602" s="116">
        <v>52.625</v>
      </c>
      <c r="Q1602" s="116">
        <v>105.9</v>
      </c>
      <c r="R1602">
        <v>3306917</v>
      </c>
    </row>
    <row r="1603" spans="1:18" x14ac:dyDescent="0.25">
      <c r="A1603" s="169">
        <v>44365</v>
      </c>
      <c r="B1603" s="116">
        <v>53.9</v>
      </c>
      <c r="C1603" s="116">
        <v>51.174999999999997</v>
      </c>
      <c r="D1603" s="116">
        <v>50.65</v>
      </c>
      <c r="E1603" s="116">
        <v>53.5</v>
      </c>
      <c r="F1603" s="116">
        <v>102.35</v>
      </c>
      <c r="G1603">
        <v>481795</v>
      </c>
      <c r="H1603" s="116"/>
      <c r="I1603" s="116"/>
      <c r="L1603" s="169">
        <v>44365</v>
      </c>
      <c r="M1603" s="116">
        <v>51.15</v>
      </c>
      <c r="N1603" s="116">
        <v>53.875</v>
      </c>
      <c r="O1603" s="116">
        <v>50.7</v>
      </c>
      <c r="P1603" s="116">
        <v>53.35</v>
      </c>
      <c r="Q1603" s="116">
        <v>102.3</v>
      </c>
      <c r="R1603">
        <v>3269516</v>
      </c>
    </row>
    <row r="1604" spans="1:18" x14ac:dyDescent="0.25">
      <c r="A1604" s="169">
        <v>44368</v>
      </c>
      <c r="B1604" s="116">
        <v>54.3</v>
      </c>
      <c r="C1604" s="116">
        <v>54</v>
      </c>
      <c r="D1604" s="116">
        <v>49.8</v>
      </c>
      <c r="E1604" s="116">
        <v>50.05</v>
      </c>
      <c r="F1604" s="116">
        <v>108</v>
      </c>
      <c r="G1604">
        <v>398266</v>
      </c>
      <c r="H1604" s="116"/>
      <c r="I1604" s="116"/>
      <c r="L1604" s="169">
        <v>44368</v>
      </c>
      <c r="M1604" s="116">
        <v>53.95</v>
      </c>
      <c r="N1604" s="116">
        <v>54.325000000000003</v>
      </c>
      <c r="O1604" s="116">
        <v>49.774999999999999</v>
      </c>
      <c r="P1604" s="116">
        <v>50.5</v>
      </c>
      <c r="Q1604" s="116">
        <v>107.9</v>
      </c>
      <c r="R1604">
        <v>3959497</v>
      </c>
    </row>
    <row r="1605" spans="1:18" x14ac:dyDescent="0.25">
      <c r="A1605" s="169">
        <v>44369</v>
      </c>
      <c r="B1605" s="116">
        <v>54.875</v>
      </c>
      <c r="C1605" s="116">
        <v>53.325000000000003</v>
      </c>
      <c r="D1605" s="116">
        <v>52.875</v>
      </c>
      <c r="E1605" s="116">
        <v>54.7</v>
      </c>
      <c r="F1605" s="116">
        <v>106.65</v>
      </c>
      <c r="G1605">
        <v>469680</v>
      </c>
      <c r="H1605" s="116"/>
      <c r="I1605" s="116"/>
      <c r="L1605" s="169">
        <v>44369</v>
      </c>
      <c r="M1605" s="116">
        <v>53.225000000000001</v>
      </c>
      <c r="N1605" s="116">
        <v>54.875</v>
      </c>
      <c r="O1605" s="116">
        <v>52.875</v>
      </c>
      <c r="P1605" s="116">
        <v>54.325000000000003</v>
      </c>
      <c r="Q1605" s="116">
        <v>106.45</v>
      </c>
      <c r="R1605">
        <v>2555775</v>
      </c>
    </row>
    <row r="1606" spans="1:18" x14ac:dyDescent="0.25">
      <c r="A1606" s="169">
        <v>44370</v>
      </c>
      <c r="B1606" s="116">
        <v>54.4</v>
      </c>
      <c r="C1606" s="116">
        <v>53.05</v>
      </c>
      <c r="D1606" s="116">
        <v>52.825000000000003</v>
      </c>
      <c r="E1606" s="116">
        <v>53.325000000000003</v>
      </c>
      <c r="F1606" s="116">
        <v>106.1</v>
      </c>
      <c r="G1606">
        <v>524483</v>
      </c>
      <c r="H1606" s="116"/>
      <c r="I1606" s="116"/>
      <c r="L1606" s="169">
        <v>44370</v>
      </c>
      <c r="M1606" s="116">
        <v>53.1</v>
      </c>
      <c r="N1606" s="116">
        <v>54.424999999999997</v>
      </c>
      <c r="O1606" s="116">
        <v>52.774999999999999</v>
      </c>
      <c r="P1606" s="116">
        <v>53.65</v>
      </c>
      <c r="Q1606" s="116">
        <v>106.2</v>
      </c>
      <c r="R1606">
        <v>1808020</v>
      </c>
    </row>
    <row r="1607" spans="1:18" x14ac:dyDescent="0.25">
      <c r="A1607" s="169">
        <v>44371</v>
      </c>
      <c r="B1607" s="116">
        <v>53.674999999999997</v>
      </c>
      <c r="C1607" s="116">
        <v>52.825000000000003</v>
      </c>
      <c r="D1607" s="116">
        <v>52.45</v>
      </c>
      <c r="E1607" s="116">
        <v>53.25</v>
      </c>
      <c r="F1607" s="116">
        <v>105.65</v>
      </c>
      <c r="G1607">
        <v>240885</v>
      </c>
      <c r="H1607" s="116"/>
      <c r="I1607" s="116"/>
      <c r="L1607" s="169">
        <v>44371</v>
      </c>
      <c r="M1607" s="116">
        <v>52.7</v>
      </c>
      <c r="N1607" s="116">
        <v>53.75</v>
      </c>
      <c r="O1607" s="116">
        <v>52.5</v>
      </c>
      <c r="P1607" s="116">
        <v>53</v>
      </c>
      <c r="Q1607" s="116">
        <v>105.4</v>
      </c>
      <c r="R1607">
        <v>2123183</v>
      </c>
    </row>
    <row r="1608" spans="1:18" x14ac:dyDescent="0.25">
      <c r="A1608" s="169">
        <v>44372</v>
      </c>
      <c r="B1608" s="116">
        <v>54.85</v>
      </c>
      <c r="C1608" s="116">
        <v>53.55</v>
      </c>
      <c r="D1608" s="116">
        <v>52.8</v>
      </c>
      <c r="E1608" s="116">
        <v>52.8</v>
      </c>
      <c r="F1608" s="116">
        <v>107.1</v>
      </c>
      <c r="G1608">
        <v>492821</v>
      </c>
      <c r="H1608" s="116"/>
      <c r="I1608" s="116"/>
      <c r="L1608" s="169">
        <v>44372</v>
      </c>
      <c r="M1608" s="116">
        <v>53.5</v>
      </c>
      <c r="N1608" s="116">
        <v>54.9</v>
      </c>
      <c r="O1608" s="116">
        <v>52.825000000000003</v>
      </c>
      <c r="P1608" s="116">
        <v>52.95</v>
      </c>
      <c r="Q1608" s="116">
        <v>107</v>
      </c>
      <c r="R1608">
        <v>1943188</v>
      </c>
    </row>
    <row r="1609" spans="1:18" x14ac:dyDescent="0.25">
      <c r="A1609" s="169">
        <v>44375</v>
      </c>
      <c r="B1609" s="116">
        <v>57.35</v>
      </c>
      <c r="C1609" s="116">
        <v>56.625</v>
      </c>
      <c r="D1609" s="116">
        <v>53.65</v>
      </c>
      <c r="E1609" s="116">
        <v>53.9</v>
      </c>
      <c r="F1609" s="116">
        <v>113.25</v>
      </c>
      <c r="G1609">
        <v>978599</v>
      </c>
      <c r="H1609" s="116"/>
      <c r="I1609" s="116"/>
      <c r="L1609" s="169">
        <v>44375</v>
      </c>
      <c r="M1609" s="116">
        <v>56.6</v>
      </c>
      <c r="N1609" s="116">
        <v>57.4</v>
      </c>
      <c r="O1609" s="116">
        <v>53.65</v>
      </c>
      <c r="P1609" s="116">
        <v>53.924999999999997</v>
      </c>
      <c r="Q1609" s="116">
        <v>113.2</v>
      </c>
      <c r="R1609">
        <v>6859772</v>
      </c>
    </row>
    <row r="1610" spans="1:18" x14ac:dyDescent="0.25">
      <c r="A1610" s="169">
        <v>44376</v>
      </c>
      <c r="B1610" s="116">
        <v>58.55</v>
      </c>
      <c r="C1610" s="116">
        <v>57.924999999999997</v>
      </c>
      <c r="D1610" s="116">
        <v>55.975000000000001</v>
      </c>
      <c r="E1610" s="116">
        <v>56.55</v>
      </c>
      <c r="F1610" s="116">
        <v>115.85</v>
      </c>
      <c r="G1610">
        <v>737723</v>
      </c>
      <c r="H1610" s="116"/>
      <c r="I1610" s="116"/>
      <c r="L1610" s="169">
        <v>44376</v>
      </c>
      <c r="M1610" s="116">
        <v>57.95</v>
      </c>
      <c r="N1610" s="116">
        <v>58.6</v>
      </c>
      <c r="O1610" s="116">
        <v>56</v>
      </c>
      <c r="P1610" s="116">
        <v>56.875</v>
      </c>
      <c r="Q1610" s="116">
        <v>115.9</v>
      </c>
      <c r="R1610">
        <v>6455071</v>
      </c>
    </row>
    <row r="1611" spans="1:18" x14ac:dyDescent="0.25">
      <c r="A1611" s="169">
        <v>44377</v>
      </c>
      <c r="B1611" s="116">
        <v>59.85</v>
      </c>
      <c r="C1611" s="116">
        <v>58.475000000000001</v>
      </c>
      <c r="D1611" s="116">
        <v>57.8</v>
      </c>
      <c r="E1611" s="116">
        <v>58.524999999999999</v>
      </c>
      <c r="F1611" s="116">
        <v>116.95</v>
      </c>
      <c r="G1611">
        <v>475341</v>
      </c>
      <c r="H1611" s="116"/>
      <c r="I1611" s="116"/>
      <c r="L1611" s="169">
        <v>44377</v>
      </c>
      <c r="M1611" s="116">
        <v>58.5</v>
      </c>
      <c r="N1611" s="116">
        <v>59.85</v>
      </c>
      <c r="O1611" s="116">
        <v>57.774999999999999</v>
      </c>
      <c r="P1611" s="116">
        <v>58.225000000000001</v>
      </c>
      <c r="Q1611" s="116">
        <v>117</v>
      </c>
      <c r="R1611">
        <v>6346738</v>
      </c>
    </row>
    <row r="1612" spans="1:18" x14ac:dyDescent="0.25">
      <c r="A1612" s="169">
        <v>44378</v>
      </c>
      <c r="B1612" s="116">
        <v>62.25</v>
      </c>
      <c r="C1612" s="116">
        <v>61.674999999999997</v>
      </c>
      <c r="D1612" s="116">
        <v>58.475000000000001</v>
      </c>
      <c r="E1612" s="116">
        <v>58.475000000000001</v>
      </c>
      <c r="F1612" s="116">
        <v>123.35</v>
      </c>
      <c r="G1612">
        <v>858926</v>
      </c>
      <c r="H1612" s="116"/>
      <c r="I1612" s="116"/>
      <c r="L1612" s="169">
        <v>44378</v>
      </c>
      <c r="M1612" s="116">
        <v>61.725000000000001</v>
      </c>
      <c r="N1612" s="116">
        <v>62.325000000000003</v>
      </c>
      <c r="O1612" s="116">
        <v>58.65</v>
      </c>
      <c r="P1612" s="116">
        <v>58.8</v>
      </c>
      <c r="Q1612" s="116">
        <v>123.45</v>
      </c>
      <c r="R1612">
        <v>12899894</v>
      </c>
    </row>
    <row r="1613" spans="1:18" x14ac:dyDescent="0.25">
      <c r="A1613" s="169">
        <v>44379</v>
      </c>
      <c r="B1613" s="116">
        <v>63.15</v>
      </c>
      <c r="C1613" s="116">
        <v>60.95</v>
      </c>
      <c r="D1613" s="116">
        <v>60.15</v>
      </c>
      <c r="E1613" s="116">
        <v>62.35</v>
      </c>
      <c r="F1613" s="116">
        <v>121.9</v>
      </c>
      <c r="G1613">
        <v>518560</v>
      </c>
      <c r="H1613" s="116"/>
      <c r="I1613" s="116"/>
      <c r="L1613" s="169">
        <v>44379</v>
      </c>
      <c r="M1613" s="116">
        <v>61.174999999999997</v>
      </c>
      <c r="N1613" s="116">
        <v>63.2</v>
      </c>
      <c r="O1613" s="116">
        <v>60.024999999999999</v>
      </c>
      <c r="P1613" s="116">
        <v>62.25</v>
      </c>
      <c r="Q1613" s="116">
        <v>122.35</v>
      </c>
      <c r="R1613">
        <v>7226657</v>
      </c>
    </row>
    <row r="1614" spans="1:18" x14ac:dyDescent="0.25">
      <c r="A1614" s="169">
        <v>44382</v>
      </c>
      <c r="B1614" s="116">
        <v>62.5</v>
      </c>
      <c r="C1614" s="116">
        <v>59.825000000000003</v>
      </c>
      <c r="D1614" s="116">
        <v>59.4</v>
      </c>
      <c r="E1614" s="116">
        <v>61.65</v>
      </c>
      <c r="F1614" s="116">
        <v>119.65</v>
      </c>
      <c r="G1614">
        <v>268939</v>
      </c>
      <c r="H1614" s="116"/>
      <c r="I1614" s="116"/>
      <c r="L1614" s="169">
        <v>44382</v>
      </c>
      <c r="M1614" s="116">
        <v>59.774999999999999</v>
      </c>
      <c r="N1614" s="116">
        <v>61.774999999999999</v>
      </c>
      <c r="O1614" s="116">
        <v>59.35</v>
      </c>
      <c r="P1614" s="116">
        <v>61.5</v>
      </c>
      <c r="Q1614" s="116">
        <v>119.55</v>
      </c>
      <c r="R1614">
        <v>2911152</v>
      </c>
    </row>
    <row r="1615" spans="1:18" x14ac:dyDescent="0.25">
      <c r="A1615" s="169">
        <v>44383</v>
      </c>
      <c r="B1615" s="116">
        <v>60.875</v>
      </c>
      <c r="C1615" s="116">
        <v>60.174999999999997</v>
      </c>
      <c r="D1615" s="116">
        <v>58.225000000000001</v>
      </c>
      <c r="E1615" s="116">
        <v>60</v>
      </c>
      <c r="F1615" s="116">
        <v>120.35</v>
      </c>
      <c r="G1615">
        <v>458135</v>
      </c>
      <c r="H1615" s="116"/>
      <c r="I1615" s="116"/>
      <c r="L1615" s="169">
        <v>44383</v>
      </c>
      <c r="M1615" s="116">
        <v>60.225000000000001</v>
      </c>
      <c r="N1615" s="116">
        <v>60.9</v>
      </c>
      <c r="O1615" s="116">
        <v>58.25</v>
      </c>
      <c r="P1615" s="116">
        <v>59.75</v>
      </c>
      <c r="Q1615" s="116">
        <v>120.45</v>
      </c>
      <c r="R1615">
        <v>3267070</v>
      </c>
    </row>
    <row r="1616" spans="1:18" x14ac:dyDescent="0.25">
      <c r="A1616" s="169">
        <v>44384</v>
      </c>
      <c r="B1616" s="116">
        <v>62.2</v>
      </c>
      <c r="C1616" s="116">
        <v>61.2</v>
      </c>
      <c r="D1616" s="116">
        <v>60.5</v>
      </c>
      <c r="E1616" s="116">
        <v>60.875</v>
      </c>
      <c r="F1616" s="116">
        <v>122.4</v>
      </c>
      <c r="G1616">
        <v>371543</v>
      </c>
      <c r="H1616" s="116"/>
      <c r="I1616" s="116"/>
      <c r="L1616" s="169">
        <v>44384</v>
      </c>
      <c r="M1616" s="116">
        <v>61.25</v>
      </c>
      <c r="N1616" s="116">
        <v>62.25</v>
      </c>
      <c r="O1616" s="116">
        <v>60.5</v>
      </c>
      <c r="P1616" s="116">
        <v>61.125</v>
      </c>
      <c r="Q1616" s="116">
        <v>122.5</v>
      </c>
      <c r="R1616">
        <v>5336530</v>
      </c>
    </row>
    <row r="1617" spans="1:18" x14ac:dyDescent="0.25">
      <c r="A1617" s="169">
        <v>44385</v>
      </c>
      <c r="B1617" s="116">
        <v>61.25</v>
      </c>
      <c r="C1617" s="116">
        <v>59.05</v>
      </c>
      <c r="D1617" s="116">
        <v>58.375</v>
      </c>
      <c r="E1617" s="116">
        <v>60.674999999999997</v>
      </c>
      <c r="F1617" s="116">
        <v>118.1</v>
      </c>
      <c r="G1617">
        <v>292212</v>
      </c>
      <c r="H1617" s="116"/>
      <c r="I1617" s="116"/>
      <c r="L1617" s="169">
        <v>44385</v>
      </c>
      <c r="M1617" s="116">
        <v>59.075000000000003</v>
      </c>
      <c r="N1617" s="116">
        <v>61.274999999999999</v>
      </c>
      <c r="O1617" s="116">
        <v>58.35</v>
      </c>
      <c r="P1617" s="116">
        <v>60.5</v>
      </c>
      <c r="Q1617" s="116">
        <v>118.15</v>
      </c>
      <c r="R1617">
        <v>2839343</v>
      </c>
    </row>
    <row r="1618" spans="1:18" x14ac:dyDescent="0.25">
      <c r="A1618" s="169">
        <v>44386</v>
      </c>
      <c r="B1618" s="116">
        <v>63.3</v>
      </c>
      <c r="C1618" s="116">
        <v>62.575000000000003</v>
      </c>
      <c r="D1618" s="116">
        <v>58.75</v>
      </c>
      <c r="E1618" s="116">
        <v>58.75</v>
      </c>
      <c r="F1618" s="116">
        <v>125.15</v>
      </c>
      <c r="G1618">
        <v>394850</v>
      </c>
      <c r="H1618" s="116"/>
      <c r="I1618" s="116"/>
      <c r="L1618" s="169">
        <v>44386</v>
      </c>
      <c r="M1618" s="116">
        <v>62.625</v>
      </c>
      <c r="N1618" s="116">
        <v>63.35</v>
      </c>
      <c r="O1618" s="116">
        <v>58.8</v>
      </c>
      <c r="P1618" s="116">
        <v>59</v>
      </c>
      <c r="Q1618" s="116">
        <v>125.25</v>
      </c>
      <c r="R1618">
        <v>5247991</v>
      </c>
    </row>
    <row r="1619" spans="1:18" x14ac:dyDescent="0.25">
      <c r="A1619" s="169">
        <v>44389</v>
      </c>
      <c r="B1619" s="116">
        <v>64.25</v>
      </c>
      <c r="C1619" s="116">
        <v>62.575000000000003</v>
      </c>
      <c r="D1619" s="116">
        <v>61.65</v>
      </c>
      <c r="E1619" s="116">
        <v>63</v>
      </c>
      <c r="F1619" s="116">
        <v>125.15</v>
      </c>
      <c r="G1619">
        <v>818811</v>
      </c>
      <c r="H1619" s="116"/>
      <c r="I1619" s="116"/>
      <c r="L1619" s="169">
        <v>44389</v>
      </c>
      <c r="M1619" s="116">
        <v>62.55</v>
      </c>
      <c r="N1619" s="116">
        <v>64.325000000000003</v>
      </c>
      <c r="O1619" s="116">
        <v>61.55</v>
      </c>
      <c r="P1619" s="116">
        <v>63.2</v>
      </c>
      <c r="Q1619" s="116">
        <v>125.1</v>
      </c>
      <c r="R1619">
        <v>5700292</v>
      </c>
    </row>
    <row r="1620" spans="1:18" x14ac:dyDescent="0.25">
      <c r="A1620" s="169">
        <v>44390</v>
      </c>
      <c r="B1620" s="116">
        <v>63.375</v>
      </c>
      <c r="C1620" s="116">
        <v>63</v>
      </c>
      <c r="D1620" s="116">
        <v>62.1</v>
      </c>
      <c r="E1620" s="116">
        <v>63.075000000000003</v>
      </c>
      <c r="F1620" s="116">
        <v>126</v>
      </c>
      <c r="G1620">
        <v>232767</v>
      </c>
      <c r="H1620" s="116"/>
      <c r="I1620" s="116"/>
      <c r="L1620" s="169">
        <v>44390</v>
      </c>
      <c r="M1620" s="116">
        <v>63</v>
      </c>
      <c r="N1620" s="116">
        <v>63.4</v>
      </c>
      <c r="O1620" s="116">
        <v>62.1</v>
      </c>
      <c r="P1620" s="116">
        <v>63</v>
      </c>
      <c r="Q1620" s="116">
        <v>126</v>
      </c>
      <c r="R1620">
        <v>2052570</v>
      </c>
    </row>
    <row r="1621" spans="1:18" x14ac:dyDescent="0.25">
      <c r="A1621" s="169">
        <v>44391</v>
      </c>
      <c r="B1621" s="116">
        <v>65.424999999999997</v>
      </c>
      <c r="C1621" s="116">
        <v>64.075000000000003</v>
      </c>
      <c r="D1621" s="116">
        <v>62.325000000000003</v>
      </c>
      <c r="E1621" s="116">
        <v>62.325000000000003</v>
      </c>
      <c r="F1621" s="116">
        <v>128.15</v>
      </c>
      <c r="G1621">
        <v>466067</v>
      </c>
      <c r="H1621" s="116"/>
      <c r="I1621" s="116"/>
      <c r="L1621" s="169">
        <v>44391</v>
      </c>
      <c r="M1621" s="116">
        <v>64.075000000000003</v>
      </c>
      <c r="N1621" s="116">
        <v>65.5</v>
      </c>
      <c r="O1621" s="116">
        <v>62.9</v>
      </c>
      <c r="P1621" s="116">
        <v>63.274999999999999</v>
      </c>
      <c r="Q1621" s="116">
        <v>128.15</v>
      </c>
      <c r="R1621">
        <v>4192971</v>
      </c>
    </row>
    <row r="1622" spans="1:18" x14ac:dyDescent="0.25">
      <c r="A1622" s="169">
        <v>44392</v>
      </c>
      <c r="B1622" s="116">
        <v>64.95</v>
      </c>
      <c r="C1622" s="116">
        <v>63.6</v>
      </c>
      <c r="D1622" s="116">
        <v>62.875</v>
      </c>
      <c r="E1622" s="116">
        <v>64.95</v>
      </c>
      <c r="F1622" s="116">
        <v>127.2</v>
      </c>
      <c r="G1622">
        <v>130443</v>
      </c>
      <c r="H1622" s="116"/>
      <c r="I1622" s="116"/>
      <c r="L1622" s="169">
        <v>44392</v>
      </c>
      <c r="M1622" s="116">
        <v>63.625</v>
      </c>
      <c r="N1622" s="116">
        <v>64.400000000000006</v>
      </c>
      <c r="O1622" s="116">
        <v>62.8</v>
      </c>
      <c r="P1622" s="116">
        <v>64.325000000000003</v>
      </c>
      <c r="Q1622" s="116">
        <v>127.25</v>
      </c>
      <c r="R1622">
        <v>1926501</v>
      </c>
    </row>
    <row r="1623" spans="1:18" x14ac:dyDescent="0.25">
      <c r="A1623" s="169">
        <v>44393</v>
      </c>
      <c r="B1623" s="116">
        <v>65.900000000000006</v>
      </c>
      <c r="C1623" s="116">
        <v>64.575000000000003</v>
      </c>
      <c r="D1623" s="116">
        <v>63.274999999999999</v>
      </c>
      <c r="E1623" s="116">
        <v>64.45</v>
      </c>
      <c r="F1623" s="116">
        <v>129.15</v>
      </c>
      <c r="G1623">
        <v>310806</v>
      </c>
      <c r="H1623" s="116"/>
      <c r="I1623" s="116"/>
      <c r="L1623" s="169">
        <v>44393</v>
      </c>
      <c r="M1623" s="116">
        <v>64.525000000000006</v>
      </c>
      <c r="N1623" s="116">
        <v>65.95</v>
      </c>
      <c r="O1623" s="116">
        <v>63.25</v>
      </c>
      <c r="P1623" s="116">
        <v>63.95</v>
      </c>
      <c r="Q1623" s="116">
        <v>129.05000000000001</v>
      </c>
      <c r="R1623">
        <v>3052095</v>
      </c>
    </row>
    <row r="1624" spans="1:18" x14ac:dyDescent="0.25">
      <c r="A1624" s="169">
        <v>44396</v>
      </c>
      <c r="B1624" s="116">
        <v>64.275000000000006</v>
      </c>
      <c r="C1624" s="116">
        <v>62.625</v>
      </c>
      <c r="D1624" s="116">
        <v>62.25</v>
      </c>
      <c r="E1624" s="116">
        <v>63.85</v>
      </c>
      <c r="F1624" s="116">
        <v>125.25</v>
      </c>
      <c r="G1624">
        <v>363073</v>
      </c>
      <c r="H1624" s="116"/>
      <c r="I1624" s="116"/>
      <c r="L1624" s="169">
        <v>44396</v>
      </c>
      <c r="M1624" s="116">
        <v>62.625</v>
      </c>
      <c r="N1624" s="116">
        <v>64.3</v>
      </c>
      <c r="O1624" s="116">
        <v>62.174999999999997</v>
      </c>
      <c r="P1624" s="116">
        <v>63.7</v>
      </c>
      <c r="Q1624" s="116">
        <v>125.25</v>
      </c>
      <c r="R1624">
        <v>1924576</v>
      </c>
    </row>
    <row r="1625" spans="1:18" x14ac:dyDescent="0.25">
      <c r="A1625" s="169">
        <v>44397</v>
      </c>
      <c r="B1625" s="116">
        <v>63</v>
      </c>
      <c r="C1625" s="116">
        <v>60.274999999999999</v>
      </c>
      <c r="D1625" s="116">
        <v>59.7</v>
      </c>
      <c r="E1625" s="116">
        <v>62.8</v>
      </c>
      <c r="F1625" s="116">
        <v>120.55</v>
      </c>
      <c r="G1625">
        <v>184470</v>
      </c>
      <c r="H1625" s="116"/>
      <c r="I1625" s="116"/>
      <c r="L1625" s="169">
        <v>44397</v>
      </c>
      <c r="M1625" s="116">
        <v>60.075000000000003</v>
      </c>
      <c r="N1625" s="116">
        <v>63.125</v>
      </c>
      <c r="O1625" s="116">
        <v>59.575000000000003</v>
      </c>
      <c r="P1625" s="116">
        <v>63.125</v>
      </c>
      <c r="Q1625" s="116">
        <v>120.15</v>
      </c>
      <c r="R1625">
        <v>1674000</v>
      </c>
    </row>
    <row r="1626" spans="1:18" x14ac:dyDescent="0.25">
      <c r="A1626" s="169">
        <v>44399</v>
      </c>
      <c r="B1626" s="116">
        <v>67.349999999999994</v>
      </c>
      <c r="C1626" s="116">
        <v>65.025000000000006</v>
      </c>
      <c r="D1626" s="116">
        <v>60.3</v>
      </c>
      <c r="E1626" s="116">
        <v>60.3</v>
      </c>
      <c r="F1626" s="116">
        <v>130.05000000000001</v>
      </c>
      <c r="G1626">
        <v>1187990</v>
      </c>
      <c r="H1626" s="116"/>
      <c r="I1626" s="116"/>
      <c r="L1626" s="169">
        <v>44399</v>
      </c>
      <c r="M1626" s="116">
        <v>64.900000000000006</v>
      </c>
      <c r="N1626" s="116">
        <v>67.349999999999994</v>
      </c>
      <c r="O1626" s="116">
        <v>60.3</v>
      </c>
      <c r="P1626" s="116">
        <v>60.725000000000001</v>
      </c>
      <c r="Q1626" s="116">
        <v>129.80000000000001</v>
      </c>
      <c r="R1626">
        <v>10609735</v>
      </c>
    </row>
    <row r="1627" spans="1:18" x14ac:dyDescent="0.25">
      <c r="A1627" s="169">
        <v>44400</v>
      </c>
      <c r="B1627" s="116">
        <v>65.7</v>
      </c>
      <c r="C1627" s="116">
        <v>64.724999999999994</v>
      </c>
      <c r="D1627" s="116">
        <v>63.75</v>
      </c>
      <c r="E1627" s="116">
        <v>65.7</v>
      </c>
      <c r="F1627" s="116">
        <v>129.44999999999999</v>
      </c>
      <c r="G1627">
        <v>487054</v>
      </c>
      <c r="H1627" s="116"/>
      <c r="I1627" s="116"/>
      <c r="L1627" s="169">
        <v>44400</v>
      </c>
      <c r="M1627" s="116">
        <v>64.674999999999997</v>
      </c>
      <c r="N1627" s="116">
        <v>65.650000000000006</v>
      </c>
      <c r="O1627" s="116">
        <v>63.774999999999999</v>
      </c>
      <c r="P1627" s="116">
        <v>65.400000000000006</v>
      </c>
      <c r="Q1627" s="116">
        <v>129.35</v>
      </c>
      <c r="R1627">
        <v>2937816</v>
      </c>
    </row>
    <row r="1628" spans="1:18" x14ac:dyDescent="0.25">
      <c r="A1628" s="169">
        <v>44403</v>
      </c>
      <c r="B1628" s="116">
        <v>67.45</v>
      </c>
      <c r="C1628" s="116">
        <v>65.924999999999997</v>
      </c>
      <c r="D1628" s="116">
        <v>64.625</v>
      </c>
      <c r="E1628" s="116">
        <v>64.724999999999994</v>
      </c>
      <c r="F1628" s="116">
        <v>131.85</v>
      </c>
      <c r="G1628">
        <v>334621</v>
      </c>
      <c r="H1628" s="116"/>
      <c r="I1628" s="116"/>
      <c r="L1628" s="169">
        <v>44403</v>
      </c>
      <c r="M1628" s="116">
        <v>65.924999999999997</v>
      </c>
      <c r="N1628" s="116">
        <v>67.474999999999994</v>
      </c>
      <c r="O1628" s="116">
        <v>64.674999999999997</v>
      </c>
      <c r="P1628" s="116">
        <v>64.825000000000003</v>
      </c>
      <c r="Q1628" s="116">
        <v>131.85</v>
      </c>
      <c r="R1628">
        <v>3291939</v>
      </c>
    </row>
    <row r="1629" spans="1:18" x14ac:dyDescent="0.25">
      <c r="A1629" s="169">
        <v>44404</v>
      </c>
      <c r="B1629" s="116">
        <v>72.599999999999994</v>
      </c>
      <c r="C1629" s="116">
        <v>71.400000000000006</v>
      </c>
      <c r="D1629" s="116">
        <v>66.375</v>
      </c>
      <c r="E1629" s="116">
        <v>66.7</v>
      </c>
      <c r="F1629" s="116">
        <v>142.80000000000001</v>
      </c>
      <c r="G1629">
        <v>992178</v>
      </c>
      <c r="H1629" s="116"/>
      <c r="I1629" s="116"/>
      <c r="L1629" s="169">
        <v>44404</v>
      </c>
      <c r="M1629" s="116">
        <v>71.099999999999994</v>
      </c>
      <c r="N1629" s="116">
        <v>72.625</v>
      </c>
      <c r="O1629" s="116">
        <v>66.150000000000006</v>
      </c>
      <c r="P1629" s="116">
        <v>66.349999999999994</v>
      </c>
      <c r="Q1629" s="116">
        <v>142.19999999999999</v>
      </c>
      <c r="R1629">
        <v>17800937</v>
      </c>
    </row>
    <row r="1630" spans="1:18" x14ac:dyDescent="0.25">
      <c r="A1630" s="169">
        <v>44405</v>
      </c>
      <c r="B1630" s="116">
        <v>72.174999999999997</v>
      </c>
      <c r="C1630" s="116">
        <v>70.424999999999997</v>
      </c>
      <c r="D1630" s="116">
        <v>68.099999999999994</v>
      </c>
      <c r="E1630" s="116">
        <v>72.174999999999997</v>
      </c>
      <c r="F1630" s="116">
        <v>140.85</v>
      </c>
      <c r="G1630">
        <v>488526</v>
      </c>
      <c r="H1630" s="116"/>
      <c r="I1630" s="116"/>
      <c r="L1630" s="169">
        <v>44405</v>
      </c>
      <c r="M1630" s="116">
        <v>70.55</v>
      </c>
      <c r="N1630" s="116">
        <v>71.8</v>
      </c>
      <c r="O1630" s="116">
        <v>68.125</v>
      </c>
      <c r="P1630" s="116">
        <v>71.8</v>
      </c>
      <c r="Q1630" s="116">
        <v>141.1</v>
      </c>
      <c r="R1630">
        <v>4671899</v>
      </c>
    </row>
    <row r="1631" spans="1:18" x14ac:dyDescent="0.25">
      <c r="A1631" s="169">
        <v>44406</v>
      </c>
      <c r="B1631" s="116">
        <v>73.825000000000003</v>
      </c>
      <c r="C1631" s="116">
        <v>71.3</v>
      </c>
      <c r="D1631" s="116">
        <v>70</v>
      </c>
      <c r="E1631" s="116">
        <v>70</v>
      </c>
      <c r="F1631" s="116">
        <v>142.6</v>
      </c>
      <c r="G1631">
        <v>381991</v>
      </c>
      <c r="H1631" s="116"/>
      <c r="I1631" s="116"/>
      <c r="L1631" s="169">
        <v>44406</v>
      </c>
      <c r="M1631" s="116">
        <v>71.2</v>
      </c>
      <c r="N1631" s="116">
        <v>73.8</v>
      </c>
      <c r="O1631" s="116">
        <v>70.25</v>
      </c>
      <c r="P1631" s="116">
        <v>71.099999999999994</v>
      </c>
      <c r="Q1631" s="116">
        <v>142.4</v>
      </c>
      <c r="R1631">
        <v>6612787</v>
      </c>
    </row>
    <row r="1632" spans="1:18" x14ac:dyDescent="0.25">
      <c r="A1632" s="169">
        <v>44407</v>
      </c>
      <c r="B1632" s="116">
        <v>72.174999999999997</v>
      </c>
      <c r="C1632" s="116">
        <v>69.5</v>
      </c>
      <c r="D1632" s="116">
        <v>69.2</v>
      </c>
      <c r="E1632" s="116">
        <v>71.5</v>
      </c>
      <c r="F1632" s="116">
        <v>139</v>
      </c>
      <c r="G1632">
        <v>366199</v>
      </c>
      <c r="H1632" s="116"/>
      <c r="I1632" s="116"/>
      <c r="L1632" s="169">
        <v>44407</v>
      </c>
      <c r="M1632" s="116">
        <v>69.55</v>
      </c>
      <c r="N1632" s="116">
        <v>72.2</v>
      </c>
      <c r="O1632" s="116">
        <v>69.150000000000006</v>
      </c>
      <c r="P1632" s="116">
        <v>71.025000000000006</v>
      </c>
      <c r="Q1632" s="116">
        <v>139.1</v>
      </c>
      <c r="R1632">
        <v>3476547</v>
      </c>
    </row>
    <row r="1633" spans="1:18" x14ac:dyDescent="0.25">
      <c r="A1633" s="169">
        <v>44410</v>
      </c>
      <c r="B1633" s="116">
        <v>72.349999999999994</v>
      </c>
      <c r="C1633" s="116">
        <v>69.3</v>
      </c>
      <c r="D1633" s="116">
        <v>68.325000000000003</v>
      </c>
      <c r="E1633" s="116">
        <v>70.3</v>
      </c>
      <c r="F1633" s="116">
        <v>138.6</v>
      </c>
      <c r="G1633">
        <v>376157</v>
      </c>
      <c r="H1633" s="116"/>
      <c r="I1633" s="116"/>
      <c r="L1633" s="169">
        <v>44410</v>
      </c>
      <c r="M1633" s="116">
        <v>69.325000000000003</v>
      </c>
      <c r="N1633" s="116">
        <v>72.400000000000006</v>
      </c>
      <c r="O1633" s="116">
        <v>68.075000000000003</v>
      </c>
      <c r="P1633" s="116">
        <v>69.099999999999994</v>
      </c>
      <c r="Q1633" s="116">
        <v>138.65</v>
      </c>
      <c r="R1633">
        <v>4147952</v>
      </c>
    </row>
    <row r="1634" spans="1:18" x14ac:dyDescent="0.25">
      <c r="A1634" s="169">
        <v>44411</v>
      </c>
      <c r="B1634" s="116">
        <v>70.174999999999997</v>
      </c>
      <c r="C1634" s="116">
        <v>67.7</v>
      </c>
      <c r="D1634" s="116">
        <v>67.5</v>
      </c>
      <c r="E1634" s="116">
        <v>69.3</v>
      </c>
      <c r="F1634" s="116">
        <v>135.4</v>
      </c>
      <c r="G1634">
        <v>205310</v>
      </c>
      <c r="H1634" s="116"/>
      <c r="I1634" s="116"/>
      <c r="L1634" s="169">
        <v>44411</v>
      </c>
      <c r="M1634" s="116">
        <v>67.7</v>
      </c>
      <c r="N1634" s="116">
        <v>70.224999999999994</v>
      </c>
      <c r="O1634" s="116">
        <v>67.45</v>
      </c>
      <c r="P1634" s="116">
        <v>69.650000000000006</v>
      </c>
      <c r="Q1634" s="116">
        <v>135.4</v>
      </c>
      <c r="R1634">
        <v>2482235</v>
      </c>
    </row>
    <row r="1635" spans="1:18" x14ac:dyDescent="0.25">
      <c r="A1635" s="169">
        <v>44412</v>
      </c>
      <c r="B1635" s="116">
        <v>70.424999999999997</v>
      </c>
      <c r="C1635" s="116">
        <v>69.125</v>
      </c>
      <c r="D1635" s="116">
        <v>67.375</v>
      </c>
      <c r="E1635" s="116">
        <v>67.599999999999994</v>
      </c>
      <c r="F1635" s="116">
        <v>138.25</v>
      </c>
      <c r="G1635">
        <v>434713</v>
      </c>
      <c r="H1635" s="116"/>
      <c r="I1635" s="116"/>
      <c r="L1635" s="169">
        <v>44412</v>
      </c>
      <c r="M1635" s="116">
        <v>69.075000000000003</v>
      </c>
      <c r="N1635" s="116">
        <v>70.400000000000006</v>
      </c>
      <c r="O1635" s="116">
        <v>67.375</v>
      </c>
      <c r="P1635" s="116">
        <v>68.3</v>
      </c>
      <c r="Q1635" s="116">
        <v>138.15</v>
      </c>
      <c r="R1635">
        <v>3805849</v>
      </c>
    </row>
    <row r="1636" spans="1:18" x14ac:dyDescent="0.25">
      <c r="A1636" s="169">
        <v>44413</v>
      </c>
      <c r="B1636" s="116">
        <v>69.400000000000006</v>
      </c>
      <c r="C1636" s="116">
        <v>68</v>
      </c>
      <c r="D1636" s="116">
        <v>66.849999999999994</v>
      </c>
      <c r="E1636" s="116">
        <v>69.400000000000006</v>
      </c>
      <c r="F1636" s="116">
        <v>136</v>
      </c>
      <c r="G1636">
        <v>240706</v>
      </c>
      <c r="H1636" s="116"/>
      <c r="I1636" s="116"/>
      <c r="L1636" s="169">
        <v>44413</v>
      </c>
      <c r="M1636" s="116">
        <v>67.900000000000006</v>
      </c>
      <c r="N1636" s="116">
        <v>69.349999999999994</v>
      </c>
      <c r="O1636" s="116">
        <v>66.825000000000003</v>
      </c>
      <c r="P1636" s="116">
        <v>69.075000000000003</v>
      </c>
      <c r="Q1636" s="116">
        <v>135.80000000000001</v>
      </c>
      <c r="R1636">
        <v>2352773</v>
      </c>
    </row>
    <row r="1637" spans="1:18" x14ac:dyDescent="0.25">
      <c r="A1637" s="169">
        <v>44414</v>
      </c>
      <c r="B1637" s="116">
        <v>70.424999999999997</v>
      </c>
      <c r="C1637" s="116">
        <v>68.849999999999994</v>
      </c>
      <c r="D1637" s="116">
        <v>67.8</v>
      </c>
      <c r="E1637" s="116">
        <v>67.8</v>
      </c>
      <c r="F1637" s="116">
        <v>137.69999999999999</v>
      </c>
      <c r="G1637">
        <v>309877</v>
      </c>
      <c r="H1637" s="116"/>
      <c r="I1637" s="116"/>
      <c r="L1637" s="169">
        <v>44414</v>
      </c>
      <c r="M1637" s="116">
        <v>68.849999999999994</v>
      </c>
      <c r="N1637" s="116">
        <v>70.349999999999994</v>
      </c>
      <c r="O1637" s="116">
        <v>67.8</v>
      </c>
      <c r="P1637" s="116">
        <v>68</v>
      </c>
      <c r="Q1637" s="116">
        <v>137.69999999999999</v>
      </c>
      <c r="R1637">
        <v>2807776</v>
      </c>
    </row>
    <row r="1638" spans="1:18" x14ac:dyDescent="0.25">
      <c r="A1638" s="169">
        <v>44417</v>
      </c>
      <c r="B1638" s="116">
        <v>69.5</v>
      </c>
      <c r="C1638" s="116">
        <v>65.575000000000003</v>
      </c>
      <c r="D1638" s="116">
        <v>64.625</v>
      </c>
      <c r="E1638" s="116">
        <v>68.849999999999994</v>
      </c>
      <c r="F1638" s="116">
        <v>131.15</v>
      </c>
      <c r="G1638">
        <v>283812</v>
      </c>
      <c r="H1638" s="116"/>
      <c r="I1638" s="116"/>
      <c r="L1638" s="169">
        <v>44417</v>
      </c>
      <c r="M1638" s="116">
        <v>65.474999999999994</v>
      </c>
      <c r="N1638" s="116">
        <v>69.349999999999994</v>
      </c>
      <c r="O1638" s="116">
        <v>64.55</v>
      </c>
      <c r="P1638" s="116">
        <v>69.25</v>
      </c>
      <c r="Q1638" s="116">
        <v>130.94999999999999</v>
      </c>
      <c r="R1638">
        <v>2194311</v>
      </c>
    </row>
    <row r="1639" spans="1:18" x14ac:dyDescent="0.25">
      <c r="A1639" s="169">
        <v>44418</v>
      </c>
      <c r="B1639" s="116">
        <v>66.25</v>
      </c>
      <c r="C1639" s="116">
        <v>60.274999999999999</v>
      </c>
      <c r="D1639" s="116">
        <v>58.2</v>
      </c>
      <c r="E1639" s="116">
        <v>65.974999999999994</v>
      </c>
      <c r="F1639" s="116">
        <v>120.55</v>
      </c>
      <c r="G1639">
        <v>535650</v>
      </c>
      <c r="H1639" s="116"/>
      <c r="I1639" s="116"/>
      <c r="L1639" s="169">
        <v>44418</v>
      </c>
      <c r="M1639" s="116">
        <v>60.075000000000003</v>
      </c>
      <c r="N1639" s="116">
        <v>66.2</v>
      </c>
      <c r="O1639" s="116">
        <v>58.25</v>
      </c>
      <c r="P1639" s="116">
        <v>65.55</v>
      </c>
      <c r="Q1639" s="116">
        <v>120.15</v>
      </c>
      <c r="R1639">
        <v>4775672</v>
      </c>
    </row>
    <row r="1640" spans="1:18" x14ac:dyDescent="0.25">
      <c r="A1640" s="169">
        <v>44419</v>
      </c>
      <c r="B1640" s="116">
        <v>65.325000000000003</v>
      </c>
      <c r="C1640" s="116">
        <v>64.724999999999994</v>
      </c>
      <c r="D1640" s="116">
        <v>59.7</v>
      </c>
      <c r="E1640" s="116">
        <v>60.274999999999999</v>
      </c>
      <c r="F1640" s="116">
        <v>129.44999999999999</v>
      </c>
      <c r="G1640">
        <v>570984</v>
      </c>
      <c r="H1640" s="116"/>
      <c r="I1640" s="116"/>
      <c r="L1640" s="169">
        <v>44419</v>
      </c>
      <c r="M1640" s="116">
        <v>64.7</v>
      </c>
      <c r="N1640" s="116">
        <v>65.424999999999997</v>
      </c>
      <c r="O1640" s="116">
        <v>59.7</v>
      </c>
      <c r="P1640" s="116">
        <v>60.65</v>
      </c>
      <c r="Q1640" s="116">
        <v>129.4</v>
      </c>
      <c r="R1640">
        <v>6070923</v>
      </c>
    </row>
    <row r="1641" spans="1:18" x14ac:dyDescent="0.25">
      <c r="A1641" s="169">
        <v>44420</v>
      </c>
      <c r="B1641" s="116">
        <v>65.75</v>
      </c>
      <c r="C1641" s="116">
        <v>64.900000000000006</v>
      </c>
      <c r="D1641" s="116">
        <v>64.150000000000006</v>
      </c>
      <c r="E1641" s="116">
        <v>64.8</v>
      </c>
      <c r="F1641" s="116">
        <v>129.80000000000001</v>
      </c>
      <c r="G1641">
        <v>237444</v>
      </c>
      <c r="H1641" s="116"/>
      <c r="I1641" s="116"/>
      <c r="L1641" s="169">
        <v>44420</v>
      </c>
      <c r="M1641" s="116">
        <v>64.900000000000006</v>
      </c>
      <c r="N1641" s="116">
        <v>65.875</v>
      </c>
      <c r="O1641" s="116">
        <v>64.099999999999994</v>
      </c>
      <c r="P1641" s="116">
        <v>65.2</v>
      </c>
      <c r="Q1641" s="116">
        <v>129.80000000000001</v>
      </c>
      <c r="R1641">
        <v>2256765</v>
      </c>
    </row>
    <row r="1642" spans="1:18" x14ac:dyDescent="0.25">
      <c r="A1642" s="169">
        <v>44421</v>
      </c>
      <c r="B1642" s="116">
        <v>65.599999999999994</v>
      </c>
      <c r="C1642" s="116">
        <v>64.650000000000006</v>
      </c>
      <c r="D1642" s="116">
        <v>63.8</v>
      </c>
      <c r="E1642" s="116">
        <v>64.900000000000006</v>
      </c>
      <c r="F1642" s="116">
        <v>129.30000000000001</v>
      </c>
      <c r="G1642">
        <v>191537</v>
      </c>
      <c r="H1642" s="116"/>
      <c r="I1642" s="116"/>
      <c r="L1642" s="169">
        <v>44421</v>
      </c>
      <c r="M1642" s="116">
        <v>64.625</v>
      </c>
      <c r="N1642" s="116">
        <v>65.674999999999997</v>
      </c>
      <c r="O1642" s="116">
        <v>63.774999999999999</v>
      </c>
      <c r="P1642" s="116">
        <v>65</v>
      </c>
      <c r="Q1642" s="116">
        <v>129.25</v>
      </c>
      <c r="R1642">
        <v>2099684</v>
      </c>
    </row>
    <row r="1643" spans="1:18" x14ac:dyDescent="0.25">
      <c r="A1643" s="169">
        <v>44424</v>
      </c>
      <c r="B1643" s="116">
        <v>64.825000000000003</v>
      </c>
      <c r="C1643" s="116">
        <v>63.1</v>
      </c>
      <c r="D1643" s="116">
        <v>62.575000000000003</v>
      </c>
      <c r="E1643" s="116">
        <v>64.7</v>
      </c>
      <c r="F1643" s="116">
        <v>126.2</v>
      </c>
      <c r="G1643">
        <v>148739</v>
      </c>
      <c r="H1643" s="116"/>
      <c r="I1643" s="116"/>
      <c r="L1643" s="169">
        <v>44424</v>
      </c>
      <c r="M1643" s="116">
        <v>63.05</v>
      </c>
      <c r="N1643" s="116">
        <v>64.924999999999997</v>
      </c>
      <c r="O1643" s="116">
        <v>62.524999999999999</v>
      </c>
      <c r="P1643" s="116">
        <v>64.5</v>
      </c>
      <c r="Q1643" s="116">
        <v>126.1</v>
      </c>
      <c r="R1643">
        <v>1977546</v>
      </c>
    </row>
    <row r="1644" spans="1:18" x14ac:dyDescent="0.25">
      <c r="A1644" s="169">
        <v>44425</v>
      </c>
      <c r="B1644" s="116">
        <v>63.85</v>
      </c>
      <c r="C1644" s="116">
        <v>61.875</v>
      </c>
      <c r="D1644" s="116">
        <v>61.05</v>
      </c>
      <c r="E1644" s="116">
        <v>63.85</v>
      </c>
      <c r="F1644" s="116">
        <v>123.75</v>
      </c>
      <c r="G1644">
        <v>151653</v>
      </c>
      <c r="H1644" s="116"/>
      <c r="I1644" s="116"/>
      <c r="L1644" s="169">
        <v>44425</v>
      </c>
      <c r="M1644" s="116">
        <v>61.85</v>
      </c>
      <c r="N1644" s="116">
        <v>63.7</v>
      </c>
      <c r="O1644" s="116">
        <v>61.1</v>
      </c>
      <c r="P1644" s="116">
        <v>63</v>
      </c>
      <c r="Q1644" s="116">
        <v>123.7</v>
      </c>
      <c r="R1644">
        <v>1383809</v>
      </c>
    </row>
    <row r="1645" spans="1:18" x14ac:dyDescent="0.25">
      <c r="A1645" s="169">
        <v>44426</v>
      </c>
      <c r="B1645" s="116">
        <v>63.7</v>
      </c>
      <c r="C1645" s="116">
        <v>60.575000000000003</v>
      </c>
      <c r="D1645" s="116">
        <v>59.95</v>
      </c>
      <c r="E1645" s="116">
        <v>61.875</v>
      </c>
      <c r="F1645" s="116">
        <v>121.15</v>
      </c>
      <c r="G1645">
        <v>284985</v>
      </c>
      <c r="H1645" s="116"/>
      <c r="I1645" s="116"/>
      <c r="L1645" s="169">
        <v>44426</v>
      </c>
      <c r="M1645" s="116">
        <v>60.475000000000001</v>
      </c>
      <c r="N1645" s="116">
        <v>63.75</v>
      </c>
      <c r="O1645" s="116">
        <v>59.75</v>
      </c>
      <c r="P1645" s="116">
        <v>62.05</v>
      </c>
      <c r="Q1645" s="116">
        <v>120.95</v>
      </c>
      <c r="R1645">
        <v>2368977</v>
      </c>
    </row>
    <row r="1646" spans="1:18" x14ac:dyDescent="0.25">
      <c r="A1646" s="169">
        <v>44428</v>
      </c>
      <c r="B1646" s="116">
        <v>63.274999999999999</v>
      </c>
      <c r="C1646" s="116">
        <v>60.924999999999997</v>
      </c>
      <c r="D1646" s="116">
        <v>57.825000000000003</v>
      </c>
      <c r="E1646" s="116">
        <v>60</v>
      </c>
      <c r="F1646" s="116">
        <v>121.85</v>
      </c>
      <c r="G1646">
        <v>475512</v>
      </c>
      <c r="H1646" s="116"/>
      <c r="I1646" s="116"/>
      <c r="L1646" s="169">
        <v>44428</v>
      </c>
      <c r="M1646" s="116">
        <v>60.825000000000003</v>
      </c>
      <c r="N1646" s="116">
        <v>63.4</v>
      </c>
      <c r="O1646" s="116">
        <v>57.85</v>
      </c>
      <c r="P1646" s="116">
        <v>59.225000000000001</v>
      </c>
      <c r="Q1646" s="116">
        <v>121.65</v>
      </c>
      <c r="R1646">
        <v>3906565</v>
      </c>
    </row>
    <row r="1647" spans="1:18" x14ac:dyDescent="0.25">
      <c r="A1647" s="169">
        <v>44431</v>
      </c>
      <c r="B1647" s="116">
        <v>62.575000000000003</v>
      </c>
      <c r="C1647" s="116">
        <v>60.9</v>
      </c>
      <c r="D1647" s="116">
        <v>58.3</v>
      </c>
      <c r="E1647" s="116">
        <v>60.8</v>
      </c>
      <c r="F1647" s="116">
        <v>121.8</v>
      </c>
      <c r="G1647">
        <v>291620</v>
      </c>
      <c r="H1647" s="116"/>
      <c r="I1647" s="116"/>
      <c r="L1647" s="169">
        <v>44431</v>
      </c>
      <c r="M1647" s="116">
        <v>60.875</v>
      </c>
      <c r="N1647" s="116">
        <v>62.35</v>
      </c>
      <c r="O1647" s="116">
        <v>58.3</v>
      </c>
      <c r="P1647" s="116">
        <v>61.475000000000001</v>
      </c>
      <c r="Q1647" s="116">
        <v>121.75</v>
      </c>
      <c r="R1647">
        <v>3000559</v>
      </c>
    </row>
    <row r="1648" spans="1:18" x14ac:dyDescent="0.25">
      <c r="A1648" s="169">
        <v>44432</v>
      </c>
      <c r="B1648" s="116">
        <v>63.924999999999997</v>
      </c>
      <c r="C1648" s="116">
        <v>62.125</v>
      </c>
      <c r="D1648" s="116">
        <v>59.95</v>
      </c>
      <c r="E1648" s="116">
        <v>59.95</v>
      </c>
      <c r="F1648" s="116">
        <v>124.25</v>
      </c>
      <c r="G1648">
        <v>208690</v>
      </c>
      <c r="H1648" s="116"/>
      <c r="I1648" s="116"/>
      <c r="L1648" s="169">
        <v>44432</v>
      </c>
      <c r="M1648" s="116">
        <v>62.15</v>
      </c>
      <c r="N1648" s="116">
        <v>63.875</v>
      </c>
      <c r="O1648" s="116">
        <v>60.7</v>
      </c>
      <c r="P1648" s="116">
        <v>61.174999999999997</v>
      </c>
      <c r="Q1648" s="116">
        <v>124.3</v>
      </c>
      <c r="R1648">
        <v>2453675</v>
      </c>
    </row>
    <row r="1649" spans="1:18" x14ac:dyDescent="0.25">
      <c r="A1649" s="169">
        <v>44433</v>
      </c>
      <c r="B1649" s="116">
        <v>62.95</v>
      </c>
      <c r="C1649" s="116">
        <v>59.7</v>
      </c>
      <c r="D1649" s="116">
        <v>59.375</v>
      </c>
      <c r="E1649" s="116">
        <v>62.95</v>
      </c>
      <c r="F1649" s="116">
        <v>119.4</v>
      </c>
      <c r="G1649">
        <v>145975</v>
      </c>
      <c r="H1649" s="116"/>
      <c r="I1649" s="116"/>
      <c r="L1649" s="169">
        <v>44433</v>
      </c>
      <c r="M1649" s="116">
        <v>59.725000000000001</v>
      </c>
      <c r="N1649" s="116">
        <v>62.75</v>
      </c>
      <c r="O1649" s="116">
        <v>59.3</v>
      </c>
      <c r="P1649" s="116">
        <v>62.65</v>
      </c>
      <c r="Q1649" s="116">
        <v>119.45</v>
      </c>
      <c r="R1649">
        <v>1982206</v>
      </c>
    </row>
    <row r="1650" spans="1:18" x14ac:dyDescent="0.25">
      <c r="A1650" s="169">
        <v>44434</v>
      </c>
      <c r="B1650" s="116">
        <v>60.325000000000003</v>
      </c>
      <c r="C1650" s="116">
        <v>58.975000000000001</v>
      </c>
      <c r="D1650" s="116">
        <v>58.45</v>
      </c>
      <c r="E1650" s="116">
        <v>60.25</v>
      </c>
      <c r="F1650" s="116">
        <v>117.95</v>
      </c>
      <c r="G1650">
        <v>102396</v>
      </c>
      <c r="H1650" s="116"/>
      <c r="I1650" s="116"/>
      <c r="L1650" s="169">
        <v>44434</v>
      </c>
      <c r="M1650" s="116">
        <v>59.024999999999999</v>
      </c>
      <c r="N1650" s="116">
        <v>60.424999999999997</v>
      </c>
      <c r="O1650" s="116">
        <v>58.3</v>
      </c>
      <c r="P1650" s="116">
        <v>60</v>
      </c>
      <c r="Q1650" s="116">
        <v>118.05</v>
      </c>
      <c r="R1650">
        <v>1394778</v>
      </c>
    </row>
    <row r="1651" spans="1:18" x14ac:dyDescent="0.25">
      <c r="A1651" s="169">
        <v>44435</v>
      </c>
      <c r="B1651" s="116">
        <v>60.5</v>
      </c>
      <c r="C1651" s="116">
        <v>59.95</v>
      </c>
      <c r="D1651" s="116">
        <v>59.3</v>
      </c>
      <c r="E1651" s="116">
        <v>59.45</v>
      </c>
      <c r="F1651" s="116">
        <v>119.9</v>
      </c>
      <c r="G1651">
        <v>79573</v>
      </c>
      <c r="H1651" s="116"/>
      <c r="I1651" s="116"/>
      <c r="L1651" s="169">
        <v>44435</v>
      </c>
      <c r="M1651" s="116">
        <v>59.975000000000001</v>
      </c>
      <c r="N1651" s="116">
        <v>60.6</v>
      </c>
      <c r="O1651" s="116">
        <v>59.174999999999997</v>
      </c>
      <c r="P1651" s="116">
        <v>59.325000000000003</v>
      </c>
      <c r="Q1651" s="116">
        <v>119.95</v>
      </c>
      <c r="R1651">
        <v>1161675</v>
      </c>
    </row>
    <row r="1652" spans="1:18" x14ac:dyDescent="0.25">
      <c r="A1652" s="169">
        <v>44438</v>
      </c>
      <c r="B1652" s="116">
        <v>61.1</v>
      </c>
      <c r="C1652" s="116">
        <v>59.5</v>
      </c>
      <c r="D1652" s="116">
        <v>59.174999999999997</v>
      </c>
      <c r="E1652" s="116">
        <v>60.475000000000001</v>
      </c>
      <c r="F1652" s="116">
        <v>119</v>
      </c>
      <c r="G1652">
        <v>85753</v>
      </c>
      <c r="H1652" s="116"/>
      <c r="I1652" s="116"/>
      <c r="L1652" s="169">
        <v>44438</v>
      </c>
      <c r="M1652" s="116">
        <v>59.5</v>
      </c>
      <c r="N1652" s="116">
        <v>61.125</v>
      </c>
      <c r="O1652" s="116">
        <v>59.15</v>
      </c>
      <c r="P1652" s="116">
        <v>60.5</v>
      </c>
      <c r="Q1652" s="116">
        <v>119</v>
      </c>
      <c r="R1652">
        <v>1285637</v>
      </c>
    </row>
    <row r="1653" spans="1:18" x14ac:dyDescent="0.25">
      <c r="A1653" s="169">
        <v>44439</v>
      </c>
      <c r="B1653" s="116">
        <v>60.85</v>
      </c>
      <c r="C1653" s="116">
        <v>58.975000000000001</v>
      </c>
      <c r="D1653" s="116">
        <v>58.725000000000001</v>
      </c>
      <c r="E1653" s="116">
        <v>59.8</v>
      </c>
      <c r="F1653" s="116">
        <v>117.95</v>
      </c>
      <c r="G1653">
        <v>167572</v>
      </c>
      <c r="H1653" s="116"/>
      <c r="I1653" s="116"/>
      <c r="L1653" s="169">
        <v>44439</v>
      </c>
      <c r="M1653" s="116">
        <v>58.924999999999997</v>
      </c>
      <c r="N1653" s="116">
        <v>60.9</v>
      </c>
      <c r="O1653" s="116">
        <v>58.6</v>
      </c>
      <c r="P1653" s="116">
        <v>59.9</v>
      </c>
      <c r="Q1653" s="116">
        <v>117.85</v>
      </c>
      <c r="R1653">
        <v>1291677</v>
      </c>
    </row>
    <row r="1654" spans="1:18" x14ac:dyDescent="0.25">
      <c r="A1654" s="169">
        <v>44440</v>
      </c>
      <c r="B1654" s="116">
        <v>59.85</v>
      </c>
      <c r="C1654" s="116">
        <v>59.15</v>
      </c>
      <c r="D1654" s="116">
        <v>58.475000000000001</v>
      </c>
      <c r="E1654" s="116">
        <v>59.85</v>
      </c>
      <c r="F1654" s="116">
        <v>118.3</v>
      </c>
      <c r="G1654">
        <v>150305</v>
      </c>
      <c r="H1654" s="116"/>
      <c r="I1654" s="116"/>
      <c r="L1654" s="169">
        <v>44440</v>
      </c>
      <c r="M1654" s="116">
        <v>59.125</v>
      </c>
      <c r="N1654" s="116">
        <v>59.9</v>
      </c>
      <c r="O1654" s="116">
        <v>58.45</v>
      </c>
      <c r="P1654" s="116">
        <v>59.25</v>
      </c>
      <c r="Q1654" s="116">
        <v>118.25</v>
      </c>
      <c r="R1654">
        <v>1157678</v>
      </c>
    </row>
    <row r="1655" spans="1:18" x14ac:dyDescent="0.25">
      <c r="A1655" s="169">
        <v>44441</v>
      </c>
      <c r="B1655" s="116">
        <v>60.7</v>
      </c>
      <c r="C1655" s="116">
        <v>59.774999999999999</v>
      </c>
      <c r="D1655" s="116">
        <v>59.3</v>
      </c>
      <c r="E1655" s="116">
        <v>59.375</v>
      </c>
      <c r="F1655" s="116">
        <v>119.55</v>
      </c>
      <c r="G1655">
        <v>244474</v>
      </c>
      <c r="H1655" s="116"/>
      <c r="I1655" s="116"/>
      <c r="L1655" s="169">
        <v>44441</v>
      </c>
      <c r="M1655" s="116">
        <v>59.75</v>
      </c>
      <c r="N1655" s="116">
        <v>60.674999999999997</v>
      </c>
      <c r="O1655" s="116">
        <v>59.1</v>
      </c>
      <c r="P1655" s="116">
        <v>59.1</v>
      </c>
      <c r="Q1655" s="116">
        <v>119.5</v>
      </c>
      <c r="R1655">
        <v>1080554</v>
      </c>
    </row>
    <row r="1656" spans="1:18" x14ac:dyDescent="0.25">
      <c r="A1656" s="169">
        <v>44442</v>
      </c>
      <c r="B1656" s="116">
        <v>62.225000000000001</v>
      </c>
      <c r="C1656" s="116">
        <v>61.3</v>
      </c>
      <c r="D1656" s="116">
        <v>59.6</v>
      </c>
      <c r="E1656" s="116">
        <v>60</v>
      </c>
      <c r="F1656" s="116">
        <v>122.6</v>
      </c>
      <c r="G1656">
        <v>329600</v>
      </c>
      <c r="H1656" s="116"/>
      <c r="I1656" s="116"/>
      <c r="L1656" s="169">
        <v>44442</v>
      </c>
      <c r="M1656" s="116">
        <v>61.2</v>
      </c>
      <c r="N1656" s="116">
        <v>62.3</v>
      </c>
      <c r="O1656" s="116">
        <v>59.6</v>
      </c>
      <c r="P1656" s="116">
        <v>59.9</v>
      </c>
      <c r="Q1656" s="116">
        <v>122.4</v>
      </c>
      <c r="R1656">
        <v>2464183</v>
      </c>
    </row>
    <row r="1657" spans="1:18" x14ac:dyDescent="0.25">
      <c r="A1657" s="169">
        <v>44445</v>
      </c>
      <c r="B1657" s="116">
        <v>61.975000000000001</v>
      </c>
      <c r="C1657" s="116">
        <v>60.575000000000003</v>
      </c>
      <c r="D1657" s="116">
        <v>60.3</v>
      </c>
      <c r="E1657" s="116">
        <v>61.424999999999997</v>
      </c>
      <c r="F1657" s="116">
        <v>121.15</v>
      </c>
      <c r="G1657">
        <v>158984</v>
      </c>
      <c r="H1657" s="116"/>
      <c r="I1657" s="116"/>
      <c r="L1657" s="169">
        <v>44445</v>
      </c>
      <c r="M1657" s="116">
        <v>60.575000000000003</v>
      </c>
      <c r="N1657" s="116">
        <v>61.825000000000003</v>
      </c>
      <c r="O1657" s="116">
        <v>60.325000000000003</v>
      </c>
      <c r="P1657" s="116">
        <v>61.524999999999999</v>
      </c>
      <c r="Q1657" s="116">
        <v>121.15</v>
      </c>
      <c r="R1657">
        <v>1135934</v>
      </c>
    </row>
    <row r="1658" spans="1:18" x14ac:dyDescent="0.25">
      <c r="A1658" s="169">
        <v>44446</v>
      </c>
      <c r="B1658" s="116">
        <v>61</v>
      </c>
      <c r="C1658" s="116">
        <v>60.075000000000003</v>
      </c>
      <c r="D1658" s="116">
        <v>59.65</v>
      </c>
      <c r="E1658" s="116">
        <v>60.5</v>
      </c>
      <c r="F1658" s="116">
        <v>120.15</v>
      </c>
      <c r="G1658">
        <v>88381</v>
      </c>
      <c r="H1658" s="116"/>
      <c r="I1658" s="116"/>
      <c r="L1658" s="169">
        <v>44446</v>
      </c>
      <c r="M1658" s="116">
        <v>60.1</v>
      </c>
      <c r="N1658" s="116">
        <v>61</v>
      </c>
      <c r="O1658" s="116">
        <v>59.625</v>
      </c>
      <c r="P1658" s="116">
        <v>60.575000000000003</v>
      </c>
      <c r="Q1658" s="116">
        <v>120.2</v>
      </c>
      <c r="R1658">
        <v>877954</v>
      </c>
    </row>
    <row r="1659" spans="1:18" x14ac:dyDescent="0.25">
      <c r="A1659" s="169">
        <v>44447</v>
      </c>
      <c r="B1659" s="116">
        <v>60.274999999999999</v>
      </c>
      <c r="C1659" s="116">
        <v>59.1</v>
      </c>
      <c r="D1659" s="116">
        <v>58.8</v>
      </c>
      <c r="E1659" s="116">
        <v>60.15</v>
      </c>
      <c r="F1659" s="116">
        <v>118.2</v>
      </c>
      <c r="G1659">
        <v>77925</v>
      </c>
      <c r="H1659" s="116"/>
      <c r="I1659" s="116"/>
      <c r="L1659" s="169">
        <v>44447</v>
      </c>
      <c r="M1659" s="116">
        <v>59.125</v>
      </c>
      <c r="N1659" s="116">
        <v>60.325000000000003</v>
      </c>
      <c r="O1659" s="116">
        <v>58.85</v>
      </c>
      <c r="P1659" s="116">
        <v>60.1</v>
      </c>
      <c r="Q1659" s="116">
        <v>118.25</v>
      </c>
      <c r="R1659">
        <v>1176652</v>
      </c>
    </row>
    <row r="1660" spans="1:18" x14ac:dyDescent="0.25">
      <c r="A1660" s="169">
        <v>44448</v>
      </c>
      <c r="B1660" s="116">
        <v>60.9</v>
      </c>
      <c r="C1660" s="116">
        <v>59.725000000000001</v>
      </c>
      <c r="D1660" s="116">
        <v>59</v>
      </c>
      <c r="E1660" s="116">
        <v>59</v>
      </c>
      <c r="F1660" s="116">
        <v>119.45</v>
      </c>
      <c r="G1660">
        <v>103085</v>
      </c>
      <c r="H1660" s="116"/>
      <c r="I1660" s="116"/>
      <c r="L1660" s="169">
        <v>44448</v>
      </c>
      <c r="M1660" s="116">
        <v>59.7</v>
      </c>
      <c r="N1660" s="116">
        <v>60.9</v>
      </c>
      <c r="O1660" s="116">
        <v>59</v>
      </c>
      <c r="P1660" s="116">
        <v>59.375</v>
      </c>
      <c r="Q1660" s="116">
        <v>119.4</v>
      </c>
      <c r="R1660">
        <v>1313706</v>
      </c>
    </row>
    <row r="1661" spans="1:18" x14ac:dyDescent="0.25">
      <c r="A1661" s="169">
        <v>44452</v>
      </c>
      <c r="B1661" s="116">
        <v>61.5</v>
      </c>
      <c r="C1661" s="116">
        <v>60</v>
      </c>
      <c r="D1661" s="116">
        <v>59.35</v>
      </c>
      <c r="E1661" s="116">
        <v>59.524999999999999</v>
      </c>
      <c r="F1661" s="116">
        <v>120</v>
      </c>
      <c r="G1661">
        <v>188900</v>
      </c>
      <c r="H1661" s="116"/>
      <c r="I1661" s="116"/>
      <c r="L1661" s="169">
        <v>44452</v>
      </c>
      <c r="M1661" s="116">
        <v>60.024999999999999</v>
      </c>
      <c r="N1661" s="116">
        <v>61.25</v>
      </c>
      <c r="O1661" s="116">
        <v>59.274999999999999</v>
      </c>
      <c r="P1661" s="116">
        <v>59.7</v>
      </c>
      <c r="Q1661" s="116">
        <v>120.05</v>
      </c>
      <c r="R1661">
        <v>2001795</v>
      </c>
    </row>
    <row r="1662" spans="1:18" x14ac:dyDescent="0.25">
      <c r="A1662" s="169">
        <v>44453</v>
      </c>
      <c r="B1662" s="116">
        <v>62</v>
      </c>
      <c r="C1662" s="116">
        <v>60.674999999999997</v>
      </c>
      <c r="D1662" s="116">
        <v>60.1</v>
      </c>
      <c r="E1662" s="116">
        <v>62</v>
      </c>
      <c r="F1662" s="116">
        <v>121.35</v>
      </c>
      <c r="G1662">
        <v>114263</v>
      </c>
      <c r="H1662" s="116"/>
      <c r="I1662" s="116"/>
      <c r="L1662" s="169">
        <v>44453</v>
      </c>
      <c r="M1662" s="116">
        <v>60.75</v>
      </c>
      <c r="N1662" s="116">
        <v>61.174999999999997</v>
      </c>
      <c r="O1662" s="116">
        <v>60.075000000000003</v>
      </c>
      <c r="P1662" s="116">
        <v>60.35</v>
      </c>
      <c r="Q1662" s="116">
        <v>121.5</v>
      </c>
      <c r="R1662">
        <v>1210623</v>
      </c>
    </row>
    <row r="1663" spans="1:18" x14ac:dyDescent="0.25">
      <c r="A1663" s="169">
        <v>44454</v>
      </c>
      <c r="B1663" s="116">
        <v>62.3</v>
      </c>
      <c r="C1663" s="116">
        <v>61.524999999999999</v>
      </c>
      <c r="D1663" s="116">
        <v>60.6</v>
      </c>
      <c r="E1663" s="116">
        <v>60.7</v>
      </c>
      <c r="F1663" s="116">
        <v>123.05</v>
      </c>
      <c r="G1663">
        <v>120310</v>
      </c>
      <c r="H1663" s="116"/>
      <c r="I1663" s="116"/>
      <c r="L1663" s="169">
        <v>44454</v>
      </c>
      <c r="M1663" s="116">
        <v>61.55</v>
      </c>
      <c r="N1663" s="116">
        <v>62.35</v>
      </c>
      <c r="O1663" s="116">
        <v>60.6</v>
      </c>
      <c r="P1663" s="116">
        <v>60.75</v>
      </c>
      <c r="Q1663" s="116">
        <v>123.1</v>
      </c>
      <c r="R1663">
        <v>1821653</v>
      </c>
    </row>
    <row r="1664" spans="1:18" x14ac:dyDescent="0.25">
      <c r="A1664" s="169">
        <v>44455</v>
      </c>
      <c r="B1664" s="116">
        <v>62.174999999999997</v>
      </c>
      <c r="C1664" s="116">
        <v>60.85</v>
      </c>
      <c r="D1664" s="116">
        <v>60.625</v>
      </c>
      <c r="E1664" s="116">
        <v>61.524999999999999</v>
      </c>
      <c r="F1664" s="116">
        <v>121.7</v>
      </c>
      <c r="G1664">
        <v>98940</v>
      </c>
      <c r="H1664" s="116"/>
      <c r="I1664" s="116"/>
      <c r="L1664" s="169">
        <v>44455</v>
      </c>
      <c r="M1664" s="116">
        <v>60.85</v>
      </c>
      <c r="N1664" s="116">
        <v>62.225000000000001</v>
      </c>
      <c r="O1664" s="116">
        <v>60.55</v>
      </c>
      <c r="P1664" s="116">
        <v>61.8</v>
      </c>
      <c r="Q1664" s="116">
        <v>121.7</v>
      </c>
      <c r="R1664">
        <v>1095343</v>
      </c>
    </row>
    <row r="1665" spans="1:18" x14ac:dyDescent="0.25">
      <c r="A1665" s="169">
        <v>44456</v>
      </c>
      <c r="B1665" s="116">
        <v>61.975000000000001</v>
      </c>
      <c r="C1665" s="116">
        <v>61.375</v>
      </c>
      <c r="D1665" s="116">
        <v>58.75</v>
      </c>
      <c r="E1665" s="116">
        <v>61.15</v>
      </c>
      <c r="F1665" s="116">
        <v>122.75</v>
      </c>
      <c r="G1665">
        <v>297242</v>
      </c>
      <c r="H1665" s="116"/>
      <c r="I1665" s="116"/>
      <c r="L1665" s="169">
        <v>44456</v>
      </c>
      <c r="M1665" s="116">
        <v>61.5</v>
      </c>
      <c r="N1665" s="116">
        <v>62</v>
      </c>
      <c r="O1665" s="116">
        <v>58.75</v>
      </c>
      <c r="P1665" s="116">
        <v>61.174999999999997</v>
      </c>
      <c r="Q1665" s="116">
        <v>123</v>
      </c>
      <c r="R1665">
        <v>1905592</v>
      </c>
    </row>
    <row r="1666" spans="1:18" x14ac:dyDescent="0.25">
      <c r="A1666" s="169">
        <v>44459</v>
      </c>
      <c r="B1666" s="116">
        <v>60.85</v>
      </c>
      <c r="C1666" s="116">
        <v>57.6</v>
      </c>
      <c r="D1666" s="116">
        <v>57.125</v>
      </c>
      <c r="E1666" s="116">
        <v>60.85</v>
      </c>
      <c r="F1666" s="116">
        <v>115.2</v>
      </c>
      <c r="G1666">
        <v>100879</v>
      </c>
      <c r="H1666" s="116"/>
      <c r="I1666" s="116"/>
      <c r="L1666" s="169">
        <v>44459</v>
      </c>
      <c r="M1666" s="116">
        <v>57.524999999999999</v>
      </c>
      <c r="N1666" s="116">
        <v>60.75</v>
      </c>
      <c r="O1666" s="116">
        <v>57.075000000000003</v>
      </c>
      <c r="P1666" s="116">
        <v>60.225000000000001</v>
      </c>
      <c r="Q1666" s="116">
        <v>115.05</v>
      </c>
      <c r="R1666">
        <v>1697425</v>
      </c>
    </row>
    <row r="1667" spans="1:18" x14ac:dyDescent="0.25">
      <c r="A1667" s="169">
        <v>44460</v>
      </c>
      <c r="B1667" s="116">
        <v>58.375</v>
      </c>
      <c r="C1667" s="116">
        <v>56.924999999999997</v>
      </c>
      <c r="D1667" s="116">
        <v>55.55</v>
      </c>
      <c r="E1667" s="116">
        <v>57.65</v>
      </c>
      <c r="F1667" s="116">
        <v>113.85</v>
      </c>
      <c r="G1667">
        <v>205503</v>
      </c>
      <c r="H1667" s="116"/>
      <c r="I1667" s="116"/>
      <c r="L1667" s="169">
        <v>44460</v>
      </c>
      <c r="M1667" s="116">
        <v>56.95</v>
      </c>
      <c r="N1667" s="116">
        <v>58.375</v>
      </c>
      <c r="O1667" s="116">
        <v>55.5</v>
      </c>
      <c r="P1667" s="116">
        <v>57.75</v>
      </c>
      <c r="Q1667" s="116">
        <v>113.9</v>
      </c>
      <c r="R1667">
        <v>1472377</v>
      </c>
    </row>
    <row r="1668" spans="1:18" x14ac:dyDescent="0.25">
      <c r="A1668" s="169">
        <v>44461</v>
      </c>
      <c r="B1668" s="116">
        <v>59.35</v>
      </c>
      <c r="C1668" s="116">
        <v>58.45</v>
      </c>
      <c r="D1668" s="116">
        <v>56.924999999999997</v>
      </c>
      <c r="E1668" s="116">
        <v>57.85</v>
      </c>
      <c r="F1668" s="116">
        <v>116.9</v>
      </c>
      <c r="G1668">
        <v>110967</v>
      </c>
      <c r="H1668" s="116"/>
      <c r="I1668" s="116"/>
      <c r="L1668" s="169">
        <v>44461</v>
      </c>
      <c r="M1668" s="116">
        <v>58.375</v>
      </c>
      <c r="N1668" s="116">
        <v>59.4</v>
      </c>
      <c r="O1668" s="116">
        <v>56.85</v>
      </c>
      <c r="P1668" s="116">
        <v>57.4</v>
      </c>
      <c r="Q1668" s="116">
        <v>116.75</v>
      </c>
      <c r="R1668">
        <v>1894250</v>
      </c>
    </row>
    <row r="1669" spans="1:18" x14ac:dyDescent="0.25">
      <c r="A1669" s="169">
        <v>44462</v>
      </c>
      <c r="B1669" s="116">
        <v>59.225000000000001</v>
      </c>
      <c r="C1669" s="116">
        <v>58.5</v>
      </c>
      <c r="D1669" s="116">
        <v>58.2</v>
      </c>
      <c r="E1669" s="116">
        <v>59.125</v>
      </c>
      <c r="F1669" s="116">
        <v>117</v>
      </c>
      <c r="G1669">
        <v>124586</v>
      </c>
      <c r="H1669" s="116"/>
      <c r="I1669" s="116"/>
      <c r="L1669" s="169">
        <v>44462</v>
      </c>
      <c r="M1669" s="116">
        <v>58.45</v>
      </c>
      <c r="N1669" s="116">
        <v>59.25</v>
      </c>
      <c r="O1669" s="116">
        <v>58.075000000000003</v>
      </c>
      <c r="P1669" s="116">
        <v>58.95</v>
      </c>
      <c r="Q1669" s="116">
        <v>116.9</v>
      </c>
      <c r="R1669">
        <v>810896</v>
      </c>
    </row>
    <row r="1670" spans="1:18" x14ac:dyDescent="0.25">
      <c r="A1670" s="169">
        <v>44463</v>
      </c>
      <c r="B1670" s="116">
        <v>58.95</v>
      </c>
      <c r="C1670" s="116">
        <v>57.024999999999999</v>
      </c>
      <c r="D1670" s="116">
        <v>56.625</v>
      </c>
      <c r="E1670" s="116">
        <v>58.524999999999999</v>
      </c>
      <c r="F1670" s="116">
        <v>114.05</v>
      </c>
      <c r="G1670">
        <v>109655</v>
      </c>
      <c r="H1670" s="116"/>
      <c r="I1670" s="116"/>
      <c r="L1670" s="169">
        <v>44463</v>
      </c>
      <c r="M1670" s="116">
        <v>57.024999999999999</v>
      </c>
      <c r="N1670" s="116">
        <v>58.774999999999999</v>
      </c>
      <c r="O1670" s="116">
        <v>56.625</v>
      </c>
      <c r="P1670" s="116">
        <v>58.774999999999999</v>
      </c>
      <c r="Q1670" s="116">
        <v>114.05</v>
      </c>
      <c r="R1670">
        <v>923872</v>
      </c>
    </row>
    <row r="1671" spans="1:18" x14ac:dyDescent="0.25">
      <c r="A1671" s="169">
        <v>44466</v>
      </c>
      <c r="B1671" s="116">
        <v>57.274999999999999</v>
      </c>
      <c r="C1671" s="116">
        <v>56.325000000000003</v>
      </c>
      <c r="D1671" s="116">
        <v>55.8</v>
      </c>
      <c r="E1671" s="116">
        <v>57.174999999999997</v>
      </c>
      <c r="F1671" s="116">
        <v>112.65</v>
      </c>
      <c r="G1671">
        <v>140954</v>
      </c>
      <c r="H1671" s="116"/>
      <c r="I1671" s="116"/>
      <c r="L1671" s="169">
        <v>44466</v>
      </c>
      <c r="M1671" s="116">
        <v>56.25</v>
      </c>
      <c r="N1671" s="116">
        <v>57.35</v>
      </c>
      <c r="O1671" s="116">
        <v>55.774999999999999</v>
      </c>
      <c r="P1671" s="116">
        <v>57.3</v>
      </c>
      <c r="Q1671" s="116">
        <v>112.5</v>
      </c>
      <c r="R1671">
        <v>1394370</v>
      </c>
    </row>
    <row r="1672" spans="1:18" x14ac:dyDescent="0.25">
      <c r="A1672" s="169">
        <v>44467</v>
      </c>
      <c r="B1672" s="116">
        <v>56.8</v>
      </c>
      <c r="C1672" s="116">
        <v>55.9</v>
      </c>
      <c r="D1672" s="116">
        <v>55.524999999999999</v>
      </c>
      <c r="E1672" s="116">
        <v>56.8</v>
      </c>
      <c r="F1672" s="116">
        <v>111.8</v>
      </c>
      <c r="G1672">
        <v>84140</v>
      </c>
      <c r="H1672" s="116"/>
      <c r="I1672" s="116"/>
      <c r="L1672" s="169">
        <v>44467</v>
      </c>
      <c r="M1672" s="116">
        <v>55.9</v>
      </c>
      <c r="N1672" s="116">
        <v>56.725000000000001</v>
      </c>
      <c r="O1672" s="116">
        <v>55.5</v>
      </c>
      <c r="P1672" s="116">
        <v>56.45</v>
      </c>
      <c r="Q1672" s="116">
        <v>111.8</v>
      </c>
      <c r="R1672">
        <v>936612</v>
      </c>
    </row>
    <row r="1673" spans="1:18" x14ac:dyDescent="0.25">
      <c r="A1673" s="169">
        <v>44468</v>
      </c>
      <c r="B1673" s="116">
        <v>57.575000000000003</v>
      </c>
      <c r="C1673" s="116">
        <v>56.524999999999999</v>
      </c>
      <c r="D1673" s="116">
        <v>55.15</v>
      </c>
      <c r="E1673" s="116">
        <v>55.55</v>
      </c>
      <c r="F1673" s="116">
        <v>113.05</v>
      </c>
      <c r="G1673">
        <v>168500</v>
      </c>
      <c r="H1673" s="116"/>
      <c r="I1673" s="116"/>
      <c r="L1673" s="169">
        <v>44468</v>
      </c>
      <c r="M1673" s="116">
        <v>56.524999999999999</v>
      </c>
      <c r="N1673" s="116">
        <v>57.65</v>
      </c>
      <c r="O1673" s="116">
        <v>55.225000000000001</v>
      </c>
      <c r="P1673" s="116">
        <v>55.674999999999997</v>
      </c>
      <c r="Q1673" s="116">
        <v>113.05</v>
      </c>
      <c r="R1673">
        <v>1314208</v>
      </c>
    </row>
    <row r="1674" spans="1:18" x14ac:dyDescent="0.25">
      <c r="A1674" s="169">
        <v>44469</v>
      </c>
      <c r="B1674" s="116">
        <v>57.575000000000003</v>
      </c>
      <c r="C1674" s="116">
        <v>57.024999999999999</v>
      </c>
      <c r="D1674" s="116">
        <v>56.5</v>
      </c>
      <c r="E1674" s="116">
        <v>56.5</v>
      </c>
      <c r="F1674" s="116">
        <v>114.05</v>
      </c>
      <c r="G1674">
        <v>94115</v>
      </c>
      <c r="H1674" s="116"/>
      <c r="I1674" s="116"/>
      <c r="L1674" s="169">
        <v>44469</v>
      </c>
      <c r="M1674" s="116">
        <v>57.024999999999999</v>
      </c>
      <c r="N1674" s="116">
        <v>57.625</v>
      </c>
      <c r="O1674" s="116">
        <v>56.55</v>
      </c>
      <c r="P1674" s="116">
        <v>56.725000000000001</v>
      </c>
      <c r="Q1674" s="116">
        <v>114.05</v>
      </c>
      <c r="R1674">
        <v>997930</v>
      </c>
    </row>
    <row r="1675" spans="1:18" x14ac:dyDescent="0.25">
      <c r="A1675" s="169">
        <v>44470</v>
      </c>
      <c r="B1675" s="116">
        <v>57.325000000000003</v>
      </c>
      <c r="C1675" s="116">
        <v>56.75</v>
      </c>
      <c r="D1675" s="116">
        <v>56.1</v>
      </c>
      <c r="E1675" s="116">
        <v>57.024999999999999</v>
      </c>
      <c r="F1675" s="116">
        <v>113.5</v>
      </c>
      <c r="G1675">
        <v>110476</v>
      </c>
      <c r="H1675" s="116"/>
      <c r="I1675" s="116"/>
      <c r="L1675" s="169">
        <v>44470</v>
      </c>
      <c r="M1675" s="116">
        <v>56.774999999999999</v>
      </c>
      <c r="N1675" s="116">
        <v>57.424999999999997</v>
      </c>
      <c r="O1675" s="116">
        <v>56.1</v>
      </c>
      <c r="P1675" s="116">
        <v>56.65</v>
      </c>
      <c r="Q1675" s="116">
        <v>113.55</v>
      </c>
      <c r="R1675">
        <v>944171</v>
      </c>
    </row>
    <row r="1676" spans="1:18" x14ac:dyDescent="0.25">
      <c r="A1676" s="169">
        <v>44473</v>
      </c>
      <c r="B1676" s="116">
        <v>60.7</v>
      </c>
      <c r="C1676" s="116">
        <v>60.25</v>
      </c>
      <c r="D1676" s="116">
        <v>56.774999999999999</v>
      </c>
      <c r="E1676" s="116">
        <v>56.774999999999999</v>
      </c>
      <c r="F1676" s="116">
        <v>120.5</v>
      </c>
      <c r="G1676">
        <v>186850</v>
      </c>
      <c r="H1676" s="116"/>
      <c r="I1676" s="116"/>
      <c r="L1676" s="169">
        <v>44473</v>
      </c>
      <c r="M1676" s="116">
        <v>60.225000000000001</v>
      </c>
      <c r="N1676" s="116">
        <v>60.725000000000001</v>
      </c>
      <c r="O1676" s="116">
        <v>57</v>
      </c>
      <c r="P1676" s="116">
        <v>57.075000000000003</v>
      </c>
      <c r="Q1676" s="116">
        <v>120.45</v>
      </c>
      <c r="R1676">
        <v>3080339</v>
      </c>
    </row>
    <row r="1677" spans="1:18" x14ac:dyDescent="0.25">
      <c r="A1677" s="169">
        <v>44474</v>
      </c>
      <c r="B1677" s="116">
        <v>60.7</v>
      </c>
      <c r="C1677" s="116">
        <v>58.875</v>
      </c>
      <c r="D1677" s="116">
        <v>58.65</v>
      </c>
      <c r="E1677" s="116">
        <v>60.25</v>
      </c>
      <c r="F1677" s="116">
        <v>117.75</v>
      </c>
      <c r="G1677">
        <v>145444</v>
      </c>
      <c r="H1677" s="116"/>
      <c r="I1677" s="116"/>
      <c r="L1677" s="169">
        <v>44474</v>
      </c>
      <c r="M1677" s="116">
        <v>58.9</v>
      </c>
      <c r="N1677" s="116">
        <v>60.65</v>
      </c>
      <c r="O1677" s="116">
        <v>58.625</v>
      </c>
      <c r="P1677" s="116">
        <v>60.5</v>
      </c>
      <c r="Q1677" s="116">
        <v>117.8</v>
      </c>
      <c r="R1677">
        <v>1886555</v>
      </c>
    </row>
    <row r="1678" spans="1:18" x14ac:dyDescent="0.25">
      <c r="A1678" s="169">
        <v>44475</v>
      </c>
      <c r="B1678" s="116">
        <v>60.75</v>
      </c>
      <c r="C1678" s="116">
        <v>58.1</v>
      </c>
      <c r="D1678" s="116">
        <v>57.75</v>
      </c>
      <c r="E1678" s="116">
        <v>60.5</v>
      </c>
      <c r="F1678" s="116">
        <v>116.2</v>
      </c>
      <c r="G1678">
        <v>106777</v>
      </c>
      <c r="H1678" s="116"/>
      <c r="I1678" s="116"/>
      <c r="L1678" s="169">
        <v>44475</v>
      </c>
      <c r="M1678" s="116">
        <v>58.1</v>
      </c>
      <c r="N1678" s="116">
        <v>60.75</v>
      </c>
      <c r="O1678" s="116">
        <v>57.7</v>
      </c>
      <c r="P1678" s="116">
        <v>59.225000000000001</v>
      </c>
      <c r="Q1678" s="116">
        <v>116.2</v>
      </c>
      <c r="R1678">
        <v>1884005</v>
      </c>
    </row>
    <row r="1679" spans="1:18" x14ac:dyDescent="0.25">
      <c r="A1679" s="169">
        <v>44476</v>
      </c>
      <c r="B1679" s="116">
        <v>59.3</v>
      </c>
      <c r="C1679" s="116">
        <v>58.325000000000003</v>
      </c>
      <c r="D1679" s="116">
        <v>57.85</v>
      </c>
      <c r="E1679" s="116">
        <v>59.3</v>
      </c>
      <c r="F1679" s="116">
        <v>116.65</v>
      </c>
      <c r="G1679">
        <v>107656</v>
      </c>
      <c r="H1679" s="116"/>
      <c r="I1679" s="116"/>
      <c r="L1679" s="169">
        <v>44476</v>
      </c>
      <c r="M1679" s="116">
        <v>58.325000000000003</v>
      </c>
      <c r="N1679" s="116">
        <v>59.4</v>
      </c>
      <c r="O1679" s="116">
        <v>57.75</v>
      </c>
      <c r="P1679" s="116">
        <v>58.55</v>
      </c>
      <c r="Q1679" s="116">
        <v>116.65</v>
      </c>
      <c r="R1679">
        <v>844511</v>
      </c>
    </row>
    <row r="1680" spans="1:18" x14ac:dyDescent="0.25">
      <c r="A1680" s="169">
        <v>44477</v>
      </c>
      <c r="B1680" s="116">
        <v>59.25</v>
      </c>
      <c r="C1680" s="116">
        <v>57.8</v>
      </c>
      <c r="D1680" s="116">
        <v>57.7</v>
      </c>
      <c r="E1680" s="116">
        <v>59.125</v>
      </c>
      <c r="F1680" s="116">
        <v>115.6</v>
      </c>
      <c r="G1680">
        <v>83893</v>
      </c>
      <c r="H1680" s="116"/>
      <c r="I1680" s="116"/>
      <c r="L1680" s="169">
        <v>44477</v>
      </c>
      <c r="M1680" s="116">
        <v>57.825000000000003</v>
      </c>
      <c r="N1680" s="116">
        <v>59.3</v>
      </c>
      <c r="O1680" s="116">
        <v>57.7</v>
      </c>
      <c r="P1680" s="116">
        <v>58.7</v>
      </c>
      <c r="Q1680" s="116">
        <v>115.65</v>
      </c>
      <c r="R1680">
        <v>866689</v>
      </c>
    </row>
    <row r="1681" spans="1:18" x14ac:dyDescent="0.25">
      <c r="A1681" s="169">
        <v>44480</v>
      </c>
      <c r="B1681" s="116">
        <v>59.674999999999997</v>
      </c>
      <c r="C1681" s="116">
        <v>58.15</v>
      </c>
      <c r="D1681" s="116">
        <v>57.85</v>
      </c>
      <c r="E1681" s="116">
        <v>59.1</v>
      </c>
      <c r="F1681" s="116">
        <v>116.3</v>
      </c>
      <c r="G1681">
        <v>121636</v>
      </c>
      <c r="H1681" s="116"/>
      <c r="I1681" s="116"/>
      <c r="L1681" s="169">
        <v>44480</v>
      </c>
      <c r="M1681" s="116">
        <v>58.1</v>
      </c>
      <c r="N1681" s="116">
        <v>59.65</v>
      </c>
      <c r="O1681" s="116">
        <v>57.9</v>
      </c>
      <c r="P1681" s="116">
        <v>58.2</v>
      </c>
      <c r="Q1681" s="116">
        <v>116.2</v>
      </c>
      <c r="R1681">
        <v>1324507</v>
      </c>
    </row>
    <row r="1682" spans="1:18" x14ac:dyDescent="0.25">
      <c r="A1682" s="169">
        <v>44481</v>
      </c>
      <c r="B1682" s="116">
        <v>58.475000000000001</v>
      </c>
      <c r="C1682" s="116">
        <v>58</v>
      </c>
      <c r="D1682" s="116">
        <v>57.2</v>
      </c>
      <c r="E1682" s="116">
        <v>57.2</v>
      </c>
      <c r="F1682" s="116">
        <v>116</v>
      </c>
      <c r="G1682">
        <v>80205</v>
      </c>
      <c r="H1682" s="116"/>
      <c r="I1682" s="116"/>
      <c r="L1682" s="169">
        <v>44481</v>
      </c>
      <c r="M1682" s="116">
        <v>57.975000000000001</v>
      </c>
      <c r="N1682" s="116">
        <v>58.5</v>
      </c>
      <c r="O1682" s="116">
        <v>57.6</v>
      </c>
      <c r="P1682" s="116">
        <v>58.375</v>
      </c>
      <c r="Q1682" s="116">
        <v>115.95</v>
      </c>
      <c r="R1682">
        <v>846810</v>
      </c>
    </row>
    <row r="1683" spans="1:18" x14ac:dyDescent="0.25">
      <c r="A1683" s="169">
        <v>44482</v>
      </c>
      <c r="B1683" s="116">
        <v>59.4</v>
      </c>
      <c r="C1683" s="116">
        <v>58.725000000000001</v>
      </c>
      <c r="D1683" s="116">
        <v>58.2</v>
      </c>
      <c r="E1683" s="116">
        <v>58.5</v>
      </c>
      <c r="F1683" s="116">
        <v>117.45</v>
      </c>
      <c r="G1683">
        <v>210337</v>
      </c>
      <c r="H1683" s="116"/>
      <c r="I1683" s="116"/>
      <c r="L1683" s="169">
        <v>44482</v>
      </c>
      <c r="M1683" s="116">
        <v>58.7</v>
      </c>
      <c r="N1683" s="116">
        <v>59.45</v>
      </c>
      <c r="O1683" s="116">
        <v>58.125</v>
      </c>
      <c r="P1683" s="116">
        <v>58.3</v>
      </c>
      <c r="Q1683" s="116">
        <v>117.4</v>
      </c>
      <c r="R1683">
        <v>1581913</v>
      </c>
    </row>
    <row r="1684" spans="1:18" x14ac:dyDescent="0.25">
      <c r="A1684" s="169">
        <v>44483</v>
      </c>
      <c r="B1684" s="116">
        <v>62.25</v>
      </c>
      <c r="C1684" s="116">
        <v>60.875</v>
      </c>
      <c r="D1684" s="116">
        <v>58.45</v>
      </c>
      <c r="E1684" s="116">
        <v>59</v>
      </c>
      <c r="F1684" s="116">
        <v>121.75</v>
      </c>
      <c r="G1684">
        <v>515373</v>
      </c>
      <c r="H1684" s="116"/>
      <c r="I1684" s="116"/>
      <c r="L1684" s="169">
        <v>44483</v>
      </c>
      <c r="M1684" s="116">
        <v>60.924999999999997</v>
      </c>
      <c r="N1684" s="116">
        <v>62.325000000000003</v>
      </c>
      <c r="O1684" s="116">
        <v>58.55</v>
      </c>
      <c r="P1684" s="116">
        <v>59.05</v>
      </c>
      <c r="Q1684" s="116">
        <v>121.85</v>
      </c>
      <c r="R1684">
        <v>5572126</v>
      </c>
    </row>
    <row r="1685" spans="1:18" x14ac:dyDescent="0.25">
      <c r="A1685" s="169">
        <v>44487</v>
      </c>
      <c r="B1685" s="116">
        <v>63.975000000000001</v>
      </c>
      <c r="C1685" s="116">
        <v>62.375</v>
      </c>
      <c r="D1685" s="116">
        <v>61.475000000000001</v>
      </c>
      <c r="E1685" s="116">
        <v>61.95</v>
      </c>
      <c r="F1685" s="116">
        <v>124.75</v>
      </c>
      <c r="G1685">
        <v>219527</v>
      </c>
      <c r="H1685" s="116"/>
      <c r="I1685" s="116"/>
      <c r="L1685" s="169">
        <v>44487</v>
      </c>
      <c r="M1685" s="116">
        <v>62.4</v>
      </c>
      <c r="N1685" s="116">
        <v>64</v>
      </c>
      <c r="O1685" s="116">
        <v>61.375</v>
      </c>
      <c r="P1685" s="116">
        <v>61.475000000000001</v>
      </c>
      <c r="Q1685" s="116">
        <v>124.8</v>
      </c>
      <c r="R1685">
        <v>3369652</v>
      </c>
    </row>
    <row r="1686" spans="1:18" x14ac:dyDescent="0.25">
      <c r="A1686" s="169">
        <v>44488</v>
      </c>
      <c r="B1686" s="116">
        <v>62.85</v>
      </c>
      <c r="C1686" s="116">
        <v>59.325000000000003</v>
      </c>
      <c r="D1686" s="116">
        <v>58.7</v>
      </c>
      <c r="E1686" s="116">
        <v>62.575000000000003</v>
      </c>
      <c r="F1686" s="116">
        <v>118.65</v>
      </c>
      <c r="G1686">
        <v>122900</v>
      </c>
      <c r="H1686" s="116"/>
      <c r="I1686" s="116"/>
      <c r="L1686" s="169">
        <v>44488</v>
      </c>
      <c r="M1686" s="116">
        <v>59.25</v>
      </c>
      <c r="N1686" s="116">
        <v>62.875</v>
      </c>
      <c r="O1686" s="116">
        <v>58.575000000000003</v>
      </c>
      <c r="P1686" s="116">
        <v>62.85</v>
      </c>
      <c r="Q1686" s="116">
        <v>118.5</v>
      </c>
      <c r="R1686">
        <v>1746486</v>
      </c>
    </row>
    <row r="1687" spans="1:18" x14ac:dyDescent="0.25">
      <c r="A1687" s="169">
        <v>44489</v>
      </c>
      <c r="B1687" s="116">
        <v>59.95</v>
      </c>
      <c r="C1687" s="116">
        <v>58.524999999999999</v>
      </c>
      <c r="D1687" s="116">
        <v>57.65</v>
      </c>
      <c r="E1687" s="116">
        <v>59.325000000000003</v>
      </c>
      <c r="F1687" s="116">
        <v>117.05</v>
      </c>
      <c r="G1687">
        <v>123157</v>
      </c>
      <c r="H1687" s="116"/>
      <c r="I1687" s="116"/>
      <c r="L1687" s="169">
        <v>44489</v>
      </c>
      <c r="M1687" s="116">
        <v>58.55</v>
      </c>
      <c r="N1687" s="116">
        <v>60.024999999999999</v>
      </c>
      <c r="O1687" s="116">
        <v>57.7</v>
      </c>
      <c r="P1687" s="116">
        <v>59.524999999999999</v>
      </c>
      <c r="Q1687" s="116">
        <v>117.1</v>
      </c>
      <c r="R1687">
        <v>1158468</v>
      </c>
    </row>
    <row r="1688" spans="1:18" x14ac:dyDescent="0.25">
      <c r="A1688" s="169">
        <v>44490</v>
      </c>
      <c r="B1688" s="116">
        <v>59</v>
      </c>
      <c r="C1688" s="116">
        <v>57.15</v>
      </c>
      <c r="D1688" s="116">
        <v>56.6</v>
      </c>
      <c r="E1688" s="116">
        <v>57.524999999999999</v>
      </c>
      <c r="F1688" s="116">
        <v>114.3</v>
      </c>
      <c r="G1688">
        <v>52938</v>
      </c>
      <c r="H1688" s="116"/>
      <c r="I1688" s="116"/>
      <c r="L1688" s="169">
        <v>44490</v>
      </c>
      <c r="M1688" s="116">
        <v>57.1</v>
      </c>
      <c r="N1688" s="116">
        <v>59.1</v>
      </c>
      <c r="O1688" s="116">
        <v>56.55</v>
      </c>
      <c r="P1688" s="116">
        <v>58.8</v>
      </c>
      <c r="Q1688" s="116">
        <v>114.2</v>
      </c>
      <c r="R1688">
        <v>1130424</v>
      </c>
    </row>
    <row r="1689" spans="1:18" x14ac:dyDescent="0.25">
      <c r="A1689" s="169">
        <v>44491</v>
      </c>
      <c r="B1689" s="116">
        <v>58.3</v>
      </c>
      <c r="C1689" s="116">
        <v>56.725000000000001</v>
      </c>
      <c r="D1689" s="116">
        <v>56.25</v>
      </c>
      <c r="E1689" s="116">
        <v>57.2</v>
      </c>
      <c r="F1689" s="116">
        <v>113.45</v>
      </c>
      <c r="G1689">
        <v>118763</v>
      </c>
      <c r="H1689" s="116"/>
      <c r="I1689" s="116"/>
      <c r="L1689" s="169">
        <v>44491</v>
      </c>
      <c r="M1689" s="116">
        <v>56.7</v>
      </c>
      <c r="N1689" s="116">
        <v>58.325000000000003</v>
      </c>
      <c r="O1689" s="116">
        <v>56.075000000000003</v>
      </c>
      <c r="P1689" s="116">
        <v>57.5</v>
      </c>
      <c r="Q1689" s="116">
        <v>113.4</v>
      </c>
      <c r="R1689">
        <v>890201</v>
      </c>
    </row>
    <row r="1690" spans="1:18" x14ac:dyDescent="0.25">
      <c r="A1690" s="169">
        <v>44494</v>
      </c>
      <c r="B1690" s="116">
        <v>57.15</v>
      </c>
      <c r="C1690" s="116">
        <v>55.35</v>
      </c>
      <c r="D1690" s="116">
        <v>54.524999999999999</v>
      </c>
      <c r="E1690" s="116">
        <v>57.15</v>
      </c>
      <c r="F1690" s="116">
        <v>110.7</v>
      </c>
      <c r="G1690">
        <v>147436</v>
      </c>
      <c r="H1690" s="116"/>
      <c r="I1690" s="116"/>
      <c r="L1690" s="169">
        <v>44494</v>
      </c>
      <c r="M1690" s="116">
        <v>55.274999999999999</v>
      </c>
      <c r="N1690" s="116">
        <v>57.075000000000003</v>
      </c>
      <c r="O1690" s="116">
        <v>54.625</v>
      </c>
      <c r="P1690" s="116">
        <v>57.075000000000003</v>
      </c>
      <c r="Q1690" s="116">
        <v>110.55</v>
      </c>
      <c r="R1690">
        <v>956623</v>
      </c>
    </row>
    <row r="1691" spans="1:18" x14ac:dyDescent="0.25">
      <c r="A1691" s="169">
        <v>44495</v>
      </c>
      <c r="B1691" s="116">
        <v>60.375</v>
      </c>
      <c r="C1691" s="116">
        <v>59.625</v>
      </c>
      <c r="D1691" s="116">
        <v>55.45</v>
      </c>
      <c r="E1691" s="116">
        <v>56.2</v>
      </c>
      <c r="F1691" s="116">
        <v>119.25</v>
      </c>
      <c r="G1691">
        <v>345223</v>
      </c>
      <c r="H1691" s="116"/>
      <c r="I1691" s="116"/>
      <c r="L1691" s="169">
        <v>44495</v>
      </c>
      <c r="M1691" s="116">
        <v>59.674999999999997</v>
      </c>
      <c r="N1691" s="116">
        <v>60.45</v>
      </c>
      <c r="O1691" s="116">
        <v>55.475000000000001</v>
      </c>
      <c r="P1691" s="116">
        <v>55.5</v>
      </c>
      <c r="Q1691" s="116">
        <v>119.35</v>
      </c>
      <c r="R1691">
        <v>3194339</v>
      </c>
    </row>
    <row r="1692" spans="1:18" x14ac:dyDescent="0.25">
      <c r="A1692" s="169">
        <v>44496</v>
      </c>
      <c r="B1692" s="116">
        <v>60.5</v>
      </c>
      <c r="C1692" s="116">
        <v>58.75</v>
      </c>
      <c r="D1692" s="116">
        <v>57.825000000000003</v>
      </c>
      <c r="E1692" s="116">
        <v>60.5</v>
      </c>
      <c r="F1692" s="116">
        <v>117.5</v>
      </c>
      <c r="G1692">
        <v>100321</v>
      </c>
      <c r="H1692" s="116"/>
      <c r="I1692" s="116"/>
      <c r="L1692" s="169">
        <v>44496</v>
      </c>
      <c r="M1692" s="116">
        <v>58.774999999999999</v>
      </c>
      <c r="N1692" s="116">
        <v>59.9</v>
      </c>
      <c r="O1692" s="116">
        <v>57.774999999999999</v>
      </c>
      <c r="P1692" s="116">
        <v>59.075000000000003</v>
      </c>
      <c r="Q1692" s="116">
        <v>117.55</v>
      </c>
      <c r="R1692">
        <v>1530607</v>
      </c>
    </row>
    <row r="1693" spans="1:18" x14ac:dyDescent="0.25">
      <c r="A1693" s="169">
        <v>44497</v>
      </c>
      <c r="B1693" s="116">
        <v>58.55</v>
      </c>
      <c r="C1693" s="116">
        <v>57</v>
      </c>
      <c r="D1693" s="116">
        <v>56.774999999999999</v>
      </c>
      <c r="E1693" s="116">
        <v>58.05</v>
      </c>
      <c r="F1693" s="116">
        <v>114</v>
      </c>
      <c r="G1693">
        <v>104285</v>
      </c>
      <c r="H1693" s="116"/>
      <c r="I1693" s="116"/>
      <c r="L1693" s="169">
        <v>44497</v>
      </c>
      <c r="M1693" s="116">
        <v>57</v>
      </c>
      <c r="N1693" s="116">
        <v>58.55</v>
      </c>
      <c r="O1693" s="116">
        <v>56.65</v>
      </c>
      <c r="P1693" s="116">
        <v>58.2</v>
      </c>
      <c r="Q1693" s="116">
        <v>114</v>
      </c>
      <c r="R1693">
        <v>999952</v>
      </c>
    </row>
    <row r="1694" spans="1:18" x14ac:dyDescent="0.25">
      <c r="A1694" s="169">
        <v>44498</v>
      </c>
      <c r="B1694" s="116">
        <v>59.325000000000003</v>
      </c>
      <c r="C1694" s="116">
        <v>58.05</v>
      </c>
      <c r="D1694" s="116">
        <v>55.924999999999997</v>
      </c>
      <c r="E1694" s="116">
        <v>57.15</v>
      </c>
      <c r="F1694" s="116">
        <v>116.1</v>
      </c>
      <c r="G1694">
        <v>124916</v>
      </c>
      <c r="H1694" s="116"/>
      <c r="I1694" s="116"/>
      <c r="L1694" s="169">
        <v>44498</v>
      </c>
      <c r="M1694" s="116">
        <v>58</v>
      </c>
      <c r="N1694" s="116">
        <v>59.475000000000001</v>
      </c>
      <c r="O1694" s="116">
        <v>55.85</v>
      </c>
      <c r="P1694" s="116">
        <v>56.7</v>
      </c>
      <c r="Q1694" s="116">
        <v>116</v>
      </c>
      <c r="R1694">
        <v>1775962</v>
      </c>
    </row>
    <row r="1695" spans="1:18" x14ac:dyDescent="0.25">
      <c r="A1695" s="169">
        <v>44501</v>
      </c>
      <c r="B1695" s="116">
        <v>58.3</v>
      </c>
      <c r="C1695" s="116">
        <v>57.05</v>
      </c>
      <c r="D1695" s="116">
        <v>56.8</v>
      </c>
      <c r="E1695" s="116">
        <v>58</v>
      </c>
      <c r="F1695" s="116">
        <v>114.1</v>
      </c>
      <c r="G1695">
        <v>92220</v>
      </c>
      <c r="H1695" s="116"/>
      <c r="I1695" s="116"/>
      <c r="L1695" s="169">
        <v>44501</v>
      </c>
      <c r="M1695" s="116">
        <v>57.075000000000003</v>
      </c>
      <c r="N1695" s="116">
        <v>58.35</v>
      </c>
      <c r="O1695" s="116">
        <v>56.75</v>
      </c>
      <c r="P1695" s="116">
        <v>57.75</v>
      </c>
      <c r="Q1695" s="116">
        <v>114.15</v>
      </c>
      <c r="R1695">
        <v>936481</v>
      </c>
    </row>
    <row r="1696" spans="1:18" x14ac:dyDescent="0.25">
      <c r="A1696" s="169">
        <v>44502</v>
      </c>
      <c r="B1696" s="116">
        <v>58.6</v>
      </c>
      <c r="C1696" s="116">
        <v>56.7</v>
      </c>
      <c r="D1696" s="116">
        <v>56.524999999999999</v>
      </c>
      <c r="E1696" s="116">
        <v>58.6</v>
      </c>
      <c r="F1696" s="116">
        <v>113.4</v>
      </c>
      <c r="G1696">
        <v>62671</v>
      </c>
      <c r="H1696" s="116"/>
      <c r="I1696" s="116"/>
      <c r="L1696" s="169">
        <v>44502</v>
      </c>
      <c r="M1696" s="116">
        <v>56.725000000000001</v>
      </c>
      <c r="N1696" s="116">
        <v>57.825000000000003</v>
      </c>
      <c r="O1696" s="116">
        <v>56.5</v>
      </c>
      <c r="P1696" s="116">
        <v>57.4</v>
      </c>
      <c r="Q1696" s="116">
        <v>113.45</v>
      </c>
      <c r="R1696">
        <v>646178</v>
      </c>
    </row>
    <row r="1697" spans="1:18" x14ac:dyDescent="0.25">
      <c r="A1697" s="169">
        <v>44503</v>
      </c>
      <c r="B1697" s="116">
        <v>57.7</v>
      </c>
      <c r="C1697" s="116">
        <v>56.125</v>
      </c>
      <c r="D1697" s="116">
        <v>56.024999999999999</v>
      </c>
      <c r="E1697" s="116">
        <v>57.7</v>
      </c>
      <c r="F1697" s="116">
        <v>112.25</v>
      </c>
      <c r="G1697">
        <v>34913</v>
      </c>
      <c r="H1697" s="116"/>
      <c r="I1697" s="116"/>
      <c r="L1697" s="169">
        <v>44503</v>
      </c>
      <c r="M1697" s="116">
        <v>56.15</v>
      </c>
      <c r="N1697" s="116">
        <v>57.225000000000001</v>
      </c>
      <c r="O1697" s="116">
        <v>56.024999999999999</v>
      </c>
      <c r="P1697" s="116">
        <v>57</v>
      </c>
      <c r="Q1697" s="116">
        <v>112.3</v>
      </c>
      <c r="R1697">
        <v>727019</v>
      </c>
    </row>
    <row r="1698" spans="1:18" x14ac:dyDescent="0.25">
      <c r="A1698" s="169">
        <v>44504</v>
      </c>
      <c r="B1698" s="116">
        <v>56.95</v>
      </c>
      <c r="C1698" s="116">
        <v>56.75</v>
      </c>
      <c r="D1698" s="116">
        <v>56.325000000000003</v>
      </c>
      <c r="E1698" s="116">
        <v>56.95</v>
      </c>
      <c r="F1698" s="116">
        <v>113.5</v>
      </c>
      <c r="G1698">
        <v>9669</v>
      </c>
      <c r="H1698" s="116"/>
      <c r="I1698" s="116"/>
      <c r="L1698" s="169">
        <v>44504</v>
      </c>
      <c r="M1698" s="116">
        <v>56.674999999999997</v>
      </c>
      <c r="N1698" s="116">
        <v>56.9</v>
      </c>
      <c r="O1698" s="116">
        <v>56.3</v>
      </c>
      <c r="P1698" s="116">
        <v>56.325000000000003</v>
      </c>
      <c r="Q1698" s="116">
        <v>113.35</v>
      </c>
      <c r="R1698">
        <v>169159</v>
      </c>
    </row>
    <row r="1699" spans="1:18" x14ac:dyDescent="0.25">
      <c r="A1699" s="169">
        <v>44508</v>
      </c>
      <c r="B1699" s="116">
        <v>57.25</v>
      </c>
      <c r="C1699" s="116">
        <v>56.2</v>
      </c>
      <c r="D1699" s="116">
        <v>56.075000000000003</v>
      </c>
      <c r="E1699" s="116">
        <v>56.3</v>
      </c>
      <c r="F1699" s="116">
        <v>112.4</v>
      </c>
      <c r="G1699">
        <v>81388</v>
      </c>
      <c r="H1699" s="116"/>
      <c r="I1699" s="116"/>
      <c r="L1699" s="169">
        <v>44508</v>
      </c>
      <c r="M1699" s="116">
        <v>56.2</v>
      </c>
      <c r="N1699" s="116">
        <v>57.05</v>
      </c>
      <c r="O1699" s="116">
        <v>56</v>
      </c>
      <c r="P1699" s="116">
        <v>57</v>
      </c>
      <c r="Q1699" s="116">
        <v>112.4</v>
      </c>
      <c r="R1699">
        <v>850464</v>
      </c>
    </row>
    <row r="1700" spans="1:18" x14ac:dyDescent="0.25">
      <c r="A1700" s="169">
        <v>44509</v>
      </c>
      <c r="B1700" s="116">
        <v>56.75</v>
      </c>
      <c r="C1700" s="116">
        <v>56.25</v>
      </c>
      <c r="D1700" s="116">
        <v>56.15</v>
      </c>
      <c r="E1700" s="116">
        <v>56.424999999999997</v>
      </c>
      <c r="F1700" s="116">
        <v>112.5</v>
      </c>
      <c r="G1700">
        <v>86726</v>
      </c>
      <c r="H1700" s="116"/>
      <c r="I1700" s="116"/>
      <c r="L1700" s="169">
        <v>44509</v>
      </c>
      <c r="M1700" s="116">
        <v>56.274999999999999</v>
      </c>
      <c r="N1700" s="116">
        <v>56.85</v>
      </c>
      <c r="O1700" s="116">
        <v>56.15</v>
      </c>
      <c r="P1700" s="116">
        <v>56.35</v>
      </c>
      <c r="Q1700" s="116">
        <v>112.55</v>
      </c>
      <c r="R1700">
        <v>735712</v>
      </c>
    </row>
    <row r="1701" spans="1:18" x14ac:dyDescent="0.25">
      <c r="A1701" s="169">
        <v>44510</v>
      </c>
      <c r="B1701" s="116">
        <v>56.725000000000001</v>
      </c>
      <c r="C1701" s="116">
        <v>55.725000000000001</v>
      </c>
      <c r="D1701" s="116">
        <v>55.524999999999999</v>
      </c>
      <c r="E1701" s="116">
        <v>55.774999999999999</v>
      </c>
      <c r="F1701" s="116">
        <v>111.45</v>
      </c>
      <c r="G1701">
        <v>49136</v>
      </c>
      <c r="H1701" s="116"/>
      <c r="I1701" s="116"/>
      <c r="L1701" s="169">
        <v>44510</v>
      </c>
      <c r="M1701" s="116">
        <v>55.7</v>
      </c>
      <c r="N1701" s="116">
        <v>56.725000000000001</v>
      </c>
      <c r="O1701" s="116">
        <v>55.55</v>
      </c>
      <c r="P1701" s="116">
        <v>56</v>
      </c>
      <c r="Q1701" s="116">
        <v>111.4</v>
      </c>
      <c r="R1701">
        <v>964505</v>
      </c>
    </row>
    <row r="1702" spans="1:18" x14ac:dyDescent="0.25">
      <c r="A1702" s="169">
        <v>44511</v>
      </c>
      <c r="B1702" s="116">
        <v>56.174999999999997</v>
      </c>
      <c r="C1702" s="116">
        <v>55.125</v>
      </c>
      <c r="D1702" s="116">
        <v>54.825000000000003</v>
      </c>
      <c r="E1702" s="116">
        <v>55.85</v>
      </c>
      <c r="F1702" s="116">
        <v>110.25</v>
      </c>
      <c r="G1702">
        <v>124122</v>
      </c>
      <c r="H1702" s="116"/>
      <c r="I1702" s="116"/>
      <c r="L1702" s="169">
        <v>44511</v>
      </c>
      <c r="M1702" s="116">
        <v>55.15</v>
      </c>
      <c r="N1702" s="116">
        <v>56.15</v>
      </c>
      <c r="O1702" s="116">
        <v>54.85</v>
      </c>
      <c r="P1702" s="116">
        <v>55.9</v>
      </c>
      <c r="Q1702" s="116">
        <v>110.3</v>
      </c>
      <c r="R1702">
        <v>780723</v>
      </c>
    </row>
    <row r="1703" spans="1:18" x14ac:dyDescent="0.25">
      <c r="A1703" s="169">
        <v>44512</v>
      </c>
      <c r="B1703" s="116">
        <v>55.625</v>
      </c>
      <c r="C1703" s="116">
        <v>54.674999999999997</v>
      </c>
      <c r="D1703" s="116">
        <v>54.375</v>
      </c>
      <c r="E1703" s="116">
        <v>55.35</v>
      </c>
      <c r="F1703" s="116">
        <v>109.35</v>
      </c>
      <c r="G1703">
        <v>42733</v>
      </c>
      <c r="H1703" s="116"/>
      <c r="I1703" s="116"/>
      <c r="L1703" s="169">
        <v>44512</v>
      </c>
      <c r="M1703" s="116">
        <v>54.65</v>
      </c>
      <c r="N1703" s="116">
        <v>55.6</v>
      </c>
      <c r="O1703" s="116">
        <v>54.4</v>
      </c>
      <c r="P1703" s="116">
        <v>55.5</v>
      </c>
      <c r="Q1703" s="116">
        <v>109.3</v>
      </c>
      <c r="R1703">
        <v>765827</v>
      </c>
    </row>
    <row r="1704" spans="1:18" x14ac:dyDescent="0.25">
      <c r="A1704" s="169">
        <v>44515</v>
      </c>
      <c r="B1704" s="116">
        <v>54.975000000000001</v>
      </c>
      <c r="C1704" s="116">
        <v>53.075000000000003</v>
      </c>
      <c r="D1704" s="116">
        <v>52.825000000000003</v>
      </c>
      <c r="E1704" s="116">
        <v>54.575000000000003</v>
      </c>
      <c r="F1704" s="116">
        <v>106.15</v>
      </c>
      <c r="G1704">
        <v>105427</v>
      </c>
      <c r="H1704" s="116"/>
      <c r="I1704" s="116"/>
      <c r="L1704" s="169">
        <v>44515</v>
      </c>
      <c r="M1704" s="116">
        <v>53.05</v>
      </c>
      <c r="N1704" s="116">
        <v>54.975000000000001</v>
      </c>
      <c r="O1704" s="116">
        <v>52.825000000000003</v>
      </c>
      <c r="P1704" s="116">
        <v>54.95</v>
      </c>
      <c r="Q1704" s="116">
        <v>106.1</v>
      </c>
      <c r="R1704">
        <v>769250</v>
      </c>
    </row>
    <row r="1705" spans="1:18" x14ac:dyDescent="0.25">
      <c r="A1705" s="169">
        <v>44516</v>
      </c>
      <c r="B1705" s="116">
        <v>54.774999999999999</v>
      </c>
      <c r="C1705" s="116">
        <v>53.7</v>
      </c>
      <c r="D1705" s="116">
        <v>52.875</v>
      </c>
      <c r="E1705" s="116">
        <v>53</v>
      </c>
      <c r="F1705" s="116">
        <v>107.4</v>
      </c>
      <c r="G1705">
        <v>132028</v>
      </c>
      <c r="H1705" s="116"/>
      <c r="I1705" s="116"/>
      <c r="L1705" s="169">
        <v>44516</v>
      </c>
      <c r="M1705" s="116">
        <v>53.575000000000003</v>
      </c>
      <c r="N1705" s="116">
        <v>54.8</v>
      </c>
      <c r="O1705" s="116">
        <v>52.825000000000003</v>
      </c>
      <c r="P1705" s="116">
        <v>53.15</v>
      </c>
      <c r="Q1705" s="116">
        <v>107.15</v>
      </c>
      <c r="R1705">
        <v>1140780</v>
      </c>
    </row>
    <row r="1706" spans="1:18" x14ac:dyDescent="0.25">
      <c r="A1706" s="169">
        <v>44517</v>
      </c>
      <c r="B1706" s="116">
        <v>54.325000000000003</v>
      </c>
      <c r="C1706" s="116">
        <v>53.475000000000001</v>
      </c>
      <c r="D1706" s="116">
        <v>53.3</v>
      </c>
      <c r="E1706" s="116">
        <v>53.7</v>
      </c>
      <c r="F1706" s="116">
        <v>106.95</v>
      </c>
      <c r="G1706">
        <v>67202</v>
      </c>
      <c r="H1706" s="116"/>
      <c r="I1706" s="116"/>
      <c r="L1706" s="169">
        <v>44517</v>
      </c>
      <c r="M1706" s="116">
        <v>53.45</v>
      </c>
      <c r="N1706" s="116">
        <v>54.325000000000003</v>
      </c>
      <c r="O1706" s="116">
        <v>53.3</v>
      </c>
      <c r="P1706" s="116">
        <v>53.6</v>
      </c>
      <c r="Q1706" s="116">
        <v>106.9</v>
      </c>
      <c r="R1706">
        <v>528772</v>
      </c>
    </row>
    <row r="1707" spans="1:18" x14ac:dyDescent="0.25">
      <c r="A1707" s="169">
        <v>44518</v>
      </c>
      <c r="B1707" s="116">
        <v>53.85</v>
      </c>
      <c r="C1707" s="116">
        <v>52.325000000000003</v>
      </c>
      <c r="D1707" s="116">
        <v>52.024999999999999</v>
      </c>
      <c r="E1707" s="116">
        <v>53.6</v>
      </c>
      <c r="F1707" s="116">
        <v>104.65</v>
      </c>
      <c r="G1707">
        <v>73307</v>
      </c>
      <c r="H1707" s="116"/>
      <c r="I1707" s="116"/>
      <c r="L1707" s="169">
        <v>44518</v>
      </c>
      <c r="M1707" s="116">
        <v>52.25</v>
      </c>
      <c r="N1707" s="116">
        <v>53.924999999999997</v>
      </c>
      <c r="O1707" s="116">
        <v>52</v>
      </c>
      <c r="P1707" s="116">
        <v>53.7</v>
      </c>
      <c r="Q1707" s="116">
        <v>104.5</v>
      </c>
      <c r="R1707">
        <v>580171</v>
      </c>
    </row>
    <row r="1708" spans="1:18" x14ac:dyDescent="0.25">
      <c r="A1708" s="169">
        <v>44522</v>
      </c>
      <c r="B1708" s="116">
        <v>52.85</v>
      </c>
      <c r="C1708" s="116">
        <v>49.875</v>
      </c>
      <c r="D1708" s="116">
        <v>49.7</v>
      </c>
      <c r="E1708" s="116">
        <v>52.85</v>
      </c>
      <c r="F1708" s="116">
        <v>99.75</v>
      </c>
      <c r="G1708">
        <v>160843</v>
      </c>
      <c r="H1708" s="116"/>
      <c r="I1708" s="116"/>
      <c r="L1708" s="169">
        <v>44522</v>
      </c>
      <c r="M1708" s="116">
        <v>49.825000000000003</v>
      </c>
      <c r="N1708" s="116">
        <v>52.575000000000003</v>
      </c>
      <c r="O1708" s="116">
        <v>49.55</v>
      </c>
      <c r="P1708" s="116">
        <v>52.55</v>
      </c>
      <c r="Q1708" s="116">
        <v>99.65</v>
      </c>
      <c r="R1708">
        <v>811157</v>
      </c>
    </row>
    <row r="1709" spans="1:18" x14ac:dyDescent="0.25">
      <c r="A1709" s="169">
        <v>44523</v>
      </c>
      <c r="B1709" s="116">
        <v>51.35</v>
      </c>
      <c r="C1709" s="116">
        <v>50.774999999999999</v>
      </c>
      <c r="D1709" s="116">
        <v>48.575000000000003</v>
      </c>
      <c r="E1709" s="116">
        <v>49.325000000000003</v>
      </c>
      <c r="F1709" s="116">
        <v>101.55</v>
      </c>
      <c r="G1709">
        <v>128444</v>
      </c>
      <c r="H1709" s="116"/>
      <c r="I1709" s="116"/>
      <c r="L1709" s="169">
        <v>44523</v>
      </c>
      <c r="M1709" s="116">
        <v>50.75</v>
      </c>
      <c r="N1709" s="116">
        <v>51.4</v>
      </c>
      <c r="O1709" s="116">
        <v>48.8</v>
      </c>
      <c r="P1709" s="116">
        <v>49.25</v>
      </c>
      <c r="Q1709" s="116">
        <v>101.5</v>
      </c>
      <c r="R1709">
        <v>907287</v>
      </c>
    </row>
    <row r="1710" spans="1:18" x14ac:dyDescent="0.25">
      <c r="A1710" s="169">
        <v>44524</v>
      </c>
      <c r="B1710" s="116">
        <v>54.5</v>
      </c>
      <c r="C1710" s="116">
        <v>53.6</v>
      </c>
      <c r="D1710" s="116">
        <v>50.7</v>
      </c>
      <c r="E1710" s="116">
        <v>51.05</v>
      </c>
      <c r="F1710" s="116">
        <v>107.2</v>
      </c>
      <c r="G1710">
        <v>177157</v>
      </c>
      <c r="H1710" s="116"/>
      <c r="I1710" s="116"/>
      <c r="L1710" s="169">
        <v>44524</v>
      </c>
      <c r="M1710" s="116">
        <v>53.524999999999999</v>
      </c>
      <c r="N1710" s="116">
        <v>54.55</v>
      </c>
      <c r="O1710" s="116">
        <v>50.6</v>
      </c>
      <c r="P1710" s="116">
        <v>51</v>
      </c>
      <c r="Q1710" s="116">
        <v>107.05</v>
      </c>
      <c r="R1710">
        <v>2077218</v>
      </c>
    </row>
    <row r="1711" spans="1:18" x14ac:dyDescent="0.25">
      <c r="A1711" s="169">
        <v>44525</v>
      </c>
      <c r="B1711" s="116">
        <v>53.85</v>
      </c>
      <c r="C1711" s="116">
        <v>52.85</v>
      </c>
      <c r="D1711" s="116">
        <v>52.65</v>
      </c>
      <c r="E1711" s="116">
        <v>53.55</v>
      </c>
      <c r="F1711" s="116">
        <v>105.7</v>
      </c>
      <c r="G1711">
        <v>85523</v>
      </c>
      <c r="H1711" s="116"/>
      <c r="I1711" s="116"/>
      <c r="L1711" s="169">
        <v>44525</v>
      </c>
      <c r="M1711" s="116">
        <v>52.9</v>
      </c>
      <c r="N1711" s="116">
        <v>53.95</v>
      </c>
      <c r="O1711" s="116">
        <v>52.75</v>
      </c>
      <c r="P1711" s="116">
        <v>53.375</v>
      </c>
      <c r="Q1711" s="116">
        <v>105.8</v>
      </c>
      <c r="R1711">
        <v>747631</v>
      </c>
    </row>
    <row r="1712" spans="1:18" x14ac:dyDescent="0.25">
      <c r="A1712" s="169">
        <v>44526</v>
      </c>
      <c r="B1712" s="116">
        <v>52.75</v>
      </c>
      <c r="C1712" s="116">
        <v>50.524999999999999</v>
      </c>
      <c r="D1712" s="116">
        <v>50.3</v>
      </c>
      <c r="E1712" s="116">
        <v>52.75</v>
      </c>
      <c r="F1712" s="116">
        <v>101.05</v>
      </c>
      <c r="G1712">
        <v>79150</v>
      </c>
      <c r="H1712" s="116"/>
      <c r="I1712" s="116"/>
      <c r="L1712" s="169">
        <v>44526</v>
      </c>
      <c r="M1712" s="116">
        <v>50.55</v>
      </c>
      <c r="N1712" s="116">
        <v>52.7</v>
      </c>
      <c r="O1712" s="116">
        <v>50.15</v>
      </c>
      <c r="P1712" s="116">
        <v>52.7</v>
      </c>
      <c r="Q1712" s="116">
        <v>101.1</v>
      </c>
      <c r="R1712">
        <v>816073</v>
      </c>
    </row>
    <row r="1713" spans="1:18" x14ac:dyDescent="0.25">
      <c r="A1713" s="169">
        <v>44529</v>
      </c>
      <c r="B1713" s="116">
        <v>50.674999999999997</v>
      </c>
      <c r="C1713" s="116">
        <v>48.875</v>
      </c>
      <c r="D1713" s="116">
        <v>48.174999999999997</v>
      </c>
      <c r="E1713" s="116">
        <v>50.5</v>
      </c>
      <c r="F1713" s="116">
        <v>97.75</v>
      </c>
      <c r="G1713">
        <v>79803</v>
      </c>
      <c r="H1713" s="116"/>
      <c r="I1713" s="116"/>
      <c r="L1713" s="169">
        <v>44529</v>
      </c>
      <c r="M1713" s="116">
        <v>48.924999999999997</v>
      </c>
      <c r="N1713" s="116">
        <v>50.85</v>
      </c>
      <c r="O1713" s="116">
        <v>48.174999999999997</v>
      </c>
      <c r="P1713" s="116">
        <v>50.65</v>
      </c>
      <c r="Q1713" s="116">
        <v>97.85</v>
      </c>
      <c r="R1713">
        <v>898659</v>
      </c>
    </row>
    <row r="1714" spans="1:18" x14ac:dyDescent="0.25">
      <c r="A1714" s="169">
        <v>44530</v>
      </c>
      <c r="B1714" s="116">
        <v>51.625</v>
      </c>
      <c r="C1714" s="116">
        <v>50.575000000000003</v>
      </c>
      <c r="D1714" s="116">
        <v>49</v>
      </c>
      <c r="E1714" s="116">
        <v>49</v>
      </c>
      <c r="F1714" s="116">
        <v>101.15</v>
      </c>
      <c r="G1714">
        <v>84403</v>
      </c>
      <c r="H1714" s="116"/>
      <c r="I1714" s="116"/>
      <c r="L1714" s="169">
        <v>44530</v>
      </c>
      <c r="M1714" s="116">
        <v>50.55</v>
      </c>
      <c r="N1714" s="116">
        <v>51.7</v>
      </c>
      <c r="O1714" s="116">
        <v>48.774999999999999</v>
      </c>
      <c r="P1714" s="116">
        <v>48.774999999999999</v>
      </c>
      <c r="Q1714" s="116">
        <v>101.1</v>
      </c>
      <c r="R1714">
        <v>1248264</v>
      </c>
    </row>
    <row r="1715" spans="1:18" x14ac:dyDescent="0.25">
      <c r="A1715" s="169">
        <v>44531</v>
      </c>
      <c r="B1715" s="116">
        <v>51.424999999999997</v>
      </c>
      <c r="C1715" s="116">
        <v>50.875</v>
      </c>
      <c r="D1715" s="116">
        <v>50.55</v>
      </c>
      <c r="E1715" s="116">
        <v>51.35</v>
      </c>
      <c r="F1715" s="116">
        <v>101.75</v>
      </c>
      <c r="G1715">
        <v>45687</v>
      </c>
      <c r="H1715" s="116"/>
      <c r="I1715" s="116"/>
      <c r="L1715" s="169">
        <v>44531</v>
      </c>
      <c r="M1715" s="116">
        <v>50.95</v>
      </c>
      <c r="N1715" s="116">
        <v>51.424999999999997</v>
      </c>
      <c r="O1715" s="116">
        <v>50.524999999999999</v>
      </c>
      <c r="P1715" s="116">
        <v>50.8</v>
      </c>
      <c r="Q1715" s="116">
        <v>101.9</v>
      </c>
      <c r="R1715">
        <v>473574</v>
      </c>
    </row>
    <row r="1716" spans="1:18" x14ac:dyDescent="0.25">
      <c r="A1716" s="169">
        <v>44532</v>
      </c>
      <c r="B1716" s="116">
        <v>51.475000000000001</v>
      </c>
      <c r="C1716" s="116">
        <v>51.075000000000003</v>
      </c>
      <c r="D1716" s="116">
        <v>50.475000000000001</v>
      </c>
      <c r="E1716" s="116">
        <v>51</v>
      </c>
      <c r="F1716" s="116">
        <v>102.15</v>
      </c>
      <c r="G1716">
        <v>25780</v>
      </c>
      <c r="H1716" s="116"/>
      <c r="I1716" s="116"/>
      <c r="L1716" s="169">
        <v>44532</v>
      </c>
      <c r="M1716" s="116">
        <v>51.1</v>
      </c>
      <c r="N1716" s="116">
        <v>51.5</v>
      </c>
      <c r="O1716" s="116">
        <v>50.5</v>
      </c>
      <c r="P1716" s="116">
        <v>50.924999999999997</v>
      </c>
      <c r="Q1716" s="116">
        <v>102.2</v>
      </c>
      <c r="R1716">
        <v>472382</v>
      </c>
    </row>
    <row r="1717" spans="1:18" x14ac:dyDescent="0.25">
      <c r="A1717" s="169">
        <v>44533</v>
      </c>
      <c r="B1717" s="116">
        <v>52.9</v>
      </c>
      <c r="C1717" s="116">
        <v>52</v>
      </c>
      <c r="D1717" s="116">
        <v>51</v>
      </c>
      <c r="E1717" s="116">
        <v>51</v>
      </c>
      <c r="F1717" s="116">
        <v>104</v>
      </c>
      <c r="G1717">
        <v>72170</v>
      </c>
      <c r="H1717" s="116"/>
      <c r="I1717" s="116"/>
      <c r="L1717" s="169">
        <v>44533</v>
      </c>
      <c r="M1717" s="116">
        <v>51.95</v>
      </c>
      <c r="N1717" s="116">
        <v>52.9</v>
      </c>
      <c r="O1717" s="116">
        <v>51</v>
      </c>
      <c r="P1717" s="116">
        <v>51</v>
      </c>
      <c r="Q1717" s="116">
        <v>103.9</v>
      </c>
      <c r="R1717">
        <v>853271</v>
      </c>
    </row>
    <row r="1718" spans="1:18" x14ac:dyDescent="0.25">
      <c r="A1718" s="169">
        <v>44536</v>
      </c>
      <c r="B1718" s="116">
        <v>53.75</v>
      </c>
      <c r="C1718" s="116">
        <v>53.2</v>
      </c>
      <c r="D1718" s="116">
        <v>52.024999999999999</v>
      </c>
      <c r="E1718" s="116">
        <v>52.75</v>
      </c>
      <c r="F1718" s="116">
        <v>106.4</v>
      </c>
      <c r="G1718">
        <v>102685</v>
      </c>
      <c r="H1718" s="116"/>
      <c r="I1718" s="116"/>
      <c r="L1718" s="169">
        <v>44536</v>
      </c>
      <c r="M1718" s="116">
        <v>53.2</v>
      </c>
      <c r="N1718" s="116">
        <v>53.85</v>
      </c>
      <c r="O1718" s="116">
        <v>52</v>
      </c>
      <c r="P1718" s="116">
        <v>52</v>
      </c>
      <c r="Q1718" s="116">
        <v>106.4</v>
      </c>
      <c r="R1718">
        <v>1089655</v>
      </c>
    </row>
    <row r="1719" spans="1:18" x14ac:dyDescent="0.25">
      <c r="A1719" s="169">
        <v>44537</v>
      </c>
      <c r="B1719" s="116">
        <v>54.1</v>
      </c>
      <c r="C1719" s="116">
        <v>52.65</v>
      </c>
      <c r="D1719" s="116">
        <v>52.5</v>
      </c>
      <c r="E1719" s="116">
        <v>53.25</v>
      </c>
      <c r="F1719" s="116">
        <v>105.3</v>
      </c>
      <c r="G1719">
        <v>57249</v>
      </c>
      <c r="H1719" s="116"/>
      <c r="I1719" s="116"/>
      <c r="L1719" s="169">
        <v>44537</v>
      </c>
      <c r="M1719" s="116">
        <v>52.65</v>
      </c>
      <c r="N1719" s="116">
        <v>54.15</v>
      </c>
      <c r="O1719" s="116">
        <v>52.5</v>
      </c>
      <c r="P1719" s="116">
        <v>53.9</v>
      </c>
      <c r="Q1719" s="116">
        <v>105.3</v>
      </c>
      <c r="R1719">
        <v>703893</v>
      </c>
    </row>
    <row r="1720" spans="1:18" x14ac:dyDescent="0.25">
      <c r="A1720" s="169">
        <v>44538</v>
      </c>
      <c r="B1720" s="116">
        <v>53.7</v>
      </c>
      <c r="C1720" s="116">
        <v>52.8</v>
      </c>
      <c r="D1720" s="116">
        <v>52.5</v>
      </c>
      <c r="E1720" s="116">
        <v>52.5</v>
      </c>
      <c r="F1720" s="116">
        <v>105.6</v>
      </c>
      <c r="G1720">
        <v>102321</v>
      </c>
      <c r="H1720" s="116"/>
      <c r="I1720" s="116"/>
      <c r="L1720" s="169">
        <v>44538</v>
      </c>
      <c r="M1720" s="116">
        <v>52.8</v>
      </c>
      <c r="N1720" s="116">
        <v>53.75</v>
      </c>
      <c r="O1720" s="116">
        <v>52.625</v>
      </c>
      <c r="P1720" s="116">
        <v>53.15</v>
      </c>
      <c r="Q1720" s="116">
        <v>105.6</v>
      </c>
      <c r="R1720">
        <v>622280</v>
      </c>
    </row>
    <row r="1721" spans="1:18" x14ac:dyDescent="0.25">
      <c r="A1721" s="169">
        <v>44539</v>
      </c>
      <c r="B1721" s="116">
        <v>55.174999999999997</v>
      </c>
      <c r="C1721" s="116">
        <v>53.3</v>
      </c>
      <c r="D1721" s="116">
        <v>52.9</v>
      </c>
      <c r="E1721" s="116">
        <v>53.05</v>
      </c>
      <c r="F1721" s="116">
        <v>106.6</v>
      </c>
      <c r="G1721">
        <v>187741</v>
      </c>
      <c r="H1721" s="116"/>
      <c r="I1721" s="116"/>
      <c r="L1721" s="169">
        <v>44539</v>
      </c>
      <c r="M1721" s="116">
        <v>53.3</v>
      </c>
      <c r="N1721" s="116">
        <v>55.25</v>
      </c>
      <c r="O1721" s="116">
        <v>52.9</v>
      </c>
      <c r="P1721" s="116">
        <v>53.075000000000003</v>
      </c>
      <c r="Q1721" s="116">
        <v>106.6</v>
      </c>
      <c r="R1721">
        <v>2680604</v>
      </c>
    </row>
    <row r="1722" spans="1:18" x14ac:dyDescent="0.25">
      <c r="A1722" s="169">
        <v>44540</v>
      </c>
      <c r="B1722" s="116">
        <v>54.674999999999997</v>
      </c>
      <c r="C1722" s="116">
        <v>52.8</v>
      </c>
      <c r="D1722" s="116">
        <v>52.65</v>
      </c>
      <c r="E1722" s="116">
        <v>53.95</v>
      </c>
      <c r="F1722" s="116">
        <v>105.6</v>
      </c>
      <c r="G1722">
        <v>139782</v>
      </c>
      <c r="H1722" s="116"/>
      <c r="I1722" s="116"/>
      <c r="L1722" s="169">
        <v>44540</v>
      </c>
      <c r="M1722" s="116">
        <v>52.774999999999999</v>
      </c>
      <c r="N1722" s="116">
        <v>54.7</v>
      </c>
      <c r="O1722" s="116">
        <v>52.6</v>
      </c>
      <c r="P1722" s="116">
        <v>53.325000000000003</v>
      </c>
      <c r="Q1722" s="116">
        <v>105.55</v>
      </c>
      <c r="R1722">
        <v>1200044</v>
      </c>
    </row>
    <row r="1723" spans="1:18" x14ac:dyDescent="0.25">
      <c r="A1723" s="169">
        <v>44543</v>
      </c>
      <c r="B1723" s="116">
        <v>53.975000000000001</v>
      </c>
      <c r="C1723" s="116">
        <v>51.975000000000001</v>
      </c>
      <c r="D1723" s="116">
        <v>51.85</v>
      </c>
      <c r="E1723" s="116">
        <v>52.9</v>
      </c>
      <c r="F1723" s="116">
        <v>103.95</v>
      </c>
      <c r="G1723">
        <v>115061</v>
      </c>
      <c r="H1723" s="116"/>
      <c r="I1723" s="116"/>
      <c r="L1723" s="169">
        <v>44543</v>
      </c>
      <c r="M1723" s="116">
        <v>51.975000000000001</v>
      </c>
      <c r="N1723" s="116">
        <v>54</v>
      </c>
      <c r="O1723" s="116">
        <v>51.85</v>
      </c>
      <c r="P1723" s="116">
        <v>53.3</v>
      </c>
      <c r="Q1723" s="116">
        <v>103.95</v>
      </c>
      <c r="R1723">
        <v>1101289</v>
      </c>
    </row>
    <row r="1724" spans="1:18" x14ac:dyDescent="0.25">
      <c r="A1724" s="169">
        <v>44544</v>
      </c>
      <c r="B1724" s="116">
        <v>52.25</v>
      </c>
      <c r="C1724" s="116">
        <v>50.95</v>
      </c>
      <c r="D1724" s="116">
        <v>50.674999999999997</v>
      </c>
      <c r="E1724" s="116">
        <v>51.95</v>
      </c>
      <c r="F1724" s="116">
        <v>101.9</v>
      </c>
      <c r="G1724">
        <v>107394</v>
      </c>
      <c r="H1724" s="116"/>
      <c r="I1724" s="116"/>
      <c r="L1724" s="169">
        <v>44544</v>
      </c>
      <c r="M1724" s="116">
        <v>50.975000000000001</v>
      </c>
      <c r="N1724" s="116">
        <v>52.3</v>
      </c>
      <c r="O1724" s="116">
        <v>50.7</v>
      </c>
      <c r="P1724" s="116">
        <v>51.75</v>
      </c>
      <c r="Q1724" s="116">
        <v>101.95</v>
      </c>
      <c r="R1724">
        <v>1226259</v>
      </c>
    </row>
    <row r="1725" spans="1:18" x14ac:dyDescent="0.25">
      <c r="A1725" s="169">
        <v>44545</v>
      </c>
      <c r="B1725" s="116">
        <v>51.7</v>
      </c>
      <c r="C1725" s="116">
        <v>50.725000000000001</v>
      </c>
      <c r="D1725" s="116">
        <v>50.3</v>
      </c>
      <c r="E1725" s="116">
        <v>50.55</v>
      </c>
      <c r="F1725" s="116">
        <v>101.45</v>
      </c>
      <c r="G1725">
        <v>67120</v>
      </c>
      <c r="H1725" s="116"/>
      <c r="I1725" s="116"/>
      <c r="L1725" s="169">
        <v>44545</v>
      </c>
      <c r="M1725" s="116">
        <v>50.674999999999997</v>
      </c>
      <c r="N1725" s="116">
        <v>51.75</v>
      </c>
      <c r="O1725" s="116">
        <v>50.25</v>
      </c>
      <c r="P1725" s="116">
        <v>51.15</v>
      </c>
      <c r="Q1725" s="116">
        <v>101.35</v>
      </c>
      <c r="R1725">
        <v>1272371</v>
      </c>
    </row>
    <row r="1726" spans="1:18" x14ac:dyDescent="0.25">
      <c r="A1726" s="169">
        <v>44546</v>
      </c>
      <c r="B1726" s="116">
        <v>51.274999999999999</v>
      </c>
      <c r="C1726" s="116">
        <v>50.05</v>
      </c>
      <c r="D1726" s="116">
        <v>49.575000000000003</v>
      </c>
      <c r="E1726" s="116">
        <v>51.25</v>
      </c>
      <c r="F1726" s="116">
        <v>100.1</v>
      </c>
      <c r="G1726">
        <v>84804</v>
      </c>
      <c r="H1726" s="116"/>
      <c r="I1726" s="116"/>
      <c r="L1726" s="169">
        <v>44546</v>
      </c>
      <c r="M1726" s="116">
        <v>50.024999999999999</v>
      </c>
      <c r="N1726" s="116">
        <v>51.325000000000003</v>
      </c>
      <c r="O1726" s="116">
        <v>49.5</v>
      </c>
      <c r="P1726" s="116">
        <v>51.15</v>
      </c>
      <c r="Q1726" s="116">
        <v>100.05</v>
      </c>
      <c r="R1726">
        <v>1085102</v>
      </c>
    </row>
    <row r="1727" spans="1:18" x14ac:dyDescent="0.25">
      <c r="A1727" s="169">
        <v>44547</v>
      </c>
      <c r="B1727" s="116">
        <v>50.725000000000001</v>
      </c>
      <c r="C1727" s="116">
        <v>48.8</v>
      </c>
      <c r="D1727" s="116">
        <v>48.3</v>
      </c>
      <c r="E1727" s="116">
        <v>50.725000000000001</v>
      </c>
      <c r="F1727" s="116">
        <v>97.6</v>
      </c>
      <c r="G1727">
        <v>102590</v>
      </c>
      <c r="H1727" s="116"/>
      <c r="I1727" s="116"/>
      <c r="L1727" s="169">
        <v>44547</v>
      </c>
      <c r="M1727" s="116">
        <v>48.75</v>
      </c>
      <c r="N1727" s="116">
        <v>50.15</v>
      </c>
      <c r="O1727" s="116">
        <v>48.3</v>
      </c>
      <c r="P1727" s="116">
        <v>50.05</v>
      </c>
      <c r="Q1727" s="116">
        <v>97.5</v>
      </c>
      <c r="R1727">
        <v>881330</v>
      </c>
    </row>
    <row r="1728" spans="1:18" x14ac:dyDescent="0.25">
      <c r="A1728" s="169">
        <v>44550</v>
      </c>
      <c r="B1728" s="116">
        <v>49.274999999999999</v>
      </c>
      <c r="C1728" s="116">
        <v>47.25</v>
      </c>
      <c r="D1728" s="116">
        <v>46.75</v>
      </c>
      <c r="E1728" s="116">
        <v>49.274999999999999</v>
      </c>
      <c r="F1728" s="116">
        <v>94.5</v>
      </c>
      <c r="G1728">
        <v>165466</v>
      </c>
      <c r="H1728" s="116"/>
      <c r="I1728" s="116"/>
      <c r="L1728" s="169">
        <v>44550</v>
      </c>
      <c r="M1728" s="116">
        <v>47.25</v>
      </c>
      <c r="N1728" s="116">
        <v>48.45</v>
      </c>
      <c r="O1728" s="116">
        <v>46.75</v>
      </c>
      <c r="P1728" s="116">
        <v>48.45</v>
      </c>
      <c r="Q1728" s="116">
        <v>94.5</v>
      </c>
      <c r="R1728">
        <v>987430</v>
      </c>
    </row>
    <row r="1729" spans="1:18" x14ac:dyDescent="0.25">
      <c r="A1729" s="169">
        <v>44551</v>
      </c>
      <c r="B1729" s="116">
        <v>48.85</v>
      </c>
      <c r="C1729" s="116">
        <v>47.975000000000001</v>
      </c>
      <c r="D1729" s="116">
        <v>47.3</v>
      </c>
      <c r="E1729" s="116">
        <v>47.3</v>
      </c>
      <c r="F1729" s="116">
        <v>95.95</v>
      </c>
      <c r="G1729">
        <v>62116</v>
      </c>
      <c r="H1729" s="116"/>
      <c r="I1729" s="116"/>
      <c r="L1729" s="169">
        <v>44551</v>
      </c>
      <c r="M1729" s="116">
        <v>48</v>
      </c>
      <c r="N1729" s="116">
        <v>48.9</v>
      </c>
      <c r="O1729" s="116">
        <v>47.625</v>
      </c>
      <c r="P1729" s="116">
        <v>47.625</v>
      </c>
      <c r="Q1729" s="116">
        <v>96</v>
      </c>
      <c r="R1729">
        <v>825997</v>
      </c>
    </row>
    <row r="1730" spans="1:18" x14ac:dyDescent="0.25">
      <c r="A1730" s="169">
        <v>44552</v>
      </c>
      <c r="B1730" s="116">
        <v>50.25</v>
      </c>
      <c r="C1730" s="116">
        <v>49.975000000000001</v>
      </c>
      <c r="D1730" s="116">
        <v>48.274999999999999</v>
      </c>
      <c r="E1730" s="116">
        <v>48.274999999999999</v>
      </c>
      <c r="F1730" s="116">
        <v>99.95</v>
      </c>
      <c r="G1730">
        <v>115100</v>
      </c>
      <c r="H1730" s="116"/>
      <c r="I1730" s="116"/>
      <c r="L1730" s="169">
        <v>44552</v>
      </c>
      <c r="M1730" s="116">
        <v>50</v>
      </c>
      <c r="N1730" s="116">
        <v>50.3</v>
      </c>
      <c r="O1730" s="116">
        <v>48.25</v>
      </c>
      <c r="P1730" s="116">
        <v>48.25</v>
      </c>
      <c r="Q1730" s="116">
        <v>100</v>
      </c>
      <c r="R1730">
        <v>1533348</v>
      </c>
    </row>
    <row r="1731" spans="1:18" x14ac:dyDescent="0.25">
      <c r="A1731" s="169">
        <v>44553</v>
      </c>
      <c r="B1731" s="116">
        <v>52.15</v>
      </c>
      <c r="C1731" s="116">
        <v>51.725000000000001</v>
      </c>
      <c r="D1731" s="116">
        <v>50.1</v>
      </c>
      <c r="E1731" s="116">
        <v>50.9</v>
      </c>
      <c r="F1731" s="116">
        <v>103.45</v>
      </c>
      <c r="G1731">
        <v>180770</v>
      </c>
      <c r="H1731" s="116"/>
      <c r="I1731" s="116"/>
      <c r="L1731" s="169">
        <v>44553</v>
      </c>
      <c r="M1731" s="116">
        <v>51.9</v>
      </c>
      <c r="N1731" s="116">
        <v>52.225000000000001</v>
      </c>
      <c r="O1731" s="116">
        <v>50.1</v>
      </c>
      <c r="P1731" s="116">
        <v>50.35</v>
      </c>
      <c r="Q1731" s="116">
        <v>103.8</v>
      </c>
      <c r="R1731">
        <v>3261427</v>
      </c>
    </row>
    <row r="1732" spans="1:18" x14ac:dyDescent="0.25">
      <c r="A1732" s="169">
        <v>44554</v>
      </c>
      <c r="B1732" s="116">
        <v>52</v>
      </c>
      <c r="C1732" s="116">
        <v>50.9</v>
      </c>
      <c r="D1732" s="116">
        <v>50.575000000000003</v>
      </c>
      <c r="E1732" s="116">
        <v>52</v>
      </c>
      <c r="F1732" s="116">
        <v>101.8</v>
      </c>
      <c r="G1732">
        <v>46752</v>
      </c>
      <c r="H1732" s="116"/>
      <c r="I1732" s="116"/>
      <c r="L1732" s="169">
        <v>44554</v>
      </c>
      <c r="M1732" s="116">
        <v>50.875</v>
      </c>
      <c r="N1732" s="116">
        <v>52.174999999999997</v>
      </c>
      <c r="O1732" s="116">
        <v>50.55</v>
      </c>
      <c r="P1732" s="116">
        <v>52.174999999999997</v>
      </c>
      <c r="Q1732" s="116">
        <v>101.75</v>
      </c>
      <c r="R1732">
        <v>807340</v>
      </c>
    </row>
    <row r="1733" spans="1:18" x14ac:dyDescent="0.25">
      <c r="A1733" s="169">
        <v>44557</v>
      </c>
      <c r="B1733" s="116">
        <v>50.55</v>
      </c>
      <c r="C1733" s="116">
        <v>50.1</v>
      </c>
      <c r="D1733" s="116">
        <v>49.65</v>
      </c>
      <c r="E1733" s="116">
        <v>50.55</v>
      </c>
      <c r="F1733" s="116">
        <v>100.2</v>
      </c>
      <c r="G1733">
        <v>56538</v>
      </c>
      <c r="H1733" s="116"/>
      <c r="I1733" s="116"/>
      <c r="L1733" s="169">
        <v>44557</v>
      </c>
      <c r="M1733" s="116">
        <v>50.125</v>
      </c>
      <c r="N1733" s="116">
        <v>50.8</v>
      </c>
      <c r="O1733" s="116">
        <v>49.7</v>
      </c>
      <c r="P1733" s="116">
        <v>50.8</v>
      </c>
      <c r="Q1733" s="116">
        <v>100.25</v>
      </c>
      <c r="R1733">
        <v>439322</v>
      </c>
    </row>
    <row r="1734" spans="1:18" x14ac:dyDescent="0.25">
      <c r="A1734" s="169">
        <v>44558</v>
      </c>
      <c r="B1734" s="116">
        <v>51.225000000000001</v>
      </c>
      <c r="C1734" s="116">
        <v>50.35</v>
      </c>
      <c r="D1734" s="116">
        <v>50.125</v>
      </c>
      <c r="E1734" s="116">
        <v>51</v>
      </c>
      <c r="F1734" s="116">
        <v>100.7</v>
      </c>
      <c r="G1734">
        <v>116077</v>
      </c>
      <c r="H1734" s="116"/>
      <c r="I1734" s="116"/>
      <c r="L1734" s="169">
        <v>44558</v>
      </c>
      <c r="M1734" s="116">
        <v>50.35</v>
      </c>
      <c r="N1734" s="116">
        <v>51.25</v>
      </c>
      <c r="O1734" s="116">
        <v>50.1</v>
      </c>
      <c r="P1734" s="116">
        <v>50.274999999999999</v>
      </c>
      <c r="Q1734" s="116">
        <v>100.7</v>
      </c>
      <c r="R1734">
        <v>736800</v>
      </c>
    </row>
    <row r="1735" spans="1:18" x14ac:dyDescent="0.25">
      <c r="A1735" s="169">
        <v>44559</v>
      </c>
      <c r="B1735" s="116">
        <v>50.85</v>
      </c>
      <c r="C1735" s="116">
        <v>49.8</v>
      </c>
      <c r="D1735" s="116">
        <v>49.7</v>
      </c>
      <c r="E1735" s="116">
        <v>50.725000000000001</v>
      </c>
      <c r="F1735" s="116">
        <v>99.6</v>
      </c>
      <c r="G1735">
        <v>48635</v>
      </c>
      <c r="H1735" s="116"/>
      <c r="I1735" s="116"/>
      <c r="L1735" s="169">
        <v>44559</v>
      </c>
      <c r="M1735" s="116">
        <v>49.85</v>
      </c>
      <c r="N1735" s="116">
        <v>50.9</v>
      </c>
      <c r="O1735" s="116">
        <v>49.65</v>
      </c>
      <c r="P1735" s="116">
        <v>50.674999999999997</v>
      </c>
      <c r="Q1735" s="116">
        <v>99.7</v>
      </c>
      <c r="R1735">
        <v>551269</v>
      </c>
    </row>
    <row r="1736" spans="1:18" x14ac:dyDescent="0.25">
      <c r="A1736" s="169">
        <v>44560</v>
      </c>
      <c r="B1736" s="116">
        <v>50.2</v>
      </c>
      <c r="C1736" s="116">
        <v>49.1</v>
      </c>
      <c r="D1736" s="116">
        <v>48.825000000000003</v>
      </c>
      <c r="E1736" s="116">
        <v>49.924999999999997</v>
      </c>
      <c r="F1736" s="116">
        <v>98.2</v>
      </c>
      <c r="G1736">
        <v>44759</v>
      </c>
      <c r="H1736" s="116"/>
      <c r="I1736" s="116"/>
      <c r="L1736" s="169">
        <v>44560</v>
      </c>
      <c r="M1736" s="116">
        <v>49.075000000000003</v>
      </c>
      <c r="N1736" s="116">
        <v>50.25</v>
      </c>
      <c r="O1736" s="116">
        <v>48.8</v>
      </c>
      <c r="P1736" s="116">
        <v>49.85</v>
      </c>
      <c r="Q1736" s="116">
        <v>98.15</v>
      </c>
      <c r="R1736">
        <v>709933</v>
      </c>
    </row>
    <row r="1737" spans="1:18" x14ac:dyDescent="0.25">
      <c r="A1737" s="169">
        <v>44561</v>
      </c>
      <c r="B1737" s="116">
        <v>50.125</v>
      </c>
      <c r="C1737" s="116">
        <v>49.45</v>
      </c>
      <c r="D1737" s="116">
        <v>49.25</v>
      </c>
      <c r="E1737" s="116">
        <v>49.75</v>
      </c>
      <c r="F1737" s="116">
        <v>98.9</v>
      </c>
      <c r="G1737">
        <v>104814</v>
      </c>
      <c r="H1737" s="116"/>
      <c r="I1737" s="116"/>
      <c r="L1737" s="169">
        <v>44561</v>
      </c>
      <c r="M1737" s="116">
        <v>49.424999999999997</v>
      </c>
      <c r="N1737" s="116">
        <v>50.1</v>
      </c>
      <c r="O1737" s="116">
        <v>49.174999999999997</v>
      </c>
      <c r="P1737" s="116">
        <v>49.475000000000001</v>
      </c>
      <c r="Q1737" s="116">
        <v>98.85</v>
      </c>
      <c r="R1737">
        <v>719168</v>
      </c>
    </row>
    <row r="1738" spans="1:18" x14ac:dyDescent="0.25">
      <c r="A1738" s="169">
        <v>44564</v>
      </c>
      <c r="B1738" s="116">
        <v>51.924999999999997</v>
      </c>
      <c r="C1738" s="116">
        <v>51.575000000000003</v>
      </c>
      <c r="D1738" s="116">
        <v>49.55</v>
      </c>
      <c r="E1738" s="116">
        <v>49.55</v>
      </c>
      <c r="F1738" s="116">
        <v>103.15</v>
      </c>
      <c r="G1738">
        <v>211258</v>
      </c>
      <c r="H1738" s="116"/>
      <c r="I1738" s="116"/>
      <c r="L1738" s="169">
        <v>44564</v>
      </c>
      <c r="M1738" s="116">
        <v>51.625</v>
      </c>
      <c r="N1738" s="116">
        <v>51.95</v>
      </c>
      <c r="O1738" s="116">
        <v>49.55</v>
      </c>
      <c r="P1738" s="116">
        <v>49.65</v>
      </c>
      <c r="Q1738" s="116">
        <v>103.25</v>
      </c>
      <c r="R1738">
        <v>1360632</v>
      </c>
    </row>
    <row r="1739" spans="1:18" x14ac:dyDescent="0.25">
      <c r="A1739" s="169">
        <v>44565</v>
      </c>
      <c r="B1739" s="116">
        <v>52.35</v>
      </c>
      <c r="C1739" s="116">
        <v>51.274999999999999</v>
      </c>
      <c r="D1739" s="116">
        <v>50.9</v>
      </c>
      <c r="E1739" s="116">
        <v>51.95</v>
      </c>
      <c r="F1739" s="116">
        <v>102.55</v>
      </c>
      <c r="G1739">
        <v>84086</v>
      </c>
      <c r="H1739" s="116"/>
      <c r="I1739" s="116"/>
      <c r="L1739" s="169">
        <v>44565</v>
      </c>
      <c r="M1739" s="116">
        <v>51.274999999999999</v>
      </c>
      <c r="N1739" s="116">
        <v>52.35</v>
      </c>
      <c r="O1739" s="116">
        <v>50.85</v>
      </c>
      <c r="P1739" s="116">
        <v>51.75</v>
      </c>
      <c r="Q1739" s="116">
        <v>102.55</v>
      </c>
      <c r="R1739">
        <v>835822</v>
      </c>
    </row>
    <row r="1740" spans="1:18" x14ac:dyDescent="0.25">
      <c r="A1740" s="169">
        <v>44566</v>
      </c>
      <c r="B1740" s="116">
        <v>52.4</v>
      </c>
      <c r="C1740" s="116">
        <v>51.5</v>
      </c>
      <c r="D1740" s="116">
        <v>50.75</v>
      </c>
      <c r="E1740" s="116">
        <v>52</v>
      </c>
      <c r="F1740" s="116">
        <v>103</v>
      </c>
      <c r="G1740">
        <v>125880</v>
      </c>
      <c r="H1740" s="116"/>
      <c r="I1740" s="116"/>
      <c r="L1740" s="169">
        <v>44566</v>
      </c>
      <c r="M1740" s="116">
        <v>51.575000000000003</v>
      </c>
      <c r="N1740" s="116">
        <v>52.45</v>
      </c>
      <c r="O1740" s="116">
        <v>50.75</v>
      </c>
      <c r="P1740" s="116">
        <v>51.25</v>
      </c>
      <c r="Q1740" s="116">
        <v>103.15</v>
      </c>
      <c r="R1740">
        <v>1083007</v>
      </c>
    </row>
    <row r="1741" spans="1:18" x14ac:dyDescent="0.25">
      <c r="A1741" s="169">
        <v>44567</v>
      </c>
      <c r="B1741" s="116">
        <v>51.524999999999999</v>
      </c>
      <c r="C1741" s="116">
        <v>51.25</v>
      </c>
      <c r="D1741" s="116">
        <v>50.774999999999999</v>
      </c>
      <c r="E1741" s="116">
        <v>51.5</v>
      </c>
      <c r="F1741" s="116">
        <v>102.5</v>
      </c>
      <c r="G1741">
        <v>62744</v>
      </c>
      <c r="H1741" s="116"/>
      <c r="I1741" s="116"/>
      <c r="L1741" s="169">
        <v>44567</v>
      </c>
      <c r="M1741" s="116">
        <v>51.2</v>
      </c>
      <c r="N1741" s="116">
        <v>51.5</v>
      </c>
      <c r="O1741" s="116">
        <v>50.75</v>
      </c>
      <c r="P1741" s="116">
        <v>51.024999999999999</v>
      </c>
      <c r="Q1741" s="116">
        <v>102.4</v>
      </c>
      <c r="R1741">
        <v>769781</v>
      </c>
    </row>
    <row r="1742" spans="1:18" x14ac:dyDescent="0.25">
      <c r="A1742" s="169">
        <v>44568</v>
      </c>
      <c r="B1742" s="116">
        <v>53.5</v>
      </c>
      <c r="C1742" s="116">
        <v>52.75</v>
      </c>
      <c r="D1742" s="116">
        <v>51.35</v>
      </c>
      <c r="E1742" s="116">
        <v>51.35</v>
      </c>
      <c r="F1742" s="116">
        <v>105.5</v>
      </c>
      <c r="G1742">
        <v>256154</v>
      </c>
      <c r="H1742" s="116"/>
      <c r="I1742" s="116"/>
      <c r="L1742" s="169">
        <v>44568</v>
      </c>
      <c r="M1742" s="116">
        <v>52.75</v>
      </c>
      <c r="N1742" s="116">
        <v>53.55</v>
      </c>
      <c r="O1742" s="116">
        <v>51.475000000000001</v>
      </c>
      <c r="P1742" s="116">
        <v>51.5</v>
      </c>
      <c r="Q1742" s="116">
        <v>105.5</v>
      </c>
      <c r="R1742">
        <v>2048403</v>
      </c>
    </row>
    <row r="1743" spans="1:18" x14ac:dyDescent="0.25">
      <c r="A1743" s="169">
        <v>44571</v>
      </c>
      <c r="B1743" s="116">
        <v>53.225000000000001</v>
      </c>
      <c r="C1743" s="116">
        <v>51.95</v>
      </c>
      <c r="D1743" s="116">
        <v>51.8</v>
      </c>
      <c r="E1743" s="116">
        <v>53.225000000000001</v>
      </c>
      <c r="F1743" s="116">
        <v>103.9</v>
      </c>
      <c r="G1743">
        <v>87160</v>
      </c>
      <c r="H1743" s="116"/>
      <c r="I1743" s="116"/>
      <c r="L1743" s="169">
        <v>44571</v>
      </c>
      <c r="M1743" s="116">
        <v>51.924999999999997</v>
      </c>
      <c r="N1743" s="116">
        <v>53.15</v>
      </c>
      <c r="O1743" s="116">
        <v>51.8</v>
      </c>
      <c r="P1743" s="116">
        <v>53</v>
      </c>
      <c r="Q1743" s="116">
        <v>103.85</v>
      </c>
      <c r="R1743">
        <v>1042841</v>
      </c>
    </row>
    <row r="1744" spans="1:18" x14ac:dyDescent="0.25">
      <c r="A1744" s="169">
        <v>44572</v>
      </c>
      <c r="B1744" s="116">
        <v>52.2</v>
      </c>
      <c r="C1744" s="116">
        <v>51.15</v>
      </c>
      <c r="D1744" s="116">
        <v>50.95</v>
      </c>
      <c r="E1744" s="116">
        <v>52.1</v>
      </c>
      <c r="F1744" s="116">
        <v>102.3</v>
      </c>
      <c r="G1744">
        <v>109937</v>
      </c>
      <c r="H1744" s="116"/>
      <c r="I1744" s="116"/>
      <c r="L1744" s="169">
        <v>44572</v>
      </c>
      <c r="M1744" s="116">
        <v>51.125</v>
      </c>
      <c r="N1744" s="116">
        <v>52.2</v>
      </c>
      <c r="O1744" s="116">
        <v>51</v>
      </c>
      <c r="P1744" s="116">
        <v>52.05</v>
      </c>
      <c r="Q1744" s="116">
        <v>102.25</v>
      </c>
      <c r="R1744">
        <v>1212796</v>
      </c>
    </row>
    <row r="1745" spans="1:18" x14ac:dyDescent="0.25">
      <c r="A1745" s="169">
        <v>44573</v>
      </c>
      <c r="B1745" s="116">
        <v>51.9</v>
      </c>
      <c r="C1745" s="116">
        <v>51.274999999999999</v>
      </c>
      <c r="D1745" s="116">
        <v>51.075000000000003</v>
      </c>
      <c r="E1745" s="116">
        <v>51.2</v>
      </c>
      <c r="F1745" s="116">
        <v>102.55</v>
      </c>
      <c r="G1745">
        <v>94961</v>
      </c>
      <c r="H1745" s="116"/>
      <c r="I1745" s="116"/>
      <c r="L1745" s="169">
        <v>44573</v>
      </c>
      <c r="M1745" s="116">
        <v>51.25</v>
      </c>
      <c r="N1745" s="116">
        <v>51.95</v>
      </c>
      <c r="O1745" s="116">
        <v>51.05</v>
      </c>
      <c r="P1745" s="116">
        <v>51.5</v>
      </c>
      <c r="Q1745" s="116">
        <v>102.5</v>
      </c>
      <c r="R1745">
        <v>831293</v>
      </c>
    </row>
    <row r="1746" spans="1:18" x14ac:dyDescent="0.25">
      <c r="A1746" s="169">
        <v>44574</v>
      </c>
      <c r="B1746" s="116">
        <v>53.15</v>
      </c>
      <c r="C1746" s="116">
        <v>52.15</v>
      </c>
      <c r="D1746" s="116">
        <v>51.35</v>
      </c>
      <c r="E1746" s="116">
        <v>51.75</v>
      </c>
      <c r="F1746" s="116">
        <v>104.3</v>
      </c>
      <c r="G1746">
        <v>181530</v>
      </c>
      <c r="H1746" s="116"/>
      <c r="I1746" s="116"/>
      <c r="L1746" s="169">
        <v>44574</v>
      </c>
      <c r="M1746" s="116">
        <v>52.15</v>
      </c>
      <c r="N1746" s="116">
        <v>53.2</v>
      </c>
      <c r="O1746" s="116">
        <v>51.375</v>
      </c>
      <c r="P1746" s="116">
        <v>51.475000000000001</v>
      </c>
      <c r="Q1746" s="116">
        <v>104.3</v>
      </c>
      <c r="R1746">
        <v>1528331</v>
      </c>
    </row>
    <row r="1747" spans="1:18" x14ac:dyDescent="0.25">
      <c r="A1747" s="169">
        <v>44575</v>
      </c>
      <c r="B1747" s="116">
        <v>52.575000000000003</v>
      </c>
      <c r="C1747" s="116">
        <v>52.075000000000003</v>
      </c>
      <c r="D1747" s="116">
        <v>51.524999999999999</v>
      </c>
      <c r="E1747" s="116">
        <v>52</v>
      </c>
      <c r="F1747" s="116">
        <v>104.15</v>
      </c>
      <c r="G1747">
        <v>83323</v>
      </c>
      <c r="H1747" s="116"/>
      <c r="I1747" s="116"/>
      <c r="L1747" s="169">
        <v>44575</v>
      </c>
      <c r="M1747" s="116">
        <v>52.024999999999999</v>
      </c>
      <c r="N1747" s="116">
        <v>52.625</v>
      </c>
      <c r="O1747" s="116">
        <v>51.5</v>
      </c>
      <c r="P1747" s="116">
        <v>51.674999999999997</v>
      </c>
      <c r="Q1747" s="116">
        <v>104.05</v>
      </c>
      <c r="R1747">
        <v>942543</v>
      </c>
    </row>
    <row r="1748" spans="1:18" x14ac:dyDescent="0.25">
      <c r="A1748" s="169">
        <v>44578</v>
      </c>
      <c r="B1748" s="116">
        <v>57.2</v>
      </c>
      <c r="C1748" s="116">
        <v>56.225000000000001</v>
      </c>
      <c r="D1748" s="116">
        <v>52.174999999999997</v>
      </c>
      <c r="E1748" s="116">
        <v>52.95</v>
      </c>
      <c r="F1748" s="116">
        <v>112.45</v>
      </c>
      <c r="G1748">
        <v>892045</v>
      </c>
      <c r="H1748" s="116"/>
      <c r="I1748" s="116"/>
      <c r="L1748" s="169">
        <v>44578</v>
      </c>
      <c r="M1748" s="116">
        <v>56.2</v>
      </c>
      <c r="N1748" s="116">
        <v>57.2</v>
      </c>
      <c r="O1748" s="116">
        <v>52.075000000000003</v>
      </c>
      <c r="P1748" s="116">
        <v>52.325000000000003</v>
      </c>
      <c r="Q1748" s="116">
        <v>112.4</v>
      </c>
      <c r="R1748">
        <v>8847484</v>
      </c>
    </row>
    <row r="1749" spans="1:18" x14ac:dyDescent="0.25">
      <c r="A1749" s="169">
        <v>44579</v>
      </c>
      <c r="B1749" s="116">
        <v>59.674999999999997</v>
      </c>
      <c r="C1749" s="116">
        <v>56.9</v>
      </c>
      <c r="D1749" s="116">
        <v>56.5</v>
      </c>
      <c r="E1749" s="116">
        <v>56.5</v>
      </c>
      <c r="F1749" s="116">
        <v>113.8</v>
      </c>
      <c r="G1749">
        <v>825042</v>
      </c>
      <c r="H1749" s="116"/>
      <c r="I1749" s="116"/>
      <c r="L1749" s="169">
        <v>44579</v>
      </c>
      <c r="M1749" s="116">
        <v>56.85</v>
      </c>
      <c r="N1749" s="116">
        <v>59.7</v>
      </c>
      <c r="O1749" s="116">
        <v>56.5</v>
      </c>
      <c r="P1749" s="116">
        <v>56.725000000000001</v>
      </c>
      <c r="Q1749" s="116">
        <v>113.7</v>
      </c>
      <c r="R1749">
        <v>9493806</v>
      </c>
    </row>
    <row r="1750" spans="1:18" x14ac:dyDescent="0.25">
      <c r="A1750" s="169">
        <v>44580</v>
      </c>
      <c r="B1750" s="116">
        <v>57.674999999999997</v>
      </c>
      <c r="C1750" s="116">
        <v>56.075000000000003</v>
      </c>
      <c r="D1750" s="116">
        <v>54.924999999999997</v>
      </c>
      <c r="E1750" s="116">
        <v>56.9</v>
      </c>
      <c r="F1750" s="116">
        <v>112.15</v>
      </c>
      <c r="G1750">
        <v>246804</v>
      </c>
      <c r="H1750" s="116"/>
      <c r="I1750" s="116"/>
      <c r="L1750" s="169">
        <v>44580</v>
      </c>
      <c r="M1750" s="116">
        <v>56.075000000000003</v>
      </c>
      <c r="N1750" s="116">
        <v>57.674999999999997</v>
      </c>
      <c r="O1750" s="116">
        <v>54.85</v>
      </c>
      <c r="P1750" s="116">
        <v>57.174999999999997</v>
      </c>
      <c r="Q1750" s="116">
        <v>112.15</v>
      </c>
      <c r="R1750">
        <v>2950418</v>
      </c>
    </row>
    <row r="1751" spans="1:18" x14ac:dyDescent="0.25">
      <c r="A1751" s="169">
        <v>44581</v>
      </c>
      <c r="B1751" s="116">
        <v>57.225000000000001</v>
      </c>
      <c r="C1751" s="116">
        <v>56.1</v>
      </c>
      <c r="D1751" s="116">
        <v>55.35</v>
      </c>
      <c r="E1751" s="116">
        <v>55.35</v>
      </c>
      <c r="F1751" s="116">
        <v>112.2</v>
      </c>
      <c r="G1751">
        <v>200544</v>
      </c>
      <c r="H1751" s="116"/>
      <c r="I1751" s="116"/>
      <c r="L1751" s="169">
        <v>44581</v>
      </c>
      <c r="M1751" s="116">
        <v>56.1</v>
      </c>
      <c r="N1751" s="116">
        <v>57.25</v>
      </c>
      <c r="O1751" s="116">
        <v>55.575000000000003</v>
      </c>
      <c r="P1751" s="116">
        <v>56.4</v>
      </c>
      <c r="Q1751" s="116">
        <v>112.2</v>
      </c>
      <c r="R1751">
        <v>2287011</v>
      </c>
    </row>
    <row r="1752" spans="1:18" x14ac:dyDescent="0.25">
      <c r="A1752" s="169">
        <v>44582</v>
      </c>
      <c r="B1752" s="116">
        <v>55.825000000000003</v>
      </c>
      <c r="C1752" s="116">
        <v>54.024999999999999</v>
      </c>
      <c r="D1752" s="116">
        <v>53.225000000000001</v>
      </c>
      <c r="E1752" s="116">
        <v>55.524999999999999</v>
      </c>
      <c r="F1752" s="116">
        <v>108.05</v>
      </c>
      <c r="G1752">
        <v>176054</v>
      </c>
      <c r="H1752" s="116"/>
      <c r="I1752" s="116"/>
      <c r="L1752" s="169">
        <v>44582</v>
      </c>
      <c r="M1752" s="116">
        <v>54.05</v>
      </c>
      <c r="N1752" s="116">
        <v>55.95</v>
      </c>
      <c r="O1752" s="116">
        <v>53.2</v>
      </c>
      <c r="P1752" s="116">
        <v>55.75</v>
      </c>
      <c r="Q1752" s="116">
        <v>108.1</v>
      </c>
      <c r="R1752">
        <v>1877785</v>
      </c>
    </row>
    <row r="1753" spans="1:18" x14ac:dyDescent="0.25">
      <c r="A1753" s="169">
        <v>44585</v>
      </c>
      <c r="B1753" s="116">
        <v>54.5</v>
      </c>
      <c r="C1753" s="116">
        <v>50.75</v>
      </c>
      <c r="D1753" s="116">
        <v>49.674999999999997</v>
      </c>
      <c r="E1753" s="116">
        <v>54.5</v>
      </c>
      <c r="F1753" s="116">
        <v>101.5</v>
      </c>
      <c r="G1753">
        <v>142101</v>
      </c>
      <c r="H1753" s="116"/>
      <c r="I1753" s="116"/>
      <c r="L1753" s="169">
        <v>44585</v>
      </c>
      <c r="M1753" s="116">
        <v>50.75</v>
      </c>
      <c r="N1753" s="116">
        <v>54.125</v>
      </c>
      <c r="O1753" s="116">
        <v>49.6</v>
      </c>
      <c r="P1753" s="116">
        <v>53.75</v>
      </c>
      <c r="Q1753" s="116">
        <v>101.5</v>
      </c>
      <c r="R1753">
        <v>2124013</v>
      </c>
    </row>
    <row r="1754" spans="1:18" x14ac:dyDescent="0.25">
      <c r="A1754" s="169">
        <v>44586</v>
      </c>
      <c r="B1754" s="116">
        <v>53</v>
      </c>
      <c r="C1754" s="116">
        <v>52.875</v>
      </c>
      <c r="D1754" s="116">
        <v>49</v>
      </c>
      <c r="E1754" s="116">
        <v>49.65</v>
      </c>
      <c r="F1754" s="116">
        <v>105.75</v>
      </c>
      <c r="G1754">
        <v>164753</v>
      </c>
      <c r="H1754" s="116"/>
      <c r="I1754" s="116"/>
      <c r="L1754" s="169">
        <v>44586</v>
      </c>
      <c r="M1754" s="116">
        <v>52.875</v>
      </c>
      <c r="N1754" s="116">
        <v>53</v>
      </c>
      <c r="O1754" s="116">
        <v>49.024999999999999</v>
      </c>
      <c r="P1754" s="116">
        <v>49.95</v>
      </c>
      <c r="Q1754" s="116">
        <v>105.75</v>
      </c>
      <c r="R1754">
        <v>1311354</v>
      </c>
    </row>
    <row r="1755" spans="1:18" x14ac:dyDescent="0.25">
      <c r="A1755" s="169">
        <v>44588</v>
      </c>
      <c r="B1755" s="116">
        <v>52.625</v>
      </c>
      <c r="C1755" s="116">
        <v>52.25</v>
      </c>
      <c r="D1755" s="116">
        <v>50.924999999999997</v>
      </c>
      <c r="E1755" s="116">
        <v>51.5</v>
      </c>
      <c r="F1755" s="116">
        <v>104.5</v>
      </c>
      <c r="G1755">
        <v>137992</v>
      </c>
      <c r="H1755" s="116"/>
      <c r="I1755" s="116"/>
      <c r="L1755" s="169">
        <v>44588</v>
      </c>
      <c r="M1755" s="116">
        <v>52.25</v>
      </c>
      <c r="N1755" s="116">
        <v>52.55</v>
      </c>
      <c r="O1755" s="116">
        <v>50.924999999999997</v>
      </c>
      <c r="P1755" s="116">
        <v>51.424999999999997</v>
      </c>
      <c r="Q1755" s="116">
        <v>104.5</v>
      </c>
      <c r="R1755">
        <v>1041242</v>
      </c>
    </row>
    <row r="1756" spans="1:18" x14ac:dyDescent="0.25">
      <c r="A1756" s="169">
        <v>44589</v>
      </c>
      <c r="B1756" s="116">
        <v>54.325000000000003</v>
      </c>
      <c r="C1756" s="116">
        <v>52.575000000000003</v>
      </c>
      <c r="D1756" s="116">
        <v>52.174999999999997</v>
      </c>
      <c r="E1756" s="116">
        <v>52.174999999999997</v>
      </c>
      <c r="F1756" s="116">
        <v>105.15</v>
      </c>
      <c r="G1756">
        <v>167944</v>
      </c>
      <c r="H1756" s="116"/>
      <c r="I1756" s="116"/>
      <c r="L1756" s="169">
        <v>44589</v>
      </c>
      <c r="M1756" s="116">
        <v>52.6</v>
      </c>
      <c r="N1756" s="116">
        <v>54.35</v>
      </c>
      <c r="O1756" s="116">
        <v>52.35</v>
      </c>
      <c r="P1756" s="116">
        <v>53.15</v>
      </c>
      <c r="Q1756" s="116">
        <v>105.2</v>
      </c>
      <c r="R1756">
        <v>1502816</v>
      </c>
    </row>
    <row r="1757" spans="1:18" x14ac:dyDescent="0.25">
      <c r="A1757" s="169">
        <v>44592</v>
      </c>
      <c r="B1757" s="116">
        <v>54.375</v>
      </c>
      <c r="C1757" s="116">
        <v>50.225000000000001</v>
      </c>
      <c r="D1757" s="116">
        <v>49.8</v>
      </c>
      <c r="E1757" s="116">
        <v>53.45</v>
      </c>
      <c r="F1757" s="116">
        <v>100.45</v>
      </c>
      <c r="G1757">
        <v>281824</v>
      </c>
      <c r="H1757" s="116"/>
      <c r="I1757" s="116"/>
      <c r="L1757" s="169">
        <v>44592</v>
      </c>
      <c r="M1757" s="116">
        <v>50.225000000000001</v>
      </c>
      <c r="N1757" s="116">
        <v>54.375</v>
      </c>
      <c r="O1757" s="116">
        <v>49.8</v>
      </c>
      <c r="P1757" s="116">
        <v>53.475000000000001</v>
      </c>
      <c r="Q1757" s="116">
        <v>100.45</v>
      </c>
      <c r="R1757">
        <v>2817953</v>
      </c>
    </row>
    <row r="1758" spans="1:18" x14ac:dyDescent="0.25">
      <c r="A1758" s="169">
        <v>44593</v>
      </c>
      <c r="B1758" s="116">
        <v>51.024999999999999</v>
      </c>
      <c r="C1758" s="116">
        <v>50.524999999999999</v>
      </c>
      <c r="D1758" s="116">
        <v>49.424999999999997</v>
      </c>
      <c r="E1758" s="116">
        <v>50.225000000000001</v>
      </c>
      <c r="F1758" s="116">
        <v>101.05</v>
      </c>
      <c r="G1758">
        <v>259865</v>
      </c>
      <c r="H1758" s="116"/>
      <c r="I1758" s="116"/>
      <c r="L1758" s="169">
        <v>44593</v>
      </c>
      <c r="M1758" s="116">
        <v>50.55</v>
      </c>
      <c r="N1758" s="116">
        <v>51</v>
      </c>
      <c r="O1758" s="116">
        <v>49.424999999999997</v>
      </c>
      <c r="P1758" s="116">
        <v>50.5</v>
      </c>
      <c r="Q1758" s="116">
        <v>101.1</v>
      </c>
      <c r="R1758">
        <v>2081369</v>
      </c>
    </row>
    <row r="1759" spans="1:18" x14ac:dyDescent="0.25">
      <c r="A1759" s="169">
        <v>44594</v>
      </c>
      <c r="B1759" s="116">
        <v>51.975000000000001</v>
      </c>
      <c r="C1759" s="116">
        <v>51.125</v>
      </c>
      <c r="D1759" s="116">
        <v>50.8</v>
      </c>
      <c r="E1759" s="116">
        <v>51.975000000000001</v>
      </c>
      <c r="F1759" s="116">
        <v>102.25</v>
      </c>
      <c r="G1759">
        <v>87846</v>
      </c>
      <c r="H1759" s="116"/>
      <c r="I1759" s="116"/>
      <c r="L1759" s="169">
        <v>44594</v>
      </c>
      <c r="M1759" s="116">
        <v>51.125</v>
      </c>
      <c r="N1759" s="116">
        <v>51.774999999999999</v>
      </c>
      <c r="O1759" s="116">
        <v>50.8</v>
      </c>
      <c r="P1759" s="116">
        <v>51.2</v>
      </c>
      <c r="Q1759" s="116">
        <v>102.25</v>
      </c>
      <c r="R1759">
        <v>1368127</v>
      </c>
    </row>
    <row r="1760" spans="1:18" x14ac:dyDescent="0.25">
      <c r="A1760" s="169">
        <v>44595</v>
      </c>
      <c r="B1760" s="116">
        <v>54.15</v>
      </c>
      <c r="C1760" s="116">
        <v>52.5</v>
      </c>
      <c r="D1760" s="116">
        <v>51.375</v>
      </c>
      <c r="E1760" s="116">
        <v>51.4</v>
      </c>
      <c r="F1760" s="116">
        <v>105</v>
      </c>
      <c r="G1760">
        <v>395404</v>
      </c>
      <c r="H1760" s="116"/>
      <c r="I1760" s="116"/>
      <c r="L1760" s="169">
        <v>44595</v>
      </c>
      <c r="M1760" s="116">
        <v>52.524999999999999</v>
      </c>
      <c r="N1760" s="116">
        <v>54.2</v>
      </c>
      <c r="O1760" s="116">
        <v>51.375</v>
      </c>
      <c r="P1760" s="116">
        <v>51.4</v>
      </c>
      <c r="Q1760" s="116">
        <v>105.05</v>
      </c>
      <c r="R1760">
        <v>3285317</v>
      </c>
    </row>
    <row r="1761" spans="1:18" x14ac:dyDescent="0.25">
      <c r="A1761" s="169">
        <v>44596</v>
      </c>
      <c r="B1761" s="116">
        <v>53.975000000000001</v>
      </c>
      <c r="C1761" s="116">
        <v>52.174999999999997</v>
      </c>
      <c r="D1761" s="116">
        <v>51.95</v>
      </c>
      <c r="E1761" s="116">
        <v>53</v>
      </c>
      <c r="F1761" s="116">
        <v>104.35</v>
      </c>
      <c r="G1761">
        <v>131202</v>
      </c>
      <c r="H1761" s="116"/>
      <c r="I1761" s="116"/>
      <c r="L1761" s="169">
        <v>44596</v>
      </c>
      <c r="M1761" s="116">
        <v>52.225000000000001</v>
      </c>
      <c r="N1761" s="116">
        <v>54</v>
      </c>
      <c r="O1761" s="116">
        <v>51.924999999999997</v>
      </c>
      <c r="P1761" s="116">
        <v>52.85</v>
      </c>
      <c r="Q1761" s="116">
        <v>104.45</v>
      </c>
      <c r="R1761">
        <v>1802768</v>
      </c>
    </row>
    <row r="1762" spans="1:18" x14ac:dyDescent="0.25">
      <c r="A1762" s="169">
        <v>44599</v>
      </c>
      <c r="B1762" s="116">
        <v>52.924999999999997</v>
      </c>
      <c r="C1762" s="116">
        <v>52.075000000000003</v>
      </c>
      <c r="D1762" s="116">
        <v>51.625</v>
      </c>
      <c r="E1762" s="116">
        <v>52.625</v>
      </c>
      <c r="F1762" s="116">
        <v>104.15</v>
      </c>
      <c r="G1762">
        <v>112063</v>
      </c>
      <c r="H1762" s="116"/>
      <c r="I1762" s="116"/>
      <c r="L1762" s="169">
        <v>44599</v>
      </c>
      <c r="M1762" s="116">
        <v>52.15</v>
      </c>
      <c r="N1762" s="116">
        <v>53</v>
      </c>
      <c r="O1762" s="116">
        <v>51.6</v>
      </c>
      <c r="P1762" s="116">
        <v>52.524999999999999</v>
      </c>
      <c r="Q1762" s="116">
        <v>104.3</v>
      </c>
      <c r="R1762">
        <v>1168641</v>
      </c>
    </row>
    <row r="1763" spans="1:18" x14ac:dyDescent="0.25">
      <c r="A1763" s="169">
        <v>44600</v>
      </c>
      <c r="B1763" s="116">
        <v>53.45</v>
      </c>
      <c r="C1763" s="116">
        <v>50.95</v>
      </c>
      <c r="D1763" s="116">
        <v>50.25</v>
      </c>
      <c r="E1763" s="116">
        <v>53.45</v>
      </c>
      <c r="F1763" s="116">
        <v>101.9</v>
      </c>
      <c r="G1763">
        <v>101756</v>
      </c>
      <c r="H1763" s="116"/>
      <c r="I1763" s="116"/>
      <c r="L1763" s="169">
        <v>44600</v>
      </c>
      <c r="M1763" s="116">
        <v>50.975000000000001</v>
      </c>
      <c r="N1763" s="116">
        <v>52.8</v>
      </c>
      <c r="O1763" s="116">
        <v>50.25</v>
      </c>
      <c r="P1763" s="116">
        <v>52.475000000000001</v>
      </c>
      <c r="Q1763" s="116">
        <v>101.95</v>
      </c>
      <c r="R1763">
        <v>1065569</v>
      </c>
    </row>
    <row r="1764" spans="1:18" x14ac:dyDescent="0.25">
      <c r="A1764" s="169">
        <v>44601</v>
      </c>
      <c r="B1764" s="116">
        <v>51.725000000000001</v>
      </c>
      <c r="C1764" s="116">
        <v>51.05</v>
      </c>
      <c r="D1764" s="116">
        <v>50.375</v>
      </c>
      <c r="E1764" s="116">
        <v>51.4</v>
      </c>
      <c r="F1764" s="116">
        <v>102.1</v>
      </c>
      <c r="G1764">
        <v>85090</v>
      </c>
      <c r="H1764" s="116"/>
      <c r="I1764" s="116"/>
      <c r="L1764" s="169">
        <v>44601</v>
      </c>
      <c r="M1764" s="116">
        <v>51.075000000000003</v>
      </c>
      <c r="N1764" s="116">
        <v>51.774999999999999</v>
      </c>
      <c r="O1764" s="116">
        <v>50.35</v>
      </c>
      <c r="P1764" s="116">
        <v>51.35</v>
      </c>
      <c r="Q1764" s="116">
        <v>102.15</v>
      </c>
      <c r="R1764">
        <v>1132943</v>
      </c>
    </row>
    <row r="1765" spans="1:18" x14ac:dyDescent="0.25">
      <c r="A1765" s="169">
        <v>44602</v>
      </c>
      <c r="B1765" s="116">
        <v>51.6</v>
      </c>
      <c r="C1765" s="116">
        <v>50.875</v>
      </c>
      <c r="D1765" s="116">
        <v>50.6</v>
      </c>
      <c r="E1765" s="116">
        <v>51.475000000000001</v>
      </c>
      <c r="F1765" s="116">
        <v>101.75</v>
      </c>
      <c r="G1765">
        <v>77728</v>
      </c>
      <c r="H1765" s="116"/>
      <c r="I1765" s="116"/>
      <c r="L1765" s="169">
        <v>44602</v>
      </c>
      <c r="M1765" s="116">
        <v>50.924999999999997</v>
      </c>
      <c r="N1765" s="116">
        <v>51.7</v>
      </c>
      <c r="O1765" s="116">
        <v>50.65</v>
      </c>
      <c r="P1765" s="116">
        <v>51.024999999999999</v>
      </c>
      <c r="Q1765" s="116">
        <v>101.85</v>
      </c>
      <c r="R1765">
        <v>1021564</v>
      </c>
    </row>
    <row r="1766" spans="1:18" x14ac:dyDescent="0.25">
      <c r="A1766" s="169">
        <v>44603</v>
      </c>
      <c r="B1766" s="116">
        <v>51.2</v>
      </c>
      <c r="C1766" s="116">
        <v>49.975000000000001</v>
      </c>
      <c r="D1766" s="116">
        <v>49.7</v>
      </c>
      <c r="E1766" s="116">
        <v>50.875</v>
      </c>
      <c r="F1766" s="116">
        <v>99.95</v>
      </c>
      <c r="G1766">
        <v>83311</v>
      </c>
      <c r="H1766" s="116"/>
      <c r="I1766" s="116"/>
      <c r="L1766" s="169">
        <v>44603</v>
      </c>
      <c r="M1766" s="116">
        <v>50</v>
      </c>
      <c r="N1766" s="116">
        <v>51.225000000000001</v>
      </c>
      <c r="O1766" s="116">
        <v>49.6</v>
      </c>
      <c r="P1766" s="116">
        <v>50.9</v>
      </c>
      <c r="Q1766" s="116">
        <v>100</v>
      </c>
      <c r="R1766">
        <v>1053905</v>
      </c>
    </row>
    <row r="1767" spans="1:18" x14ac:dyDescent="0.25">
      <c r="A1767" s="169">
        <v>44606</v>
      </c>
      <c r="B1767" s="116">
        <v>49.975000000000001</v>
      </c>
      <c r="C1767" s="116">
        <v>47.8</v>
      </c>
      <c r="D1767" s="116">
        <v>47.524999999999999</v>
      </c>
      <c r="E1767" s="116">
        <v>49.975000000000001</v>
      </c>
      <c r="F1767" s="116">
        <v>95.6</v>
      </c>
      <c r="G1767">
        <v>179198</v>
      </c>
      <c r="H1767" s="116"/>
      <c r="I1767" s="116"/>
      <c r="L1767" s="169">
        <v>44606</v>
      </c>
      <c r="M1767" s="116">
        <v>47.725000000000001</v>
      </c>
      <c r="N1767" s="116">
        <v>49.2</v>
      </c>
      <c r="O1767" s="116">
        <v>47.5</v>
      </c>
      <c r="P1767" s="116">
        <v>49.05</v>
      </c>
      <c r="Q1767" s="116">
        <v>95.45</v>
      </c>
      <c r="R1767">
        <v>1106005</v>
      </c>
    </row>
    <row r="1768" spans="1:18" x14ac:dyDescent="0.25">
      <c r="A1768" s="169">
        <v>44607</v>
      </c>
      <c r="B1768" s="116">
        <v>49.475000000000001</v>
      </c>
      <c r="C1768" s="116">
        <v>47.8</v>
      </c>
      <c r="D1768" s="116">
        <v>46.125</v>
      </c>
      <c r="E1768" s="116">
        <v>49.475000000000001</v>
      </c>
      <c r="F1768" s="116">
        <v>95.6</v>
      </c>
      <c r="G1768">
        <v>153250</v>
      </c>
      <c r="H1768" s="116"/>
      <c r="I1768" s="116"/>
      <c r="L1768" s="169">
        <v>44607</v>
      </c>
      <c r="M1768" s="116">
        <v>47.8</v>
      </c>
      <c r="N1768" s="116">
        <v>48.8</v>
      </c>
      <c r="O1768" s="116">
        <v>46.05</v>
      </c>
      <c r="P1768" s="116">
        <v>48.5</v>
      </c>
      <c r="Q1768" s="116">
        <v>95.6</v>
      </c>
      <c r="R1768">
        <v>1433777</v>
      </c>
    </row>
    <row r="1769" spans="1:18" x14ac:dyDescent="0.25">
      <c r="A1769" s="169">
        <v>44608</v>
      </c>
      <c r="B1769" s="116">
        <v>49.95</v>
      </c>
      <c r="C1769" s="116">
        <v>47.725000000000001</v>
      </c>
      <c r="D1769" s="116">
        <v>47.375</v>
      </c>
      <c r="E1769" s="116">
        <v>47.825000000000003</v>
      </c>
      <c r="F1769" s="116">
        <v>95.45</v>
      </c>
      <c r="G1769">
        <v>147714</v>
      </c>
      <c r="H1769" s="116"/>
      <c r="I1769" s="116"/>
      <c r="L1769" s="169">
        <v>44608</v>
      </c>
      <c r="M1769" s="116">
        <v>47.825000000000003</v>
      </c>
      <c r="N1769" s="116">
        <v>49</v>
      </c>
      <c r="O1769" s="116">
        <v>47.65</v>
      </c>
      <c r="P1769" s="116">
        <v>48.5</v>
      </c>
      <c r="Q1769" s="116">
        <v>95.65</v>
      </c>
      <c r="R1769">
        <v>1165442</v>
      </c>
    </row>
    <row r="1770" spans="1:18" x14ac:dyDescent="0.25">
      <c r="A1770" s="169">
        <v>44609</v>
      </c>
      <c r="B1770" s="116">
        <v>48.85</v>
      </c>
      <c r="C1770" s="116">
        <v>47.375</v>
      </c>
      <c r="D1770" s="116">
        <v>47.125</v>
      </c>
      <c r="E1770" s="116">
        <v>48.85</v>
      </c>
      <c r="F1770" s="116">
        <v>94.75</v>
      </c>
      <c r="G1770">
        <v>83948</v>
      </c>
      <c r="H1770" s="116"/>
      <c r="I1770" s="116"/>
      <c r="L1770" s="169">
        <v>44609</v>
      </c>
      <c r="M1770" s="116">
        <v>47.3</v>
      </c>
      <c r="N1770" s="116">
        <v>48.475000000000001</v>
      </c>
      <c r="O1770" s="116">
        <v>47.05</v>
      </c>
      <c r="P1770" s="116">
        <v>48.05</v>
      </c>
      <c r="Q1770" s="116">
        <v>94.6</v>
      </c>
      <c r="R1770">
        <v>798726</v>
      </c>
    </row>
    <row r="1771" spans="1:18" x14ac:dyDescent="0.25">
      <c r="A1771" s="169">
        <v>44610</v>
      </c>
      <c r="B1771" s="116">
        <v>47.7</v>
      </c>
      <c r="C1771" s="116">
        <v>46.524999999999999</v>
      </c>
      <c r="D1771" s="116">
        <v>46.35</v>
      </c>
      <c r="E1771" s="116">
        <v>47.5</v>
      </c>
      <c r="F1771" s="116">
        <v>93.05</v>
      </c>
      <c r="G1771">
        <v>78881</v>
      </c>
      <c r="H1771" s="116"/>
      <c r="I1771" s="116"/>
      <c r="L1771" s="169">
        <v>44610</v>
      </c>
      <c r="M1771" s="116">
        <v>46.524999999999999</v>
      </c>
      <c r="N1771" s="116">
        <v>47.65</v>
      </c>
      <c r="O1771" s="116">
        <v>46.3</v>
      </c>
      <c r="P1771" s="116">
        <v>47.2</v>
      </c>
      <c r="Q1771" s="116">
        <v>93.05</v>
      </c>
      <c r="R1771">
        <v>522053</v>
      </c>
    </row>
    <row r="1772" spans="1:18" x14ac:dyDescent="0.25">
      <c r="A1772" s="169">
        <v>44613</v>
      </c>
      <c r="B1772" s="116">
        <v>46.475000000000001</v>
      </c>
      <c r="C1772" s="116">
        <v>44.575000000000003</v>
      </c>
      <c r="D1772" s="116">
        <v>44.2</v>
      </c>
      <c r="E1772" s="116">
        <v>46.024999999999999</v>
      </c>
      <c r="F1772" s="116">
        <v>89.15</v>
      </c>
      <c r="G1772">
        <v>153405</v>
      </c>
      <c r="H1772" s="116"/>
      <c r="I1772" s="116"/>
      <c r="L1772" s="169">
        <v>44613</v>
      </c>
      <c r="M1772" s="116">
        <v>44.475000000000001</v>
      </c>
      <c r="N1772" s="116">
        <v>46.424999999999997</v>
      </c>
      <c r="O1772" s="116">
        <v>44.075000000000003</v>
      </c>
      <c r="P1772" s="116">
        <v>46.024999999999999</v>
      </c>
      <c r="Q1772" s="116">
        <v>88.95</v>
      </c>
      <c r="R1772">
        <v>857493</v>
      </c>
    </row>
    <row r="1773" spans="1:18" x14ac:dyDescent="0.25">
      <c r="A1773" s="169">
        <v>44614</v>
      </c>
      <c r="B1773" s="116">
        <v>43.7</v>
      </c>
      <c r="C1773" s="116">
        <v>42.575000000000003</v>
      </c>
      <c r="D1773" s="116">
        <v>42.2</v>
      </c>
      <c r="E1773" s="116">
        <v>43.65</v>
      </c>
      <c r="F1773" s="116">
        <v>85.15</v>
      </c>
      <c r="G1773">
        <v>193120</v>
      </c>
      <c r="H1773" s="116"/>
      <c r="I1773" s="116"/>
      <c r="L1773" s="169">
        <v>44614</v>
      </c>
      <c r="M1773" s="116">
        <v>42.524999999999999</v>
      </c>
      <c r="N1773" s="116">
        <v>43.7</v>
      </c>
      <c r="O1773" s="116">
        <v>42.15</v>
      </c>
      <c r="P1773" s="116">
        <v>43.3</v>
      </c>
      <c r="Q1773" s="116">
        <v>85.05</v>
      </c>
      <c r="R1773">
        <v>1255962</v>
      </c>
    </row>
    <row r="1774" spans="1:18" x14ac:dyDescent="0.25">
      <c r="A1774" s="169">
        <v>44615</v>
      </c>
      <c r="B1774" s="116">
        <v>44.424999999999997</v>
      </c>
      <c r="C1774" s="116">
        <v>44.15</v>
      </c>
      <c r="D1774" s="116">
        <v>43.325000000000003</v>
      </c>
      <c r="E1774" s="116">
        <v>43.95</v>
      </c>
      <c r="F1774" s="116">
        <v>88.3</v>
      </c>
      <c r="G1774">
        <v>128517</v>
      </c>
      <c r="H1774" s="116"/>
      <c r="I1774" s="116"/>
      <c r="L1774" s="169">
        <v>44615</v>
      </c>
      <c r="M1774" s="116">
        <v>44.174999999999997</v>
      </c>
      <c r="N1774" s="116">
        <v>44.424999999999997</v>
      </c>
      <c r="O1774" s="116">
        <v>43.325000000000003</v>
      </c>
      <c r="P1774" s="116">
        <v>43.424999999999997</v>
      </c>
      <c r="Q1774" s="116">
        <v>88.35</v>
      </c>
      <c r="R1774">
        <v>984491</v>
      </c>
    </row>
    <row r="1775" spans="1:18" x14ac:dyDescent="0.25">
      <c r="A1775" s="169">
        <v>44616</v>
      </c>
      <c r="B1775" s="116">
        <v>42.924999999999997</v>
      </c>
      <c r="C1775" s="116">
        <v>40.299999999999997</v>
      </c>
      <c r="D1775" s="116">
        <v>40.125</v>
      </c>
      <c r="E1775" s="116">
        <v>42.75</v>
      </c>
      <c r="F1775" s="116">
        <v>80.599999999999994</v>
      </c>
      <c r="G1775">
        <v>177121</v>
      </c>
      <c r="H1775" s="116"/>
      <c r="I1775" s="116"/>
      <c r="L1775" s="169">
        <v>44616</v>
      </c>
      <c r="M1775" s="116">
        <v>40.299999999999997</v>
      </c>
      <c r="N1775" s="116">
        <v>42.975000000000001</v>
      </c>
      <c r="O1775" s="116">
        <v>40</v>
      </c>
      <c r="P1775" s="116">
        <v>42.5</v>
      </c>
      <c r="Q1775" s="116">
        <v>80.599999999999994</v>
      </c>
      <c r="R1775">
        <v>1432128</v>
      </c>
    </row>
    <row r="1776" spans="1:18" x14ac:dyDescent="0.25">
      <c r="A1776" s="169">
        <v>44617</v>
      </c>
      <c r="B1776" s="116">
        <v>42.975000000000001</v>
      </c>
      <c r="C1776" s="116">
        <v>42.674999999999997</v>
      </c>
      <c r="D1776" s="116">
        <v>41</v>
      </c>
      <c r="E1776" s="116">
        <v>41</v>
      </c>
      <c r="F1776" s="116">
        <v>85.35</v>
      </c>
      <c r="G1776">
        <v>195163</v>
      </c>
      <c r="H1776" s="116"/>
      <c r="I1776" s="116"/>
      <c r="L1776" s="169">
        <v>44617</v>
      </c>
      <c r="M1776" s="116">
        <v>42.75</v>
      </c>
      <c r="N1776" s="116">
        <v>43</v>
      </c>
      <c r="O1776" s="116">
        <v>41.5</v>
      </c>
      <c r="P1776" s="116">
        <v>41.5</v>
      </c>
      <c r="Q1776" s="116">
        <v>85.5</v>
      </c>
      <c r="R1776">
        <v>1129796</v>
      </c>
    </row>
    <row r="1777" spans="1:18" x14ac:dyDescent="0.25">
      <c r="A1777" s="169">
        <v>44620</v>
      </c>
      <c r="B1777" s="116">
        <v>43.7</v>
      </c>
      <c r="C1777" s="116">
        <v>43.4</v>
      </c>
      <c r="D1777" s="116">
        <v>41.7</v>
      </c>
      <c r="E1777" s="116">
        <v>43.45</v>
      </c>
      <c r="F1777" s="116">
        <v>86.8</v>
      </c>
      <c r="G1777">
        <v>90345</v>
      </c>
      <c r="H1777" s="116"/>
      <c r="I1777" s="116"/>
      <c r="L1777" s="169">
        <v>44620</v>
      </c>
      <c r="M1777" s="116">
        <v>43.424999999999997</v>
      </c>
      <c r="N1777" s="116">
        <v>43.75</v>
      </c>
      <c r="O1777" s="116">
        <v>41.774999999999999</v>
      </c>
      <c r="P1777" s="116">
        <v>42.05</v>
      </c>
      <c r="Q1777" s="116">
        <v>86.85</v>
      </c>
      <c r="R1777">
        <v>890536</v>
      </c>
    </row>
    <row r="1778" spans="1:18" x14ac:dyDescent="0.25">
      <c r="A1778" s="169">
        <v>44622</v>
      </c>
      <c r="B1778" s="116">
        <v>45.2</v>
      </c>
      <c r="C1778" s="116">
        <v>44.725000000000001</v>
      </c>
      <c r="D1778" s="116">
        <v>42.825000000000003</v>
      </c>
      <c r="E1778" s="116">
        <v>43.375</v>
      </c>
      <c r="F1778" s="116">
        <v>89.45</v>
      </c>
      <c r="G1778">
        <v>111472</v>
      </c>
      <c r="H1778" s="116"/>
      <c r="I1778" s="116"/>
      <c r="L1778" s="169">
        <v>44622</v>
      </c>
      <c r="M1778" s="116">
        <v>44.7</v>
      </c>
      <c r="N1778" s="116">
        <v>45.2</v>
      </c>
      <c r="O1778" s="116">
        <v>42.774999999999999</v>
      </c>
      <c r="P1778" s="116">
        <v>42.774999999999999</v>
      </c>
      <c r="Q1778" s="116">
        <v>89.4</v>
      </c>
      <c r="R1778">
        <v>1212947</v>
      </c>
    </row>
    <row r="1779" spans="1:18" x14ac:dyDescent="0.25">
      <c r="A1779" s="169">
        <v>44623</v>
      </c>
      <c r="B1779" s="116">
        <v>46.475000000000001</v>
      </c>
      <c r="C1779" s="116">
        <v>45.2</v>
      </c>
      <c r="D1779" s="116">
        <v>44.9</v>
      </c>
      <c r="E1779" s="116">
        <v>46.475000000000001</v>
      </c>
      <c r="F1779" s="116">
        <v>90.4</v>
      </c>
      <c r="G1779">
        <v>120603</v>
      </c>
      <c r="H1779" s="116"/>
      <c r="I1779" s="116"/>
      <c r="L1779" s="169">
        <v>44623</v>
      </c>
      <c r="M1779" s="116">
        <v>45.174999999999997</v>
      </c>
      <c r="N1779" s="116">
        <v>46.225000000000001</v>
      </c>
      <c r="O1779" s="116">
        <v>44.825000000000003</v>
      </c>
      <c r="P1779" s="116">
        <v>45.475000000000001</v>
      </c>
      <c r="Q1779" s="116">
        <v>90.35</v>
      </c>
      <c r="R1779">
        <v>842191</v>
      </c>
    </row>
    <row r="1780" spans="1:18" x14ac:dyDescent="0.25">
      <c r="A1780" s="169">
        <v>44624</v>
      </c>
      <c r="B1780" s="116">
        <v>45.4</v>
      </c>
      <c r="C1780" s="116">
        <v>43.9</v>
      </c>
      <c r="D1780" s="116">
        <v>43.5</v>
      </c>
      <c r="E1780" s="116">
        <v>44.55</v>
      </c>
      <c r="F1780" s="116">
        <v>87.8</v>
      </c>
      <c r="G1780">
        <v>100773</v>
      </c>
      <c r="H1780" s="116"/>
      <c r="I1780" s="116"/>
      <c r="L1780" s="169">
        <v>44624</v>
      </c>
      <c r="M1780" s="116">
        <v>43.9</v>
      </c>
      <c r="N1780" s="116">
        <v>45.4</v>
      </c>
      <c r="O1780" s="116">
        <v>43.15</v>
      </c>
      <c r="P1780" s="116">
        <v>44.875</v>
      </c>
      <c r="Q1780" s="116">
        <v>87.8</v>
      </c>
      <c r="R1780">
        <v>544874</v>
      </c>
    </row>
    <row r="1781" spans="1:18" x14ac:dyDescent="0.25">
      <c r="A1781" s="169">
        <v>44627</v>
      </c>
      <c r="B1781" s="116">
        <v>43.475000000000001</v>
      </c>
      <c r="C1781" s="116">
        <v>42.424999999999997</v>
      </c>
      <c r="D1781" s="116">
        <v>42.2</v>
      </c>
      <c r="E1781" s="116">
        <v>43.4</v>
      </c>
      <c r="F1781" s="116">
        <v>84.85</v>
      </c>
      <c r="G1781">
        <v>105474</v>
      </c>
      <c r="H1781" s="116"/>
      <c r="I1781" s="116"/>
      <c r="L1781" s="169">
        <v>44627</v>
      </c>
      <c r="M1781" s="116">
        <v>42.4</v>
      </c>
      <c r="N1781" s="116">
        <v>43.625</v>
      </c>
      <c r="O1781" s="116">
        <v>42.05</v>
      </c>
      <c r="P1781" s="116">
        <v>43.625</v>
      </c>
      <c r="Q1781" s="116">
        <v>84.8</v>
      </c>
      <c r="R1781">
        <v>666252</v>
      </c>
    </row>
    <row r="1782" spans="1:18" x14ac:dyDescent="0.25">
      <c r="A1782" s="169">
        <v>44628</v>
      </c>
      <c r="B1782" s="116">
        <v>43.975000000000001</v>
      </c>
      <c r="C1782" s="116">
        <v>43.15</v>
      </c>
      <c r="D1782" s="116">
        <v>42.075000000000003</v>
      </c>
      <c r="E1782" s="116">
        <v>43.975000000000001</v>
      </c>
      <c r="F1782" s="116">
        <v>86.3</v>
      </c>
      <c r="G1782">
        <v>283975</v>
      </c>
      <c r="H1782" s="116"/>
      <c r="I1782" s="116"/>
      <c r="L1782" s="169">
        <v>44628</v>
      </c>
      <c r="M1782" s="116">
        <v>43.075000000000003</v>
      </c>
      <c r="N1782" s="116">
        <v>43.65</v>
      </c>
      <c r="O1782" s="116">
        <v>42.05</v>
      </c>
      <c r="P1782" s="116">
        <v>43.2</v>
      </c>
      <c r="Q1782" s="116">
        <v>86.15</v>
      </c>
      <c r="R1782">
        <v>592665</v>
      </c>
    </row>
    <row r="1783" spans="1:18" x14ac:dyDescent="0.25">
      <c r="A1783" s="169">
        <v>44629</v>
      </c>
      <c r="B1783" s="116">
        <v>44.65</v>
      </c>
      <c r="C1783" s="116">
        <v>44.5</v>
      </c>
      <c r="D1783" s="116">
        <v>43.475000000000001</v>
      </c>
      <c r="E1783" s="116">
        <v>43.475000000000001</v>
      </c>
      <c r="F1783" s="116">
        <v>89</v>
      </c>
      <c r="G1783">
        <v>98813</v>
      </c>
      <c r="H1783" s="116"/>
      <c r="I1783" s="116"/>
      <c r="L1783" s="169">
        <v>44629</v>
      </c>
      <c r="M1783" s="116">
        <v>44.524999999999999</v>
      </c>
      <c r="N1783" s="116">
        <v>44.725000000000001</v>
      </c>
      <c r="O1783" s="116">
        <v>43.35</v>
      </c>
      <c r="P1783" s="116">
        <v>43.375</v>
      </c>
      <c r="Q1783" s="116">
        <v>89.05</v>
      </c>
      <c r="R1783">
        <v>632992</v>
      </c>
    </row>
    <row r="1784" spans="1:18" x14ac:dyDescent="0.25">
      <c r="A1784" s="169">
        <v>44630</v>
      </c>
      <c r="B1784" s="116">
        <v>45.75</v>
      </c>
      <c r="C1784" s="116">
        <v>43.6</v>
      </c>
      <c r="D1784" s="116">
        <v>43.4</v>
      </c>
      <c r="E1784" s="116">
        <v>45.125</v>
      </c>
      <c r="F1784" s="116">
        <v>87.2</v>
      </c>
      <c r="G1784">
        <v>161848</v>
      </c>
      <c r="H1784" s="116"/>
      <c r="I1784" s="116"/>
      <c r="L1784" s="169">
        <v>44630</v>
      </c>
      <c r="M1784" s="116">
        <v>43.6</v>
      </c>
      <c r="N1784" s="116">
        <v>45.95</v>
      </c>
      <c r="O1784" s="116">
        <v>43.35</v>
      </c>
      <c r="P1784" s="116">
        <v>45.774999999999999</v>
      </c>
      <c r="Q1784" s="116">
        <v>87.2</v>
      </c>
      <c r="R1784">
        <v>1479691</v>
      </c>
    </row>
    <row r="1785" spans="1:18" x14ac:dyDescent="0.25">
      <c r="A1785" s="169">
        <v>44631</v>
      </c>
      <c r="B1785" s="116">
        <v>45.35</v>
      </c>
      <c r="C1785" s="116">
        <v>44.825000000000003</v>
      </c>
      <c r="D1785" s="116">
        <v>43.5</v>
      </c>
      <c r="E1785" s="116">
        <v>44.1</v>
      </c>
      <c r="F1785" s="116">
        <v>89.65</v>
      </c>
      <c r="G1785">
        <v>141184</v>
      </c>
      <c r="H1785" s="116"/>
      <c r="I1785" s="116"/>
      <c r="L1785" s="169">
        <v>44631</v>
      </c>
      <c r="M1785" s="116">
        <v>44.825000000000003</v>
      </c>
      <c r="N1785" s="116">
        <v>45.375</v>
      </c>
      <c r="O1785" s="116">
        <v>43.7</v>
      </c>
      <c r="P1785" s="116">
        <v>43.7</v>
      </c>
      <c r="Q1785" s="116">
        <v>89.65</v>
      </c>
      <c r="R1785">
        <v>1013366</v>
      </c>
    </row>
    <row r="1786" spans="1:18" x14ac:dyDescent="0.25">
      <c r="A1786" s="169">
        <v>44634</v>
      </c>
      <c r="B1786" s="116">
        <v>45.5</v>
      </c>
      <c r="C1786" s="116">
        <v>44.625</v>
      </c>
      <c r="D1786" s="116">
        <v>43.875</v>
      </c>
      <c r="E1786" s="116">
        <v>45.424999999999997</v>
      </c>
      <c r="F1786" s="116">
        <v>89.25</v>
      </c>
      <c r="G1786">
        <v>86913</v>
      </c>
      <c r="H1786" s="116"/>
      <c r="I1786" s="116"/>
      <c r="L1786" s="169">
        <v>44634</v>
      </c>
      <c r="M1786" s="116">
        <v>44.55</v>
      </c>
      <c r="N1786" s="116">
        <v>45.8</v>
      </c>
      <c r="O1786" s="116">
        <v>43.8</v>
      </c>
      <c r="P1786" s="116">
        <v>45</v>
      </c>
      <c r="Q1786" s="116">
        <v>89.1</v>
      </c>
      <c r="R1786">
        <v>827229</v>
      </c>
    </row>
    <row r="1787" spans="1:18" x14ac:dyDescent="0.25">
      <c r="A1787" s="169">
        <v>44635</v>
      </c>
      <c r="B1787" s="116">
        <v>45.25</v>
      </c>
      <c r="C1787" s="116">
        <v>43.674999999999997</v>
      </c>
      <c r="D1787" s="116">
        <v>43.55</v>
      </c>
      <c r="E1787" s="116">
        <v>44.975000000000001</v>
      </c>
      <c r="F1787" s="116">
        <v>87.35</v>
      </c>
      <c r="G1787">
        <v>131716</v>
      </c>
      <c r="H1787" s="116"/>
      <c r="I1787" s="116"/>
      <c r="L1787" s="169">
        <v>44635</v>
      </c>
      <c r="M1787" s="116">
        <v>43.725000000000001</v>
      </c>
      <c r="N1787" s="116">
        <v>45.274999999999999</v>
      </c>
      <c r="O1787" s="116">
        <v>43.55</v>
      </c>
      <c r="P1787" s="116">
        <v>44.875</v>
      </c>
      <c r="Q1787" s="116">
        <v>87.45</v>
      </c>
      <c r="R1787">
        <v>746664</v>
      </c>
    </row>
    <row r="1788" spans="1:18" x14ac:dyDescent="0.25">
      <c r="A1788" s="169">
        <v>44636</v>
      </c>
      <c r="B1788" s="116">
        <v>44.8</v>
      </c>
      <c r="C1788" s="116">
        <v>44.024999999999999</v>
      </c>
      <c r="D1788" s="116">
        <v>43.875</v>
      </c>
      <c r="E1788" s="116">
        <v>44.8</v>
      </c>
      <c r="F1788" s="116">
        <v>88.05</v>
      </c>
      <c r="G1788">
        <v>58539</v>
      </c>
      <c r="H1788" s="116"/>
      <c r="I1788" s="116"/>
      <c r="L1788" s="169">
        <v>44636</v>
      </c>
      <c r="M1788" s="116">
        <v>44.024999999999999</v>
      </c>
      <c r="N1788" s="116">
        <v>44.524999999999999</v>
      </c>
      <c r="O1788" s="116">
        <v>43.75</v>
      </c>
      <c r="P1788" s="116">
        <v>44.225000000000001</v>
      </c>
      <c r="Q1788" s="116">
        <v>88.05</v>
      </c>
      <c r="R1788">
        <v>551497</v>
      </c>
    </row>
    <row r="1789" spans="1:18" x14ac:dyDescent="0.25">
      <c r="A1789" s="169">
        <v>44637</v>
      </c>
      <c r="B1789" s="116">
        <v>48.25</v>
      </c>
      <c r="C1789" s="116">
        <v>46.45</v>
      </c>
      <c r="D1789" s="116">
        <v>45.3</v>
      </c>
      <c r="E1789" s="116">
        <v>45.3</v>
      </c>
      <c r="F1789" s="116">
        <v>92.9</v>
      </c>
      <c r="G1789">
        <v>474256</v>
      </c>
      <c r="H1789" s="116"/>
      <c r="I1789" s="116"/>
      <c r="L1789" s="169">
        <v>44637</v>
      </c>
      <c r="M1789" s="116">
        <v>46.524999999999999</v>
      </c>
      <c r="N1789" s="116">
        <v>48.35</v>
      </c>
      <c r="O1789" s="116">
        <v>45.524999999999999</v>
      </c>
      <c r="P1789" s="116">
        <v>45.65</v>
      </c>
      <c r="Q1789" s="116">
        <v>93.05</v>
      </c>
      <c r="R1789">
        <v>7932449</v>
      </c>
    </row>
    <row r="1790" spans="1:18" x14ac:dyDescent="0.25">
      <c r="A1790" s="169">
        <v>44641</v>
      </c>
      <c r="B1790" s="116">
        <v>47.8</v>
      </c>
      <c r="C1790" s="116">
        <v>46.65</v>
      </c>
      <c r="D1790" s="116">
        <v>46.25</v>
      </c>
      <c r="E1790" s="116">
        <v>47.475000000000001</v>
      </c>
      <c r="F1790" s="116">
        <v>93.3</v>
      </c>
      <c r="G1790">
        <v>170339</v>
      </c>
      <c r="H1790" s="116"/>
      <c r="I1790" s="116"/>
      <c r="L1790" s="169">
        <v>44641</v>
      </c>
      <c r="M1790" s="116">
        <v>46.65</v>
      </c>
      <c r="N1790" s="116">
        <v>47.8</v>
      </c>
      <c r="O1790" s="116">
        <v>46.05</v>
      </c>
      <c r="P1790" s="116">
        <v>46.85</v>
      </c>
      <c r="Q1790" s="116">
        <v>93.3</v>
      </c>
      <c r="R1790">
        <v>1695515</v>
      </c>
    </row>
    <row r="1791" spans="1:18" x14ac:dyDescent="0.25">
      <c r="A1791" s="169">
        <v>44642</v>
      </c>
      <c r="B1791" s="116">
        <v>47.024999999999999</v>
      </c>
      <c r="C1791" s="116">
        <v>46.225000000000001</v>
      </c>
      <c r="D1791" s="116">
        <v>45.924999999999997</v>
      </c>
      <c r="E1791" s="116">
        <v>46.7</v>
      </c>
      <c r="F1791" s="116">
        <v>92.45</v>
      </c>
      <c r="G1791">
        <v>176117</v>
      </c>
      <c r="H1791" s="116"/>
      <c r="I1791" s="116"/>
      <c r="L1791" s="169">
        <v>44642</v>
      </c>
      <c r="M1791" s="116">
        <v>46.225000000000001</v>
      </c>
      <c r="N1791" s="116">
        <v>47.125</v>
      </c>
      <c r="O1791" s="116">
        <v>45.924999999999997</v>
      </c>
      <c r="P1791" s="116">
        <v>46.825000000000003</v>
      </c>
      <c r="Q1791" s="116">
        <v>92.45</v>
      </c>
      <c r="R1791">
        <v>773344</v>
      </c>
    </row>
    <row r="1792" spans="1:18" x14ac:dyDescent="0.25">
      <c r="A1792" s="169">
        <v>44643</v>
      </c>
      <c r="B1792" s="116">
        <v>49.35</v>
      </c>
      <c r="C1792" s="116">
        <v>47</v>
      </c>
      <c r="D1792" s="116">
        <v>45.725000000000001</v>
      </c>
      <c r="E1792" s="116">
        <v>46.475000000000001</v>
      </c>
      <c r="F1792" s="116">
        <v>94</v>
      </c>
      <c r="G1792">
        <v>394680</v>
      </c>
      <c r="H1792" s="116"/>
      <c r="I1792" s="116"/>
      <c r="L1792" s="169">
        <v>44643</v>
      </c>
      <c r="M1792" s="116">
        <v>46.975000000000001</v>
      </c>
      <c r="N1792" s="116">
        <v>49.325000000000003</v>
      </c>
      <c r="O1792" s="116">
        <v>45.7</v>
      </c>
      <c r="P1792" s="116">
        <v>46.5</v>
      </c>
      <c r="Q1792" s="116">
        <v>93.95</v>
      </c>
      <c r="R1792">
        <v>3840221</v>
      </c>
    </row>
    <row r="1793" spans="1:18" x14ac:dyDescent="0.25">
      <c r="A1793" s="169">
        <v>44644</v>
      </c>
      <c r="B1793" s="116">
        <v>47.674999999999997</v>
      </c>
      <c r="C1793" s="116">
        <v>47.25</v>
      </c>
      <c r="D1793" s="116">
        <v>46.75</v>
      </c>
      <c r="E1793" s="116">
        <v>47.3</v>
      </c>
      <c r="F1793" s="116">
        <v>94.5</v>
      </c>
      <c r="G1793">
        <v>162233</v>
      </c>
      <c r="H1793" s="116"/>
      <c r="I1793" s="116"/>
      <c r="L1793" s="169">
        <v>44644</v>
      </c>
      <c r="M1793" s="116">
        <v>47.225000000000001</v>
      </c>
      <c r="N1793" s="116">
        <v>47.7</v>
      </c>
      <c r="O1793" s="116">
        <v>46.575000000000003</v>
      </c>
      <c r="P1793" s="116">
        <v>46.8</v>
      </c>
      <c r="Q1793" s="116">
        <v>94.45</v>
      </c>
      <c r="R1793">
        <v>1336319</v>
      </c>
    </row>
    <row r="1794" spans="1:18" x14ac:dyDescent="0.25">
      <c r="A1794" s="169">
        <v>44645</v>
      </c>
      <c r="B1794" s="116">
        <v>48.075000000000003</v>
      </c>
      <c r="C1794" s="116">
        <v>46.924999999999997</v>
      </c>
      <c r="D1794" s="116">
        <v>46.774999999999999</v>
      </c>
      <c r="E1794" s="116">
        <v>47.6</v>
      </c>
      <c r="F1794" s="116">
        <v>93.85</v>
      </c>
      <c r="G1794">
        <v>229705</v>
      </c>
      <c r="H1794" s="116"/>
      <c r="I1794" s="116"/>
      <c r="L1794" s="169">
        <v>44645</v>
      </c>
      <c r="M1794" s="116">
        <v>46.924999999999997</v>
      </c>
      <c r="N1794" s="116">
        <v>48.1</v>
      </c>
      <c r="O1794" s="116">
        <v>46.725000000000001</v>
      </c>
      <c r="P1794" s="116">
        <v>47.475000000000001</v>
      </c>
      <c r="Q1794" s="116">
        <v>93.85</v>
      </c>
      <c r="R1794">
        <v>1579961</v>
      </c>
    </row>
    <row r="1795" spans="1:18" x14ac:dyDescent="0.25">
      <c r="A1795" s="169">
        <v>44648</v>
      </c>
      <c r="B1795" s="116">
        <v>47.15</v>
      </c>
      <c r="C1795" s="116">
        <v>44.7</v>
      </c>
      <c r="D1795" s="116">
        <v>44.274999999999999</v>
      </c>
      <c r="E1795" s="116">
        <v>47.15</v>
      </c>
      <c r="F1795" s="116">
        <v>89.4</v>
      </c>
      <c r="G1795">
        <v>301872</v>
      </c>
      <c r="H1795" s="116"/>
      <c r="I1795" s="116"/>
      <c r="L1795" s="169">
        <v>44648</v>
      </c>
      <c r="M1795" s="116">
        <v>44.8</v>
      </c>
      <c r="N1795" s="116">
        <v>47.075000000000003</v>
      </c>
      <c r="O1795" s="116">
        <v>44.55</v>
      </c>
      <c r="P1795" s="116">
        <v>46.55</v>
      </c>
      <c r="Q1795" s="116">
        <v>89.6</v>
      </c>
      <c r="R1795">
        <v>1588455</v>
      </c>
    </row>
    <row r="1796" spans="1:18" x14ac:dyDescent="0.25">
      <c r="A1796" s="169">
        <v>44649</v>
      </c>
      <c r="B1796" s="116">
        <v>45.9</v>
      </c>
      <c r="C1796" s="116">
        <v>44.475000000000001</v>
      </c>
      <c r="D1796" s="116">
        <v>44</v>
      </c>
      <c r="E1796" s="116">
        <v>45.9</v>
      </c>
      <c r="F1796" s="116">
        <v>88.95</v>
      </c>
      <c r="G1796">
        <v>184457</v>
      </c>
      <c r="H1796" s="116"/>
      <c r="I1796" s="116"/>
      <c r="L1796" s="169">
        <v>44649</v>
      </c>
      <c r="M1796" s="116">
        <v>44.375</v>
      </c>
      <c r="N1796" s="116">
        <v>45.674999999999997</v>
      </c>
      <c r="O1796" s="116">
        <v>44.024999999999999</v>
      </c>
      <c r="P1796" s="116">
        <v>45.2</v>
      </c>
      <c r="Q1796" s="116">
        <v>88.75</v>
      </c>
      <c r="R1796">
        <v>1999386</v>
      </c>
    </row>
    <row r="1797" spans="1:18" x14ac:dyDescent="0.25">
      <c r="A1797" s="169">
        <v>44650</v>
      </c>
      <c r="B1797" s="116">
        <v>45.375</v>
      </c>
      <c r="C1797" s="116">
        <v>44.1</v>
      </c>
      <c r="D1797" s="116">
        <v>43.85</v>
      </c>
      <c r="E1797" s="116">
        <v>45.375</v>
      </c>
      <c r="F1797" s="116">
        <v>88.2</v>
      </c>
      <c r="G1797">
        <v>125114</v>
      </c>
      <c r="H1797" s="116"/>
      <c r="I1797" s="116"/>
      <c r="L1797" s="169">
        <v>44650</v>
      </c>
      <c r="M1797" s="116">
        <v>44.125</v>
      </c>
      <c r="N1797" s="116">
        <v>45.325000000000003</v>
      </c>
      <c r="O1797" s="116">
        <v>43.95</v>
      </c>
      <c r="P1797" s="116">
        <v>44.65</v>
      </c>
      <c r="Q1797" s="116">
        <v>88.25</v>
      </c>
      <c r="R1797">
        <v>873271</v>
      </c>
    </row>
    <row r="1798" spans="1:18" x14ac:dyDescent="0.25">
      <c r="A1798" s="169">
        <v>44651</v>
      </c>
      <c r="B1798" s="116">
        <v>46</v>
      </c>
      <c r="C1798" s="116">
        <v>45.024999999999999</v>
      </c>
      <c r="D1798" s="116">
        <v>44.125</v>
      </c>
      <c r="E1798" s="116">
        <v>46</v>
      </c>
      <c r="F1798" s="116">
        <v>90.05</v>
      </c>
      <c r="G1798">
        <v>142823</v>
      </c>
      <c r="H1798" s="116"/>
      <c r="I1798" s="116"/>
      <c r="L1798" s="169">
        <v>44651</v>
      </c>
      <c r="M1798" s="116">
        <v>45.05</v>
      </c>
      <c r="N1798" s="116">
        <v>45.875</v>
      </c>
      <c r="O1798" s="116">
        <v>44.1</v>
      </c>
      <c r="P1798" s="116">
        <v>44.15</v>
      </c>
      <c r="Q1798" s="116">
        <v>90.1</v>
      </c>
      <c r="R1798">
        <v>1458762</v>
      </c>
    </row>
    <row r="1799" spans="1:18" x14ac:dyDescent="0.25">
      <c r="A1799" s="169">
        <v>44652</v>
      </c>
      <c r="B1799" s="116">
        <v>46.774999999999999</v>
      </c>
      <c r="C1799" s="116">
        <v>46.674999999999997</v>
      </c>
      <c r="D1799" s="116">
        <v>45</v>
      </c>
      <c r="E1799" s="116">
        <v>45.95</v>
      </c>
      <c r="F1799" s="116">
        <v>93.35</v>
      </c>
      <c r="G1799">
        <v>138412</v>
      </c>
      <c r="H1799" s="116"/>
      <c r="I1799" s="116"/>
      <c r="L1799" s="169">
        <v>44652</v>
      </c>
      <c r="M1799" s="116">
        <v>46.625</v>
      </c>
      <c r="N1799" s="116">
        <v>46.75</v>
      </c>
      <c r="O1799" s="116">
        <v>45.05</v>
      </c>
      <c r="P1799" s="116">
        <v>45.2</v>
      </c>
      <c r="Q1799" s="116">
        <v>93.25</v>
      </c>
      <c r="R1799">
        <v>1241579</v>
      </c>
    </row>
    <row r="1800" spans="1:18" x14ac:dyDescent="0.25">
      <c r="A1800" s="169">
        <v>44655</v>
      </c>
      <c r="B1800" s="116">
        <v>47.674999999999997</v>
      </c>
      <c r="C1800" s="116">
        <v>47.225000000000001</v>
      </c>
      <c r="D1800" s="116">
        <v>46.674999999999997</v>
      </c>
      <c r="E1800" s="116">
        <v>46.975000000000001</v>
      </c>
      <c r="F1800" s="116">
        <v>94.45</v>
      </c>
      <c r="G1800">
        <v>195805</v>
      </c>
      <c r="H1800" s="116"/>
      <c r="I1800" s="116"/>
      <c r="L1800" s="169">
        <v>44655</v>
      </c>
      <c r="M1800" s="116">
        <v>47.174999999999997</v>
      </c>
      <c r="N1800" s="116">
        <v>47.7</v>
      </c>
      <c r="O1800" s="116">
        <v>46.75</v>
      </c>
      <c r="P1800" s="116">
        <v>46.875</v>
      </c>
      <c r="Q1800" s="116">
        <v>94.35</v>
      </c>
      <c r="R1800">
        <v>1009601</v>
      </c>
    </row>
    <row r="1801" spans="1:18" x14ac:dyDescent="0.25">
      <c r="A1801" s="169">
        <v>44656</v>
      </c>
      <c r="B1801" s="116">
        <v>48.225000000000001</v>
      </c>
      <c r="C1801" s="116">
        <v>47.875</v>
      </c>
      <c r="D1801" s="116">
        <v>47.25</v>
      </c>
      <c r="E1801" s="116">
        <v>47.5</v>
      </c>
      <c r="F1801" s="116">
        <v>95.75</v>
      </c>
      <c r="G1801">
        <v>199371</v>
      </c>
      <c r="H1801" s="116"/>
      <c r="I1801" s="116"/>
      <c r="L1801" s="169">
        <v>44656</v>
      </c>
      <c r="M1801" s="116">
        <v>47.825000000000003</v>
      </c>
      <c r="N1801" s="116">
        <v>48.25</v>
      </c>
      <c r="O1801" s="116">
        <v>47.25</v>
      </c>
      <c r="P1801" s="116">
        <v>47.25</v>
      </c>
      <c r="Q1801" s="116">
        <v>95.65</v>
      </c>
      <c r="R1801">
        <v>1188231</v>
      </c>
    </row>
    <row r="1802" spans="1:18" x14ac:dyDescent="0.25">
      <c r="A1802" s="169">
        <v>44657</v>
      </c>
      <c r="B1802" s="116">
        <v>49.424999999999997</v>
      </c>
      <c r="C1802" s="116">
        <v>48.875</v>
      </c>
      <c r="D1802" s="116">
        <v>47.375</v>
      </c>
      <c r="E1802" s="116">
        <v>47.5</v>
      </c>
      <c r="F1802" s="116">
        <v>97.75</v>
      </c>
      <c r="G1802">
        <v>261804</v>
      </c>
      <c r="H1802" s="116"/>
      <c r="I1802" s="116"/>
      <c r="L1802" s="169">
        <v>44657</v>
      </c>
      <c r="M1802" s="116">
        <v>48.85</v>
      </c>
      <c r="N1802" s="116">
        <v>49.45</v>
      </c>
      <c r="O1802" s="116">
        <v>47.35</v>
      </c>
      <c r="P1802" s="116">
        <v>47.375</v>
      </c>
      <c r="Q1802" s="116">
        <v>97.7</v>
      </c>
      <c r="R1802">
        <v>2018721</v>
      </c>
    </row>
    <row r="1803" spans="1:18" x14ac:dyDescent="0.25">
      <c r="A1803" s="169">
        <v>44658</v>
      </c>
      <c r="B1803" s="116">
        <v>49.725000000000001</v>
      </c>
      <c r="C1803" s="116">
        <v>47.875</v>
      </c>
      <c r="D1803" s="116">
        <v>47.7</v>
      </c>
      <c r="E1803" s="116">
        <v>48.85</v>
      </c>
      <c r="F1803" s="116">
        <v>95.75</v>
      </c>
      <c r="G1803">
        <v>221951</v>
      </c>
      <c r="H1803" s="116"/>
      <c r="I1803" s="116"/>
      <c r="L1803" s="169">
        <v>44658</v>
      </c>
      <c r="M1803" s="116">
        <v>47.9</v>
      </c>
      <c r="N1803" s="116">
        <v>49.75</v>
      </c>
      <c r="O1803" s="116">
        <v>47.625</v>
      </c>
      <c r="P1803" s="116">
        <v>49.15</v>
      </c>
      <c r="Q1803" s="116">
        <v>95.8</v>
      </c>
      <c r="R1803">
        <v>1712348</v>
      </c>
    </row>
    <row r="1804" spans="1:18" x14ac:dyDescent="0.25">
      <c r="A1804" s="169">
        <v>44659</v>
      </c>
      <c r="B1804" s="116">
        <v>49.55</v>
      </c>
      <c r="C1804" s="116">
        <v>48.424999999999997</v>
      </c>
      <c r="D1804" s="116">
        <v>47.975000000000001</v>
      </c>
      <c r="E1804" s="116">
        <v>48.325000000000003</v>
      </c>
      <c r="F1804" s="116">
        <v>96.85</v>
      </c>
      <c r="G1804">
        <v>76122</v>
      </c>
      <c r="H1804" s="116"/>
      <c r="I1804" s="116"/>
      <c r="L1804" s="169">
        <v>44659</v>
      </c>
      <c r="M1804" s="116">
        <v>48.375</v>
      </c>
      <c r="N1804" s="116">
        <v>48.65</v>
      </c>
      <c r="O1804" s="116">
        <v>47.95</v>
      </c>
      <c r="P1804" s="116">
        <v>48.174999999999997</v>
      </c>
      <c r="Q1804" s="116">
        <v>96.75</v>
      </c>
      <c r="R1804">
        <v>799967</v>
      </c>
    </row>
    <row r="1805" spans="1:18" x14ac:dyDescent="0.25">
      <c r="A1805" s="169">
        <v>44662</v>
      </c>
      <c r="B1805" s="116">
        <v>49.35</v>
      </c>
      <c r="C1805" s="116">
        <v>48.375</v>
      </c>
      <c r="D1805" s="116">
        <v>48.274999999999999</v>
      </c>
      <c r="E1805" s="116">
        <v>49.35</v>
      </c>
      <c r="F1805" s="116">
        <v>96.75</v>
      </c>
      <c r="G1805">
        <v>109865</v>
      </c>
      <c r="H1805" s="116"/>
      <c r="I1805" s="116"/>
      <c r="L1805" s="169">
        <v>44662</v>
      </c>
      <c r="M1805" s="116">
        <v>48.4</v>
      </c>
      <c r="N1805" s="116">
        <v>49.1</v>
      </c>
      <c r="O1805" s="116">
        <v>48.25</v>
      </c>
      <c r="P1805" s="116">
        <v>48.65</v>
      </c>
      <c r="Q1805" s="116">
        <v>96.8</v>
      </c>
      <c r="R1805">
        <v>660891</v>
      </c>
    </row>
    <row r="1806" spans="1:18" x14ac:dyDescent="0.25">
      <c r="A1806" s="169">
        <v>44663</v>
      </c>
      <c r="B1806" s="116">
        <v>48.7</v>
      </c>
      <c r="C1806" s="116">
        <v>47.1</v>
      </c>
      <c r="D1806" s="116">
        <v>46.85</v>
      </c>
      <c r="E1806" s="116">
        <v>48.7</v>
      </c>
      <c r="F1806" s="116">
        <v>94.2</v>
      </c>
      <c r="G1806">
        <v>81082</v>
      </c>
      <c r="H1806" s="116"/>
      <c r="I1806" s="116"/>
      <c r="L1806" s="169">
        <v>44663</v>
      </c>
      <c r="M1806" s="116">
        <v>47.05</v>
      </c>
      <c r="N1806" s="116">
        <v>48.5</v>
      </c>
      <c r="O1806" s="116">
        <v>46.774999999999999</v>
      </c>
      <c r="P1806" s="116">
        <v>48.5</v>
      </c>
      <c r="Q1806" s="116">
        <v>94.1</v>
      </c>
      <c r="R1806">
        <v>955324</v>
      </c>
    </row>
    <row r="1807" spans="1:18" x14ac:dyDescent="0.25">
      <c r="A1807" s="169">
        <v>44664</v>
      </c>
      <c r="B1807" s="116">
        <v>48.25</v>
      </c>
      <c r="C1807" s="116">
        <v>47.75</v>
      </c>
      <c r="D1807" s="116">
        <v>47.5</v>
      </c>
      <c r="E1807" s="116">
        <v>47.5</v>
      </c>
      <c r="F1807" s="116">
        <v>95.5</v>
      </c>
      <c r="G1807">
        <v>94390</v>
      </c>
      <c r="H1807" s="116"/>
      <c r="I1807" s="116"/>
      <c r="L1807" s="169">
        <v>44664</v>
      </c>
      <c r="M1807" s="116">
        <v>47.774999999999999</v>
      </c>
      <c r="N1807" s="116">
        <v>48.25</v>
      </c>
      <c r="O1807" s="116">
        <v>47.35</v>
      </c>
      <c r="P1807" s="116">
        <v>47.35</v>
      </c>
      <c r="Q1807" s="116">
        <v>95.55</v>
      </c>
      <c r="R1807">
        <v>689010</v>
      </c>
    </row>
    <row r="1808" spans="1:18" x14ac:dyDescent="0.25">
      <c r="A1808" s="169">
        <v>44669</v>
      </c>
      <c r="B1808" s="116">
        <v>48.5</v>
      </c>
      <c r="C1808" s="116">
        <v>48.024999999999999</v>
      </c>
      <c r="D1808" s="116">
        <v>46.825000000000003</v>
      </c>
      <c r="E1808" s="116">
        <v>48.5</v>
      </c>
      <c r="F1808" s="116">
        <v>96.05</v>
      </c>
      <c r="G1808">
        <v>95546</v>
      </c>
      <c r="H1808" s="116"/>
      <c r="I1808" s="116"/>
      <c r="L1808" s="169">
        <v>44669</v>
      </c>
      <c r="M1808" s="116">
        <v>48.05</v>
      </c>
      <c r="N1808" s="116">
        <v>48.25</v>
      </c>
      <c r="O1808" s="116">
        <v>47.05</v>
      </c>
      <c r="P1808" s="116">
        <v>47.774999999999999</v>
      </c>
      <c r="Q1808" s="116">
        <v>96.1</v>
      </c>
      <c r="R1808">
        <v>801828</v>
      </c>
    </row>
    <row r="1809" spans="1:18" x14ac:dyDescent="0.25">
      <c r="A1809" s="169">
        <v>44670</v>
      </c>
      <c r="B1809" s="116">
        <v>50.7</v>
      </c>
      <c r="C1809" s="116">
        <v>48.524999999999999</v>
      </c>
      <c r="D1809" s="116">
        <v>47.95</v>
      </c>
      <c r="E1809" s="116">
        <v>48.5</v>
      </c>
      <c r="F1809" s="116">
        <v>97.05</v>
      </c>
      <c r="G1809">
        <v>281379</v>
      </c>
      <c r="H1809" s="116"/>
      <c r="I1809" s="116"/>
      <c r="L1809" s="169">
        <v>44670</v>
      </c>
      <c r="M1809" s="116">
        <v>48.6</v>
      </c>
      <c r="N1809" s="116">
        <v>50.75</v>
      </c>
      <c r="O1809" s="116">
        <v>48</v>
      </c>
      <c r="P1809" s="116">
        <v>48.35</v>
      </c>
      <c r="Q1809" s="116">
        <v>97.2</v>
      </c>
      <c r="R1809">
        <v>3165291</v>
      </c>
    </row>
    <row r="1810" spans="1:18" x14ac:dyDescent="0.25">
      <c r="A1810" s="169">
        <v>44671</v>
      </c>
      <c r="B1810" s="116">
        <v>51.1</v>
      </c>
      <c r="C1810" s="116">
        <v>48.9</v>
      </c>
      <c r="D1810" s="116">
        <v>48.325000000000003</v>
      </c>
      <c r="E1810" s="116">
        <v>51.1</v>
      </c>
      <c r="F1810" s="116">
        <v>97.8</v>
      </c>
      <c r="G1810">
        <v>190886</v>
      </c>
      <c r="H1810" s="116"/>
      <c r="I1810" s="116"/>
      <c r="L1810" s="169">
        <v>44671</v>
      </c>
      <c r="M1810" s="116">
        <v>48.924999999999997</v>
      </c>
      <c r="N1810" s="116">
        <v>50.55</v>
      </c>
      <c r="O1810" s="116">
        <v>48.325000000000003</v>
      </c>
      <c r="P1810" s="116">
        <v>49.5</v>
      </c>
      <c r="Q1810" s="116">
        <v>97.85</v>
      </c>
      <c r="R1810">
        <v>1621452</v>
      </c>
    </row>
    <row r="1811" spans="1:18" x14ac:dyDescent="0.25">
      <c r="A1811" s="169">
        <v>44672</v>
      </c>
      <c r="B1811" s="116">
        <v>49.774999999999999</v>
      </c>
      <c r="C1811" s="116">
        <v>48.875</v>
      </c>
      <c r="D1811" s="116">
        <v>48.575000000000003</v>
      </c>
      <c r="E1811" s="116">
        <v>49.6</v>
      </c>
      <c r="F1811" s="116">
        <v>97.75</v>
      </c>
      <c r="G1811">
        <v>75737</v>
      </c>
      <c r="H1811" s="116"/>
      <c r="I1811" s="116"/>
      <c r="L1811" s="169">
        <v>44672</v>
      </c>
      <c r="M1811" s="116">
        <v>48.924999999999997</v>
      </c>
      <c r="N1811" s="116">
        <v>49.85</v>
      </c>
      <c r="O1811" s="116">
        <v>48.524999999999999</v>
      </c>
      <c r="P1811" s="116">
        <v>49.7</v>
      </c>
      <c r="Q1811" s="116">
        <v>97.85</v>
      </c>
      <c r="R1811">
        <v>837646</v>
      </c>
    </row>
    <row r="1812" spans="1:18" x14ac:dyDescent="0.25">
      <c r="A1812" s="169">
        <v>44673</v>
      </c>
      <c r="B1812" s="116">
        <v>50.3</v>
      </c>
      <c r="C1812" s="116">
        <v>48.8</v>
      </c>
      <c r="D1812" s="116">
        <v>48.5</v>
      </c>
      <c r="E1812" s="116">
        <v>49.65</v>
      </c>
      <c r="F1812" s="116">
        <v>97.6</v>
      </c>
      <c r="G1812">
        <v>106778</v>
      </c>
      <c r="H1812" s="116"/>
      <c r="I1812" s="116"/>
      <c r="L1812" s="169">
        <v>44673</v>
      </c>
      <c r="M1812" s="116">
        <v>48.875</v>
      </c>
      <c r="N1812" s="116">
        <v>50.3</v>
      </c>
      <c r="O1812" s="116">
        <v>48.424999999999997</v>
      </c>
      <c r="P1812" s="116">
        <v>48.5</v>
      </c>
      <c r="Q1812" s="116">
        <v>97.75</v>
      </c>
      <c r="R1812">
        <v>1112803</v>
      </c>
    </row>
    <row r="1813" spans="1:18" x14ac:dyDescent="0.25">
      <c r="A1813" s="169">
        <v>44676</v>
      </c>
      <c r="B1813" s="116">
        <v>48.55</v>
      </c>
      <c r="C1813" s="116">
        <v>46.85</v>
      </c>
      <c r="D1813" s="116">
        <v>46.65</v>
      </c>
      <c r="E1813" s="116">
        <v>48.45</v>
      </c>
      <c r="F1813" s="116">
        <v>93.7</v>
      </c>
      <c r="G1813">
        <v>88458</v>
      </c>
      <c r="H1813" s="116"/>
      <c r="I1813" s="116"/>
      <c r="L1813" s="169">
        <v>44676</v>
      </c>
      <c r="M1813" s="116">
        <v>46.8</v>
      </c>
      <c r="N1813" s="116">
        <v>48.725000000000001</v>
      </c>
      <c r="O1813" s="116">
        <v>46.6</v>
      </c>
      <c r="P1813" s="116">
        <v>48.725000000000001</v>
      </c>
      <c r="Q1813" s="116">
        <v>93.6</v>
      </c>
      <c r="R1813">
        <v>949641</v>
      </c>
    </row>
    <row r="1814" spans="1:18" x14ac:dyDescent="0.25">
      <c r="A1814" s="169">
        <v>44677</v>
      </c>
      <c r="B1814" s="116">
        <v>47.674999999999997</v>
      </c>
      <c r="C1814" s="116">
        <v>46.725000000000001</v>
      </c>
      <c r="D1814" s="116">
        <v>46.475000000000001</v>
      </c>
      <c r="E1814" s="116">
        <v>47</v>
      </c>
      <c r="F1814" s="116">
        <v>93.45</v>
      </c>
      <c r="G1814">
        <v>55423</v>
      </c>
      <c r="H1814" s="116"/>
      <c r="I1814" s="116"/>
      <c r="L1814" s="169">
        <v>44677</v>
      </c>
      <c r="M1814" s="116">
        <v>46.7</v>
      </c>
      <c r="N1814" s="116">
        <v>47.7</v>
      </c>
      <c r="O1814" s="116">
        <v>46.424999999999997</v>
      </c>
      <c r="P1814" s="116">
        <v>47.25</v>
      </c>
      <c r="Q1814" s="116">
        <v>93.4</v>
      </c>
      <c r="R1814">
        <v>488877</v>
      </c>
    </row>
    <row r="1815" spans="1:18" x14ac:dyDescent="0.25">
      <c r="A1815" s="169">
        <v>44678</v>
      </c>
      <c r="B1815" s="116">
        <v>46.95</v>
      </c>
      <c r="C1815" s="116">
        <v>46</v>
      </c>
      <c r="D1815" s="116">
        <v>45.3</v>
      </c>
      <c r="E1815" s="116">
        <v>46.725000000000001</v>
      </c>
      <c r="F1815" s="116">
        <v>92</v>
      </c>
      <c r="G1815">
        <v>104012</v>
      </c>
      <c r="H1815" s="116"/>
      <c r="I1815" s="116"/>
      <c r="L1815" s="169">
        <v>44678</v>
      </c>
      <c r="M1815" s="116">
        <v>46.024999999999999</v>
      </c>
      <c r="N1815" s="116">
        <v>46.924999999999997</v>
      </c>
      <c r="O1815" s="116">
        <v>45.274999999999999</v>
      </c>
      <c r="P1815" s="116">
        <v>46.5</v>
      </c>
      <c r="Q1815" s="116">
        <v>92.05</v>
      </c>
      <c r="R1815">
        <v>764992</v>
      </c>
    </row>
    <row r="1816" spans="1:18" x14ac:dyDescent="0.25">
      <c r="A1816" s="169">
        <v>44679</v>
      </c>
      <c r="B1816" s="116">
        <v>46.774999999999999</v>
      </c>
      <c r="C1816" s="116">
        <v>46.174999999999997</v>
      </c>
      <c r="D1816" s="116">
        <v>45.875</v>
      </c>
      <c r="E1816" s="116">
        <v>46.725000000000001</v>
      </c>
      <c r="F1816" s="116">
        <v>92.35</v>
      </c>
      <c r="G1816">
        <v>50981</v>
      </c>
      <c r="H1816" s="116"/>
      <c r="I1816" s="116"/>
      <c r="L1816" s="169">
        <v>44679</v>
      </c>
      <c r="M1816" s="116">
        <v>46.225000000000001</v>
      </c>
      <c r="N1816" s="116">
        <v>46.774999999999999</v>
      </c>
      <c r="O1816" s="116">
        <v>45.85</v>
      </c>
      <c r="P1816" s="116">
        <v>46.4</v>
      </c>
      <c r="Q1816" s="116">
        <v>92.45</v>
      </c>
      <c r="R1816">
        <v>513152</v>
      </c>
    </row>
    <row r="1817" spans="1:18" x14ac:dyDescent="0.25">
      <c r="A1817" s="169">
        <v>44680</v>
      </c>
      <c r="B1817" s="116">
        <v>46.924999999999997</v>
      </c>
      <c r="C1817" s="116">
        <v>46.2</v>
      </c>
      <c r="D1817" s="116">
        <v>45.95</v>
      </c>
      <c r="E1817" s="116">
        <v>46.575000000000003</v>
      </c>
      <c r="F1817" s="116">
        <v>92.4</v>
      </c>
      <c r="G1817">
        <v>61021</v>
      </c>
      <c r="H1817" s="116"/>
      <c r="I1817" s="116"/>
      <c r="L1817" s="169">
        <v>44680</v>
      </c>
      <c r="M1817" s="116">
        <v>46.174999999999997</v>
      </c>
      <c r="N1817" s="116">
        <v>47</v>
      </c>
      <c r="O1817" s="116">
        <v>45.95</v>
      </c>
      <c r="P1817" s="116">
        <v>46.7</v>
      </c>
      <c r="Q1817" s="116">
        <v>92.35</v>
      </c>
      <c r="R1817">
        <v>628572</v>
      </c>
    </row>
    <row r="1818" spans="1:18" x14ac:dyDescent="0.25">
      <c r="A1818" s="169">
        <v>44683</v>
      </c>
      <c r="B1818" s="116">
        <v>46.3</v>
      </c>
      <c r="C1818" s="116">
        <v>46.15</v>
      </c>
      <c r="D1818" s="116">
        <v>45.05</v>
      </c>
      <c r="E1818" s="116">
        <v>45.05</v>
      </c>
      <c r="F1818" s="116">
        <v>92.3</v>
      </c>
      <c r="G1818">
        <v>130762</v>
      </c>
      <c r="H1818" s="116"/>
      <c r="I1818" s="116"/>
      <c r="L1818" s="169">
        <v>44683</v>
      </c>
      <c r="M1818" s="116">
        <v>46.2</v>
      </c>
      <c r="N1818" s="116">
        <v>46.475000000000001</v>
      </c>
      <c r="O1818" s="116">
        <v>45.1</v>
      </c>
      <c r="P1818" s="116">
        <v>46</v>
      </c>
      <c r="Q1818" s="116">
        <v>92.4</v>
      </c>
      <c r="R1818">
        <v>601341</v>
      </c>
    </row>
    <row r="1819" spans="1:18" x14ac:dyDescent="0.25">
      <c r="A1819" s="169">
        <v>44685</v>
      </c>
      <c r="B1819" s="116">
        <v>46.95</v>
      </c>
      <c r="C1819" s="116">
        <v>45.075000000000003</v>
      </c>
      <c r="D1819" s="116">
        <v>44.375</v>
      </c>
      <c r="E1819" s="116">
        <v>46.95</v>
      </c>
      <c r="F1819" s="116">
        <v>90.15</v>
      </c>
      <c r="G1819">
        <v>106856</v>
      </c>
      <c r="H1819" s="116"/>
      <c r="I1819" s="116"/>
      <c r="L1819" s="169">
        <v>44685</v>
      </c>
      <c r="M1819" s="116">
        <v>45.05</v>
      </c>
      <c r="N1819" s="116">
        <v>46.875</v>
      </c>
      <c r="O1819" s="116">
        <v>44.35</v>
      </c>
      <c r="P1819" s="116">
        <v>46.3</v>
      </c>
      <c r="Q1819" s="116">
        <v>90.1</v>
      </c>
      <c r="R1819">
        <v>888439</v>
      </c>
    </row>
    <row r="1820" spans="1:18" x14ac:dyDescent="0.25">
      <c r="A1820" s="169">
        <v>44686</v>
      </c>
      <c r="B1820" s="116">
        <v>45.674999999999997</v>
      </c>
      <c r="C1820" s="116">
        <v>44.9</v>
      </c>
      <c r="D1820" s="116">
        <v>44.375</v>
      </c>
      <c r="E1820" s="116">
        <v>45.5</v>
      </c>
      <c r="F1820" s="116">
        <v>89.8</v>
      </c>
      <c r="G1820">
        <v>83532</v>
      </c>
      <c r="H1820" s="116"/>
      <c r="I1820" s="116"/>
      <c r="L1820" s="169">
        <v>44686</v>
      </c>
      <c r="M1820" s="116">
        <v>44.975000000000001</v>
      </c>
      <c r="N1820" s="116">
        <v>45.65</v>
      </c>
      <c r="O1820" s="116">
        <v>44.424999999999997</v>
      </c>
      <c r="P1820" s="116">
        <v>45.424999999999997</v>
      </c>
      <c r="Q1820" s="116">
        <v>89.95</v>
      </c>
      <c r="R1820">
        <v>584982</v>
      </c>
    </row>
    <row r="1821" spans="1:18" x14ac:dyDescent="0.25">
      <c r="A1821" s="169">
        <v>44687</v>
      </c>
      <c r="B1821" s="116">
        <v>45.9</v>
      </c>
      <c r="C1821" s="116">
        <v>45.3</v>
      </c>
      <c r="D1821" s="116">
        <v>43.024999999999999</v>
      </c>
      <c r="E1821" s="116">
        <v>43.024999999999999</v>
      </c>
      <c r="F1821" s="116">
        <v>90.6</v>
      </c>
      <c r="G1821">
        <v>106796</v>
      </c>
      <c r="H1821" s="116"/>
      <c r="I1821" s="116"/>
      <c r="L1821" s="169">
        <v>44687</v>
      </c>
      <c r="M1821" s="116">
        <v>45.325000000000003</v>
      </c>
      <c r="N1821" s="116">
        <v>46</v>
      </c>
      <c r="O1821" s="116">
        <v>43.2</v>
      </c>
      <c r="P1821" s="116">
        <v>44.4</v>
      </c>
      <c r="Q1821" s="116">
        <v>90.65</v>
      </c>
      <c r="R1821">
        <v>1168701</v>
      </c>
    </row>
    <row r="1822" spans="1:18" x14ac:dyDescent="0.25">
      <c r="A1822" s="169">
        <v>44690</v>
      </c>
      <c r="B1822" s="116">
        <v>45.35</v>
      </c>
      <c r="C1822" s="116">
        <v>43.5</v>
      </c>
      <c r="D1822" s="116">
        <v>43.174999999999997</v>
      </c>
      <c r="E1822" s="116">
        <v>45.35</v>
      </c>
      <c r="F1822" s="116">
        <v>87</v>
      </c>
      <c r="G1822">
        <v>93280</v>
      </c>
      <c r="H1822" s="116"/>
      <c r="I1822" s="116"/>
      <c r="L1822" s="169">
        <v>44690</v>
      </c>
      <c r="M1822" s="116">
        <v>43.55</v>
      </c>
      <c r="N1822" s="116">
        <v>44.975000000000001</v>
      </c>
      <c r="O1822" s="116">
        <v>43.15</v>
      </c>
      <c r="P1822" s="116">
        <v>44.625</v>
      </c>
      <c r="Q1822" s="116">
        <v>87.1</v>
      </c>
      <c r="R1822">
        <v>996581</v>
      </c>
    </row>
    <row r="1823" spans="1:18" x14ac:dyDescent="0.25">
      <c r="A1823" s="169">
        <v>44691</v>
      </c>
      <c r="B1823" s="116">
        <v>44.4</v>
      </c>
      <c r="C1823" s="116">
        <v>42.524999999999999</v>
      </c>
      <c r="D1823" s="116">
        <v>42.2</v>
      </c>
      <c r="E1823" s="116">
        <v>44.4</v>
      </c>
      <c r="F1823" s="116">
        <v>85.05</v>
      </c>
      <c r="G1823">
        <v>61810</v>
      </c>
      <c r="H1823" s="116"/>
      <c r="I1823" s="116"/>
      <c r="L1823" s="169">
        <v>44691</v>
      </c>
      <c r="M1823" s="116">
        <v>42.4</v>
      </c>
      <c r="N1823" s="116">
        <v>44.325000000000003</v>
      </c>
      <c r="O1823" s="116">
        <v>42.1</v>
      </c>
      <c r="P1823" s="116">
        <v>43.85</v>
      </c>
      <c r="Q1823" s="116">
        <v>84.8</v>
      </c>
      <c r="R1823">
        <v>631557</v>
      </c>
    </row>
    <row r="1824" spans="1:18" x14ac:dyDescent="0.25">
      <c r="A1824" s="169">
        <v>44692</v>
      </c>
      <c r="B1824" s="116">
        <v>42.9</v>
      </c>
      <c r="C1824" s="116">
        <v>40.924999999999997</v>
      </c>
      <c r="D1824" s="116">
        <v>40.049999999999997</v>
      </c>
      <c r="E1824" s="116">
        <v>41.625</v>
      </c>
      <c r="F1824" s="116">
        <v>81.849999999999994</v>
      </c>
      <c r="G1824">
        <v>125480</v>
      </c>
      <c r="H1824" s="116"/>
      <c r="I1824" s="116"/>
      <c r="L1824" s="169">
        <v>44692</v>
      </c>
      <c r="M1824" s="116">
        <v>40.924999999999997</v>
      </c>
      <c r="N1824" s="116">
        <v>42.95</v>
      </c>
      <c r="O1824" s="116">
        <v>40.049999999999997</v>
      </c>
      <c r="P1824" s="116">
        <v>42.725000000000001</v>
      </c>
      <c r="Q1824" s="116">
        <v>81.849999999999994</v>
      </c>
      <c r="R1824">
        <v>894144</v>
      </c>
    </row>
    <row r="1825" spans="1:18" x14ac:dyDescent="0.25">
      <c r="A1825" s="169">
        <v>44693</v>
      </c>
      <c r="B1825" s="116">
        <v>41</v>
      </c>
      <c r="C1825" s="116">
        <v>39.575000000000003</v>
      </c>
      <c r="D1825" s="116">
        <v>38.799999999999997</v>
      </c>
      <c r="E1825" s="116">
        <v>40.174999999999997</v>
      </c>
      <c r="F1825" s="116">
        <v>79.150000000000006</v>
      </c>
      <c r="G1825">
        <v>135851</v>
      </c>
      <c r="H1825" s="116"/>
      <c r="I1825" s="116"/>
      <c r="L1825" s="169">
        <v>44693</v>
      </c>
      <c r="M1825" s="116">
        <v>39.65</v>
      </c>
      <c r="N1825" s="116">
        <v>40.950000000000003</v>
      </c>
      <c r="O1825" s="116">
        <v>38.799999999999997</v>
      </c>
      <c r="P1825" s="116">
        <v>40.950000000000003</v>
      </c>
      <c r="Q1825" s="116">
        <v>79.3</v>
      </c>
      <c r="R1825">
        <v>880082</v>
      </c>
    </row>
    <row r="1826" spans="1:18" x14ac:dyDescent="0.25">
      <c r="A1826" s="169">
        <v>44694</v>
      </c>
      <c r="B1826" s="116">
        <v>41.125</v>
      </c>
      <c r="C1826" s="116">
        <v>40.25</v>
      </c>
      <c r="D1826" s="116">
        <v>39.75</v>
      </c>
      <c r="E1826" s="116">
        <v>40.375</v>
      </c>
      <c r="F1826" s="116">
        <v>80.5</v>
      </c>
      <c r="G1826">
        <v>124024</v>
      </c>
      <c r="H1826" s="116"/>
      <c r="I1826" s="116"/>
      <c r="L1826" s="169">
        <v>44694</v>
      </c>
      <c r="M1826" s="116">
        <v>40</v>
      </c>
      <c r="N1826" s="116">
        <v>41.125</v>
      </c>
      <c r="O1826" s="116">
        <v>39.700000000000003</v>
      </c>
      <c r="P1826" s="116">
        <v>40.5</v>
      </c>
      <c r="Q1826" s="116">
        <v>80</v>
      </c>
      <c r="R1826">
        <v>753497</v>
      </c>
    </row>
    <row r="1827" spans="1:18" x14ac:dyDescent="0.25">
      <c r="A1827" s="169">
        <v>44697</v>
      </c>
      <c r="B1827" s="116">
        <v>40.924999999999997</v>
      </c>
      <c r="C1827" s="116">
        <v>40.674999999999997</v>
      </c>
      <c r="D1827" s="116">
        <v>39.4</v>
      </c>
      <c r="E1827" s="116">
        <v>40.024999999999999</v>
      </c>
      <c r="F1827" s="116">
        <v>81.349999999999994</v>
      </c>
      <c r="G1827">
        <v>54328</v>
      </c>
      <c r="H1827" s="116"/>
      <c r="I1827" s="116"/>
      <c r="L1827" s="169">
        <v>44697</v>
      </c>
      <c r="M1827" s="116">
        <v>40.725000000000001</v>
      </c>
      <c r="N1827" s="116">
        <v>40.950000000000003</v>
      </c>
      <c r="O1827" s="116">
        <v>39.35</v>
      </c>
      <c r="P1827" s="116">
        <v>40.65</v>
      </c>
      <c r="Q1827" s="116">
        <v>81.45</v>
      </c>
      <c r="R1827">
        <v>384044</v>
      </c>
    </row>
    <row r="1828" spans="1:18" x14ac:dyDescent="0.25">
      <c r="A1828" s="169">
        <v>44698</v>
      </c>
      <c r="B1828" s="116">
        <v>43.8</v>
      </c>
      <c r="C1828" s="116">
        <v>43.45</v>
      </c>
      <c r="D1828" s="116">
        <v>41.1</v>
      </c>
      <c r="E1828" s="116">
        <v>41.174999999999997</v>
      </c>
      <c r="F1828" s="116">
        <v>86.9</v>
      </c>
      <c r="G1828">
        <v>64168</v>
      </c>
      <c r="H1828" s="116"/>
      <c r="I1828" s="116"/>
      <c r="L1828" s="169">
        <v>44698</v>
      </c>
      <c r="M1828" s="116">
        <v>43.575000000000003</v>
      </c>
      <c r="N1828" s="116">
        <v>43.875</v>
      </c>
      <c r="O1828" s="116">
        <v>40.75</v>
      </c>
      <c r="P1828" s="116">
        <v>40.75</v>
      </c>
      <c r="Q1828" s="116">
        <v>87.15</v>
      </c>
      <c r="R1828">
        <v>792843</v>
      </c>
    </row>
    <row r="1829" spans="1:18" x14ac:dyDescent="0.25">
      <c r="A1829" s="169">
        <v>44699</v>
      </c>
      <c r="B1829" s="116">
        <v>43.75</v>
      </c>
      <c r="C1829" s="116">
        <v>43.15</v>
      </c>
      <c r="D1829" s="116">
        <v>42.825000000000003</v>
      </c>
      <c r="E1829" s="116">
        <v>43.45</v>
      </c>
      <c r="F1829" s="116">
        <v>86.3</v>
      </c>
      <c r="G1829">
        <v>40349</v>
      </c>
      <c r="H1829" s="116"/>
      <c r="I1829" s="116"/>
      <c r="L1829" s="169">
        <v>44699</v>
      </c>
      <c r="M1829" s="116">
        <v>43.075000000000003</v>
      </c>
      <c r="N1829" s="116">
        <v>43.75</v>
      </c>
      <c r="O1829" s="116">
        <v>42.75</v>
      </c>
      <c r="P1829" s="116">
        <v>43.575000000000003</v>
      </c>
      <c r="Q1829" s="116">
        <v>86.15</v>
      </c>
      <c r="R1829">
        <v>497352</v>
      </c>
    </row>
    <row r="1830" spans="1:18" x14ac:dyDescent="0.25">
      <c r="A1830" s="169">
        <v>44700</v>
      </c>
      <c r="B1830" s="116">
        <v>42.225000000000001</v>
      </c>
      <c r="C1830" s="116">
        <v>41.6</v>
      </c>
      <c r="D1830" s="116">
        <v>41.174999999999997</v>
      </c>
      <c r="E1830" s="116">
        <v>41.174999999999997</v>
      </c>
      <c r="F1830" s="116">
        <v>83.2</v>
      </c>
      <c r="G1830">
        <v>52422</v>
      </c>
      <c r="H1830" s="116"/>
      <c r="I1830" s="116"/>
      <c r="L1830" s="169">
        <v>44700</v>
      </c>
      <c r="M1830" s="116">
        <v>41.55</v>
      </c>
      <c r="N1830" s="116">
        <v>42.25</v>
      </c>
      <c r="O1830" s="116">
        <v>41.3</v>
      </c>
      <c r="P1830" s="116">
        <v>42.024999999999999</v>
      </c>
      <c r="Q1830" s="116">
        <v>83.1</v>
      </c>
      <c r="R1830">
        <v>398969</v>
      </c>
    </row>
    <row r="1831" spans="1:18" x14ac:dyDescent="0.25">
      <c r="A1831" s="169">
        <v>44701</v>
      </c>
      <c r="B1831" s="116">
        <v>47.875</v>
      </c>
      <c r="C1831" s="116">
        <v>46.3</v>
      </c>
      <c r="D1831" s="116">
        <v>42.225000000000001</v>
      </c>
      <c r="E1831" s="116">
        <v>42.424999999999997</v>
      </c>
      <c r="F1831" s="116">
        <v>92.6</v>
      </c>
      <c r="G1831">
        <v>350272</v>
      </c>
      <c r="H1831" s="116"/>
      <c r="I1831" s="116"/>
      <c r="L1831" s="169">
        <v>44701</v>
      </c>
      <c r="M1831" s="116">
        <v>46.375</v>
      </c>
      <c r="N1831" s="116">
        <v>47.95</v>
      </c>
      <c r="O1831" s="116">
        <v>42.2</v>
      </c>
      <c r="P1831" s="116">
        <v>42.2</v>
      </c>
      <c r="Q1831" s="116">
        <v>92.75</v>
      </c>
      <c r="R1831">
        <v>4652947</v>
      </c>
    </row>
    <row r="1832" spans="1:18" x14ac:dyDescent="0.25">
      <c r="A1832" s="169">
        <v>44704</v>
      </c>
      <c r="B1832" s="116">
        <v>46.3</v>
      </c>
      <c r="C1832" s="116">
        <v>43.7</v>
      </c>
      <c r="D1832" s="116">
        <v>43.225000000000001</v>
      </c>
      <c r="E1832" s="116">
        <v>46.3</v>
      </c>
      <c r="F1832" s="116">
        <v>87.4</v>
      </c>
      <c r="G1832">
        <v>94266</v>
      </c>
      <c r="H1832" s="116"/>
      <c r="I1832" s="116"/>
      <c r="L1832" s="169">
        <v>44704</v>
      </c>
      <c r="M1832" s="116">
        <v>43.725000000000001</v>
      </c>
      <c r="N1832" s="116">
        <v>46.2</v>
      </c>
      <c r="O1832" s="116">
        <v>43.2</v>
      </c>
      <c r="P1832" s="116">
        <v>46.2</v>
      </c>
      <c r="Q1832" s="116">
        <v>87.45</v>
      </c>
      <c r="R1832">
        <v>1785291</v>
      </c>
    </row>
    <row r="1833" spans="1:18" x14ac:dyDescent="0.25">
      <c r="A1833" s="169">
        <v>44705</v>
      </c>
      <c r="B1833" s="116">
        <v>44.5</v>
      </c>
      <c r="C1833" s="116">
        <v>43.1</v>
      </c>
      <c r="D1833" s="116">
        <v>42.8</v>
      </c>
      <c r="E1833" s="116">
        <v>44.5</v>
      </c>
      <c r="F1833" s="116">
        <v>86.2</v>
      </c>
      <c r="G1833">
        <v>64426</v>
      </c>
      <c r="H1833" s="116"/>
      <c r="I1833" s="116"/>
      <c r="L1833" s="169">
        <v>44705</v>
      </c>
      <c r="M1833" s="116">
        <v>43.1</v>
      </c>
      <c r="N1833" s="116">
        <v>44.4</v>
      </c>
      <c r="O1833" s="116">
        <v>42.85</v>
      </c>
      <c r="P1833" s="116">
        <v>44.05</v>
      </c>
      <c r="Q1833" s="116">
        <v>86.2</v>
      </c>
      <c r="R1833">
        <v>615750</v>
      </c>
    </row>
    <row r="1834" spans="1:18" x14ac:dyDescent="0.25">
      <c r="A1834" s="169">
        <v>44706</v>
      </c>
      <c r="B1834" s="116">
        <v>43.6</v>
      </c>
      <c r="C1834" s="116">
        <v>42.225000000000001</v>
      </c>
      <c r="D1834" s="116">
        <v>41.8</v>
      </c>
      <c r="E1834" s="116">
        <v>43.35</v>
      </c>
      <c r="F1834" s="116">
        <v>84.45</v>
      </c>
      <c r="G1834">
        <v>67313</v>
      </c>
      <c r="H1834" s="116"/>
      <c r="I1834" s="116"/>
      <c r="L1834" s="169">
        <v>44706</v>
      </c>
      <c r="M1834" s="116">
        <v>42.35</v>
      </c>
      <c r="N1834" s="116">
        <v>43.625</v>
      </c>
      <c r="O1834" s="116">
        <v>41.5</v>
      </c>
      <c r="P1834" s="116">
        <v>43.475000000000001</v>
      </c>
      <c r="Q1834" s="116">
        <v>84.7</v>
      </c>
      <c r="R1834">
        <v>739819</v>
      </c>
    </row>
    <row r="1835" spans="1:18" x14ac:dyDescent="0.25">
      <c r="A1835" s="169">
        <v>44707</v>
      </c>
      <c r="B1835" s="116">
        <v>43</v>
      </c>
      <c r="C1835" s="116">
        <v>42.625</v>
      </c>
      <c r="D1835" s="116">
        <v>41.15</v>
      </c>
      <c r="E1835" s="116">
        <v>42.575000000000003</v>
      </c>
      <c r="F1835" s="116">
        <v>85.25</v>
      </c>
      <c r="G1835">
        <v>64320</v>
      </c>
      <c r="H1835" s="116"/>
      <c r="I1835" s="116"/>
      <c r="L1835" s="169">
        <v>44707</v>
      </c>
      <c r="M1835" s="116">
        <v>42.825000000000003</v>
      </c>
      <c r="N1835" s="116">
        <v>43.075000000000003</v>
      </c>
      <c r="O1835" s="116">
        <v>41.125</v>
      </c>
      <c r="P1835" s="116">
        <v>42.4</v>
      </c>
      <c r="Q1835" s="116">
        <v>85.65</v>
      </c>
      <c r="R1835">
        <v>724887</v>
      </c>
    </row>
    <row r="1836" spans="1:18" x14ac:dyDescent="0.25">
      <c r="A1836" s="169">
        <v>44708</v>
      </c>
      <c r="B1836" s="116">
        <v>43.375</v>
      </c>
      <c r="C1836" s="116">
        <v>42.024999999999999</v>
      </c>
      <c r="D1836" s="116">
        <v>41.825000000000003</v>
      </c>
      <c r="E1836" s="116">
        <v>42.975000000000001</v>
      </c>
      <c r="F1836" s="116">
        <v>84.05</v>
      </c>
      <c r="G1836">
        <v>43292</v>
      </c>
      <c r="H1836" s="116"/>
      <c r="I1836" s="116"/>
      <c r="L1836" s="169">
        <v>44708</v>
      </c>
      <c r="M1836" s="116">
        <v>42.024999999999999</v>
      </c>
      <c r="N1836" s="116">
        <v>43.375</v>
      </c>
      <c r="O1836" s="116">
        <v>41.8</v>
      </c>
      <c r="P1836" s="116">
        <v>43.125</v>
      </c>
      <c r="Q1836" s="116">
        <v>84.05</v>
      </c>
      <c r="R1836">
        <v>449514</v>
      </c>
    </row>
    <row r="1837" spans="1:18" x14ac:dyDescent="0.25">
      <c r="A1837" s="169">
        <v>44711</v>
      </c>
      <c r="B1837" s="116">
        <v>43.5</v>
      </c>
      <c r="C1837" s="116">
        <v>42.75</v>
      </c>
      <c r="D1837" s="116">
        <v>41.7</v>
      </c>
      <c r="E1837" s="116">
        <v>41.7</v>
      </c>
      <c r="F1837" s="116">
        <v>85.5</v>
      </c>
      <c r="G1837">
        <v>49294</v>
      </c>
      <c r="H1837" s="116"/>
      <c r="I1837" s="116"/>
      <c r="L1837" s="169">
        <v>44711</v>
      </c>
      <c r="M1837" s="116">
        <v>42.8</v>
      </c>
      <c r="N1837" s="116">
        <v>43.55</v>
      </c>
      <c r="O1837" s="116">
        <v>42.075000000000003</v>
      </c>
      <c r="P1837" s="116">
        <v>42.5</v>
      </c>
      <c r="Q1837" s="116">
        <v>85.6</v>
      </c>
      <c r="R1837">
        <v>322182</v>
      </c>
    </row>
    <row r="1838" spans="1:18" x14ac:dyDescent="0.25">
      <c r="A1838" s="169">
        <v>44712</v>
      </c>
      <c r="B1838" s="116">
        <v>43.85</v>
      </c>
      <c r="C1838" s="116">
        <v>43.475000000000001</v>
      </c>
      <c r="D1838" s="116">
        <v>43.05</v>
      </c>
      <c r="E1838" s="116">
        <v>43.475000000000001</v>
      </c>
      <c r="F1838" s="116">
        <v>86.95</v>
      </c>
      <c r="G1838">
        <v>41903</v>
      </c>
      <c r="H1838" s="116"/>
      <c r="I1838" s="116"/>
      <c r="L1838" s="169">
        <v>44712</v>
      </c>
      <c r="M1838" s="116">
        <v>43.424999999999997</v>
      </c>
      <c r="N1838" s="116">
        <v>44.25</v>
      </c>
      <c r="O1838" s="116">
        <v>43.024999999999999</v>
      </c>
      <c r="P1838" s="116">
        <v>43.45</v>
      </c>
      <c r="Q1838" s="116">
        <v>86.85</v>
      </c>
      <c r="R1838">
        <v>724949</v>
      </c>
    </row>
    <row r="1839" spans="1:18" x14ac:dyDescent="0.25">
      <c r="A1839" s="169">
        <v>44713</v>
      </c>
      <c r="B1839" s="116">
        <v>45.25</v>
      </c>
      <c r="C1839" s="116">
        <v>44.6</v>
      </c>
      <c r="D1839" s="116">
        <v>43.45</v>
      </c>
      <c r="E1839" s="116">
        <v>43.85</v>
      </c>
      <c r="F1839" s="116">
        <v>89.2</v>
      </c>
      <c r="G1839">
        <v>73951</v>
      </c>
      <c r="H1839" s="116"/>
      <c r="I1839" s="116"/>
      <c r="L1839" s="169">
        <v>44713</v>
      </c>
      <c r="M1839" s="116">
        <v>44.625</v>
      </c>
      <c r="N1839" s="116">
        <v>45.5</v>
      </c>
      <c r="O1839" s="116">
        <v>43.075000000000003</v>
      </c>
      <c r="P1839" s="116">
        <v>43.075000000000003</v>
      </c>
      <c r="Q1839" s="116">
        <v>89.25</v>
      </c>
      <c r="R1839">
        <v>922568</v>
      </c>
    </row>
    <row r="1840" spans="1:18" x14ac:dyDescent="0.25">
      <c r="A1840" s="169">
        <v>44714</v>
      </c>
      <c r="B1840" s="116">
        <v>44.75</v>
      </c>
      <c r="C1840" s="116">
        <v>43.924999999999997</v>
      </c>
      <c r="D1840" s="116">
        <v>43.8</v>
      </c>
      <c r="E1840" s="116">
        <v>44.6</v>
      </c>
      <c r="F1840" s="116">
        <v>87.85</v>
      </c>
      <c r="G1840">
        <v>27965</v>
      </c>
      <c r="H1840" s="116"/>
      <c r="I1840" s="116"/>
      <c r="L1840" s="169">
        <v>44714</v>
      </c>
      <c r="M1840" s="116">
        <v>43.975000000000001</v>
      </c>
      <c r="N1840" s="116">
        <v>44.8</v>
      </c>
      <c r="O1840" s="116">
        <v>43.8</v>
      </c>
      <c r="P1840" s="116">
        <v>44.05</v>
      </c>
      <c r="Q1840" s="116">
        <v>87.95</v>
      </c>
      <c r="R1840">
        <v>539285</v>
      </c>
    </row>
    <row r="1841" spans="1:18" x14ac:dyDescent="0.25">
      <c r="A1841" s="169">
        <v>44715</v>
      </c>
      <c r="B1841" s="116">
        <v>45.274999999999999</v>
      </c>
      <c r="C1841" s="116">
        <v>44.1</v>
      </c>
      <c r="D1841" s="116">
        <v>43.8</v>
      </c>
      <c r="E1841" s="116">
        <v>44.475000000000001</v>
      </c>
      <c r="F1841" s="116">
        <v>88.2</v>
      </c>
      <c r="G1841">
        <v>92130</v>
      </c>
      <c r="H1841" s="116"/>
      <c r="I1841" s="116"/>
      <c r="L1841" s="169">
        <v>44715</v>
      </c>
      <c r="M1841" s="116">
        <v>44.15</v>
      </c>
      <c r="N1841" s="116">
        <v>45.274999999999999</v>
      </c>
      <c r="O1841" s="116">
        <v>43.774999999999999</v>
      </c>
      <c r="P1841" s="116">
        <v>44.5</v>
      </c>
      <c r="Q1841" s="116">
        <v>88.3</v>
      </c>
      <c r="R1841">
        <v>724106</v>
      </c>
    </row>
    <row r="1842" spans="1:18" x14ac:dyDescent="0.25">
      <c r="A1842" s="169">
        <v>44718</v>
      </c>
      <c r="B1842" s="116">
        <v>44.5</v>
      </c>
      <c r="C1842" s="116">
        <v>44.325000000000003</v>
      </c>
      <c r="D1842" s="116">
        <v>43.35</v>
      </c>
      <c r="E1842" s="116">
        <v>44.05</v>
      </c>
      <c r="F1842" s="116">
        <v>88.65</v>
      </c>
      <c r="G1842">
        <v>44128</v>
      </c>
      <c r="H1842" s="116"/>
      <c r="I1842" s="116"/>
      <c r="L1842" s="169">
        <v>44718</v>
      </c>
      <c r="M1842" s="116">
        <v>44.274999999999999</v>
      </c>
      <c r="N1842" s="116">
        <v>44.575000000000003</v>
      </c>
      <c r="O1842" s="116">
        <v>43.3</v>
      </c>
      <c r="P1842" s="116">
        <v>44</v>
      </c>
      <c r="Q1842" s="116">
        <v>88.55</v>
      </c>
      <c r="R1842">
        <v>429812</v>
      </c>
    </row>
    <row r="1843" spans="1:18" x14ac:dyDescent="0.25">
      <c r="A1843" s="169">
        <v>44719</v>
      </c>
      <c r="B1843" s="116">
        <v>44.4</v>
      </c>
      <c r="C1843" s="116">
        <v>43.375</v>
      </c>
      <c r="D1843" s="116">
        <v>43</v>
      </c>
      <c r="E1843" s="116">
        <v>43.975000000000001</v>
      </c>
      <c r="F1843" s="116">
        <v>86.75</v>
      </c>
      <c r="G1843">
        <v>62905</v>
      </c>
      <c r="H1843" s="116"/>
      <c r="I1843" s="116"/>
      <c r="L1843" s="169">
        <v>44719</v>
      </c>
      <c r="M1843" s="116">
        <v>43.25</v>
      </c>
      <c r="N1843" s="116">
        <v>44.375</v>
      </c>
      <c r="O1843" s="116">
        <v>42.95</v>
      </c>
      <c r="P1843" s="116">
        <v>44.15</v>
      </c>
      <c r="Q1843" s="116">
        <v>86.5</v>
      </c>
      <c r="R1843">
        <v>413758</v>
      </c>
    </row>
    <row r="1844" spans="1:18" x14ac:dyDescent="0.25">
      <c r="A1844" s="169">
        <v>44720</v>
      </c>
      <c r="B1844" s="116">
        <v>43.524999999999999</v>
      </c>
      <c r="C1844" s="116">
        <v>42.825000000000003</v>
      </c>
      <c r="D1844" s="116">
        <v>42.625</v>
      </c>
      <c r="E1844" s="116">
        <v>43.1</v>
      </c>
      <c r="F1844" s="116">
        <v>85.65</v>
      </c>
      <c r="G1844">
        <v>40611</v>
      </c>
      <c r="H1844" s="116"/>
      <c r="I1844" s="116"/>
      <c r="L1844" s="169">
        <v>44720</v>
      </c>
      <c r="M1844" s="116">
        <v>42.8</v>
      </c>
      <c r="N1844" s="116">
        <v>43.6</v>
      </c>
      <c r="O1844" s="116">
        <v>42.6</v>
      </c>
      <c r="P1844" s="116">
        <v>43.6</v>
      </c>
      <c r="Q1844" s="116">
        <v>85.6</v>
      </c>
      <c r="R1844">
        <v>392967</v>
      </c>
    </row>
    <row r="1845" spans="1:18" x14ac:dyDescent="0.25">
      <c r="A1845" s="169">
        <v>44721</v>
      </c>
      <c r="B1845" s="116">
        <v>43.05</v>
      </c>
      <c r="C1845" s="116">
        <v>42.45</v>
      </c>
      <c r="D1845" s="116">
        <v>42.174999999999997</v>
      </c>
      <c r="E1845" s="116">
        <v>42.5</v>
      </c>
      <c r="F1845" s="116">
        <v>84.9</v>
      </c>
      <c r="G1845">
        <v>49688</v>
      </c>
      <c r="H1845" s="116"/>
      <c r="I1845" s="116"/>
      <c r="L1845" s="169">
        <v>44721</v>
      </c>
      <c r="M1845" s="116">
        <v>42.424999999999997</v>
      </c>
      <c r="N1845" s="116">
        <v>43.075000000000003</v>
      </c>
      <c r="O1845" s="116">
        <v>42.2</v>
      </c>
      <c r="P1845" s="116">
        <v>42.65</v>
      </c>
      <c r="Q1845" s="116">
        <v>84.85</v>
      </c>
      <c r="R1845">
        <v>305611</v>
      </c>
    </row>
    <row r="1846" spans="1:18" x14ac:dyDescent="0.25">
      <c r="A1846" s="169">
        <v>44722</v>
      </c>
      <c r="B1846" s="116">
        <v>44.174999999999997</v>
      </c>
      <c r="C1846" s="116">
        <v>43.65</v>
      </c>
      <c r="D1846" s="116">
        <v>41.875</v>
      </c>
      <c r="E1846" s="116">
        <v>42.5</v>
      </c>
      <c r="F1846" s="116">
        <v>87.3</v>
      </c>
      <c r="G1846">
        <v>170444</v>
      </c>
      <c r="H1846" s="116"/>
      <c r="I1846" s="116"/>
      <c r="L1846" s="169">
        <v>44722</v>
      </c>
      <c r="M1846" s="116">
        <v>43.65</v>
      </c>
      <c r="N1846" s="116">
        <v>44.2</v>
      </c>
      <c r="O1846" s="116">
        <v>41.9</v>
      </c>
      <c r="P1846" s="116">
        <v>42</v>
      </c>
      <c r="Q1846" s="116">
        <v>87.3</v>
      </c>
      <c r="R1846">
        <v>1321835</v>
      </c>
    </row>
    <row r="1847" spans="1:18" x14ac:dyDescent="0.25">
      <c r="A1847" s="169">
        <v>44725</v>
      </c>
      <c r="B1847" s="116">
        <v>43.25</v>
      </c>
      <c r="C1847" s="116">
        <v>41.35</v>
      </c>
      <c r="D1847" s="116">
        <v>41.125</v>
      </c>
      <c r="E1847" s="116">
        <v>43.25</v>
      </c>
      <c r="F1847" s="116">
        <v>82.7</v>
      </c>
      <c r="G1847">
        <v>59143</v>
      </c>
      <c r="H1847" s="116"/>
      <c r="I1847" s="116"/>
      <c r="L1847" s="169">
        <v>44725</v>
      </c>
      <c r="M1847" s="116">
        <v>41.35</v>
      </c>
      <c r="N1847" s="116">
        <v>43</v>
      </c>
      <c r="O1847" s="116">
        <v>41.15</v>
      </c>
      <c r="P1847" s="116">
        <v>43</v>
      </c>
      <c r="Q1847" s="116">
        <v>82.7</v>
      </c>
      <c r="R1847">
        <v>420739</v>
      </c>
    </row>
    <row r="1848" spans="1:18" x14ac:dyDescent="0.25">
      <c r="A1848" s="169">
        <v>44726</v>
      </c>
      <c r="B1848" s="116">
        <v>42.05</v>
      </c>
      <c r="C1848" s="116">
        <v>41.1</v>
      </c>
      <c r="D1848" s="116">
        <v>40.825000000000003</v>
      </c>
      <c r="E1848" s="116">
        <v>41.174999999999997</v>
      </c>
      <c r="F1848" s="116">
        <v>82.2</v>
      </c>
      <c r="G1848">
        <v>60003</v>
      </c>
      <c r="H1848" s="116"/>
      <c r="I1848" s="116"/>
      <c r="L1848" s="169">
        <v>44726</v>
      </c>
      <c r="M1848" s="116">
        <v>41.05</v>
      </c>
      <c r="N1848" s="116">
        <v>42.225000000000001</v>
      </c>
      <c r="O1848" s="116">
        <v>40.875</v>
      </c>
      <c r="P1848" s="116">
        <v>41.25</v>
      </c>
      <c r="Q1848" s="116">
        <v>82.1</v>
      </c>
      <c r="R1848">
        <v>427067</v>
      </c>
    </row>
    <row r="1849" spans="1:18" x14ac:dyDescent="0.25">
      <c r="A1849" s="169">
        <v>44727</v>
      </c>
      <c r="B1849" s="116">
        <v>41.45</v>
      </c>
      <c r="C1849" s="116">
        <v>40.975000000000001</v>
      </c>
      <c r="D1849" s="116">
        <v>40.700000000000003</v>
      </c>
      <c r="E1849" s="116">
        <v>41.45</v>
      </c>
      <c r="F1849" s="116">
        <v>81.95</v>
      </c>
      <c r="G1849">
        <v>44175</v>
      </c>
      <c r="H1849" s="116"/>
      <c r="I1849" s="116"/>
      <c r="L1849" s="169">
        <v>44727</v>
      </c>
      <c r="M1849" s="116">
        <v>41</v>
      </c>
      <c r="N1849" s="116">
        <v>41.4</v>
      </c>
      <c r="O1849" s="116">
        <v>40.700000000000003</v>
      </c>
      <c r="P1849" s="116">
        <v>41.05</v>
      </c>
      <c r="Q1849" s="116">
        <v>82</v>
      </c>
      <c r="R1849">
        <v>438293</v>
      </c>
    </row>
    <row r="1850" spans="1:18" x14ac:dyDescent="0.25">
      <c r="A1850" s="169">
        <v>44728</v>
      </c>
      <c r="B1850" s="116">
        <v>41.674999999999997</v>
      </c>
      <c r="C1850" s="116">
        <v>39.65</v>
      </c>
      <c r="D1850" s="116">
        <v>38.875</v>
      </c>
      <c r="E1850" s="116">
        <v>41.45</v>
      </c>
      <c r="F1850" s="116">
        <v>79.3</v>
      </c>
      <c r="G1850">
        <v>60427</v>
      </c>
      <c r="H1850" s="116"/>
      <c r="I1850" s="116"/>
      <c r="L1850" s="169">
        <v>44728</v>
      </c>
      <c r="M1850" s="116">
        <v>39.450000000000003</v>
      </c>
      <c r="N1850" s="116">
        <v>41.7</v>
      </c>
      <c r="O1850" s="116">
        <v>38.825000000000003</v>
      </c>
      <c r="P1850" s="116">
        <v>41.5</v>
      </c>
      <c r="Q1850" s="116">
        <v>78.900000000000006</v>
      </c>
      <c r="R1850">
        <v>656567</v>
      </c>
    </row>
    <row r="1851" spans="1:18" x14ac:dyDescent="0.25">
      <c r="A1851" s="169">
        <v>44729</v>
      </c>
      <c r="B1851" s="116">
        <v>40.9</v>
      </c>
      <c r="C1851" s="116">
        <v>40.4</v>
      </c>
      <c r="D1851" s="116">
        <v>38.774999999999999</v>
      </c>
      <c r="E1851" s="116">
        <v>39.625</v>
      </c>
      <c r="F1851" s="116">
        <v>80.8</v>
      </c>
      <c r="G1851">
        <v>86002</v>
      </c>
      <c r="H1851" s="116"/>
      <c r="I1851" s="116"/>
      <c r="L1851" s="169">
        <v>44729</v>
      </c>
      <c r="M1851" s="116">
        <v>40.5</v>
      </c>
      <c r="N1851" s="116">
        <v>40.950000000000003</v>
      </c>
      <c r="O1851" s="116">
        <v>38.75</v>
      </c>
      <c r="P1851" s="116">
        <v>39.375</v>
      </c>
      <c r="Q1851" s="116">
        <v>81</v>
      </c>
      <c r="R1851">
        <v>808702</v>
      </c>
    </row>
    <row r="1852" spans="1:18" x14ac:dyDescent="0.25">
      <c r="A1852" s="169">
        <v>44732</v>
      </c>
      <c r="B1852" s="116">
        <v>40.549999999999997</v>
      </c>
      <c r="C1852" s="116">
        <v>38.4</v>
      </c>
      <c r="D1852" s="116">
        <v>37.549999999999997</v>
      </c>
      <c r="E1852" s="116">
        <v>40.549999999999997</v>
      </c>
      <c r="F1852" s="116">
        <v>76.8</v>
      </c>
      <c r="G1852">
        <v>50202</v>
      </c>
      <c r="H1852" s="116"/>
      <c r="I1852" s="116"/>
      <c r="L1852" s="169">
        <v>44732</v>
      </c>
      <c r="M1852" s="116">
        <v>38.35</v>
      </c>
      <c r="N1852" s="116">
        <v>40.475000000000001</v>
      </c>
      <c r="O1852" s="116">
        <v>37.524999999999999</v>
      </c>
      <c r="P1852" s="116">
        <v>40.274999999999999</v>
      </c>
      <c r="Q1852" s="116">
        <v>76.7</v>
      </c>
      <c r="R1852">
        <v>564428</v>
      </c>
    </row>
    <row r="1853" spans="1:18" x14ac:dyDescent="0.25">
      <c r="A1853" s="169">
        <v>44733</v>
      </c>
      <c r="B1853" s="116">
        <v>39.700000000000003</v>
      </c>
      <c r="C1853" s="116">
        <v>39.6</v>
      </c>
      <c r="D1853" s="116">
        <v>38.575000000000003</v>
      </c>
      <c r="E1853" s="116">
        <v>38.950000000000003</v>
      </c>
      <c r="F1853" s="116">
        <v>79.2</v>
      </c>
      <c r="G1853">
        <v>72073</v>
      </c>
      <c r="H1853" s="116"/>
      <c r="I1853" s="116"/>
      <c r="L1853" s="169">
        <v>44733</v>
      </c>
      <c r="M1853" s="116">
        <v>39.625</v>
      </c>
      <c r="N1853" s="116">
        <v>39.75</v>
      </c>
      <c r="O1853" s="116">
        <v>38.575000000000003</v>
      </c>
      <c r="P1853" s="116">
        <v>38.75</v>
      </c>
      <c r="Q1853" s="116">
        <v>79.25</v>
      </c>
      <c r="R1853">
        <v>430072</v>
      </c>
    </row>
    <row r="1854" spans="1:18" x14ac:dyDescent="0.25">
      <c r="A1854" s="169">
        <v>44734</v>
      </c>
      <c r="B1854" s="116">
        <v>39.4</v>
      </c>
      <c r="C1854" s="116">
        <v>38.1</v>
      </c>
      <c r="D1854" s="116">
        <v>38</v>
      </c>
      <c r="E1854" s="116">
        <v>39.299999999999997</v>
      </c>
      <c r="F1854" s="116">
        <v>76.2</v>
      </c>
      <c r="G1854">
        <v>40045</v>
      </c>
      <c r="H1854" s="116"/>
      <c r="I1854" s="116"/>
      <c r="L1854" s="169">
        <v>44734</v>
      </c>
      <c r="M1854" s="116">
        <v>38.125</v>
      </c>
      <c r="N1854" s="116">
        <v>39.5</v>
      </c>
      <c r="O1854" s="116">
        <v>38</v>
      </c>
      <c r="P1854" s="116">
        <v>39.5</v>
      </c>
      <c r="Q1854" s="116">
        <v>76.25</v>
      </c>
      <c r="R1854">
        <v>454659</v>
      </c>
    </row>
    <row r="1855" spans="1:18" x14ac:dyDescent="0.25">
      <c r="A1855" s="169">
        <v>44735</v>
      </c>
      <c r="B1855" s="116">
        <v>38.700000000000003</v>
      </c>
      <c r="C1855" s="116">
        <v>38.549999999999997</v>
      </c>
      <c r="D1855" s="116">
        <v>37.65</v>
      </c>
      <c r="E1855" s="116">
        <v>38.424999999999997</v>
      </c>
      <c r="F1855" s="116">
        <v>77.099999999999994</v>
      </c>
      <c r="G1855">
        <v>45650</v>
      </c>
      <c r="H1855" s="116"/>
      <c r="I1855" s="116"/>
      <c r="L1855" s="169">
        <v>44735</v>
      </c>
      <c r="M1855" s="116">
        <v>38.625</v>
      </c>
      <c r="N1855" s="116">
        <v>38.75</v>
      </c>
      <c r="O1855" s="116">
        <v>37.625</v>
      </c>
      <c r="P1855" s="116">
        <v>38.5</v>
      </c>
      <c r="Q1855" s="116">
        <v>77.25</v>
      </c>
      <c r="R1855">
        <v>487321</v>
      </c>
    </row>
    <row r="1856" spans="1:18" x14ac:dyDescent="0.25">
      <c r="A1856" s="169">
        <v>44736</v>
      </c>
      <c r="B1856" s="116">
        <v>39.174999999999997</v>
      </c>
      <c r="C1856" s="116">
        <v>38.799999999999997</v>
      </c>
      <c r="D1856" s="116">
        <v>38.299999999999997</v>
      </c>
      <c r="E1856" s="116">
        <v>38.875</v>
      </c>
      <c r="F1856" s="116">
        <v>77.599999999999994</v>
      </c>
      <c r="G1856">
        <v>42407</v>
      </c>
      <c r="H1856" s="116"/>
      <c r="I1856" s="116"/>
      <c r="L1856" s="169">
        <v>44736</v>
      </c>
      <c r="M1856" s="116">
        <v>38.774999999999999</v>
      </c>
      <c r="N1856" s="116">
        <v>39.200000000000003</v>
      </c>
      <c r="O1856" s="116">
        <v>38.274999999999999</v>
      </c>
      <c r="P1856" s="116">
        <v>38.975000000000001</v>
      </c>
      <c r="Q1856" s="116">
        <v>77.55</v>
      </c>
      <c r="R1856">
        <v>537174</v>
      </c>
    </row>
    <row r="1857" spans="1:18" x14ac:dyDescent="0.25">
      <c r="A1857" s="169">
        <v>44739</v>
      </c>
      <c r="B1857" s="116">
        <v>40.1</v>
      </c>
      <c r="C1857" s="116">
        <v>39.700000000000003</v>
      </c>
      <c r="D1857" s="116">
        <v>39.25</v>
      </c>
      <c r="E1857" s="116">
        <v>39.25</v>
      </c>
      <c r="F1857" s="116">
        <v>79.400000000000006</v>
      </c>
      <c r="G1857">
        <v>70365</v>
      </c>
      <c r="H1857" s="116"/>
      <c r="I1857" s="116"/>
      <c r="L1857" s="169">
        <v>44739</v>
      </c>
      <c r="M1857" s="116">
        <v>39.799999999999997</v>
      </c>
      <c r="N1857" s="116">
        <v>40.1</v>
      </c>
      <c r="O1857" s="116">
        <v>39.25</v>
      </c>
      <c r="P1857" s="116">
        <v>39.424999999999997</v>
      </c>
      <c r="Q1857" s="116">
        <v>79.599999999999994</v>
      </c>
      <c r="R1857">
        <v>420194</v>
      </c>
    </row>
    <row r="1858" spans="1:18" x14ac:dyDescent="0.25">
      <c r="A1858" s="169">
        <v>44740</v>
      </c>
      <c r="B1858" s="116">
        <v>40.25</v>
      </c>
      <c r="C1858" s="116">
        <v>39.799999999999997</v>
      </c>
      <c r="D1858" s="116">
        <v>39.1</v>
      </c>
      <c r="E1858" s="116">
        <v>39.674999999999997</v>
      </c>
      <c r="F1858" s="116">
        <v>79.599999999999994</v>
      </c>
      <c r="G1858">
        <v>202044</v>
      </c>
      <c r="H1858" s="116"/>
      <c r="I1858" s="116"/>
      <c r="L1858" s="169">
        <v>44740</v>
      </c>
      <c r="M1858" s="116">
        <v>39.9</v>
      </c>
      <c r="N1858" s="116">
        <v>40.25</v>
      </c>
      <c r="O1858" s="116">
        <v>39.1</v>
      </c>
      <c r="P1858" s="116">
        <v>39.9</v>
      </c>
      <c r="Q1858" s="116">
        <v>79.8</v>
      </c>
      <c r="R1858">
        <v>690191</v>
      </c>
    </row>
    <row r="1859" spans="1:18" x14ac:dyDescent="0.25">
      <c r="A1859" s="169">
        <v>44741</v>
      </c>
      <c r="B1859" s="116">
        <v>40.4</v>
      </c>
      <c r="C1859" s="116">
        <v>40</v>
      </c>
      <c r="D1859" s="116">
        <v>39.25</v>
      </c>
      <c r="E1859" s="116">
        <v>39.9</v>
      </c>
      <c r="F1859" s="116">
        <v>80</v>
      </c>
      <c r="G1859">
        <v>38544</v>
      </c>
      <c r="H1859" s="116"/>
      <c r="I1859" s="116"/>
      <c r="L1859" s="169">
        <v>44741</v>
      </c>
      <c r="M1859" s="116">
        <v>39.950000000000003</v>
      </c>
      <c r="N1859" s="116">
        <v>40.4</v>
      </c>
      <c r="O1859" s="116">
        <v>39.200000000000003</v>
      </c>
      <c r="P1859" s="116">
        <v>39.35</v>
      </c>
      <c r="Q1859" s="116">
        <v>79.900000000000006</v>
      </c>
      <c r="R1859">
        <v>486716</v>
      </c>
    </row>
    <row r="1860" spans="1:18" x14ac:dyDescent="0.25">
      <c r="A1860" s="169">
        <v>44742</v>
      </c>
      <c r="B1860" s="116">
        <v>40.424999999999997</v>
      </c>
      <c r="C1860" s="116">
        <v>39.375</v>
      </c>
      <c r="D1860" s="116">
        <v>39.25</v>
      </c>
      <c r="E1860" s="116">
        <v>40.4</v>
      </c>
      <c r="F1860" s="116">
        <v>78.75</v>
      </c>
      <c r="G1860">
        <v>21953</v>
      </c>
      <c r="H1860" s="116"/>
      <c r="I1860" s="116"/>
      <c r="L1860" s="169">
        <v>44742</v>
      </c>
      <c r="M1860" s="116">
        <v>39.4</v>
      </c>
      <c r="N1860" s="116">
        <v>40.5</v>
      </c>
      <c r="O1860" s="116">
        <v>39.299999999999997</v>
      </c>
      <c r="P1860" s="116">
        <v>40.125</v>
      </c>
      <c r="Q1860" s="116">
        <v>78.8</v>
      </c>
      <c r="R1860">
        <v>204116</v>
      </c>
    </row>
    <row r="1861" spans="1:18" x14ac:dyDescent="0.25">
      <c r="A1861" s="169">
        <v>44743</v>
      </c>
      <c r="B1861" s="116">
        <v>39.325000000000003</v>
      </c>
      <c r="C1861" s="116">
        <v>39.1</v>
      </c>
      <c r="D1861" s="116">
        <v>38.450000000000003</v>
      </c>
      <c r="E1861" s="116">
        <v>39.325000000000003</v>
      </c>
      <c r="F1861" s="116">
        <v>78.2</v>
      </c>
      <c r="G1861">
        <v>44826</v>
      </c>
      <c r="H1861" s="116"/>
      <c r="I1861" s="116"/>
      <c r="L1861" s="169">
        <v>44743</v>
      </c>
      <c r="M1861" s="116">
        <v>39.1</v>
      </c>
      <c r="N1861" s="116">
        <v>39.375</v>
      </c>
      <c r="O1861" s="116">
        <v>38.424999999999997</v>
      </c>
      <c r="P1861" s="116">
        <v>39.35</v>
      </c>
      <c r="Q1861" s="116">
        <v>78.2</v>
      </c>
      <c r="R1861">
        <v>285307</v>
      </c>
    </row>
    <row r="1862" spans="1:18" x14ac:dyDescent="0.25">
      <c r="A1862" s="169">
        <v>44746</v>
      </c>
      <c r="B1862" s="116">
        <v>39.6</v>
      </c>
      <c r="C1862" s="116">
        <v>39.424999999999997</v>
      </c>
      <c r="D1862" s="116">
        <v>39.049999999999997</v>
      </c>
      <c r="E1862" s="116">
        <v>39.25</v>
      </c>
      <c r="F1862" s="116">
        <v>78.849999999999994</v>
      </c>
      <c r="G1862">
        <v>15608</v>
      </c>
      <c r="H1862" s="116"/>
      <c r="I1862" s="116"/>
      <c r="L1862" s="169">
        <v>44746</v>
      </c>
      <c r="M1862" s="116">
        <v>39.475000000000001</v>
      </c>
      <c r="N1862" s="116">
        <v>39.700000000000003</v>
      </c>
      <c r="O1862" s="116">
        <v>39.024999999999999</v>
      </c>
      <c r="P1862" s="116">
        <v>39.1</v>
      </c>
      <c r="Q1862" s="116">
        <v>78.95</v>
      </c>
      <c r="R1862">
        <v>168108</v>
      </c>
    </row>
    <row r="1863" spans="1:18" x14ac:dyDescent="0.25">
      <c r="A1863" s="169">
        <v>44747</v>
      </c>
      <c r="B1863" s="116">
        <v>40.15</v>
      </c>
      <c r="C1863" s="116">
        <v>39.024999999999999</v>
      </c>
      <c r="D1863" s="116">
        <v>38.924999999999997</v>
      </c>
      <c r="E1863" s="116">
        <v>39.5</v>
      </c>
      <c r="F1863" s="116">
        <v>78.05</v>
      </c>
      <c r="G1863">
        <v>23056</v>
      </c>
      <c r="H1863" s="116"/>
      <c r="I1863" s="116"/>
      <c r="L1863" s="169">
        <v>44747</v>
      </c>
      <c r="M1863" s="116">
        <v>39</v>
      </c>
      <c r="N1863" s="116">
        <v>40.15</v>
      </c>
      <c r="O1863" s="116">
        <v>38.700000000000003</v>
      </c>
      <c r="P1863" s="116">
        <v>39.700000000000003</v>
      </c>
      <c r="Q1863" s="116">
        <v>78</v>
      </c>
      <c r="R1863">
        <v>370058</v>
      </c>
    </row>
    <row r="1864" spans="1:18" x14ac:dyDescent="0.25">
      <c r="A1864" s="169">
        <v>44748</v>
      </c>
      <c r="B1864" s="116">
        <v>39.9</v>
      </c>
      <c r="C1864" s="116">
        <v>39.024999999999999</v>
      </c>
      <c r="D1864" s="116">
        <v>38.524999999999999</v>
      </c>
      <c r="E1864" s="116">
        <v>39.9</v>
      </c>
      <c r="F1864" s="116">
        <v>78.05</v>
      </c>
      <c r="G1864">
        <v>20914</v>
      </c>
      <c r="H1864" s="116"/>
      <c r="I1864" s="116"/>
      <c r="L1864" s="169">
        <v>44748</v>
      </c>
      <c r="M1864" s="116">
        <v>39.049999999999997</v>
      </c>
      <c r="N1864" s="116">
        <v>39.5</v>
      </c>
      <c r="O1864" s="116">
        <v>38.575000000000003</v>
      </c>
      <c r="P1864" s="116">
        <v>39.5</v>
      </c>
      <c r="Q1864" s="116">
        <v>78.099999999999994</v>
      </c>
      <c r="R1864">
        <v>301597</v>
      </c>
    </row>
    <row r="1865" spans="1:18" x14ac:dyDescent="0.25">
      <c r="A1865" s="169">
        <v>44749</v>
      </c>
      <c r="B1865" s="116">
        <v>40.4</v>
      </c>
      <c r="C1865" s="116">
        <v>40.125</v>
      </c>
      <c r="D1865" s="116">
        <v>39.125</v>
      </c>
      <c r="E1865" s="116">
        <v>39.325000000000003</v>
      </c>
      <c r="F1865" s="116">
        <v>80.25</v>
      </c>
      <c r="G1865">
        <v>44617</v>
      </c>
      <c r="H1865" s="116"/>
      <c r="I1865" s="116"/>
      <c r="L1865" s="169">
        <v>44749</v>
      </c>
      <c r="M1865" s="116">
        <v>40.125</v>
      </c>
      <c r="N1865" s="116">
        <v>40.4</v>
      </c>
      <c r="O1865" s="116">
        <v>39.1</v>
      </c>
      <c r="P1865" s="116">
        <v>39.5</v>
      </c>
      <c r="Q1865" s="116">
        <v>80.25</v>
      </c>
      <c r="R1865">
        <v>641395</v>
      </c>
    </row>
    <row r="1866" spans="1:18" x14ac:dyDescent="0.25">
      <c r="A1866" s="169">
        <v>44750</v>
      </c>
      <c r="B1866" s="116">
        <v>40.700000000000003</v>
      </c>
      <c r="C1866" s="116">
        <v>39.85</v>
      </c>
      <c r="D1866" s="116">
        <v>39.625</v>
      </c>
      <c r="E1866" s="116">
        <v>40.700000000000003</v>
      </c>
      <c r="F1866" s="116">
        <v>79.7</v>
      </c>
      <c r="G1866">
        <v>48488</v>
      </c>
      <c r="H1866" s="116"/>
      <c r="I1866" s="116"/>
      <c r="L1866" s="169">
        <v>44750</v>
      </c>
      <c r="M1866" s="116">
        <v>39.825000000000003</v>
      </c>
      <c r="N1866" s="116">
        <v>40.575000000000003</v>
      </c>
      <c r="O1866" s="116">
        <v>39.625</v>
      </c>
      <c r="P1866" s="116">
        <v>40.575000000000003</v>
      </c>
      <c r="Q1866" s="116">
        <v>79.650000000000006</v>
      </c>
      <c r="R1866">
        <v>311261</v>
      </c>
    </row>
    <row r="1867" spans="1:18" x14ac:dyDescent="0.25">
      <c r="A1867" s="169">
        <v>44753</v>
      </c>
      <c r="B1867" s="116">
        <v>40.875</v>
      </c>
      <c r="C1867" s="116">
        <v>40.674999999999997</v>
      </c>
      <c r="D1867" s="116">
        <v>39.6</v>
      </c>
      <c r="E1867" s="116">
        <v>39.9</v>
      </c>
      <c r="F1867" s="116">
        <v>81.349999999999994</v>
      </c>
      <c r="G1867">
        <v>55231</v>
      </c>
      <c r="H1867" s="116"/>
      <c r="I1867" s="116"/>
      <c r="L1867" s="169">
        <v>44753</v>
      </c>
      <c r="M1867" s="116">
        <v>40.700000000000003</v>
      </c>
      <c r="N1867" s="116">
        <v>40.950000000000003</v>
      </c>
      <c r="O1867" s="116">
        <v>39.524999999999999</v>
      </c>
      <c r="P1867" s="116">
        <v>39.825000000000003</v>
      </c>
      <c r="Q1867" s="116">
        <v>81.400000000000006</v>
      </c>
      <c r="R1867">
        <v>435165</v>
      </c>
    </row>
    <row r="1868" spans="1:18" x14ac:dyDescent="0.25">
      <c r="A1868" s="169">
        <v>44754</v>
      </c>
      <c r="B1868" s="116">
        <v>40.65</v>
      </c>
      <c r="C1868" s="116">
        <v>40.200000000000003</v>
      </c>
      <c r="D1868" s="116">
        <v>40</v>
      </c>
      <c r="E1868" s="116">
        <v>40.424999999999997</v>
      </c>
      <c r="F1868" s="116">
        <v>80.400000000000006</v>
      </c>
      <c r="G1868">
        <v>22231</v>
      </c>
      <c r="H1868" s="116"/>
      <c r="I1868" s="116"/>
      <c r="L1868" s="169">
        <v>44754</v>
      </c>
      <c r="M1868" s="116">
        <v>40.174999999999997</v>
      </c>
      <c r="N1868" s="116">
        <v>40.65</v>
      </c>
      <c r="O1868" s="116">
        <v>40</v>
      </c>
      <c r="P1868" s="116">
        <v>40.5</v>
      </c>
      <c r="Q1868" s="116">
        <v>80.349999999999994</v>
      </c>
      <c r="R1868">
        <v>331735</v>
      </c>
    </row>
    <row r="1869" spans="1:18" x14ac:dyDescent="0.25">
      <c r="A1869" s="169">
        <v>44755</v>
      </c>
      <c r="B1869" s="116">
        <v>41</v>
      </c>
      <c r="C1869" s="116">
        <v>40.299999999999997</v>
      </c>
      <c r="D1869" s="116">
        <v>40.049999999999997</v>
      </c>
      <c r="E1869" s="116">
        <v>40.950000000000003</v>
      </c>
      <c r="F1869" s="116">
        <v>80.599999999999994</v>
      </c>
      <c r="G1869">
        <v>50124</v>
      </c>
      <c r="H1869" s="116"/>
      <c r="I1869" s="116"/>
      <c r="L1869" s="169">
        <v>44755</v>
      </c>
      <c r="M1869" s="116">
        <v>40.274999999999999</v>
      </c>
      <c r="N1869" s="116">
        <v>41</v>
      </c>
      <c r="O1869" s="116">
        <v>40.125</v>
      </c>
      <c r="P1869" s="116">
        <v>40.125</v>
      </c>
      <c r="Q1869" s="116">
        <v>80.55</v>
      </c>
      <c r="R1869">
        <v>370719</v>
      </c>
    </row>
    <row r="1870" spans="1:18" x14ac:dyDescent="0.25">
      <c r="A1870" s="169">
        <v>44756</v>
      </c>
      <c r="B1870" s="116">
        <v>40.5</v>
      </c>
      <c r="C1870" s="116">
        <v>39.799999999999997</v>
      </c>
      <c r="D1870" s="116">
        <v>39.625</v>
      </c>
      <c r="E1870" s="116">
        <v>40.5</v>
      </c>
      <c r="F1870" s="116">
        <v>79.599999999999994</v>
      </c>
      <c r="G1870">
        <v>22342</v>
      </c>
      <c r="H1870" s="116"/>
      <c r="I1870" s="116"/>
      <c r="L1870" s="169">
        <v>44756</v>
      </c>
      <c r="M1870" s="116">
        <v>39.75</v>
      </c>
      <c r="N1870" s="116">
        <v>40.475000000000001</v>
      </c>
      <c r="O1870" s="116">
        <v>39.6</v>
      </c>
      <c r="P1870" s="116">
        <v>40.200000000000003</v>
      </c>
      <c r="Q1870" s="116">
        <v>79.5</v>
      </c>
      <c r="R1870">
        <v>272831</v>
      </c>
    </row>
    <row r="1871" spans="1:18" x14ac:dyDescent="0.25">
      <c r="A1871" s="169">
        <v>44757</v>
      </c>
      <c r="B1871" s="116">
        <v>40.049999999999997</v>
      </c>
      <c r="C1871" s="116">
        <v>39.6</v>
      </c>
      <c r="D1871" s="116">
        <v>39.174999999999997</v>
      </c>
      <c r="E1871" s="116">
        <v>40</v>
      </c>
      <c r="F1871" s="116">
        <v>79.2</v>
      </c>
      <c r="G1871">
        <v>26481</v>
      </c>
      <c r="H1871" s="116"/>
      <c r="I1871" s="116"/>
      <c r="L1871" s="169">
        <v>44757</v>
      </c>
      <c r="M1871" s="116">
        <v>39.524999999999999</v>
      </c>
      <c r="N1871" s="116">
        <v>40.075000000000003</v>
      </c>
      <c r="O1871" s="116">
        <v>39.15</v>
      </c>
      <c r="P1871" s="116">
        <v>40</v>
      </c>
      <c r="Q1871" s="116">
        <v>79.05</v>
      </c>
      <c r="R1871">
        <v>305811</v>
      </c>
    </row>
    <row r="1872" spans="1:18" x14ac:dyDescent="0.25">
      <c r="A1872" s="169">
        <v>44760</v>
      </c>
      <c r="B1872" s="116">
        <v>40.325000000000003</v>
      </c>
      <c r="C1872" s="116">
        <v>40.15</v>
      </c>
      <c r="D1872" s="116">
        <v>39.524999999999999</v>
      </c>
      <c r="E1872" s="116">
        <v>39.924999999999997</v>
      </c>
      <c r="F1872" s="116">
        <v>80.3</v>
      </c>
      <c r="G1872">
        <v>28839</v>
      </c>
      <c r="H1872" s="116"/>
      <c r="I1872" s="116"/>
      <c r="L1872" s="169">
        <v>44760</v>
      </c>
      <c r="M1872" s="116">
        <v>40.15</v>
      </c>
      <c r="N1872" s="116">
        <v>40.375</v>
      </c>
      <c r="O1872" s="116">
        <v>39.524999999999999</v>
      </c>
      <c r="P1872" s="116">
        <v>39.75</v>
      </c>
      <c r="Q1872" s="116">
        <v>80.3</v>
      </c>
      <c r="R1872">
        <v>423553</v>
      </c>
    </row>
    <row r="1873" spans="1:18" x14ac:dyDescent="0.25">
      <c r="A1873" s="169">
        <v>44761</v>
      </c>
      <c r="B1873" s="116">
        <v>40.75</v>
      </c>
      <c r="C1873" s="116">
        <v>40.35</v>
      </c>
      <c r="D1873" s="116">
        <v>40.024999999999999</v>
      </c>
      <c r="E1873" s="116">
        <v>40.625</v>
      </c>
      <c r="F1873" s="116">
        <v>80.7</v>
      </c>
      <c r="G1873">
        <v>63976</v>
      </c>
      <c r="H1873" s="116"/>
      <c r="I1873" s="116"/>
      <c r="L1873" s="169">
        <v>44761</v>
      </c>
      <c r="M1873" s="116">
        <v>40.325000000000003</v>
      </c>
      <c r="N1873" s="116">
        <v>40.774999999999999</v>
      </c>
      <c r="O1873" s="116">
        <v>40.049999999999997</v>
      </c>
      <c r="P1873" s="116">
        <v>40.15</v>
      </c>
      <c r="Q1873" s="116">
        <v>80.650000000000006</v>
      </c>
      <c r="R1873">
        <v>400637</v>
      </c>
    </row>
    <row r="1874" spans="1:18" x14ac:dyDescent="0.25">
      <c r="A1874" s="169">
        <v>44762</v>
      </c>
      <c r="B1874" s="116">
        <v>41.325000000000003</v>
      </c>
      <c r="C1874" s="116">
        <v>40.674999999999997</v>
      </c>
      <c r="D1874" s="116">
        <v>40.5</v>
      </c>
      <c r="E1874" s="116">
        <v>40.875</v>
      </c>
      <c r="F1874" s="116">
        <v>81.349999999999994</v>
      </c>
      <c r="G1874">
        <v>66672</v>
      </c>
      <c r="H1874" s="116"/>
      <c r="I1874" s="116"/>
      <c r="L1874" s="169">
        <v>44762</v>
      </c>
      <c r="M1874" s="116">
        <v>40.625</v>
      </c>
      <c r="N1874" s="116">
        <v>41.325000000000003</v>
      </c>
      <c r="O1874" s="116">
        <v>40.5</v>
      </c>
      <c r="P1874" s="116">
        <v>40.75</v>
      </c>
      <c r="Q1874" s="116">
        <v>81.25</v>
      </c>
      <c r="R1874">
        <v>622450</v>
      </c>
    </row>
    <row r="1875" spans="1:18" x14ac:dyDescent="0.25">
      <c r="A1875" s="169">
        <v>44763</v>
      </c>
      <c r="B1875" s="116">
        <v>41.85</v>
      </c>
      <c r="C1875" s="116">
        <v>41.024999999999999</v>
      </c>
      <c r="D1875" s="116">
        <v>40.450000000000003</v>
      </c>
      <c r="E1875" s="116">
        <v>40.924999999999997</v>
      </c>
      <c r="F1875" s="116">
        <v>82.05</v>
      </c>
      <c r="G1875">
        <v>69464</v>
      </c>
      <c r="H1875" s="116"/>
      <c r="I1875" s="116"/>
      <c r="L1875" s="169">
        <v>44763</v>
      </c>
      <c r="M1875" s="116">
        <v>41</v>
      </c>
      <c r="N1875" s="116">
        <v>41.85</v>
      </c>
      <c r="O1875" s="116">
        <v>40.450000000000003</v>
      </c>
      <c r="P1875" s="116">
        <v>40.575000000000003</v>
      </c>
      <c r="Q1875" s="116">
        <v>82</v>
      </c>
      <c r="R1875">
        <v>737433</v>
      </c>
    </row>
    <row r="1876" spans="1:18" x14ac:dyDescent="0.25">
      <c r="A1876" s="169">
        <v>44764</v>
      </c>
      <c r="B1876" s="116">
        <v>42.5</v>
      </c>
      <c r="C1876" s="116">
        <v>41.95</v>
      </c>
      <c r="D1876" s="116">
        <v>41.2</v>
      </c>
      <c r="E1876" s="116">
        <v>41.375</v>
      </c>
      <c r="F1876" s="116">
        <v>83.9</v>
      </c>
      <c r="G1876">
        <v>116099</v>
      </c>
      <c r="H1876" s="116"/>
      <c r="I1876" s="116"/>
      <c r="L1876" s="169">
        <v>44764</v>
      </c>
      <c r="M1876" s="116">
        <v>41.924999999999997</v>
      </c>
      <c r="N1876" s="116">
        <v>42.5</v>
      </c>
      <c r="O1876" s="116">
        <v>41.174999999999997</v>
      </c>
      <c r="P1876" s="116">
        <v>41.4</v>
      </c>
      <c r="Q1876" s="116">
        <v>83.85</v>
      </c>
      <c r="R1876">
        <v>784926</v>
      </c>
    </row>
    <row r="1877" spans="1:18" x14ac:dyDescent="0.25">
      <c r="A1877" s="169">
        <v>44767</v>
      </c>
      <c r="B1877" s="116">
        <v>42.45</v>
      </c>
      <c r="C1877" s="116">
        <v>41.274999999999999</v>
      </c>
      <c r="D1877" s="116">
        <v>41</v>
      </c>
      <c r="E1877" s="116">
        <v>41.85</v>
      </c>
      <c r="F1877" s="116">
        <v>82.55</v>
      </c>
      <c r="G1877">
        <v>49590</v>
      </c>
      <c r="H1877" s="116"/>
      <c r="I1877" s="116"/>
      <c r="L1877" s="169">
        <v>44767</v>
      </c>
      <c r="M1877" s="116">
        <v>41.2</v>
      </c>
      <c r="N1877" s="116">
        <v>42.45</v>
      </c>
      <c r="O1877" s="116">
        <v>40.975000000000001</v>
      </c>
      <c r="P1877" s="116">
        <v>41.6</v>
      </c>
      <c r="Q1877" s="116">
        <v>82.4</v>
      </c>
      <c r="R1877">
        <v>605579</v>
      </c>
    </row>
    <row r="1878" spans="1:18" x14ac:dyDescent="0.25">
      <c r="A1878" s="169">
        <v>44768</v>
      </c>
      <c r="B1878" s="116">
        <v>42.35</v>
      </c>
      <c r="C1878" s="116">
        <v>41.475000000000001</v>
      </c>
      <c r="D1878" s="116">
        <v>41.174999999999997</v>
      </c>
      <c r="E1878" s="116">
        <v>41.475000000000001</v>
      </c>
      <c r="F1878" s="116">
        <v>82.95</v>
      </c>
      <c r="G1878">
        <v>96380</v>
      </c>
      <c r="H1878" s="116"/>
      <c r="I1878" s="116"/>
      <c r="L1878" s="169">
        <v>44768</v>
      </c>
      <c r="M1878" s="116">
        <v>41.575000000000003</v>
      </c>
      <c r="N1878" s="116">
        <v>42.35</v>
      </c>
      <c r="O1878" s="116">
        <v>41.1</v>
      </c>
      <c r="P1878" s="116">
        <v>41.5</v>
      </c>
      <c r="Q1878" s="116">
        <v>83.15</v>
      </c>
      <c r="R1878">
        <v>1074653</v>
      </c>
    </row>
    <row r="1879" spans="1:18" x14ac:dyDescent="0.25">
      <c r="A1879" s="169">
        <v>44769</v>
      </c>
      <c r="B1879" s="116">
        <v>41.825000000000003</v>
      </c>
      <c r="C1879" s="116">
        <v>41.475000000000001</v>
      </c>
      <c r="D1879" s="116">
        <v>41.225000000000001</v>
      </c>
      <c r="E1879" s="116">
        <v>41.575000000000003</v>
      </c>
      <c r="F1879" s="116">
        <v>82.95</v>
      </c>
      <c r="G1879">
        <v>28596</v>
      </c>
      <c r="H1879" s="116"/>
      <c r="I1879" s="116"/>
      <c r="L1879" s="169">
        <v>44769</v>
      </c>
      <c r="M1879" s="116">
        <v>41.55</v>
      </c>
      <c r="N1879" s="116">
        <v>41.85</v>
      </c>
      <c r="O1879" s="116">
        <v>41.225000000000001</v>
      </c>
      <c r="P1879" s="116">
        <v>41.3</v>
      </c>
      <c r="Q1879" s="116">
        <v>83.1</v>
      </c>
      <c r="R1879">
        <v>354612</v>
      </c>
    </row>
    <row r="1880" spans="1:18" x14ac:dyDescent="0.25">
      <c r="A1880" s="169">
        <v>44770</v>
      </c>
      <c r="B1880" s="116">
        <v>42.225000000000001</v>
      </c>
      <c r="C1880" s="116">
        <v>42.024999999999999</v>
      </c>
      <c r="D1880" s="116">
        <v>41.674999999999997</v>
      </c>
      <c r="E1880" s="116">
        <v>41.75</v>
      </c>
      <c r="F1880" s="116">
        <v>84.05</v>
      </c>
      <c r="G1880">
        <v>55396</v>
      </c>
      <c r="H1880" s="116"/>
      <c r="I1880" s="116"/>
      <c r="L1880" s="169">
        <v>44770</v>
      </c>
      <c r="M1880" s="116">
        <v>42</v>
      </c>
      <c r="N1880" s="116">
        <v>42.274999999999999</v>
      </c>
      <c r="O1880" s="116">
        <v>41.6</v>
      </c>
      <c r="P1880" s="116">
        <v>41.875</v>
      </c>
      <c r="Q1880" s="116">
        <v>84</v>
      </c>
      <c r="R1880">
        <v>441953</v>
      </c>
    </row>
    <row r="1881" spans="1:18" x14ac:dyDescent="0.25">
      <c r="A1881" s="169">
        <v>44771</v>
      </c>
      <c r="B1881" s="116">
        <v>43.475000000000001</v>
      </c>
      <c r="C1881" s="116">
        <v>42.924999999999997</v>
      </c>
      <c r="D1881" s="116">
        <v>42</v>
      </c>
      <c r="E1881" s="116">
        <v>42</v>
      </c>
      <c r="F1881" s="116">
        <v>85.85</v>
      </c>
      <c r="G1881">
        <v>108089</v>
      </c>
      <c r="H1881" s="116"/>
      <c r="I1881" s="116"/>
      <c r="L1881" s="169">
        <v>44771</v>
      </c>
      <c r="M1881" s="116">
        <v>42.95</v>
      </c>
      <c r="N1881" s="116">
        <v>43.5</v>
      </c>
      <c r="O1881" s="116">
        <v>42.1</v>
      </c>
      <c r="P1881" s="116">
        <v>42.1</v>
      </c>
      <c r="Q1881" s="116">
        <v>85.9</v>
      </c>
      <c r="R1881">
        <v>1071370</v>
      </c>
    </row>
    <row r="1882" spans="1:18" x14ac:dyDescent="0.25">
      <c r="A1882" s="169">
        <v>44774</v>
      </c>
      <c r="B1882" s="116">
        <v>43.8</v>
      </c>
      <c r="C1882" s="116">
        <v>43.45</v>
      </c>
      <c r="D1882" s="116">
        <v>43.024999999999999</v>
      </c>
      <c r="E1882" s="116">
        <v>43.375</v>
      </c>
      <c r="F1882" s="116">
        <v>86.9</v>
      </c>
      <c r="G1882">
        <v>55962</v>
      </c>
      <c r="H1882" s="116"/>
      <c r="I1882" s="116"/>
      <c r="L1882" s="169">
        <v>44774</v>
      </c>
      <c r="M1882" s="116">
        <v>43.5</v>
      </c>
      <c r="N1882" s="116">
        <v>43.825000000000003</v>
      </c>
      <c r="O1882" s="116">
        <v>43.024999999999999</v>
      </c>
      <c r="P1882" s="116">
        <v>43.25</v>
      </c>
      <c r="Q1882" s="116">
        <v>87</v>
      </c>
      <c r="R1882">
        <v>666479</v>
      </c>
    </row>
    <row r="1883" spans="1:18" x14ac:dyDescent="0.25">
      <c r="A1883" s="169">
        <v>44775</v>
      </c>
      <c r="B1883" s="116">
        <v>45.575000000000003</v>
      </c>
      <c r="C1883" s="116">
        <v>45.1</v>
      </c>
      <c r="D1883" s="116">
        <v>42.5</v>
      </c>
      <c r="E1883" s="116">
        <v>42.524999999999999</v>
      </c>
      <c r="F1883" s="116">
        <v>90.2</v>
      </c>
      <c r="G1883">
        <v>132069</v>
      </c>
      <c r="H1883" s="116"/>
      <c r="I1883" s="116"/>
      <c r="L1883" s="169">
        <v>44775</v>
      </c>
      <c r="M1883" s="116">
        <v>45.125</v>
      </c>
      <c r="N1883" s="116">
        <v>45.575000000000003</v>
      </c>
      <c r="O1883" s="116">
        <v>43.075000000000003</v>
      </c>
      <c r="P1883" s="116">
        <v>43.45</v>
      </c>
      <c r="Q1883" s="116">
        <v>90.25</v>
      </c>
      <c r="R1883">
        <v>1280798</v>
      </c>
    </row>
    <row r="1884" spans="1:18" x14ac:dyDescent="0.25">
      <c r="A1884" s="169">
        <v>44776</v>
      </c>
      <c r="B1884" s="116">
        <v>45.725000000000001</v>
      </c>
      <c r="C1884" s="116">
        <v>44.575000000000003</v>
      </c>
      <c r="D1884" s="116">
        <v>44.274999999999999</v>
      </c>
      <c r="E1884" s="116">
        <v>45.5</v>
      </c>
      <c r="F1884" s="116">
        <v>89.15</v>
      </c>
      <c r="G1884">
        <v>55557</v>
      </c>
      <c r="H1884" s="116"/>
      <c r="I1884" s="116"/>
      <c r="L1884" s="169">
        <v>44776</v>
      </c>
      <c r="M1884" s="116">
        <v>44.575000000000003</v>
      </c>
      <c r="N1884" s="116">
        <v>45.825000000000003</v>
      </c>
      <c r="O1884" s="116">
        <v>44.25</v>
      </c>
      <c r="P1884" s="116">
        <v>45.825000000000003</v>
      </c>
      <c r="Q1884" s="116">
        <v>89.15</v>
      </c>
      <c r="R1884">
        <v>617668</v>
      </c>
    </row>
    <row r="1885" spans="1:18" x14ac:dyDescent="0.25">
      <c r="A1885" s="169">
        <v>44777</v>
      </c>
      <c r="B1885" s="116">
        <v>45.95</v>
      </c>
      <c r="C1885" s="116">
        <v>45.55</v>
      </c>
      <c r="D1885" s="116">
        <v>43.825000000000003</v>
      </c>
      <c r="E1885" s="116">
        <v>44.924999999999997</v>
      </c>
      <c r="F1885" s="116">
        <v>91.1</v>
      </c>
      <c r="G1885">
        <v>132533</v>
      </c>
      <c r="H1885" s="116"/>
      <c r="I1885" s="116"/>
      <c r="L1885" s="169">
        <v>44777</v>
      </c>
      <c r="M1885" s="116">
        <v>45.5</v>
      </c>
      <c r="N1885" s="116">
        <v>45.95</v>
      </c>
      <c r="O1885" s="116">
        <v>43.774999999999999</v>
      </c>
      <c r="P1885" s="116">
        <v>45</v>
      </c>
      <c r="Q1885" s="116">
        <v>91</v>
      </c>
      <c r="R1885">
        <v>1131492</v>
      </c>
    </row>
    <row r="1886" spans="1:18" x14ac:dyDescent="0.25">
      <c r="A1886" s="169">
        <v>44778</v>
      </c>
      <c r="B1886" s="116">
        <v>46.55</v>
      </c>
      <c r="C1886" s="116">
        <v>43.3</v>
      </c>
      <c r="D1886" s="116">
        <v>42.5</v>
      </c>
      <c r="E1886" s="116">
        <v>45.5</v>
      </c>
      <c r="F1886" s="116">
        <v>86.6</v>
      </c>
      <c r="G1886">
        <v>311366</v>
      </c>
      <c r="H1886" s="116"/>
      <c r="I1886" s="116"/>
      <c r="L1886" s="169">
        <v>44778</v>
      </c>
      <c r="M1886" s="116">
        <v>43.274999999999999</v>
      </c>
      <c r="N1886" s="116">
        <v>46.4</v>
      </c>
      <c r="O1886" s="116">
        <v>42.4</v>
      </c>
      <c r="P1886" s="116">
        <v>45.5</v>
      </c>
      <c r="Q1886" s="116">
        <v>86.55</v>
      </c>
      <c r="R1886">
        <v>2430737</v>
      </c>
    </row>
    <row r="1887" spans="1:18" x14ac:dyDescent="0.25">
      <c r="A1887" s="169">
        <v>44781</v>
      </c>
      <c r="B1887" s="116">
        <v>43</v>
      </c>
      <c r="C1887" s="116">
        <v>41.825000000000003</v>
      </c>
      <c r="D1887" s="116">
        <v>41.35</v>
      </c>
      <c r="E1887" s="116">
        <v>42.6</v>
      </c>
      <c r="F1887" s="116">
        <v>83.65</v>
      </c>
      <c r="G1887">
        <v>134707</v>
      </c>
      <c r="H1887" s="116"/>
      <c r="I1887" s="116"/>
      <c r="L1887" s="169">
        <v>44781</v>
      </c>
      <c r="M1887" s="116">
        <v>41.825000000000003</v>
      </c>
      <c r="N1887" s="116">
        <v>42.85</v>
      </c>
      <c r="O1887" s="116">
        <v>41.325000000000003</v>
      </c>
      <c r="P1887" s="116">
        <v>42.85</v>
      </c>
      <c r="Q1887" s="116">
        <v>83.65</v>
      </c>
      <c r="R1887">
        <v>1082300</v>
      </c>
    </row>
    <row r="1888" spans="1:18" x14ac:dyDescent="0.25">
      <c r="A1888" s="169">
        <v>44783</v>
      </c>
      <c r="B1888" s="116">
        <v>42.15</v>
      </c>
      <c r="C1888" s="116">
        <v>41.15</v>
      </c>
      <c r="D1888" s="116">
        <v>41</v>
      </c>
      <c r="E1888" s="116">
        <v>41.85</v>
      </c>
      <c r="F1888" s="116">
        <v>82.3</v>
      </c>
      <c r="G1888">
        <v>62422</v>
      </c>
      <c r="H1888" s="116"/>
      <c r="I1888" s="116"/>
      <c r="L1888" s="169">
        <v>44783</v>
      </c>
      <c r="M1888" s="116">
        <v>41.15</v>
      </c>
      <c r="N1888" s="116">
        <v>42.2</v>
      </c>
      <c r="O1888" s="116">
        <v>41.05</v>
      </c>
      <c r="P1888" s="116">
        <v>42.15</v>
      </c>
      <c r="Q1888" s="116">
        <v>82.3</v>
      </c>
      <c r="R1888">
        <v>470965</v>
      </c>
    </row>
    <row r="1889" spans="1:18" x14ac:dyDescent="0.25">
      <c r="A1889" s="169">
        <v>44784</v>
      </c>
      <c r="B1889" s="116">
        <v>41.75</v>
      </c>
      <c r="C1889" s="116">
        <v>41.3</v>
      </c>
      <c r="D1889" s="116">
        <v>40.924999999999997</v>
      </c>
      <c r="E1889" s="116">
        <v>41.5</v>
      </c>
      <c r="F1889" s="116">
        <v>82.6</v>
      </c>
      <c r="G1889">
        <v>171436</v>
      </c>
      <c r="H1889" s="116"/>
      <c r="I1889" s="116"/>
      <c r="L1889" s="169">
        <v>44784</v>
      </c>
      <c r="M1889" s="116">
        <v>41.274999999999999</v>
      </c>
      <c r="N1889" s="116">
        <v>41.85</v>
      </c>
      <c r="O1889" s="116">
        <v>40.9</v>
      </c>
      <c r="P1889" s="116">
        <v>41.75</v>
      </c>
      <c r="Q1889" s="116">
        <v>82.55</v>
      </c>
      <c r="R1889">
        <v>609117</v>
      </c>
    </row>
    <row r="1890" spans="1:18" x14ac:dyDescent="0.25">
      <c r="A1890" s="169">
        <v>44785</v>
      </c>
      <c r="B1890" s="116">
        <v>42.024999999999999</v>
      </c>
      <c r="C1890" s="116">
        <v>41.774999999999999</v>
      </c>
      <c r="D1890" s="116">
        <v>41.274999999999999</v>
      </c>
      <c r="E1890" s="116">
        <v>41.6</v>
      </c>
      <c r="F1890" s="116">
        <v>83.55</v>
      </c>
      <c r="G1890">
        <v>160876</v>
      </c>
      <c r="H1890" s="116"/>
      <c r="I1890" s="116"/>
      <c r="L1890" s="169">
        <v>44785</v>
      </c>
      <c r="M1890" s="116">
        <v>41.774999999999999</v>
      </c>
      <c r="N1890" s="116">
        <v>42</v>
      </c>
      <c r="O1890" s="116">
        <v>41.25</v>
      </c>
      <c r="P1890" s="116">
        <v>41.274999999999999</v>
      </c>
      <c r="Q1890" s="116">
        <v>83.55</v>
      </c>
      <c r="R1890">
        <v>434466</v>
      </c>
    </row>
    <row r="1891" spans="1:18" x14ac:dyDescent="0.25">
      <c r="A1891" s="169">
        <v>44789</v>
      </c>
      <c r="B1891" s="116">
        <v>42.875</v>
      </c>
      <c r="C1891" s="116">
        <v>42.5</v>
      </c>
      <c r="D1891" s="116">
        <v>41.424999999999997</v>
      </c>
      <c r="E1891" s="116">
        <v>42.475000000000001</v>
      </c>
      <c r="F1891" s="116">
        <v>85</v>
      </c>
      <c r="G1891">
        <v>84341</v>
      </c>
      <c r="H1891" s="116"/>
      <c r="I1891" s="116"/>
      <c r="L1891" s="169">
        <v>44789</v>
      </c>
      <c r="M1891" s="116">
        <v>42.45</v>
      </c>
      <c r="N1891" s="116">
        <v>42.875</v>
      </c>
      <c r="O1891" s="116">
        <v>41.424999999999997</v>
      </c>
      <c r="P1891" s="116">
        <v>42</v>
      </c>
      <c r="Q1891" s="116">
        <v>84.9</v>
      </c>
      <c r="R1891">
        <v>442041</v>
      </c>
    </row>
    <row r="1892" spans="1:18" x14ac:dyDescent="0.25">
      <c r="A1892" s="169">
        <v>44790</v>
      </c>
      <c r="B1892" s="116">
        <v>43.15</v>
      </c>
      <c r="C1892" s="116">
        <v>42.774999999999999</v>
      </c>
      <c r="D1892" s="116">
        <v>42.524999999999999</v>
      </c>
      <c r="E1892" s="116">
        <v>43.15</v>
      </c>
      <c r="F1892" s="116">
        <v>85.55</v>
      </c>
      <c r="G1892">
        <v>63005</v>
      </c>
      <c r="H1892" s="116"/>
      <c r="I1892" s="116"/>
      <c r="L1892" s="169">
        <v>44790</v>
      </c>
      <c r="M1892" s="116">
        <v>42.8</v>
      </c>
      <c r="N1892" s="116">
        <v>43.174999999999997</v>
      </c>
      <c r="O1892" s="116">
        <v>42.5</v>
      </c>
      <c r="P1892" s="116">
        <v>42.75</v>
      </c>
      <c r="Q1892" s="116">
        <v>85.6</v>
      </c>
      <c r="R1892">
        <v>370786</v>
      </c>
    </row>
    <row r="1893" spans="1:18" x14ac:dyDescent="0.25">
      <c r="A1893" s="169">
        <v>44791</v>
      </c>
      <c r="B1893" s="116">
        <v>43.875</v>
      </c>
      <c r="C1893" s="116">
        <v>42.95</v>
      </c>
      <c r="D1893" s="116">
        <v>42.65</v>
      </c>
      <c r="E1893" s="116">
        <v>42.7</v>
      </c>
      <c r="F1893" s="116">
        <v>85.9</v>
      </c>
      <c r="G1893">
        <v>79369</v>
      </c>
      <c r="H1893" s="116"/>
      <c r="I1893" s="116"/>
      <c r="L1893" s="169">
        <v>44791</v>
      </c>
      <c r="M1893" s="116">
        <v>42.924999999999997</v>
      </c>
      <c r="N1893" s="116">
        <v>43.875</v>
      </c>
      <c r="O1893" s="116">
        <v>42.625</v>
      </c>
      <c r="P1893" s="116">
        <v>42.9</v>
      </c>
      <c r="Q1893" s="116">
        <v>85.85</v>
      </c>
      <c r="R1893">
        <v>834297</v>
      </c>
    </row>
    <row r="1894" spans="1:18" x14ac:dyDescent="0.25">
      <c r="A1894" s="169">
        <v>44792</v>
      </c>
      <c r="B1894" s="116">
        <v>43.5</v>
      </c>
      <c r="C1894" s="116">
        <v>42.024999999999999</v>
      </c>
      <c r="D1894" s="116">
        <v>41.8</v>
      </c>
      <c r="E1894" s="116">
        <v>43.5</v>
      </c>
      <c r="F1894" s="116">
        <v>84.05</v>
      </c>
      <c r="G1894">
        <v>69229</v>
      </c>
      <c r="H1894" s="116"/>
      <c r="I1894" s="116"/>
      <c r="L1894" s="169">
        <v>44792</v>
      </c>
      <c r="M1894" s="116">
        <v>42</v>
      </c>
      <c r="N1894" s="116">
        <v>43.325000000000003</v>
      </c>
      <c r="O1894" s="116">
        <v>41.825000000000003</v>
      </c>
      <c r="P1894" s="116">
        <v>43</v>
      </c>
      <c r="Q1894" s="116">
        <v>84</v>
      </c>
      <c r="R1894">
        <v>515336</v>
      </c>
    </row>
    <row r="1895" spans="1:18" x14ac:dyDescent="0.25">
      <c r="A1895" s="169">
        <v>44795</v>
      </c>
      <c r="B1895" s="116">
        <v>42.424999999999997</v>
      </c>
      <c r="C1895" s="116">
        <v>41.15</v>
      </c>
      <c r="D1895" s="116">
        <v>41.05</v>
      </c>
      <c r="E1895" s="116">
        <v>42.424999999999997</v>
      </c>
      <c r="F1895" s="116">
        <v>82.3</v>
      </c>
      <c r="G1895">
        <v>68908</v>
      </c>
      <c r="H1895" s="116"/>
      <c r="I1895" s="116"/>
      <c r="L1895" s="169">
        <v>44795</v>
      </c>
      <c r="M1895" s="116">
        <v>41.174999999999997</v>
      </c>
      <c r="N1895" s="116">
        <v>42.45</v>
      </c>
      <c r="O1895" s="116">
        <v>41.075000000000003</v>
      </c>
      <c r="P1895" s="116">
        <v>42.45</v>
      </c>
      <c r="Q1895" s="116">
        <v>82.35</v>
      </c>
      <c r="R1895">
        <v>302227</v>
      </c>
    </row>
    <row r="1896" spans="1:18" x14ac:dyDescent="0.25">
      <c r="A1896" s="169">
        <v>44796</v>
      </c>
      <c r="B1896" s="116">
        <v>41.825000000000003</v>
      </c>
      <c r="C1896" s="116">
        <v>41.674999999999997</v>
      </c>
      <c r="D1896" s="116">
        <v>40.549999999999997</v>
      </c>
      <c r="E1896" s="116">
        <v>41.2</v>
      </c>
      <c r="F1896" s="116">
        <v>83.35</v>
      </c>
      <c r="G1896">
        <v>40050</v>
      </c>
      <c r="H1896" s="116"/>
      <c r="I1896" s="116"/>
      <c r="L1896" s="169">
        <v>44796</v>
      </c>
      <c r="M1896" s="116">
        <v>41.65</v>
      </c>
      <c r="N1896" s="116">
        <v>41.9</v>
      </c>
      <c r="O1896" s="116">
        <v>40.549999999999997</v>
      </c>
      <c r="P1896" s="116">
        <v>41.174999999999997</v>
      </c>
      <c r="Q1896" s="116">
        <v>83.3</v>
      </c>
      <c r="R1896">
        <v>430726</v>
      </c>
    </row>
    <row r="1897" spans="1:18" x14ac:dyDescent="0.25">
      <c r="A1897" s="169">
        <v>44797</v>
      </c>
      <c r="B1897" s="116">
        <v>43.2</v>
      </c>
      <c r="C1897" s="116">
        <v>42.975000000000001</v>
      </c>
      <c r="D1897" s="116">
        <v>41.774999999999999</v>
      </c>
      <c r="E1897" s="116">
        <v>42.2</v>
      </c>
      <c r="F1897" s="116">
        <v>85.95</v>
      </c>
      <c r="G1897">
        <v>78698</v>
      </c>
      <c r="H1897" s="116"/>
      <c r="I1897" s="116"/>
      <c r="L1897" s="169">
        <v>44797</v>
      </c>
      <c r="M1897" s="116">
        <v>42.95</v>
      </c>
      <c r="N1897" s="116">
        <v>43.2</v>
      </c>
      <c r="O1897" s="116">
        <v>41.725000000000001</v>
      </c>
      <c r="P1897" s="116">
        <v>41.8</v>
      </c>
      <c r="Q1897" s="116">
        <v>85.9</v>
      </c>
      <c r="R1897">
        <v>610793</v>
      </c>
    </row>
    <row r="1898" spans="1:18" x14ac:dyDescent="0.25">
      <c r="A1898" s="169">
        <v>44798</v>
      </c>
      <c r="B1898" s="116">
        <v>43.625</v>
      </c>
      <c r="C1898" s="116">
        <v>42.774999999999999</v>
      </c>
      <c r="D1898" s="116">
        <v>42.55</v>
      </c>
      <c r="E1898" s="116">
        <v>43.25</v>
      </c>
      <c r="F1898" s="116">
        <v>85.55</v>
      </c>
      <c r="G1898">
        <v>92622</v>
      </c>
      <c r="H1898" s="116"/>
      <c r="I1898" s="116"/>
      <c r="L1898" s="169">
        <v>44798</v>
      </c>
      <c r="M1898" s="116">
        <v>42.774999999999999</v>
      </c>
      <c r="N1898" s="116">
        <v>43.725000000000001</v>
      </c>
      <c r="O1898" s="116">
        <v>42.55</v>
      </c>
      <c r="P1898" s="116">
        <v>43.5</v>
      </c>
      <c r="Q1898" s="116">
        <v>85.55</v>
      </c>
      <c r="R1898">
        <v>547441</v>
      </c>
    </row>
    <row r="1899" spans="1:18" x14ac:dyDescent="0.25">
      <c r="A1899" s="169">
        <v>44799</v>
      </c>
      <c r="B1899" s="116">
        <v>43.9</v>
      </c>
      <c r="C1899" s="116">
        <v>43.274999999999999</v>
      </c>
      <c r="D1899" s="116">
        <v>42.975000000000001</v>
      </c>
      <c r="E1899" s="116">
        <v>43</v>
      </c>
      <c r="F1899" s="116">
        <v>86.55</v>
      </c>
      <c r="G1899">
        <v>89361</v>
      </c>
      <c r="H1899" s="116"/>
      <c r="I1899" s="116"/>
      <c r="L1899" s="169">
        <v>44799</v>
      </c>
      <c r="M1899" s="116">
        <v>43.225000000000001</v>
      </c>
      <c r="N1899" s="116">
        <v>43.95</v>
      </c>
      <c r="O1899" s="116">
        <v>42.95</v>
      </c>
      <c r="P1899" s="116">
        <v>43.174999999999997</v>
      </c>
      <c r="Q1899" s="116">
        <v>86.45</v>
      </c>
      <c r="R1899">
        <v>547577</v>
      </c>
    </row>
    <row r="1900" spans="1:18" x14ac:dyDescent="0.25">
      <c r="A1900" s="169">
        <v>44802</v>
      </c>
      <c r="B1900" s="116">
        <v>42.85</v>
      </c>
      <c r="C1900" s="116">
        <v>42.725000000000001</v>
      </c>
      <c r="D1900" s="116">
        <v>40.549999999999997</v>
      </c>
      <c r="E1900" s="116">
        <v>40.549999999999997</v>
      </c>
      <c r="F1900" s="116">
        <v>85.45</v>
      </c>
      <c r="G1900">
        <v>40350</v>
      </c>
      <c r="H1900" s="116"/>
      <c r="I1900" s="116"/>
      <c r="L1900" s="169">
        <v>44802</v>
      </c>
      <c r="M1900" s="116">
        <v>42.75</v>
      </c>
      <c r="N1900" s="116">
        <v>42.924999999999997</v>
      </c>
      <c r="O1900" s="116">
        <v>42.05</v>
      </c>
      <c r="P1900" s="116">
        <v>42.6</v>
      </c>
      <c r="Q1900" s="116">
        <v>85.5</v>
      </c>
      <c r="R1900">
        <v>430035</v>
      </c>
    </row>
    <row r="1901" spans="1:18" x14ac:dyDescent="0.25">
      <c r="A1901" s="169">
        <v>44803</v>
      </c>
      <c r="B1901" s="116">
        <v>43.75</v>
      </c>
      <c r="C1901" s="116">
        <v>43.45</v>
      </c>
      <c r="D1901" s="116">
        <v>42.825000000000003</v>
      </c>
      <c r="E1901" s="116">
        <v>42.825000000000003</v>
      </c>
      <c r="F1901" s="116">
        <v>86.9</v>
      </c>
      <c r="G1901">
        <v>54554</v>
      </c>
      <c r="H1901" s="116"/>
      <c r="I1901" s="116"/>
      <c r="L1901" s="169">
        <v>44803</v>
      </c>
      <c r="M1901" s="116">
        <v>43.475000000000001</v>
      </c>
      <c r="N1901" s="116">
        <v>43.774999999999999</v>
      </c>
      <c r="O1901" s="116">
        <v>42.9</v>
      </c>
      <c r="P1901" s="116">
        <v>43.325000000000003</v>
      </c>
      <c r="Q1901" s="116">
        <v>86.95</v>
      </c>
      <c r="R1901">
        <v>478612</v>
      </c>
    </row>
    <row r="1902" spans="1:18" x14ac:dyDescent="0.25">
      <c r="A1902" s="169">
        <v>44805</v>
      </c>
      <c r="B1902" s="116">
        <v>44.25</v>
      </c>
      <c r="C1902" s="116">
        <v>43.55</v>
      </c>
      <c r="D1902" s="116">
        <v>43.05</v>
      </c>
      <c r="E1902" s="116">
        <v>43.475000000000001</v>
      </c>
      <c r="F1902" s="116">
        <v>87.1</v>
      </c>
      <c r="G1902">
        <v>58531</v>
      </c>
      <c r="H1902" s="116"/>
      <c r="I1902" s="116"/>
      <c r="L1902" s="169">
        <v>44805</v>
      </c>
      <c r="M1902" s="116">
        <v>43.55</v>
      </c>
      <c r="N1902" s="116">
        <v>44.3</v>
      </c>
      <c r="O1902" s="116">
        <v>43.075000000000003</v>
      </c>
      <c r="P1902" s="116">
        <v>43.225000000000001</v>
      </c>
      <c r="Q1902" s="116">
        <v>87.1</v>
      </c>
      <c r="R1902">
        <v>639027</v>
      </c>
    </row>
    <row r="1903" spans="1:18" x14ac:dyDescent="0.25">
      <c r="A1903" s="169">
        <v>44806</v>
      </c>
      <c r="B1903" s="116">
        <v>44.225000000000001</v>
      </c>
      <c r="C1903" s="116">
        <v>42.975000000000001</v>
      </c>
      <c r="D1903" s="116">
        <v>42.774999999999999</v>
      </c>
      <c r="E1903" s="116">
        <v>44.225000000000001</v>
      </c>
      <c r="F1903" s="116">
        <v>85.95</v>
      </c>
      <c r="G1903">
        <v>39721</v>
      </c>
      <c r="H1903" s="116"/>
      <c r="I1903" s="116"/>
      <c r="L1903" s="169">
        <v>44806</v>
      </c>
      <c r="M1903" s="116">
        <v>43</v>
      </c>
      <c r="N1903" s="116">
        <v>44.225000000000001</v>
      </c>
      <c r="O1903" s="116">
        <v>42.75</v>
      </c>
      <c r="P1903" s="116">
        <v>44</v>
      </c>
      <c r="Q1903" s="116">
        <v>86</v>
      </c>
      <c r="R1903">
        <v>366836</v>
      </c>
    </row>
    <row r="1904" spans="1:18" x14ac:dyDescent="0.25">
      <c r="A1904" s="169">
        <v>44809</v>
      </c>
      <c r="B1904" s="116">
        <v>44.375</v>
      </c>
      <c r="C1904" s="116">
        <v>43.9</v>
      </c>
      <c r="D1904" s="116">
        <v>42.6</v>
      </c>
      <c r="E1904" s="116">
        <v>42.6</v>
      </c>
      <c r="F1904" s="116">
        <v>87.8</v>
      </c>
      <c r="G1904">
        <v>64769</v>
      </c>
      <c r="H1904" s="116"/>
      <c r="I1904" s="116"/>
      <c r="L1904" s="169">
        <v>44809</v>
      </c>
      <c r="M1904" s="116">
        <v>43.875</v>
      </c>
      <c r="N1904" s="116">
        <v>44.375</v>
      </c>
      <c r="O1904" s="116">
        <v>43.05</v>
      </c>
      <c r="P1904" s="116">
        <v>43.25</v>
      </c>
      <c r="Q1904" s="116">
        <v>87.75</v>
      </c>
      <c r="R1904">
        <v>623234</v>
      </c>
    </row>
    <row r="1905" spans="1:18" x14ac:dyDescent="0.25">
      <c r="A1905" s="169">
        <v>44810</v>
      </c>
      <c r="B1905" s="116">
        <v>44.85</v>
      </c>
      <c r="C1905" s="116">
        <v>44.625</v>
      </c>
      <c r="D1905" s="116">
        <v>43.8</v>
      </c>
      <c r="E1905" s="116">
        <v>44.3</v>
      </c>
      <c r="F1905" s="116">
        <v>89.25</v>
      </c>
      <c r="G1905">
        <v>107458</v>
      </c>
      <c r="H1905" s="116"/>
      <c r="I1905" s="116"/>
      <c r="L1905" s="169">
        <v>44810</v>
      </c>
      <c r="M1905" s="116">
        <v>44.65</v>
      </c>
      <c r="N1905" s="116">
        <v>44.85</v>
      </c>
      <c r="O1905" s="116">
        <v>43.774999999999999</v>
      </c>
      <c r="P1905" s="116">
        <v>44.25</v>
      </c>
      <c r="Q1905" s="116">
        <v>89.3</v>
      </c>
      <c r="R1905">
        <v>817039</v>
      </c>
    </row>
    <row r="1906" spans="1:18" x14ac:dyDescent="0.25">
      <c r="A1906" s="169">
        <v>44811</v>
      </c>
      <c r="B1906" s="116">
        <v>45.6</v>
      </c>
      <c r="C1906" s="116">
        <v>45.475000000000001</v>
      </c>
      <c r="D1906" s="116">
        <v>44.25</v>
      </c>
      <c r="E1906" s="116">
        <v>44.25</v>
      </c>
      <c r="F1906" s="116">
        <v>90.95</v>
      </c>
      <c r="G1906">
        <v>98586</v>
      </c>
      <c r="H1906" s="116"/>
      <c r="I1906" s="116"/>
      <c r="L1906" s="169">
        <v>44811</v>
      </c>
      <c r="M1906" s="116">
        <v>45.45</v>
      </c>
      <c r="N1906" s="116">
        <v>45.625</v>
      </c>
      <c r="O1906" s="116">
        <v>44.225000000000001</v>
      </c>
      <c r="P1906" s="116">
        <v>44.3</v>
      </c>
      <c r="Q1906" s="116">
        <v>90.9</v>
      </c>
      <c r="R1906">
        <v>932164</v>
      </c>
    </row>
    <row r="1907" spans="1:18" x14ac:dyDescent="0.25">
      <c r="A1907" s="169">
        <v>44812</v>
      </c>
      <c r="B1907" s="116">
        <v>45.9</v>
      </c>
      <c r="C1907" s="116">
        <v>44.575000000000003</v>
      </c>
      <c r="D1907" s="116">
        <v>44.325000000000003</v>
      </c>
      <c r="E1907" s="116">
        <v>45.524999999999999</v>
      </c>
      <c r="F1907" s="116">
        <v>89.15</v>
      </c>
      <c r="G1907">
        <v>80731</v>
      </c>
      <c r="H1907" s="116"/>
      <c r="I1907" s="116"/>
      <c r="L1907" s="169">
        <v>44812</v>
      </c>
      <c r="M1907" s="116">
        <v>44.575000000000003</v>
      </c>
      <c r="N1907" s="116">
        <v>45.9</v>
      </c>
      <c r="O1907" s="116">
        <v>44.3</v>
      </c>
      <c r="P1907" s="116">
        <v>45.85</v>
      </c>
      <c r="Q1907" s="116">
        <v>89.15</v>
      </c>
      <c r="R1907">
        <v>717102</v>
      </c>
    </row>
    <row r="1908" spans="1:18" x14ac:dyDescent="0.25">
      <c r="A1908" s="169">
        <v>44813</v>
      </c>
      <c r="B1908" s="116">
        <v>45.3</v>
      </c>
      <c r="C1908" s="116">
        <v>44.5</v>
      </c>
      <c r="D1908" s="116">
        <v>44.325000000000003</v>
      </c>
      <c r="E1908" s="116">
        <v>44.6</v>
      </c>
      <c r="F1908" s="116">
        <v>89</v>
      </c>
      <c r="G1908">
        <v>73789</v>
      </c>
      <c r="H1908" s="116"/>
      <c r="I1908" s="116"/>
      <c r="L1908" s="169">
        <v>44813</v>
      </c>
      <c r="M1908" s="116">
        <v>44.5</v>
      </c>
      <c r="N1908" s="116">
        <v>45.325000000000003</v>
      </c>
      <c r="O1908" s="116">
        <v>44.3</v>
      </c>
      <c r="P1908" s="116">
        <v>44.774999999999999</v>
      </c>
      <c r="Q1908" s="116">
        <v>89</v>
      </c>
      <c r="R1908">
        <v>390954</v>
      </c>
    </row>
    <row r="1909" spans="1:18" x14ac:dyDescent="0.25">
      <c r="A1909" s="169">
        <v>44816</v>
      </c>
      <c r="B1909" s="116">
        <v>45.45</v>
      </c>
      <c r="C1909" s="116">
        <v>45</v>
      </c>
      <c r="D1909" s="116">
        <v>44.2</v>
      </c>
      <c r="E1909" s="116">
        <v>44.2</v>
      </c>
      <c r="F1909" s="116">
        <v>90</v>
      </c>
      <c r="G1909">
        <v>86253</v>
      </c>
      <c r="H1909" s="116"/>
      <c r="I1909" s="116"/>
      <c r="L1909" s="169">
        <v>44816</v>
      </c>
      <c r="M1909" s="116">
        <v>45</v>
      </c>
      <c r="N1909" s="116">
        <v>45.5</v>
      </c>
      <c r="O1909" s="116">
        <v>44.725000000000001</v>
      </c>
      <c r="P1909" s="116">
        <v>44.725000000000001</v>
      </c>
      <c r="Q1909" s="116">
        <v>90</v>
      </c>
      <c r="R1909">
        <v>534794</v>
      </c>
    </row>
    <row r="1910" spans="1:18" x14ac:dyDescent="0.25">
      <c r="A1910" s="169">
        <v>44817</v>
      </c>
      <c r="B1910" s="116">
        <v>45.674999999999997</v>
      </c>
      <c r="C1910" s="116">
        <v>44.5</v>
      </c>
      <c r="D1910" s="116">
        <v>44.375</v>
      </c>
      <c r="E1910" s="116">
        <v>45.45</v>
      </c>
      <c r="F1910" s="116">
        <v>89</v>
      </c>
      <c r="G1910">
        <v>77088</v>
      </c>
      <c r="H1910" s="116"/>
      <c r="I1910" s="116"/>
      <c r="L1910" s="169">
        <v>44817</v>
      </c>
      <c r="M1910" s="116">
        <v>44.475000000000001</v>
      </c>
      <c r="N1910" s="116">
        <v>45.674999999999997</v>
      </c>
      <c r="O1910" s="116">
        <v>44.274999999999999</v>
      </c>
      <c r="P1910" s="116">
        <v>45.15</v>
      </c>
      <c r="Q1910" s="116">
        <v>88.95</v>
      </c>
      <c r="R1910">
        <v>759999</v>
      </c>
    </row>
    <row r="1911" spans="1:18" x14ac:dyDescent="0.25">
      <c r="A1911" s="169">
        <v>44818</v>
      </c>
      <c r="B1911" s="116">
        <v>45.375</v>
      </c>
      <c r="C1911" s="116">
        <v>44.524999999999999</v>
      </c>
      <c r="D1911" s="116">
        <v>42.55</v>
      </c>
      <c r="E1911" s="116">
        <v>44.2</v>
      </c>
      <c r="F1911" s="116">
        <v>89.05</v>
      </c>
      <c r="G1911">
        <v>161660</v>
      </c>
      <c r="H1911" s="116"/>
      <c r="I1911" s="116"/>
      <c r="L1911" s="169">
        <v>44818</v>
      </c>
      <c r="M1911" s="116">
        <v>44.575000000000003</v>
      </c>
      <c r="N1911" s="116">
        <v>45.35</v>
      </c>
      <c r="O1911" s="116">
        <v>40.774999999999999</v>
      </c>
      <c r="P1911" s="116">
        <v>44.174999999999997</v>
      </c>
      <c r="Q1911" s="116">
        <v>89.15</v>
      </c>
      <c r="R1911">
        <v>843252</v>
      </c>
    </row>
    <row r="1912" spans="1:18" x14ac:dyDescent="0.25">
      <c r="A1912" s="169">
        <v>44819</v>
      </c>
      <c r="B1912" s="116">
        <v>45.125</v>
      </c>
      <c r="C1912" s="116">
        <v>44.25</v>
      </c>
      <c r="D1912" s="116">
        <v>44.024999999999999</v>
      </c>
      <c r="E1912" s="116">
        <v>45</v>
      </c>
      <c r="F1912" s="116">
        <v>88.5</v>
      </c>
      <c r="G1912">
        <v>30986</v>
      </c>
      <c r="H1912" s="116"/>
      <c r="I1912" s="116"/>
      <c r="L1912" s="169">
        <v>44819</v>
      </c>
      <c r="M1912" s="116">
        <v>44.2</v>
      </c>
      <c r="N1912" s="116">
        <v>45.15</v>
      </c>
      <c r="O1912" s="116">
        <v>44.05</v>
      </c>
      <c r="P1912" s="116">
        <v>44.8</v>
      </c>
      <c r="Q1912" s="116">
        <v>88.4</v>
      </c>
      <c r="R1912">
        <v>418215</v>
      </c>
    </row>
    <row r="1913" spans="1:18" x14ac:dyDescent="0.25">
      <c r="A1913" s="169">
        <v>44820</v>
      </c>
      <c r="B1913" s="116">
        <v>45.3</v>
      </c>
      <c r="C1913" s="116">
        <v>45.075000000000003</v>
      </c>
      <c r="D1913" s="116">
        <v>43.625</v>
      </c>
      <c r="E1913" s="116">
        <v>44.125</v>
      </c>
      <c r="F1913" s="116">
        <v>90.15</v>
      </c>
      <c r="G1913">
        <v>216569</v>
      </c>
      <c r="H1913" s="116"/>
      <c r="I1913" s="116"/>
      <c r="L1913" s="169">
        <v>44820</v>
      </c>
      <c r="M1913" s="116">
        <v>44.975000000000001</v>
      </c>
      <c r="N1913" s="116">
        <v>45.3</v>
      </c>
      <c r="O1913" s="116">
        <v>43.575000000000003</v>
      </c>
      <c r="P1913" s="116">
        <v>44.2</v>
      </c>
      <c r="Q1913" s="116">
        <v>89.95</v>
      </c>
      <c r="R1913">
        <v>1451250</v>
      </c>
    </row>
    <row r="1914" spans="1:18" x14ac:dyDescent="0.25">
      <c r="A1914" s="169">
        <v>44823</v>
      </c>
      <c r="B1914" s="116">
        <v>45</v>
      </c>
      <c r="C1914" s="116">
        <v>43.2</v>
      </c>
      <c r="D1914" s="116">
        <v>42.9</v>
      </c>
      <c r="E1914" s="116">
        <v>45</v>
      </c>
      <c r="F1914" s="116">
        <v>86.4</v>
      </c>
      <c r="G1914">
        <v>80978</v>
      </c>
      <c r="H1914" s="116"/>
      <c r="I1914" s="116"/>
      <c r="L1914" s="169">
        <v>44823</v>
      </c>
      <c r="M1914" s="116">
        <v>43.2</v>
      </c>
      <c r="N1914" s="116">
        <v>44.975000000000001</v>
      </c>
      <c r="O1914" s="116">
        <v>42.9</v>
      </c>
      <c r="P1914" s="116">
        <v>44.85</v>
      </c>
      <c r="Q1914" s="116">
        <v>86.4</v>
      </c>
      <c r="R1914">
        <v>606461</v>
      </c>
    </row>
    <row r="1915" spans="1:18" x14ac:dyDescent="0.25">
      <c r="A1915" s="169">
        <v>44824</v>
      </c>
      <c r="B1915" s="116">
        <v>43.8</v>
      </c>
      <c r="C1915" s="116">
        <v>42.95</v>
      </c>
      <c r="D1915" s="116">
        <v>42.774999999999999</v>
      </c>
      <c r="E1915" s="116">
        <v>43.674999999999997</v>
      </c>
      <c r="F1915" s="116">
        <v>85.9</v>
      </c>
      <c r="G1915">
        <v>74039</v>
      </c>
      <c r="H1915" s="116"/>
      <c r="I1915" s="116"/>
      <c r="L1915" s="169">
        <v>44824</v>
      </c>
      <c r="M1915" s="116">
        <v>42.924999999999997</v>
      </c>
      <c r="N1915" s="116">
        <v>43.9</v>
      </c>
      <c r="O1915" s="116">
        <v>42.8</v>
      </c>
      <c r="P1915" s="116">
        <v>43.9</v>
      </c>
      <c r="Q1915" s="116">
        <v>85.85</v>
      </c>
      <c r="R1915">
        <v>735012</v>
      </c>
    </row>
    <row r="1916" spans="1:18" x14ac:dyDescent="0.25">
      <c r="A1916" s="169">
        <v>44825</v>
      </c>
      <c r="B1916" s="116">
        <v>43.25</v>
      </c>
      <c r="C1916" s="116">
        <v>42.424999999999997</v>
      </c>
      <c r="D1916" s="116">
        <v>42.25</v>
      </c>
      <c r="E1916" s="116">
        <v>43.25</v>
      </c>
      <c r="F1916" s="116">
        <v>84.85</v>
      </c>
      <c r="G1916">
        <v>85215</v>
      </c>
      <c r="H1916" s="116"/>
      <c r="I1916" s="116"/>
      <c r="L1916" s="169">
        <v>44825</v>
      </c>
      <c r="M1916" s="116">
        <v>42.375</v>
      </c>
      <c r="N1916" s="116">
        <v>43.325000000000003</v>
      </c>
      <c r="O1916" s="116">
        <v>42.25</v>
      </c>
      <c r="P1916" s="116">
        <v>43.25</v>
      </c>
      <c r="Q1916" s="116">
        <v>84.75</v>
      </c>
      <c r="R1916">
        <v>408928</v>
      </c>
    </row>
    <row r="1917" spans="1:18" x14ac:dyDescent="0.25">
      <c r="A1917" s="169">
        <v>44826</v>
      </c>
      <c r="B1917" s="116">
        <v>44.375</v>
      </c>
      <c r="C1917" s="116">
        <v>44.075000000000003</v>
      </c>
      <c r="D1917" s="116">
        <v>42.3</v>
      </c>
      <c r="E1917" s="116">
        <v>42.725000000000001</v>
      </c>
      <c r="F1917" s="116">
        <v>88.15</v>
      </c>
      <c r="G1917">
        <v>129254</v>
      </c>
      <c r="H1917" s="116"/>
      <c r="I1917" s="116"/>
      <c r="L1917" s="169">
        <v>44826</v>
      </c>
      <c r="M1917" s="116">
        <v>44.075000000000003</v>
      </c>
      <c r="N1917" s="116">
        <v>44.375</v>
      </c>
      <c r="O1917" s="116">
        <v>42.25</v>
      </c>
      <c r="P1917" s="116">
        <v>42.45</v>
      </c>
      <c r="Q1917" s="116">
        <v>88.15</v>
      </c>
      <c r="R1917">
        <v>907928</v>
      </c>
    </row>
    <row r="1918" spans="1:18" x14ac:dyDescent="0.25">
      <c r="A1918" s="169">
        <v>44827</v>
      </c>
      <c r="B1918" s="116">
        <v>45.325000000000003</v>
      </c>
      <c r="C1918" s="116">
        <v>44.45</v>
      </c>
      <c r="D1918" s="116">
        <v>43.55</v>
      </c>
      <c r="E1918" s="116">
        <v>43.55</v>
      </c>
      <c r="F1918" s="116">
        <v>88.9</v>
      </c>
      <c r="G1918">
        <v>139760</v>
      </c>
      <c r="H1918" s="116"/>
      <c r="I1918" s="116"/>
      <c r="L1918" s="169">
        <v>44827</v>
      </c>
      <c r="M1918" s="116">
        <v>44.475000000000001</v>
      </c>
      <c r="N1918" s="116">
        <v>45.325000000000003</v>
      </c>
      <c r="O1918" s="116">
        <v>43.774999999999999</v>
      </c>
      <c r="P1918" s="116">
        <v>44.05</v>
      </c>
      <c r="Q1918" s="116">
        <v>88.95</v>
      </c>
      <c r="R1918">
        <v>1211911</v>
      </c>
    </row>
    <row r="1919" spans="1:18" x14ac:dyDescent="0.25">
      <c r="A1919" s="169">
        <v>44830</v>
      </c>
      <c r="B1919" s="116">
        <v>45</v>
      </c>
      <c r="C1919" s="116">
        <v>42.2</v>
      </c>
      <c r="D1919" s="116">
        <v>42</v>
      </c>
      <c r="E1919" s="116">
        <v>43.6</v>
      </c>
      <c r="F1919" s="116">
        <v>84.4</v>
      </c>
      <c r="G1919">
        <v>93457</v>
      </c>
      <c r="H1919" s="116"/>
      <c r="I1919" s="116"/>
      <c r="L1919" s="169">
        <v>44830</v>
      </c>
      <c r="M1919" s="116">
        <v>42.2</v>
      </c>
      <c r="N1919" s="116">
        <v>45</v>
      </c>
      <c r="O1919" s="116">
        <v>41.8</v>
      </c>
      <c r="P1919" s="116">
        <v>44.4</v>
      </c>
      <c r="Q1919" s="116">
        <v>84.4</v>
      </c>
      <c r="R1919">
        <v>1176099</v>
      </c>
    </row>
    <row r="1920" spans="1:18" x14ac:dyDescent="0.25">
      <c r="A1920" s="169">
        <v>44831</v>
      </c>
      <c r="B1920" s="116">
        <v>43.174999999999997</v>
      </c>
      <c r="C1920" s="116">
        <v>40.725000000000001</v>
      </c>
      <c r="D1920" s="116">
        <v>40.25</v>
      </c>
      <c r="E1920" s="116">
        <v>42.024999999999999</v>
      </c>
      <c r="F1920" s="116">
        <v>81.45</v>
      </c>
      <c r="G1920">
        <v>134560</v>
      </c>
      <c r="H1920" s="116"/>
      <c r="I1920" s="116"/>
      <c r="L1920" s="169">
        <v>44831</v>
      </c>
      <c r="M1920" s="116">
        <v>40.75</v>
      </c>
      <c r="N1920" s="116">
        <v>43.2</v>
      </c>
      <c r="O1920" s="116">
        <v>40.25</v>
      </c>
      <c r="P1920" s="116">
        <v>42.524999999999999</v>
      </c>
      <c r="Q1920" s="116">
        <v>81.5</v>
      </c>
      <c r="R1920">
        <v>1368149</v>
      </c>
    </row>
    <row r="1921" spans="1:18" x14ac:dyDescent="0.25">
      <c r="A1921" s="169">
        <v>44832</v>
      </c>
      <c r="B1921" s="116">
        <v>41.975000000000001</v>
      </c>
      <c r="C1921" s="116">
        <v>40.200000000000003</v>
      </c>
      <c r="D1921" s="116">
        <v>40.024999999999999</v>
      </c>
      <c r="E1921" s="116">
        <v>41.975000000000001</v>
      </c>
      <c r="F1921" s="116">
        <v>80.400000000000006</v>
      </c>
      <c r="G1921">
        <v>42202</v>
      </c>
      <c r="H1921" s="116"/>
      <c r="I1921" s="116"/>
      <c r="L1921" s="169">
        <v>44832</v>
      </c>
      <c r="M1921" s="116">
        <v>40.15</v>
      </c>
      <c r="N1921" s="116">
        <v>40.799999999999997</v>
      </c>
      <c r="O1921" s="116">
        <v>40.024999999999999</v>
      </c>
      <c r="P1921" s="116">
        <v>40.6</v>
      </c>
      <c r="Q1921" s="116">
        <v>80.3</v>
      </c>
      <c r="R1921">
        <v>517188</v>
      </c>
    </row>
    <row r="1922" spans="1:18" x14ac:dyDescent="0.25">
      <c r="A1922" s="169">
        <v>44833</v>
      </c>
      <c r="B1922" s="116">
        <v>41.6</v>
      </c>
      <c r="C1922" s="116">
        <v>41</v>
      </c>
      <c r="D1922" s="116">
        <v>39.975000000000001</v>
      </c>
      <c r="E1922" s="116">
        <v>40.774999999999999</v>
      </c>
      <c r="F1922" s="116">
        <v>82</v>
      </c>
      <c r="G1922">
        <v>92013</v>
      </c>
      <c r="H1922" s="116"/>
      <c r="I1922" s="116"/>
      <c r="L1922" s="169">
        <v>44833</v>
      </c>
      <c r="M1922" s="116">
        <v>40.975000000000001</v>
      </c>
      <c r="N1922" s="116">
        <v>41.6</v>
      </c>
      <c r="O1922" s="116">
        <v>39.924999999999997</v>
      </c>
      <c r="P1922" s="116">
        <v>40.6</v>
      </c>
      <c r="Q1922" s="116">
        <v>81.95</v>
      </c>
      <c r="R1922">
        <v>904123</v>
      </c>
    </row>
    <row r="1923" spans="1:18" x14ac:dyDescent="0.25">
      <c r="A1923" s="169">
        <v>44834</v>
      </c>
      <c r="B1923" s="116">
        <v>41.75</v>
      </c>
      <c r="C1923" s="116">
        <v>41.274999999999999</v>
      </c>
      <c r="D1923" s="116">
        <v>40.65</v>
      </c>
      <c r="E1923" s="116">
        <v>41.024999999999999</v>
      </c>
      <c r="F1923" s="116">
        <v>82.55</v>
      </c>
      <c r="G1923">
        <v>115396</v>
      </c>
      <c r="H1923" s="116"/>
      <c r="I1923" s="116"/>
      <c r="L1923" s="169">
        <v>44834</v>
      </c>
      <c r="M1923" s="116">
        <v>41.25</v>
      </c>
      <c r="N1923" s="116">
        <v>41.8</v>
      </c>
      <c r="O1923" s="116">
        <v>40.625</v>
      </c>
      <c r="P1923" s="116">
        <v>41.2</v>
      </c>
      <c r="Q1923" s="116">
        <v>82.5</v>
      </c>
      <c r="R1923">
        <v>617131</v>
      </c>
    </row>
    <row r="1924" spans="1:18" x14ac:dyDescent="0.25">
      <c r="A1924" s="169">
        <v>44837</v>
      </c>
      <c r="B1924" s="116">
        <v>41.375</v>
      </c>
      <c r="C1924" s="116">
        <v>40.75</v>
      </c>
      <c r="D1924" s="116">
        <v>40.424999999999997</v>
      </c>
      <c r="E1924" s="116">
        <v>40.424999999999997</v>
      </c>
      <c r="F1924" s="116">
        <v>81.5</v>
      </c>
      <c r="G1924">
        <v>55893</v>
      </c>
      <c r="H1924" s="116"/>
      <c r="I1924" s="116"/>
      <c r="L1924" s="169">
        <v>44837</v>
      </c>
      <c r="M1924" s="116">
        <v>40.725000000000001</v>
      </c>
      <c r="N1924" s="116">
        <v>41.424999999999997</v>
      </c>
      <c r="O1924" s="116">
        <v>40.475000000000001</v>
      </c>
      <c r="P1924" s="116">
        <v>41.125</v>
      </c>
      <c r="Q1924" s="116">
        <v>81.45</v>
      </c>
      <c r="R1924">
        <v>481019</v>
      </c>
    </row>
    <row r="1925" spans="1:18" x14ac:dyDescent="0.25">
      <c r="A1925" s="169">
        <v>44838</v>
      </c>
      <c r="B1925" s="116">
        <v>41.475000000000001</v>
      </c>
      <c r="C1925" s="116">
        <v>41.125</v>
      </c>
      <c r="D1925" s="116">
        <v>41</v>
      </c>
      <c r="E1925" s="116">
        <v>41.225000000000001</v>
      </c>
      <c r="F1925" s="116">
        <v>82.25</v>
      </c>
      <c r="G1925">
        <v>82420</v>
      </c>
      <c r="H1925" s="116"/>
      <c r="I1925" s="116"/>
      <c r="L1925" s="169">
        <v>44838</v>
      </c>
      <c r="M1925" s="116">
        <v>41.174999999999997</v>
      </c>
      <c r="N1925" s="116">
        <v>41.5</v>
      </c>
      <c r="O1925" s="116">
        <v>41.024999999999999</v>
      </c>
      <c r="P1925" s="116">
        <v>41.225000000000001</v>
      </c>
      <c r="Q1925" s="116">
        <v>82.35</v>
      </c>
      <c r="R1925">
        <v>262964</v>
      </c>
    </row>
    <row r="1926" spans="1:18" x14ac:dyDescent="0.25">
      <c r="A1926" s="169">
        <v>44840</v>
      </c>
      <c r="B1926" s="116">
        <v>41.975000000000001</v>
      </c>
      <c r="C1926" s="116">
        <v>41.35</v>
      </c>
      <c r="D1926" s="116">
        <v>41.15</v>
      </c>
      <c r="E1926" s="116">
        <v>41.15</v>
      </c>
      <c r="F1926" s="116">
        <v>82.7</v>
      </c>
      <c r="G1926">
        <v>38976</v>
      </c>
      <c r="H1926" s="116"/>
      <c r="I1926" s="116"/>
      <c r="L1926" s="169">
        <v>44840</v>
      </c>
      <c r="M1926" s="116">
        <v>41.424999999999997</v>
      </c>
      <c r="N1926" s="116">
        <v>42</v>
      </c>
      <c r="O1926" s="116">
        <v>41.3</v>
      </c>
      <c r="P1926" s="116">
        <v>41.4</v>
      </c>
      <c r="Q1926" s="116">
        <v>82.85</v>
      </c>
      <c r="R1926">
        <v>445898</v>
      </c>
    </row>
    <row r="1927" spans="1:18" x14ac:dyDescent="0.25">
      <c r="A1927" s="169">
        <v>44841</v>
      </c>
      <c r="B1927" s="116">
        <v>41.924999999999997</v>
      </c>
      <c r="C1927" s="116">
        <v>41.85</v>
      </c>
      <c r="D1927" s="116">
        <v>41.5</v>
      </c>
      <c r="E1927" s="116">
        <v>41.5</v>
      </c>
      <c r="F1927" s="116">
        <v>83.7</v>
      </c>
      <c r="G1927">
        <v>22395</v>
      </c>
      <c r="H1927" s="116"/>
      <c r="I1927" s="116"/>
      <c r="L1927" s="169">
        <v>44841</v>
      </c>
      <c r="M1927" s="116">
        <v>41.85</v>
      </c>
      <c r="N1927" s="116">
        <v>41.95</v>
      </c>
      <c r="O1927" s="116">
        <v>41.55</v>
      </c>
      <c r="P1927" s="116">
        <v>41.7</v>
      </c>
      <c r="Q1927" s="116">
        <v>83.7</v>
      </c>
      <c r="R1927">
        <v>372214</v>
      </c>
    </row>
    <row r="1928" spans="1:18" x14ac:dyDescent="0.25">
      <c r="A1928" s="169">
        <v>44844</v>
      </c>
      <c r="B1928" s="116">
        <v>41.825000000000003</v>
      </c>
      <c r="C1928" s="116">
        <v>41.7</v>
      </c>
      <c r="D1928" s="116">
        <v>41.024999999999999</v>
      </c>
      <c r="E1928" s="116">
        <v>41.024999999999999</v>
      </c>
      <c r="F1928" s="116">
        <v>83.4</v>
      </c>
      <c r="G1928">
        <v>25260</v>
      </c>
      <c r="H1928" s="116"/>
      <c r="I1928" s="116"/>
      <c r="L1928" s="169">
        <v>44844</v>
      </c>
      <c r="M1928" s="116">
        <v>41.725000000000001</v>
      </c>
      <c r="N1928" s="116">
        <v>41.85</v>
      </c>
      <c r="O1928" s="116">
        <v>41.2</v>
      </c>
      <c r="P1928" s="116">
        <v>41.7</v>
      </c>
      <c r="Q1928" s="116">
        <v>83.45</v>
      </c>
      <c r="R1928">
        <v>277621</v>
      </c>
    </row>
    <row r="1929" spans="1:18" x14ac:dyDescent="0.25">
      <c r="A1929" s="169">
        <v>44845</v>
      </c>
      <c r="B1929" s="116">
        <v>43.6</v>
      </c>
      <c r="C1929" s="116">
        <v>42.375</v>
      </c>
      <c r="D1929" s="116">
        <v>41.524999999999999</v>
      </c>
      <c r="E1929" s="116">
        <v>41.524999999999999</v>
      </c>
      <c r="F1929" s="116">
        <v>84.75</v>
      </c>
      <c r="G1929">
        <v>87944</v>
      </c>
      <c r="H1929" s="116"/>
      <c r="I1929" s="116"/>
      <c r="L1929" s="169">
        <v>44845</v>
      </c>
      <c r="M1929" s="116">
        <v>42.15</v>
      </c>
      <c r="N1929" s="116">
        <v>43.65</v>
      </c>
      <c r="O1929" s="116">
        <v>41.5</v>
      </c>
      <c r="P1929" s="116">
        <v>41.7</v>
      </c>
      <c r="Q1929" s="116">
        <v>84.3</v>
      </c>
      <c r="R1929">
        <v>957268</v>
      </c>
    </row>
    <row r="1930" spans="1:18" x14ac:dyDescent="0.25">
      <c r="A1930" s="169">
        <v>44846</v>
      </c>
      <c r="B1930" s="116">
        <v>42.475000000000001</v>
      </c>
      <c r="C1930" s="116">
        <v>41.625</v>
      </c>
      <c r="D1930" s="116">
        <v>41.325000000000003</v>
      </c>
      <c r="E1930" s="116">
        <v>41.85</v>
      </c>
      <c r="F1930" s="116">
        <v>83.25</v>
      </c>
      <c r="G1930">
        <v>52493</v>
      </c>
      <c r="H1930" s="116"/>
      <c r="I1930" s="116"/>
      <c r="L1930" s="169">
        <v>44846</v>
      </c>
      <c r="M1930" s="116">
        <v>41.65</v>
      </c>
      <c r="N1930" s="116">
        <v>42.5</v>
      </c>
      <c r="O1930" s="116">
        <v>41.3</v>
      </c>
      <c r="P1930" s="116">
        <v>42.375</v>
      </c>
      <c r="Q1930" s="116">
        <v>83.3</v>
      </c>
      <c r="R1930">
        <v>422016</v>
      </c>
    </row>
    <row r="1931" spans="1:18" x14ac:dyDescent="0.25">
      <c r="A1931" s="169">
        <v>44847</v>
      </c>
      <c r="B1931" s="116">
        <v>42</v>
      </c>
      <c r="C1931" s="116">
        <v>41.35</v>
      </c>
      <c r="D1931" s="116">
        <v>41.15</v>
      </c>
      <c r="E1931" s="116">
        <v>42</v>
      </c>
      <c r="F1931" s="116">
        <v>82.7</v>
      </c>
      <c r="G1931">
        <v>15701</v>
      </c>
      <c r="H1931" s="116"/>
      <c r="I1931" s="116"/>
      <c r="L1931" s="169">
        <v>44847</v>
      </c>
      <c r="M1931" s="116">
        <v>41.3</v>
      </c>
      <c r="N1931" s="116">
        <v>41.875</v>
      </c>
      <c r="O1931" s="116">
        <v>41.15</v>
      </c>
      <c r="P1931" s="116">
        <v>41.774999999999999</v>
      </c>
      <c r="Q1931" s="116">
        <v>82.6</v>
      </c>
      <c r="R1931">
        <v>228169</v>
      </c>
    </row>
    <row r="1932" spans="1:18" x14ac:dyDescent="0.25">
      <c r="A1932" s="169">
        <v>44848</v>
      </c>
      <c r="B1932" s="116">
        <v>41.875</v>
      </c>
      <c r="C1932" s="116">
        <v>41.15</v>
      </c>
      <c r="D1932" s="116">
        <v>41</v>
      </c>
      <c r="E1932" s="116">
        <v>41.7</v>
      </c>
      <c r="F1932" s="116">
        <v>82.3</v>
      </c>
      <c r="G1932">
        <v>27474</v>
      </c>
      <c r="H1932" s="116"/>
      <c r="I1932" s="116"/>
      <c r="L1932" s="169">
        <v>44848</v>
      </c>
      <c r="M1932" s="116">
        <v>41.174999999999997</v>
      </c>
      <c r="N1932" s="116">
        <v>41.85</v>
      </c>
      <c r="O1932" s="116">
        <v>41</v>
      </c>
      <c r="P1932" s="116">
        <v>41.625</v>
      </c>
      <c r="Q1932" s="116">
        <v>82.35</v>
      </c>
      <c r="R1932">
        <v>214114</v>
      </c>
    </row>
    <row r="1933" spans="1:18" x14ac:dyDescent="0.25">
      <c r="A1933" s="169">
        <v>44851</v>
      </c>
      <c r="B1933" s="116">
        <v>41.35</v>
      </c>
      <c r="C1933" s="116">
        <v>41.15</v>
      </c>
      <c r="D1933" s="116">
        <v>40.424999999999997</v>
      </c>
      <c r="E1933" s="116">
        <v>40.424999999999997</v>
      </c>
      <c r="F1933" s="116">
        <v>82.3</v>
      </c>
      <c r="G1933">
        <v>8834</v>
      </c>
      <c r="H1933" s="116"/>
      <c r="I1933" s="116"/>
      <c r="L1933" s="169">
        <v>44851</v>
      </c>
      <c r="M1933" s="116">
        <v>41.174999999999997</v>
      </c>
      <c r="N1933" s="116">
        <v>41.375</v>
      </c>
      <c r="O1933" s="116">
        <v>40.6</v>
      </c>
      <c r="P1933" s="116">
        <v>41.075000000000003</v>
      </c>
      <c r="Q1933" s="116">
        <v>82.35</v>
      </c>
      <c r="R1933">
        <v>211789</v>
      </c>
    </row>
    <row r="1934" spans="1:18" x14ac:dyDescent="0.25">
      <c r="A1934" s="169">
        <v>44852</v>
      </c>
      <c r="B1934" s="116">
        <v>41.725000000000001</v>
      </c>
      <c r="C1934" s="116">
        <v>41</v>
      </c>
      <c r="D1934" s="116">
        <v>40.65</v>
      </c>
      <c r="E1934" s="116">
        <v>41.475000000000001</v>
      </c>
      <c r="F1934" s="116">
        <v>82</v>
      </c>
      <c r="G1934">
        <v>67787</v>
      </c>
      <c r="H1934" s="116"/>
      <c r="I1934" s="116"/>
      <c r="L1934" s="169">
        <v>44852</v>
      </c>
      <c r="M1934" s="116">
        <v>40.799999999999997</v>
      </c>
      <c r="N1934" s="116">
        <v>41.75</v>
      </c>
      <c r="O1934" s="116">
        <v>40.625</v>
      </c>
      <c r="P1934" s="116">
        <v>41.674999999999997</v>
      </c>
      <c r="Q1934" s="116">
        <v>81.599999999999994</v>
      </c>
      <c r="R1934">
        <v>484593</v>
      </c>
    </row>
    <row r="1935" spans="1:18" x14ac:dyDescent="0.25">
      <c r="A1935" s="169">
        <v>44853</v>
      </c>
      <c r="B1935" s="116">
        <v>41.125</v>
      </c>
      <c r="C1935" s="116">
        <v>40.325000000000003</v>
      </c>
      <c r="D1935" s="116">
        <v>40.075000000000003</v>
      </c>
      <c r="E1935" s="116">
        <v>40.875</v>
      </c>
      <c r="F1935" s="116">
        <v>80.650000000000006</v>
      </c>
      <c r="G1935">
        <v>59928</v>
      </c>
      <c r="H1935" s="116"/>
      <c r="I1935" s="116"/>
      <c r="L1935" s="169">
        <v>44853</v>
      </c>
      <c r="M1935" s="116">
        <v>40.35</v>
      </c>
      <c r="N1935" s="116">
        <v>41.174999999999997</v>
      </c>
      <c r="O1935" s="116">
        <v>40.1</v>
      </c>
      <c r="P1935" s="116">
        <v>41.024999999999999</v>
      </c>
      <c r="Q1935" s="116">
        <v>80.7</v>
      </c>
      <c r="R1935">
        <v>662552</v>
      </c>
    </row>
    <row r="1936" spans="1:18" x14ac:dyDescent="0.25">
      <c r="A1936" s="169">
        <v>44854</v>
      </c>
      <c r="B1936" s="116">
        <v>40.35</v>
      </c>
      <c r="C1936" s="116">
        <v>39.65</v>
      </c>
      <c r="D1936" s="116">
        <v>39.5</v>
      </c>
      <c r="E1936" s="116">
        <v>40.35</v>
      </c>
      <c r="F1936" s="116">
        <v>79.3</v>
      </c>
      <c r="G1936">
        <v>64595</v>
      </c>
      <c r="H1936" s="116"/>
      <c r="I1936" s="116"/>
      <c r="L1936" s="169">
        <v>44854</v>
      </c>
      <c r="M1936" s="116">
        <v>39.65</v>
      </c>
      <c r="N1936" s="116">
        <v>40.450000000000003</v>
      </c>
      <c r="O1936" s="116">
        <v>39.5</v>
      </c>
      <c r="P1936" s="116">
        <v>40.450000000000003</v>
      </c>
      <c r="Q1936" s="116">
        <v>79.3</v>
      </c>
      <c r="R1936">
        <v>541455</v>
      </c>
    </row>
    <row r="1937" spans="1:18" x14ac:dyDescent="0.25">
      <c r="A1937" s="169">
        <v>44855</v>
      </c>
      <c r="B1937" s="116">
        <v>40</v>
      </c>
      <c r="C1937" s="116">
        <v>39.575000000000003</v>
      </c>
      <c r="D1937" s="116">
        <v>39.200000000000003</v>
      </c>
      <c r="E1937" s="116">
        <v>39.200000000000003</v>
      </c>
      <c r="F1937" s="116">
        <v>79.150000000000006</v>
      </c>
      <c r="G1937">
        <v>57110</v>
      </c>
      <c r="H1937" s="116"/>
      <c r="I1937" s="116"/>
      <c r="L1937" s="169">
        <v>44855</v>
      </c>
      <c r="M1937" s="116">
        <v>39.575000000000003</v>
      </c>
      <c r="N1937" s="116">
        <v>40.075000000000003</v>
      </c>
      <c r="O1937" s="116">
        <v>39.5</v>
      </c>
      <c r="P1937" s="116">
        <v>39.774999999999999</v>
      </c>
      <c r="Q1937" s="116">
        <v>79.150000000000006</v>
      </c>
      <c r="R1937">
        <v>247111</v>
      </c>
    </row>
    <row r="1938" spans="1:18" x14ac:dyDescent="0.25">
      <c r="A1938" s="169">
        <v>44858</v>
      </c>
      <c r="B1938" s="116">
        <v>40.225000000000001</v>
      </c>
      <c r="C1938" s="116">
        <v>40.075000000000003</v>
      </c>
      <c r="D1938" s="116">
        <v>39.85</v>
      </c>
      <c r="E1938" s="116">
        <v>40</v>
      </c>
      <c r="F1938" s="116">
        <v>80.150000000000006</v>
      </c>
      <c r="G1938">
        <v>13823</v>
      </c>
      <c r="H1938" s="116"/>
      <c r="I1938" s="116"/>
      <c r="L1938" s="169">
        <v>44858</v>
      </c>
      <c r="M1938" s="116">
        <v>40.075000000000003</v>
      </c>
      <c r="N1938" s="116">
        <v>40.4</v>
      </c>
      <c r="O1938" s="116">
        <v>39.875</v>
      </c>
      <c r="P1938" s="116">
        <v>40</v>
      </c>
      <c r="Q1938" s="116">
        <v>80.150000000000006</v>
      </c>
      <c r="R1938">
        <v>95361</v>
      </c>
    </row>
    <row r="1939" spans="1:18" x14ac:dyDescent="0.25">
      <c r="A1939" s="169">
        <v>44859</v>
      </c>
      <c r="B1939" s="116">
        <v>40.024999999999999</v>
      </c>
      <c r="C1939" s="116">
        <v>39.674999999999997</v>
      </c>
      <c r="D1939" s="116">
        <v>39.524999999999999</v>
      </c>
      <c r="E1939" s="116">
        <v>40</v>
      </c>
      <c r="F1939" s="116">
        <v>79.349999999999994</v>
      </c>
      <c r="G1939">
        <v>40704</v>
      </c>
      <c r="H1939" s="116"/>
      <c r="I1939" s="116"/>
      <c r="L1939" s="169">
        <v>44859</v>
      </c>
      <c r="M1939" s="116">
        <v>39.700000000000003</v>
      </c>
      <c r="N1939" s="116">
        <v>40.15</v>
      </c>
      <c r="O1939" s="116">
        <v>39.5</v>
      </c>
      <c r="P1939" s="116">
        <v>40.15</v>
      </c>
      <c r="Q1939" s="116">
        <v>79.400000000000006</v>
      </c>
      <c r="R1939">
        <v>341167</v>
      </c>
    </row>
    <row r="1940" spans="1:18" x14ac:dyDescent="0.25">
      <c r="A1940" s="169">
        <v>44861</v>
      </c>
      <c r="B1940" s="116">
        <v>40.075000000000003</v>
      </c>
      <c r="C1940" s="116">
        <v>39.625</v>
      </c>
      <c r="D1940" s="116">
        <v>39.4</v>
      </c>
      <c r="E1940" s="116">
        <v>39.674999999999997</v>
      </c>
      <c r="F1940" s="116">
        <v>79.25</v>
      </c>
      <c r="G1940">
        <v>50321</v>
      </c>
      <c r="H1940" s="116"/>
      <c r="I1940" s="116"/>
      <c r="L1940" s="169">
        <v>44861</v>
      </c>
      <c r="M1940" s="116">
        <v>39.575000000000003</v>
      </c>
      <c r="N1940" s="116">
        <v>40.15</v>
      </c>
      <c r="O1940" s="116">
        <v>39.25</v>
      </c>
      <c r="P1940" s="116">
        <v>39.975000000000001</v>
      </c>
      <c r="Q1940" s="116">
        <v>79.150000000000006</v>
      </c>
      <c r="R1940">
        <v>440117</v>
      </c>
    </row>
    <row r="1941" spans="1:18" x14ac:dyDescent="0.25">
      <c r="A1941" s="169">
        <v>44862</v>
      </c>
      <c r="B1941" s="116">
        <v>39.674999999999997</v>
      </c>
      <c r="C1941" s="116">
        <v>39.200000000000003</v>
      </c>
      <c r="D1941" s="116">
        <v>38.799999999999997</v>
      </c>
      <c r="E1941" s="116">
        <v>39.625</v>
      </c>
      <c r="F1941" s="116">
        <v>78.400000000000006</v>
      </c>
      <c r="G1941">
        <v>48637</v>
      </c>
      <c r="H1941" s="116"/>
      <c r="I1941" s="116"/>
      <c r="L1941" s="169">
        <v>44862</v>
      </c>
      <c r="M1941" s="116">
        <v>39.200000000000003</v>
      </c>
      <c r="N1941" s="116">
        <v>39.725000000000001</v>
      </c>
      <c r="O1941" s="116">
        <v>38.799999999999997</v>
      </c>
      <c r="P1941" s="116">
        <v>39.549999999999997</v>
      </c>
      <c r="Q1941" s="116">
        <v>78.400000000000006</v>
      </c>
      <c r="R1941">
        <v>408915</v>
      </c>
    </row>
    <row r="1942" spans="1:18" x14ac:dyDescent="0.25">
      <c r="A1942" s="169">
        <v>44865</v>
      </c>
      <c r="B1942" s="116">
        <v>39.274999999999999</v>
      </c>
      <c r="C1942" s="116">
        <v>38.950000000000003</v>
      </c>
      <c r="D1942" s="116">
        <v>38.700000000000003</v>
      </c>
      <c r="E1942" s="116">
        <v>39.024999999999999</v>
      </c>
      <c r="F1942" s="116">
        <v>77.900000000000006</v>
      </c>
      <c r="G1942">
        <v>71433</v>
      </c>
      <c r="H1942" s="116"/>
      <c r="I1942" s="116"/>
      <c r="L1942" s="169">
        <v>44865</v>
      </c>
      <c r="M1942" s="116">
        <v>38.9</v>
      </c>
      <c r="N1942" s="116">
        <v>39.4</v>
      </c>
      <c r="O1942" s="116">
        <v>38.725000000000001</v>
      </c>
      <c r="P1942" s="116">
        <v>39.4</v>
      </c>
      <c r="Q1942" s="116">
        <v>77.8</v>
      </c>
      <c r="R1942">
        <v>483515</v>
      </c>
    </row>
    <row r="1943" spans="1:18" x14ac:dyDescent="0.25">
      <c r="A1943" s="169">
        <v>44866</v>
      </c>
      <c r="B1943" s="116">
        <v>40.1</v>
      </c>
      <c r="C1943" s="116">
        <v>39.524999999999999</v>
      </c>
      <c r="D1943" s="116">
        <v>38.725000000000001</v>
      </c>
      <c r="E1943" s="116">
        <v>38.725000000000001</v>
      </c>
      <c r="F1943" s="116">
        <v>79.05</v>
      </c>
      <c r="G1943">
        <v>93115</v>
      </c>
      <c r="H1943" s="116"/>
      <c r="I1943" s="116"/>
      <c r="L1943" s="169">
        <v>44866</v>
      </c>
      <c r="M1943" s="116">
        <v>39.5</v>
      </c>
      <c r="N1943" s="116">
        <v>40.1</v>
      </c>
      <c r="O1943" s="116">
        <v>39</v>
      </c>
      <c r="P1943" s="116">
        <v>39.1</v>
      </c>
      <c r="Q1943" s="116">
        <v>79</v>
      </c>
      <c r="R1943">
        <v>531069</v>
      </c>
    </row>
    <row r="1944" spans="1:18" x14ac:dyDescent="0.25">
      <c r="A1944" s="169">
        <v>44867</v>
      </c>
      <c r="B1944" s="116">
        <v>40.075000000000003</v>
      </c>
      <c r="C1944" s="116">
        <v>39.799999999999997</v>
      </c>
      <c r="D1944" s="116">
        <v>39.6</v>
      </c>
      <c r="E1944" s="116">
        <v>39.6</v>
      </c>
      <c r="F1944" s="116">
        <v>79.599999999999994</v>
      </c>
      <c r="G1944">
        <v>77677</v>
      </c>
      <c r="H1944" s="116"/>
      <c r="I1944" s="116"/>
      <c r="L1944" s="169">
        <v>44867</v>
      </c>
      <c r="M1944" s="116">
        <v>39.85</v>
      </c>
      <c r="N1944" s="116">
        <v>40.125</v>
      </c>
      <c r="O1944" s="116">
        <v>39.65</v>
      </c>
      <c r="P1944" s="116">
        <v>39.725000000000001</v>
      </c>
      <c r="Q1944" s="116">
        <v>79.7</v>
      </c>
      <c r="R1944">
        <v>233068</v>
      </c>
    </row>
    <row r="1945" spans="1:18" x14ac:dyDescent="0.25">
      <c r="A1945" s="169">
        <v>44868</v>
      </c>
      <c r="B1945" s="116">
        <v>40.15</v>
      </c>
      <c r="C1945" s="116">
        <v>39.825000000000003</v>
      </c>
      <c r="D1945" s="116">
        <v>39.725000000000001</v>
      </c>
      <c r="E1945" s="116">
        <v>39.924999999999997</v>
      </c>
      <c r="F1945" s="116">
        <v>79.650000000000006</v>
      </c>
      <c r="G1945">
        <v>41556</v>
      </c>
      <c r="H1945" s="116"/>
      <c r="I1945" s="116"/>
      <c r="L1945" s="169">
        <v>44868</v>
      </c>
      <c r="M1945" s="116">
        <v>39.825000000000003</v>
      </c>
      <c r="N1945" s="116">
        <v>40.174999999999997</v>
      </c>
      <c r="O1945" s="116">
        <v>39.725000000000001</v>
      </c>
      <c r="P1945" s="116">
        <v>39.950000000000003</v>
      </c>
      <c r="Q1945" s="116">
        <v>79.650000000000006</v>
      </c>
      <c r="R1945">
        <v>246681</v>
      </c>
    </row>
    <row r="1946" spans="1:18" x14ac:dyDescent="0.25">
      <c r="A1946" s="169">
        <v>44869</v>
      </c>
      <c r="B1946" s="116">
        <v>40.75</v>
      </c>
      <c r="C1946" s="116">
        <v>40.524999999999999</v>
      </c>
      <c r="D1946" s="116">
        <v>39.75</v>
      </c>
      <c r="E1946" s="116">
        <v>39.75</v>
      </c>
      <c r="F1946" s="116">
        <v>81.05</v>
      </c>
      <c r="G1946">
        <v>58692</v>
      </c>
      <c r="H1946" s="116"/>
      <c r="I1946" s="116"/>
      <c r="L1946" s="169">
        <v>44869</v>
      </c>
      <c r="M1946" s="116">
        <v>40.549999999999997</v>
      </c>
      <c r="N1946" s="116">
        <v>40.75</v>
      </c>
      <c r="O1946" s="116">
        <v>39.75</v>
      </c>
      <c r="P1946" s="116">
        <v>39.85</v>
      </c>
      <c r="Q1946" s="116">
        <v>81.099999999999994</v>
      </c>
      <c r="R1946">
        <v>517148</v>
      </c>
    </row>
    <row r="1947" spans="1:18" x14ac:dyDescent="0.25">
      <c r="A1947" s="169">
        <v>44872</v>
      </c>
      <c r="B1947" s="116">
        <v>41.85</v>
      </c>
      <c r="C1947" s="116">
        <v>41.4</v>
      </c>
      <c r="D1947" s="116">
        <v>40.5</v>
      </c>
      <c r="E1947" s="116">
        <v>40.5</v>
      </c>
      <c r="F1947" s="116">
        <v>82.8</v>
      </c>
      <c r="G1947">
        <v>65464</v>
      </c>
      <c r="H1947" s="116"/>
      <c r="I1947" s="116"/>
      <c r="L1947" s="169">
        <v>44872</v>
      </c>
      <c r="M1947" s="116">
        <v>41.424999999999997</v>
      </c>
      <c r="N1947" s="116">
        <v>41.875</v>
      </c>
      <c r="O1947" s="116">
        <v>40.799999999999997</v>
      </c>
      <c r="P1947" s="116">
        <v>40.799999999999997</v>
      </c>
      <c r="Q1947" s="116">
        <v>82.85</v>
      </c>
      <c r="R1947">
        <v>949084</v>
      </c>
    </row>
    <row r="1948" spans="1:18" x14ac:dyDescent="0.25">
      <c r="A1948" s="169">
        <v>44874</v>
      </c>
      <c r="B1948" s="116">
        <v>42.1</v>
      </c>
      <c r="C1948" s="116">
        <v>41.7</v>
      </c>
      <c r="D1948" s="116">
        <v>41.4</v>
      </c>
      <c r="E1948" s="116">
        <v>41.524999999999999</v>
      </c>
      <c r="F1948" s="116">
        <v>83.4</v>
      </c>
      <c r="G1948">
        <v>29131</v>
      </c>
      <c r="H1948" s="116"/>
      <c r="I1948" s="116"/>
      <c r="L1948" s="169">
        <v>44874</v>
      </c>
      <c r="M1948" s="116">
        <v>41.75</v>
      </c>
      <c r="N1948" s="116">
        <v>42.125</v>
      </c>
      <c r="O1948" s="116">
        <v>41.35</v>
      </c>
      <c r="P1948" s="116">
        <v>41.7</v>
      </c>
      <c r="Q1948" s="116">
        <v>83.5</v>
      </c>
      <c r="R1948">
        <v>598809</v>
      </c>
    </row>
    <row r="1949" spans="1:18" x14ac:dyDescent="0.25">
      <c r="A1949" s="169">
        <v>44875</v>
      </c>
      <c r="B1949" s="116">
        <v>41.95</v>
      </c>
      <c r="C1949" s="116">
        <v>40.950000000000003</v>
      </c>
      <c r="D1949" s="116">
        <v>40.6</v>
      </c>
      <c r="E1949" s="116">
        <v>40.924999999999997</v>
      </c>
      <c r="F1949" s="116">
        <v>81.900000000000006</v>
      </c>
      <c r="G1949">
        <v>29077</v>
      </c>
      <c r="H1949" s="116"/>
      <c r="I1949" s="116"/>
      <c r="L1949" s="169">
        <v>44875</v>
      </c>
      <c r="M1949" s="116">
        <v>40.950000000000003</v>
      </c>
      <c r="N1949" s="116">
        <v>41.975000000000001</v>
      </c>
      <c r="O1949" s="116">
        <v>40.549999999999997</v>
      </c>
      <c r="P1949" s="116">
        <v>41.524999999999999</v>
      </c>
      <c r="Q1949" s="116">
        <v>81.900000000000006</v>
      </c>
      <c r="R1949">
        <v>321597</v>
      </c>
    </row>
    <row r="1950" spans="1:18" x14ac:dyDescent="0.25">
      <c r="A1950" s="169">
        <v>44876</v>
      </c>
      <c r="B1950" s="116">
        <v>41.95</v>
      </c>
      <c r="C1950" s="116">
        <v>41.625</v>
      </c>
      <c r="D1950" s="116">
        <v>41.075000000000003</v>
      </c>
      <c r="E1950" s="116">
        <v>41.2</v>
      </c>
      <c r="F1950" s="116">
        <v>83.25</v>
      </c>
      <c r="G1950">
        <v>50539</v>
      </c>
      <c r="H1950" s="116"/>
      <c r="I1950" s="116"/>
      <c r="L1950" s="169">
        <v>44876</v>
      </c>
      <c r="M1950" s="116">
        <v>41.625</v>
      </c>
      <c r="N1950" s="116">
        <v>41.95</v>
      </c>
      <c r="O1950" s="116">
        <v>41</v>
      </c>
      <c r="P1950" s="116">
        <v>41.3</v>
      </c>
      <c r="Q1950" s="116">
        <v>83.25</v>
      </c>
      <c r="R1950">
        <v>443034</v>
      </c>
    </row>
    <row r="1951" spans="1:18" x14ac:dyDescent="0.25">
      <c r="A1951" s="169">
        <v>44879</v>
      </c>
      <c r="B1951" s="116">
        <v>43.45</v>
      </c>
      <c r="C1951" s="116">
        <v>42.825000000000003</v>
      </c>
      <c r="D1951" s="116">
        <v>40.5</v>
      </c>
      <c r="E1951" s="116">
        <v>41.5</v>
      </c>
      <c r="F1951" s="116">
        <v>85.65</v>
      </c>
      <c r="G1951">
        <v>196747</v>
      </c>
      <c r="H1951" s="116"/>
      <c r="I1951" s="116"/>
      <c r="L1951" s="169">
        <v>44879</v>
      </c>
      <c r="M1951" s="116">
        <v>42.725000000000001</v>
      </c>
      <c r="N1951" s="116">
        <v>43.45</v>
      </c>
      <c r="O1951" s="116">
        <v>41.274999999999999</v>
      </c>
      <c r="P1951" s="116">
        <v>41.524999999999999</v>
      </c>
      <c r="Q1951" s="116">
        <v>85.45</v>
      </c>
      <c r="R1951">
        <v>1277732</v>
      </c>
    </row>
    <row r="1952" spans="1:18" x14ac:dyDescent="0.25">
      <c r="A1952" s="169">
        <v>44880</v>
      </c>
      <c r="B1952" s="116">
        <v>44.225000000000001</v>
      </c>
      <c r="C1952" s="116">
        <v>43.875</v>
      </c>
      <c r="D1952" s="116">
        <v>42.625</v>
      </c>
      <c r="E1952" s="116">
        <v>42.625</v>
      </c>
      <c r="F1952" s="116">
        <v>87.75</v>
      </c>
      <c r="G1952">
        <v>191642</v>
      </c>
      <c r="H1952" s="116"/>
      <c r="I1952" s="116"/>
      <c r="L1952" s="169">
        <v>44880</v>
      </c>
      <c r="M1952" s="116">
        <v>43.875</v>
      </c>
      <c r="N1952" s="116">
        <v>44.225000000000001</v>
      </c>
      <c r="O1952" s="116">
        <v>43.125</v>
      </c>
      <c r="P1952" s="116">
        <v>43.125</v>
      </c>
      <c r="Q1952" s="116">
        <v>87.75</v>
      </c>
      <c r="R1952">
        <v>1073883</v>
      </c>
    </row>
    <row r="1953" spans="1:18" x14ac:dyDescent="0.25">
      <c r="A1953" s="169">
        <v>44881</v>
      </c>
      <c r="B1953" s="116">
        <v>44.725000000000001</v>
      </c>
      <c r="C1953" s="116">
        <v>44.125</v>
      </c>
      <c r="D1953" s="116">
        <v>43.7</v>
      </c>
      <c r="E1953" s="116">
        <v>44.25</v>
      </c>
      <c r="F1953" s="116">
        <v>88.25</v>
      </c>
      <c r="G1953">
        <v>144995</v>
      </c>
      <c r="H1953" s="116"/>
      <c r="I1953" s="116"/>
      <c r="L1953" s="169">
        <v>44881</v>
      </c>
      <c r="M1953" s="116">
        <v>44.174999999999997</v>
      </c>
      <c r="N1953" s="116">
        <v>44.75</v>
      </c>
      <c r="O1953" s="116">
        <v>43.674999999999997</v>
      </c>
      <c r="P1953" s="116">
        <v>44.35</v>
      </c>
      <c r="Q1953" s="116">
        <v>88.35</v>
      </c>
      <c r="R1953">
        <v>1211130</v>
      </c>
    </row>
    <row r="1954" spans="1:18" x14ac:dyDescent="0.25">
      <c r="A1954" s="169">
        <v>44882</v>
      </c>
      <c r="B1954" s="116">
        <v>46.475000000000001</v>
      </c>
      <c r="C1954" s="116">
        <v>45.325000000000003</v>
      </c>
      <c r="D1954" s="116">
        <v>44.45</v>
      </c>
      <c r="E1954" s="116">
        <v>44.45</v>
      </c>
      <c r="F1954" s="116">
        <v>90.65</v>
      </c>
      <c r="G1954">
        <v>198614</v>
      </c>
      <c r="H1954" s="116"/>
      <c r="I1954" s="116"/>
      <c r="L1954" s="169">
        <v>44882</v>
      </c>
      <c r="M1954" s="116">
        <v>45.35</v>
      </c>
      <c r="N1954" s="116">
        <v>46.5</v>
      </c>
      <c r="O1954" s="116">
        <v>44.274999999999999</v>
      </c>
      <c r="P1954" s="116">
        <v>44.4</v>
      </c>
      <c r="Q1954" s="116">
        <v>90.7</v>
      </c>
      <c r="R1954">
        <v>2653940</v>
      </c>
    </row>
    <row r="1955" spans="1:18" x14ac:dyDescent="0.25">
      <c r="A1955" s="169">
        <v>44883</v>
      </c>
      <c r="B1955" s="116">
        <v>46</v>
      </c>
      <c r="C1955" s="116">
        <v>45.25</v>
      </c>
      <c r="D1955" s="116">
        <v>44.625</v>
      </c>
      <c r="E1955" s="116">
        <v>45.325000000000003</v>
      </c>
      <c r="F1955" s="116">
        <v>90.5</v>
      </c>
      <c r="G1955">
        <v>86224</v>
      </c>
      <c r="H1955" s="116"/>
      <c r="I1955" s="116"/>
      <c r="L1955" s="169">
        <v>44883</v>
      </c>
      <c r="M1955" s="116">
        <v>45.225000000000001</v>
      </c>
      <c r="N1955" s="116">
        <v>46</v>
      </c>
      <c r="O1955" s="116">
        <v>44.6</v>
      </c>
      <c r="P1955" s="116">
        <v>45.45</v>
      </c>
      <c r="Q1955" s="116">
        <v>90.45</v>
      </c>
      <c r="R1955">
        <v>821871</v>
      </c>
    </row>
    <row r="1956" spans="1:18" x14ac:dyDescent="0.25">
      <c r="A1956" s="169">
        <v>44886</v>
      </c>
      <c r="B1956" s="116">
        <v>46</v>
      </c>
      <c r="C1956" s="116">
        <v>44.424999999999997</v>
      </c>
      <c r="D1956" s="116">
        <v>44.225000000000001</v>
      </c>
      <c r="E1956" s="116">
        <v>45.274999999999999</v>
      </c>
      <c r="F1956" s="116">
        <v>88.85</v>
      </c>
      <c r="G1956">
        <v>88263</v>
      </c>
      <c r="H1956" s="116"/>
      <c r="I1956" s="116"/>
      <c r="L1956" s="169">
        <v>44886</v>
      </c>
      <c r="M1956" s="116">
        <v>44.424999999999997</v>
      </c>
      <c r="N1956" s="116">
        <v>45.95</v>
      </c>
      <c r="O1956" s="116">
        <v>44.174999999999997</v>
      </c>
      <c r="P1956" s="116">
        <v>45.45</v>
      </c>
      <c r="Q1956" s="116">
        <v>88.85</v>
      </c>
      <c r="R1956">
        <v>719903</v>
      </c>
    </row>
    <row r="1957" spans="1:18" x14ac:dyDescent="0.25">
      <c r="A1957" s="169">
        <v>44887</v>
      </c>
      <c r="B1957" s="116">
        <v>44.5</v>
      </c>
      <c r="C1957" s="116">
        <v>43.575000000000003</v>
      </c>
      <c r="D1957" s="116">
        <v>43.5</v>
      </c>
      <c r="E1957" s="116">
        <v>44.05</v>
      </c>
      <c r="F1957" s="116">
        <v>87.15</v>
      </c>
      <c r="G1957">
        <v>57559</v>
      </c>
      <c r="H1957" s="116"/>
      <c r="I1957" s="116"/>
      <c r="L1957" s="169">
        <v>44887</v>
      </c>
      <c r="M1957" s="116">
        <v>43.6</v>
      </c>
      <c r="N1957" s="116">
        <v>44.65</v>
      </c>
      <c r="O1957" s="116">
        <v>43.5</v>
      </c>
      <c r="P1957" s="116">
        <v>44.65</v>
      </c>
      <c r="Q1957" s="116">
        <v>87.2</v>
      </c>
      <c r="R1957">
        <v>464784</v>
      </c>
    </row>
    <row r="1958" spans="1:18" x14ac:dyDescent="0.25">
      <c r="A1958" s="169">
        <v>44888</v>
      </c>
      <c r="B1958" s="116">
        <v>45.325000000000003</v>
      </c>
      <c r="C1958" s="116">
        <v>45.1</v>
      </c>
      <c r="D1958" s="116">
        <v>43.5</v>
      </c>
      <c r="E1958" s="116">
        <v>43.5</v>
      </c>
      <c r="F1958" s="116">
        <v>90.2</v>
      </c>
      <c r="G1958">
        <v>125214</v>
      </c>
      <c r="H1958" s="116"/>
      <c r="I1958" s="116"/>
      <c r="L1958" s="169">
        <v>44888</v>
      </c>
      <c r="M1958" s="116">
        <v>45.1</v>
      </c>
      <c r="N1958" s="116">
        <v>45.5</v>
      </c>
      <c r="O1958" s="116">
        <v>43.75</v>
      </c>
      <c r="P1958" s="116">
        <v>43.825000000000003</v>
      </c>
      <c r="Q1958" s="116">
        <v>90.2</v>
      </c>
      <c r="R1958">
        <v>1091584</v>
      </c>
    </row>
    <row r="1959" spans="1:18" x14ac:dyDescent="0.25">
      <c r="A1959" s="169">
        <v>44889</v>
      </c>
      <c r="B1959" s="116">
        <v>47.1</v>
      </c>
      <c r="C1959" s="116">
        <v>46.225000000000001</v>
      </c>
      <c r="D1959" s="116">
        <v>45.2</v>
      </c>
      <c r="E1959" s="116">
        <v>45.5</v>
      </c>
      <c r="F1959" s="116">
        <v>92.45</v>
      </c>
      <c r="G1959">
        <v>189559</v>
      </c>
      <c r="H1959" s="116"/>
      <c r="I1959" s="116"/>
      <c r="L1959" s="169">
        <v>44889</v>
      </c>
      <c r="M1959" s="116">
        <v>46.2</v>
      </c>
      <c r="N1959" s="116">
        <v>47.1</v>
      </c>
      <c r="O1959" s="116">
        <v>45.2</v>
      </c>
      <c r="P1959" s="116">
        <v>45.375</v>
      </c>
      <c r="Q1959" s="116">
        <v>92.4</v>
      </c>
      <c r="R1959">
        <v>1908964</v>
      </c>
    </row>
    <row r="1960" spans="1:18" x14ac:dyDescent="0.25">
      <c r="A1960" s="169">
        <v>44890</v>
      </c>
      <c r="B1960" s="116">
        <v>46.95</v>
      </c>
      <c r="C1960" s="116">
        <v>46.024999999999999</v>
      </c>
      <c r="D1960" s="116">
        <v>45.825000000000003</v>
      </c>
      <c r="E1960" s="116">
        <v>46.45</v>
      </c>
      <c r="F1960" s="116">
        <v>92.05</v>
      </c>
      <c r="G1960">
        <v>89675</v>
      </c>
      <c r="H1960" s="116"/>
      <c r="I1960" s="116"/>
      <c r="L1960" s="169">
        <v>44890</v>
      </c>
      <c r="M1960" s="116">
        <v>46.05</v>
      </c>
      <c r="N1960" s="116">
        <v>46.975000000000001</v>
      </c>
      <c r="O1960" s="116">
        <v>45.8</v>
      </c>
      <c r="P1960" s="116">
        <v>46.375</v>
      </c>
      <c r="Q1960" s="116">
        <v>92.1</v>
      </c>
      <c r="R1960">
        <v>595579</v>
      </c>
    </row>
    <row r="1961" spans="1:18" x14ac:dyDescent="0.25">
      <c r="A1961" s="169">
        <v>44893</v>
      </c>
      <c r="B1961" s="116">
        <v>47</v>
      </c>
      <c r="C1961" s="116">
        <v>46.325000000000003</v>
      </c>
      <c r="D1961" s="116">
        <v>45.774999999999999</v>
      </c>
      <c r="E1961" s="116">
        <v>45.774999999999999</v>
      </c>
      <c r="F1961" s="116">
        <v>92.65</v>
      </c>
      <c r="G1961">
        <v>77260</v>
      </c>
      <c r="H1961" s="116"/>
      <c r="I1961" s="116"/>
      <c r="L1961" s="169">
        <v>44893</v>
      </c>
      <c r="M1961" s="116">
        <v>46.35</v>
      </c>
      <c r="N1961" s="116">
        <v>47.024999999999999</v>
      </c>
      <c r="O1961" s="116">
        <v>46.05</v>
      </c>
      <c r="P1961" s="116">
        <v>46.1</v>
      </c>
      <c r="Q1961" s="116">
        <v>92.7</v>
      </c>
      <c r="R1961">
        <v>768858</v>
      </c>
    </row>
    <row r="1962" spans="1:18" x14ac:dyDescent="0.25">
      <c r="A1962" s="169">
        <v>44894</v>
      </c>
      <c r="B1962" s="116">
        <v>47.375</v>
      </c>
      <c r="C1962" s="116">
        <v>46.2</v>
      </c>
      <c r="D1962" s="116">
        <v>45.674999999999997</v>
      </c>
      <c r="E1962" s="116">
        <v>45.674999999999997</v>
      </c>
      <c r="F1962" s="116">
        <v>92.4</v>
      </c>
      <c r="G1962">
        <v>103146</v>
      </c>
      <c r="H1962" s="116"/>
      <c r="I1962" s="116"/>
      <c r="L1962" s="169">
        <v>44894</v>
      </c>
      <c r="M1962" s="116">
        <v>46.25</v>
      </c>
      <c r="N1962" s="116">
        <v>47.375</v>
      </c>
      <c r="O1962" s="116">
        <v>46</v>
      </c>
      <c r="P1962" s="116">
        <v>46.45</v>
      </c>
      <c r="Q1962" s="116">
        <v>92.5</v>
      </c>
      <c r="R1962">
        <v>1976050</v>
      </c>
    </row>
    <row r="1963" spans="1:18" x14ac:dyDescent="0.25">
      <c r="A1963" s="169">
        <v>44895</v>
      </c>
      <c r="B1963" s="116">
        <v>46.9</v>
      </c>
      <c r="C1963" s="116">
        <v>46.65</v>
      </c>
      <c r="D1963" s="116">
        <v>46.25</v>
      </c>
      <c r="E1963" s="116">
        <v>46.674999999999997</v>
      </c>
      <c r="F1963" s="116">
        <v>93.3</v>
      </c>
      <c r="G1963">
        <v>58106</v>
      </c>
      <c r="H1963" s="116"/>
      <c r="I1963" s="116"/>
      <c r="L1963" s="169">
        <v>44895</v>
      </c>
      <c r="M1963" s="116">
        <v>46.75</v>
      </c>
      <c r="N1963" s="116">
        <v>46.924999999999997</v>
      </c>
      <c r="O1963" s="116">
        <v>46.2</v>
      </c>
      <c r="P1963" s="116">
        <v>46.375</v>
      </c>
      <c r="Q1963" s="116">
        <v>93.5</v>
      </c>
      <c r="R1963">
        <v>756311</v>
      </c>
    </row>
    <row r="1964" spans="1:18" x14ac:dyDescent="0.25">
      <c r="A1964" s="169">
        <v>44896</v>
      </c>
      <c r="B1964" s="116">
        <v>47.475000000000001</v>
      </c>
      <c r="C1964" s="116">
        <v>45.65</v>
      </c>
      <c r="D1964" s="116">
        <v>45.3</v>
      </c>
      <c r="E1964" s="116">
        <v>47.475000000000001</v>
      </c>
      <c r="F1964" s="116">
        <v>91.3</v>
      </c>
      <c r="G1964">
        <v>72370</v>
      </c>
      <c r="H1964" s="116"/>
      <c r="I1964" s="116"/>
      <c r="L1964" s="169">
        <v>44896</v>
      </c>
      <c r="M1964" s="116">
        <v>45.7</v>
      </c>
      <c r="N1964" s="116">
        <v>47.475000000000001</v>
      </c>
      <c r="O1964" s="116">
        <v>45.3</v>
      </c>
      <c r="P1964" s="116">
        <v>47.15</v>
      </c>
      <c r="Q1964" s="116">
        <v>91.4</v>
      </c>
      <c r="R1964">
        <v>1174048</v>
      </c>
    </row>
    <row r="1965" spans="1:18" x14ac:dyDescent="0.25">
      <c r="A1965" s="169">
        <v>44897</v>
      </c>
      <c r="B1965" s="116">
        <v>47.45</v>
      </c>
      <c r="C1965" s="116">
        <v>47.05</v>
      </c>
      <c r="D1965" s="116">
        <v>44.774999999999999</v>
      </c>
      <c r="E1965" s="116">
        <v>45.95</v>
      </c>
      <c r="F1965" s="116">
        <v>94.1</v>
      </c>
      <c r="G1965">
        <v>190841</v>
      </c>
      <c r="H1965" s="116"/>
      <c r="I1965" s="116"/>
      <c r="L1965" s="169">
        <v>44897</v>
      </c>
      <c r="M1965" s="116">
        <v>47.024999999999999</v>
      </c>
      <c r="N1965" s="116">
        <v>47.475000000000001</v>
      </c>
      <c r="O1965" s="116">
        <v>44.774999999999999</v>
      </c>
      <c r="P1965" s="116">
        <v>45.95</v>
      </c>
      <c r="Q1965" s="116">
        <v>94.05</v>
      </c>
      <c r="R1965">
        <v>1988860</v>
      </c>
    </row>
    <row r="1966" spans="1:18" x14ac:dyDescent="0.25">
      <c r="A1966" s="169">
        <v>44900</v>
      </c>
      <c r="B1966" s="116">
        <v>48.3</v>
      </c>
      <c r="C1966" s="116">
        <v>47.1</v>
      </c>
      <c r="D1966" s="116">
        <v>46.674999999999997</v>
      </c>
      <c r="E1966" s="116">
        <v>46.674999999999997</v>
      </c>
      <c r="F1966" s="116">
        <v>94.2</v>
      </c>
      <c r="G1966">
        <v>227652</v>
      </c>
      <c r="H1966" s="116"/>
      <c r="I1966" s="116"/>
      <c r="L1966" s="169">
        <v>44900</v>
      </c>
      <c r="M1966" s="116">
        <v>47.075000000000003</v>
      </c>
      <c r="N1966" s="116">
        <v>48.3</v>
      </c>
      <c r="O1966" s="116">
        <v>46.6</v>
      </c>
      <c r="P1966" s="116">
        <v>47.25</v>
      </c>
      <c r="Q1966" s="116">
        <v>94.15</v>
      </c>
      <c r="R1966">
        <v>1584412</v>
      </c>
    </row>
    <row r="1967" spans="1:18" x14ac:dyDescent="0.25">
      <c r="A1967" s="169">
        <v>44901</v>
      </c>
      <c r="B1967" s="116">
        <v>47.475000000000001</v>
      </c>
      <c r="C1967" s="116">
        <v>47.075000000000003</v>
      </c>
      <c r="D1967" s="116">
        <v>46.575000000000003</v>
      </c>
      <c r="E1967" s="116">
        <v>47.2</v>
      </c>
      <c r="F1967" s="116">
        <v>94.15</v>
      </c>
      <c r="G1967">
        <v>64887</v>
      </c>
      <c r="H1967" s="116"/>
      <c r="I1967" s="116"/>
      <c r="L1967" s="169">
        <v>44901</v>
      </c>
      <c r="M1967" s="116">
        <v>47.15</v>
      </c>
      <c r="N1967" s="116">
        <v>47.45</v>
      </c>
      <c r="O1967" s="116">
        <v>46.6</v>
      </c>
      <c r="P1967" s="116">
        <v>47.075000000000003</v>
      </c>
      <c r="Q1967" s="116">
        <v>94.3</v>
      </c>
      <c r="R1967">
        <v>447802</v>
      </c>
    </row>
    <row r="1968" spans="1:18" x14ac:dyDescent="0.25">
      <c r="A1968" s="169">
        <v>44902</v>
      </c>
      <c r="B1968" s="116">
        <v>47.25</v>
      </c>
      <c r="C1968" s="116">
        <v>45.9</v>
      </c>
      <c r="D1968" s="116">
        <v>45.75</v>
      </c>
      <c r="E1968" s="116">
        <v>47.25</v>
      </c>
      <c r="F1968" s="116">
        <v>91.8</v>
      </c>
      <c r="G1968">
        <v>40801</v>
      </c>
      <c r="H1968" s="116"/>
      <c r="I1968" s="116"/>
      <c r="L1968" s="169">
        <v>44902</v>
      </c>
      <c r="M1968" s="116">
        <v>45.975000000000001</v>
      </c>
      <c r="N1968" s="116">
        <v>47.325000000000003</v>
      </c>
      <c r="O1968" s="116">
        <v>45.8</v>
      </c>
      <c r="P1968" s="116">
        <v>47.024999999999999</v>
      </c>
      <c r="Q1968" s="116">
        <v>91.95</v>
      </c>
      <c r="R1968">
        <v>643591</v>
      </c>
    </row>
    <row r="1969" spans="1:18" x14ac:dyDescent="0.25">
      <c r="A1969" s="169">
        <v>44903</v>
      </c>
      <c r="B1969" s="116">
        <v>46.85</v>
      </c>
      <c r="C1969" s="116">
        <v>46.575000000000003</v>
      </c>
      <c r="D1969" s="116">
        <v>45.274999999999999</v>
      </c>
      <c r="E1969" s="116">
        <v>46.725000000000001</v>
      </c>
      <c r="F1969" s="116">
        <v>93.15</v>
      </c>
      <c r="G1969">
        <v>84638</v>
      </c>
      <c r="H1969" s="116"/>
      <c r="I1969" s="116"/>
      <c r="L1969" s="169">
        <v>44903</v>
      </c>
      <c r="M1969" s="116">
        <v>46.55</v>
      </c>
      <c r="N1969" s="116">
        <v>46.85</v>
      </c>
      <c r="O1969" s="116">
        <v>45.274999999999999</v>
      </c>
      <c r="P1969" s="116">
        <v>46.1</v>
      </c>
      <c r="Q1969" s="116">
        <v>93.1</v>
      </c>
      <c r="R1969">
        <v>853459</v>
      </c>
    </row>
    <row r="1970" spans="1:18" x14ac:dyDescent="0.25">
      <c r="A1970" s="169">
        <v>44904</v>
      </c>
      <c r="B1970" s="116">
        <v>48.125</v>
      </c>
      <c r="C1970" s="116">
        <v>45.674999999999997</v>
      </c>
      <c r="D1970" s="116">
        <v>45.4</v>
      </c>
      <c r="E1970" s="116">
        <v>46.2</v>
      </c>
      <c r="F1970" s="116">
        <v>91.35</v>
      </c>
      <c r="G1970">
        <v>193506</v>
      </c>
      <c r="H1970" s="116"/>
      <c r="I1970" s="116"/>
      <c r="L1970" s="169">
        <v>44904</v>
      </c>
      <c r="M1970" s="116">
        <v>45.625</v>
      </c>
      <c r="N1970" s="116">
        <v>48.15</v>
      </c>
      <c r="O1970" s="116">
        <v>45.4</v>
      </c>
      <c r="P1970" s="116">
        <v>46.65</v>
      </c>
      <c r="Q1970" s="116">
        <v>91.25</v>
      </c>
      <c r="R1970">
        <v>1803671</v>
      </c>
    </row>
    <row r="1971" spans="1:18" x14ac:dyDescent="0.25">
      <c r="A1971" s="169">
        <v>44907</v>
      </c>
      <c r="B1971" s="116">
        <v>47.85</v>
      </c>
      <c r="C1971" s="116">
        <v>47.524999999999999</v>
      </c>
      <c r="D1971" s="116">
        <v>45.274999999999999</v>
      </c>
      <c r="E1971" s="116">
        <v>45.5</v>
      </c>
      <c r="F1971" s="116">
        <v>95.05</v>
      </c>
      <c r="G1971">
        <v>193081</v>
      </c>
      <c r="H1971" s="116"/>
      <c r="I1971" s="116"/>
      <c r="L1971" s="169">
        <v>44907</v>
      </c>
      <c r="M1971" s="116">
        <v>47.575000000000003</v>
      </c>
      <c r="N1971" s="116">
        <v>47.85</v>
      </c>
      <c r="O1971" s="116">
        <v>45.3</v>
      </c>
      <c r="P1971" s="116">
        <v>45.825000000000003</v>
      </c>
      <c r="Q1971" s="116">
        <v>95.15</v>
      </c>
      <c r="R1971">
        <v>1238898</v>
      </c>
    </row>
    <row r="1972" spans="1:18" x14ac:dyDescent="0.25">
      <c r="A1972" s="169">
        <v>44908</v>
      </c>
      <c r="B1972" s="116">
        <v>50.2</v>
      </c>
      <c r="C1972" s="116">
        <v>49.9</v>
      </c>
      <c r="D1972" s="116">
        <v>47.274999999999999</v>
      </c>
      <c r="E1972" s="116">
        <v>47.524999999999999</v>
      </c>
      <c r="F1972" s="116">
        <v>99.8</v>
      </c>
      <c r="G1972">
        <v>555052</v>
      </c>
      <c r="H1972" s="116"/>
      <c r="I1972" s="116"/>
      <c r="L1972" s="169">
        <v>44908</v>
      </c>
      <c r="M1972" s="116">
        <v>49.9</v>
      </c>
      <c r="N1972" s="116">
        <v>50.25</v>
      </c>
      <c r="O1972" s="116">
        <v>47.25</v>
      </c>
      <c r="P1972" s="116">
        <v>48</v>
      </c>
      <c r="Q1972" s="116">
        <v>99.8</v>
      </c>
      <c r="R1972">
        <v>4877977</v>
      </c>
    </row>
    <row r="1973" spans="1:18" x14ac:dyDescent="0.25">
      <c r="A1973" s="169">
        <v>44909</v>
      </c>
      <c r="B1973" s="116">
        <v>52.125</v>
      </c>
      <c r="C1973" s="116">
        <v>50.924999999999997</v>
      </c>
      <c r="D1973" s="116">
        <v>49.625</v>
      </c>
      <c r="E1973" s="116">
        <v>50.325000000000003</v>
      </c>
      <c r="F1973" s="116">
        <v>101.85</v>
      </c>
      <c r="G1973">
        <v>455887</v>
      </c>
      <c r="H1973" s="116"/>
      <c r="I1973" s="116"/>
      <c r="L1973" s="169">
        <v>44909</v>
      </c>
      <c r="M1973" s="116">
        <v>50.975000000000001</v>
      </c>
      <c r="N1973" s="116">
        <v>52.174999999999997</v>
      </c>
      <c r="O1973" s="116">
        <v>49.625</v>
      </c>
      <c r="P1973" s="116">
        <v>50.45</v>
      </c>
      <c r="Q1973" s="116">
        <v>101.95</v>
      </c>
      <c r="R1973">
        <v>5003245</v>
      </c>
    </row>
    <row r="1974" spans="1:18" x14ac:dyDescent="0.25">
      <c r="A1974" s="169">
        <v>44910</v>
      </c>
      <c r="B1974" s="116">
        <v>53.1</v>
      </c>
      <c r="C1974" s="116">
        <v>51.05</v>
      </c>
      <c r="D1974" s="116">
        <v>50.774999999999999</v>
      </c>
      <c r="E1974" s="116">
        <v>50.95</v>
      </c>
      <c r="F1974" s="116">
        <v>102.1</v>
      </c>
      <c r="G1974">
        <v>287734</v>
      </c>
      <c r="H1974" s="116"/>
      <c r="I1974" s="116"/>
      <c r="L1974" s="169">
        <v>44910</v>
      </c>
      <c r="M1974" s="116">
        <v>51.05</v>
      </c>
      <c r="N1974" s="116">
        <v>53.1</v>
      </c>
      <c r="O1974" s="116">
        <v>50.6</v>
      </c>
      <c r="P1974" s="116">
        <v>51.15</v>
      </c>
      <c r="Q1974" s="116">
        <v>102.1</v>
      </c>
      <c r="R1974">
        <v>3752000</v>
      </c>
    </row>
    <row r="1975" spans="1:18" x14ac:dyDescent="0.25">
      <c r="A1975" s="169">
        <v>44911</v>
      </c>
      <c r="B1975" s="116">
        <v>51.524999999999999</v>
      </c>
      <c r="C1975" s="116">
        <v>49.05</v>
      </c>
      <c r="D1975" s="116">
        <v>48.8</v>
      </c>
      <c r="E1975" s="116">
        <v>50.774999999999999</v>
      </c>
      <c r="F1975" s="116">
        <v>98.1</v>
      </c>
      <c r="G1975">
        <v>269621</v>
      </c>
      <c r="H1975" s="116"/>
      <c r="I1975" s="116"/>
      <c r="L1975" s="169">
        <v>44911</v>
      </c>
      <c r="M1975" s="116">
        <v>49.05</v>
      </c>
      <c r="N1975" s="116">
        <v>51.575000000000003</v>
      </c>
      <c r="O1975" s="116">
        <v>48.774999999999999</v>
      </c>
      <c r="P1975" s="116">
        <v>51.25</v>
      </c>
      <c r="Q1975" s="116">
        <v>98.1</v>
      </c>
      <c r="R1975">
        <v>2332010</v>
      </c>
    </row>
    <row r="1976" spans="1:18" x14ac:dyDescent="0.25">
      <c r="A1976" s="169">
        <v>44914</v>
      </c>
      <c r="B1976" s="116">
        <v>51.55</v>
      </c>
      <c r="C1976" s="116">
        <v>51.2</v>
      </c>
      <c r="D1976" s="116">
        <v>48.55</v>
      </c>
      <c r="E1976" s="116">
        <v>49.024999999999999</v>
      </c>
      <c r="F1976" s="116">
        <v>102.4</v>
      </c>
      <c r="G1976">
        <v>257847</v>
      </c>
      <c r="H1976" s="116"/>
      <c r="I1976" s="116"/>
      <c r="L1976" s="169">
        <v>44914</v>
      </c>
      <c r="M1976" s="116">
        <v>51.25</v>
      </c>
      <c r="N1976" s="116">
        <v>51.575000000000003</v>
      </c>
      <c r="O1976" s="116">
        <v>48.55</v>
      </c>
      <c r="P1976" s="116">
        <v>49.2</v>
      </c>
      <c r="Q1976" s="116">
        <v>102.5</v>
      </c>
      <c r="R1976">
        <v>2082121</v>
      </c>
    </row>
    <row r="1977" spans="1:18" x14ac:dyDescent="0.25">
      <c r="A1977" s="169">
        <v>44915</v>
      </c>
      <c r="B1977" s="116">
        <v>53.2</v>
      </c>
      <c r="C1977" s="116">
        <v>51.9</v>
      </c>
      <c r="D1977" s="116">
        <v>50.774999999999999</v>
      </c>
      <c r="E1977" s="116">
        <v>51.174999999999997</v>
      </c>
      <c r="F1977" s="116">
        <v>103.8</v>
      </c>
      <c r="G1977">
        <v>411399</v>
      </c>
      <c r="H1977" s="116"/>
      <c r="I1977" s="116"/>
      <c r="L1977" s="169">
        <v>44915</v>
      </c>
      <c r="M1977" s="116">
        <v>51.875</v>
      </c>
      <c r="N1977" s="116">
        <v>53.225000000000001</v>
      </c>
      <c r="O1977" s="116">
        <v>50.75</v>
      </c>
      <c r="P1977" s="116">
        <v>51</v>
      </c>
      <c r="Q1977" s="116">
        <v>103.75</v>
      </c>
      <c r="R1977">
        <v>4263718</v>
      </c>
    </row>
    <row r="1978" spans="1:18" x14ac:dyDescent="0.25">
      <c r="A1978" s="169">
        <v>44916</v>
      </c>
      <c r="B1978" s="116">
        <v>53.674999999999997</v>
      </c>
      <c r="C1978" s="116">
        <v>49.95</v>
      </c>
      <c r="D1978" s="116">
        <v>49.375</v>
      </c>
      <c r="E1978" s="116">
        <v>52.524999999999999</v>
      </c>
      <c r="F1978" s="116">
        <v>99.9</v>
      </c>
      <c r="G1978">
        <v>540189</v>
      </c>
      <c r="H1978" s="116"/>
      <c r="I1978" s="116"/>
      <c r="L1978" s="169">
        <v>44916</v>
      </c>
      <c r="M1978" s="116">
        <v>49.975000000000001</v>
      </c>
      <c r="N1978" s="116">
        <v>53.7</v>
      </c>
      <c r="O1978" s="116">
        <v>49.4</v>
      </c>
      <c r="P1978" s="116">
        <v>52.3</v>
      </c>
      <c r="Q1978" s="116">
        <v>99.95</v>
      </c>
      <c r="R1978">
        <v>3791881</v>
      </c>
    </row>
    <row r="1979" spans="1:18" x14ac:dyDescent="0.25">
      <c r="A1979" s="169">
        <v>44917</v>
      </c>
      <c r="B1979" s="116">
        <v>50.95</v>
      </c>
      <c r="C1979" s="116">
        <v>48.774999999999999</v>
      </c>
      <c r="D1979" s="116">
        <v>47.875</v>
      </c>
      <c r="E1979" s="116">
        <v>50.95</v>
      </c>
      <c r="F1979" s="116">
        <v>97.55</v>
      </c>
      <c r="G1979">
        <v>218117</v>
      </c>
      <c r="H1979" s="116"/>
      <c r="I1979" s="116"/>
      <c r="L1979" s="169">
        <v>44917</v>
      </c>
      <c r="M1979" s="116">
        <v>48.8</v>
      </c>
      <c r="N1979" s="116">
        <v>50.9</v>
      </c>
      <c r="O1979" s="116">
        <v>47.875</v>
      </c>
      <c r="P1979" s="116">
        <v>50.4</v>
      </c>
      <c r="Q1979" s="116">
        <v>97.6</v>
      </c>
      <c r="R1979">
        <v>1931554</v>
      </c>
    </row>
    <row r="1980" spans="1:18" x14ac:dyDescent="0.25">
      <c r="A1980" s="169">
        <v>44918</v>
      </c>
      <c r="B1980" s="116">
        <v>48.325000000000003</v>
      </c>
      <c r="C1980" s="116">
        <v>45.575000000000003</v>
      </c>
      <c r="D1980" s="116">
        <v>45.15</v>
      </c>
      <c r="E1980" s="116">
        <v>47.05</v>
      </c>
      <c r="F1980" s="116">
        <v>91.15</v>
      </c>
      <c r="G1980">
        <v>176194</v>
      </c>
      <c r="H1980" s="116"/>
      <c r="I1980" s="116"/>
      <c r="L1980" s="169">
        <v>44918</v>
      </c>
      <c r="M1980" s="116">
        <v>45.524999999999999</v>
      </c>
      <c r="N1980" s="116">
        <v>48.424999999999997</v>
      </c>
      <c r="O1980" s="116">
        <v>45.125</v>
      </c>
      <c r="P1980" s="116">
        <v>48</v>
      </c>
      <c r="Q1980" s="116">
        <v>91.05</v>
      </c>
      <c r="R1980">
        <v>1540704</v>
      </c>
    </row>
    <row r="1981" spans="1:18" x14ac:dyDescent="0.25">
      <c r="A1981" s="169">
        <v>44921</v>
      </c>
      <c r="B1981" s="116">
        <v>47.55</v>
      </c>
      <c r="C1981" s="116">
        <v>47.25</v>
      </c>
      <c r="D1981" s="116">
        <v>44.125</v>
      </c>
      <c r="E1981" s="116">
        <v>44.125</v>
      </c>
      <c r="F1981" s="116">
        <v>94.5</v>
      </c>
      <c r="G1981">
        <v>166434</v>
      </c>
      <c r="H1981" s="116"/>
      <c r="I1981" s="116"/>
      <c r="L1981" s="169">
        <v>44921</v>
      </c>
      <c r="M1981" s="116">
        <v>47.225000000000001</v>
      </c>
      <c r="N1981" s="116">
        <v>47.6</v>
      </c>
      <c r="O1981" s="116">
        <v>45.35</v>
      </c>
      <c r="P1981" s="116">
        <v>45.924999999999997</v>
      </c>
      <c r="Q1981" s="116">
        <v>94.45</v>
      </c>
      <c r="R1981">
        <v>1080455</v>
      </c>
    </row>
    <row r="1982" spans="1:18" x14ac:dyDescent="0.25">
      <c r="A1982" s="169">
        <v>44922</v>
      </c>
      <c r="B1982" s="116">
        <v>50.3</v>
      </c>
      <c r="C1982" s="116">
        <v>49.95</v>
      </c>
      <c r="D1982" s="116">
        <v>47.475000000000001</v>
      </c>
      <c r="E1982" s="116">
        <v>47.5</v>
      </c>
      <c r="F1982" s="116">
        <v>99.9</v>
      </c>
      <c r="G1982">
        <v>201613</v>
      </c>
      <c r="H1982" s="116"/>
      <c r="I1982" s="116"/>
      <c r="L1982" s="169">
        <v>44922</v>
      </c>
      <c r="M1982" s="116">
        <v>49.924999999999997</v>
      </c>
      <c r="N1982" s="116">
        <v>50.325000000000003</v>
      </c>
      <c r="O1982" s="116">
        <v>47.55</v>
      </c>
      <c r="P1982" s="116">
        <v>47.55</v>
      </c>
      <c r="Q1982" s="116">
        <v>99.85</v>
      </c>
      <c r="R1982">
        <v>1816421</v>
      </c>
    </row>
    <row r="1983" spans="1:18" x14ac:dyDescent="0.25">
      <c r="A1983" s="169">
        <v>44923</v>
      </c>
      <c r="B1983" s="116">
        <v>50.875</v>
      </c>
      <c r="C1983" s="116">
        <v>50.575000000000003</v>
      </c>
      <c r="D1983" s="116">
        <v>50.125</v>
      </c>
      <c r="E1983" s="116">
        <v>50.25</v>
      </c>
      <c r="F1983" s="116">
        <v>101.15</v>
      </c>
      <c r="G1983">
        <v>216415</v>
      </c>
      <c r="H1983" s="116"/>
      <c r="I1983" s="116"/>
      <c r="L1983" s="169">
        <v>44923</v>
      </c>
      <c r="M1983" s="116">
        <v>50.625</v>
      </c>
      <c r="N1983" s="116">
        <v>50.924999999999997</v>
      </c>
      <c r="O1983" s="116">
        <v>50.024999999999999</v>
      </c>
      <c r="P1983" s="116">
        <v>50.15</v>
      </c>
      <c r="Q1983" s="116">
        <v>101.25</v>
      </c>
      <c r="R1983">
        <v>1445600</v>
      </c>
    </row>
    <row r="1984" spans="1:18" x14ac:dyDescent="0.25">
      <c r="A1984" s="169">
        <v>44924</v>
      </c>
      <c r="B1984" s="116">
        <v>53.9</v>
      </c>
      <c r="C1984" s="116">
        <v>52.424999999999997</v>
      </c>
      <c r="D1984" s="116">
        <v>49.825000000000003</v>
      </c>
      <c r="E1984" s="116">
        <v>50.05</v>
      </c>
      <c r="F1984" s="116">
        <v>104.85</v>
      </c>
      <c r="G1984">
        <v>416863</v>
      </c>
      <c r="H1984" s="116"/>
      <c r="I1984" s="116"/>
      <c r="L1984" s="169">
        <v>44924</v>
      </c>
      <c r="M1984" s="116">
        <v>52.35</v>
      </c>
      <c r="N1984" s="116">
        <v>53.9</v>
      </c>
      <c r="O1984" s="116">
        <v>49.8</v>
      </c>
      <c r="P1984" s="116">
        <v>50</v>
      </c>
      <c r="Q1984" s="116">
        <v>104.7</v>
      </c>
      <c r="R1984">
        <v>4760542</v>
      </c>
    </row>
    <row r="1985" spans="1:18" x14ac:dyDescent="0.25">
      <c r="A1985" s="169">
        <v>44925</v>
      </c>
      <c r="B1985" s="116">
        <v>53.125</v>
      </c>
      <c r="C1985" s="116">
        <v>51.8</v>
      </c>
      <c r="D1985" s="116">
        <v>51.25</v>
      </c>
      <c r="E1985" s="116">
        <v>52.725000000000001</v>
      </c>
      <c r="F1985" s="116">
        <v>103.6</v>
      </c>
      <c r="G1985">
        <v>186564</v>
      </c>
      <c r="H1985" s="116"/>
      <c r="I1985" s="116"/>
      <c r="L1985" s="169">
        <v>44925</v>
      </c>
      <c r="M1985" s="116">
        <v>51.774999999999999</v>
      </c>
      <c r="N1985" s="116">
        <v>53.174999999999997</v>
      </c>
      <c r="O1985" s="116">
        <v>51.475000000000001</v>
      </c>
      <c r="P1985" s="116">
        <v>52.75</v>
      </c>
      <c r="Q1985" s="116">
        <v>103.55</v>
      </c>
      <c r="R1985">
        <v>1578896</v>
      </c>
    </row>
    <row r="1986" spans="1:18" x14ac:dyDescent="0.25">
      <c r="A1986" s="169">
        <v>44928</v>
      </c>
      <c r="B1986" s="116">
        <v>55.25</v>
      </c>
      <c r="C1986" s="116">
        <v>54.825000000000003</v>
      </c>
      <c r="D1986" s="116">
        <v>51.9</v>
      </c>
      <c r="E1986" s="116">
        <v>52.225000000000001</v>
      </c>
      <c r="F1986" s="116">
        <v>109.65</v>
      </c>
      <c r="G1986">
        <v>647581</v>
      </c>
      <c r="H1986" s="116"/>
      <c r="I1986" s="116"/>
      <c r="L1986" s="169">
        <v>44928</v>
      </c>
      <c r="M1986" s="116">
        <v>54.85</v>
      </c>
      <c r="N1986" s="116">
        <v>55.25</v>
      </c>
      <c r="O1986" s="116">
        <v>51.875</v>
      </c>
      <c r="P1986" s="116">
        <v>51.975000000000001</v>
      </c>
      <c r="Q1986" s="116">
        <v>109.7</v>
      </c>
      <c r="R1986">
        <v>5229616</v>
      </c>
    </row>
    <row r="1987" spans="1:18" x14ac:dyDescent="0.25">
      <c r="A1987" s="169">
        <v>44929</v>
      </c>
      <c r="B1987" s="116">
        <v>55.9</v>
      </c>
      <c r="C1987" s="116">
        <v>55.274999999999999</v>
      </c>
      <c r="D1987" s="116">
        <v>53.85</v>
      </c>
      <c r="E1987" s="116">
        <v>55.25</v>
      </c>
      <c r="F1987" s="116">
        <v>110.55</v>
      </c>
      <c r="G1987">
        <v>304379</v>
      </c>
      <c r="H1987" s="116"/>
      <c r="I1987" s="116"/>
      <c r="L1987" s="169">
        <v>44929</v>
      </c>
      <c r="M1987" s="116">
        <v>55.25</v>
      </c>
      <c r="N1987" s="116">
        <v>55.85</v>
      </c>
      <c r="O1987" s="116">
        <v>53.9</v>
      </c>
      <c r="P1987" s="116">
        <v>55.225000000000001</v>
      </c>
      <c r="Q1987" s="116">
        <v>110.5</v>
      </c>
      <c r="R1987">
        <v>4045368</v>
      </c>
    </row>
    <row r="1988" spans="1:18" x14ac:dyDescent="0.25">
      <c r="A1988" s="169">
        <v>44930</v>
      </c>
      <c r="B1988" s="116">
        <v>55.475000000000001</v>
      </c>
      <c r="C1988" s="116">
        <v>53.6</v>
      </c>
      <c r="D1988" s="116">
        <v>52.7</v>
      </c>
      <c r="E1988" s="116">
        <v>55.024999999999999</v>
      </c>
      <c r="F1988" s="116">
        <v>107.2</v>
      </c>
      <c r="G1988">
        <v>325743</v>
      </c>
      <c r="H1988" s="116"/>
      <c r="I1988" s="116"/>
      <c r="L1988" s="169">
        <v>44930</v>
      </c>
      <c r="M1988" s="116">
        <v>53.674999999999997</v>
      </c>
      <c r="N1988" s="116">
        <v>55.475000000000001</v>
      </c>
      <c r="O1988" s="116">
        <v>52.7</v>
      </c>
      <c r="P1988" s="116">
        <v>55.25</v>
      </c>
      <c r="Q1988" s="116">
        <v>107.35</v>
      </c>
      <c r="R1988">
        <v>2613825</v>
      </c>
    </row>
    <row r="1989" spans="1:18" x14ac:dyDescent="0.25">
      <c r="A1989" s="169">
        <v>44931</v>
      </c>
      <c r="B1989" s="116">
        <v>57.174999999999997</v>
      </c>
      <c r="C1989" s="116">
        <v>56.8</v>
      </c>
      <c r="D1989" s="116">
        <v>53.55</v>
      </c>
      <c r="E1989" s="116">
        <v>54.35</v>
      </c>
      <c r="F1989" s="116">
        <v>113.6</v>
      </c>
      <c r="G1989">
        <v>558347</v>
      </c>
      <c r="H1989" s="116"/>
      <c r="I1989" s="116"/>
      <c r="L1989" s="169">
        <v>44931</v>
      </c>
      <c r="M1989" s="116">
        <v>56.85</v>
      </c>
      <c r="N1989" s="116">
        <v>57.25</v>
      </c>
      <c r="O1989" s="116">
        <v>53.5</v>
      </c>
      <c r="P1989" s="116">
        <v>53.975000000000001</v>
      </c>
      <c r="Q1989" s="116">
        <v>113.7</v>
      </c>
      <c r="R1989">
        <v>7391137</v>
      </c>
    </row>
    <row r="1990" spans="1:18" x14ac:dyDescent="0.25">
      <c r="A1990" s="169">
        <v>44932</v>
      </c>
      <c r="B1990" s="116">
        <v>56.95</v>
      </c>
      <c r="C1990" s="116">
        <v>55.45</v>
      </c>
      <c r="D1990" s="116">
        <v>54.7</v>
      </c>
      <c r="E1990" s="116">
        <v>56.95</v>
      </c>
      <c r="F1990" s="116">
        <v>110.9</v>
      </c>
      <c r="G1990">
        <v>246778</v>
      </c>
      <c r="H1990" s="116"/>
      <c r="I1990" s="116"/>
      <c r="L1990" s="169">
        <v>44932</v>
      </c>
      <c r="M1990" s="116">
        <v>55.475000000000001</v>
      </c>
      <c r="N1990" s="116">
        <v>56.85</v>
      </c>
      <c r="O1990" s="116">
        <v>54.674999999999997</v>
      </c>
      <c r="P1990" s="116">
        <v>56.85</v>
      </c>
      <c r="Q1990" s="116">
        <v>110.95</v>
      </c>
      <c r="R1990">
        <v>3408000</v>
      </c>
    </row>
    <row r="1991" spans="1:18" x14ac:dyDescent="0.25">
      <c r="A1991" s="169">
        <v>44935</v>
      </c>
      <c r="B1991" s="116">
        <v>57.3</v>
      </c>
      <c r="C1991" s="116">
        <v>56.674999999999997</v>
      </c>
      <c r="D1991" s="116">
        <v>55.774999999999999</v>
      </c>
      <c r="E1991" s="116">
        <v>56</v>
      </c>
      <c r="F1991" s="116">
        <v>113.35</v>
      </c>
      <c r="G1991">
        <v>188476</v>
      </c>
      <c r="H1991" s="116"/>
      <c r="I1991" s="116"/>
      <c r="L1991" s="169">
        <v>44935</v>
      </c>
      <c r="M1991" s="116">
        <v>56.55</v>
      </c>
      <c r="N1991" s="116">
        <v>57.325000000000003</v>
      </c>
      <c r="O1991" s="116">
        <v>55.825000000000003</v>
      </c>
      <c r="P1991" s="116">
        <v>55.85</v>
      </c>
      <c r="Q1991" s="116">
        <v>113.1</v>
      </c>
      <c r="R1991">
        <v>2610481</v>
      </c>
    </row>
    <row r="1992" spans="1:18" x14ac:dyDescent="0.25">
      <c r="A1992" s="169">
        <v>44936</v>
      </c>
      <c r="B1992" s="116">
        <v>56.924999999999997</v>
      </c>
      <c r="C1992" s="116">
        <v>55.375</v>
      </c>
      <c r="D1992" s="116">
        <v>54.5</v>
      </c>
      <c r="E1992" s="116">
        <v>56.924999999999997</v>
      </c>
      <c r="F1992" s="116">
        <v>110.75</v>
      </c>
      <c r="G1992">
        <v>133686</v>
      </c>
      <c r="H1992" s="116"/>
      <c r="I1992" s="116"/>
      <c r="L1992" s="169">
        <v>44936</v>
      </c>
      <c r="M1992" s="116">
        <v>55.375</v>
      </c>
      <c r="N1992" s="116">
        <v>56.75</v>
      </c>
      <c r="O1992" s="116">
        <v>54.4</v>
      </c>
      <c r="P1992" s="116">
        <v>56.674999999999997</v>
      </c>
      <c r="Q1992" s="116">
        <v>110.75</v>
      </c>
      <c r="R1992">
        <v>1583652</v>
      </c>
    </row>
    <row r="1993" spans="1:18" x14ac:dyDescent="0.25">
      <c r="A1993" s="169">
        <v>44937</v>
      </c>
      <c r="B1993" s="116">
        <v>58.375</v>
      </c>
      <c r="C1993" s="116">
        <v>57.65</v>
      </c>
      <c r="D1993" s="116">
        <v>55.4</v>
      </c>
      <c r="E1993" s="116">
        <v>55.4</v>
      </c>
      <c r="F1993" s="116">
        <v>115.3</v>
      </c>
      <c r="G1993">
        <v>526368</v>
      </c>
      <c r="H1993" s="116"/>
      <c r="I1993" s="116"/>
      <c r="L1993" s="169">
        <v>44937</v>
      </c>
      <c r="M1993" s="116">
        <v>57.6</v>
      </c>
      <c r="N1993" s="116">
        <v>58.375</v>
      </c>
      <c r="O1993" s="116">
        <v>55.5</v>
      </c>
      <c r="P1993" s="116">
        <v>55.5</v>
      </c>
      <c r="Q1993" s="116">
        <v>115.2</v>
      </c>
      <c r="R1993">
        <v>4714263</v>
      </c>
    </row>
    <row r="1994" spans="1:18" x14ac:dyDescent="0.25">
      <c r="A1994" s="169">
        <v>44938</v>
      </c>
      <c r="B1994" s="116">
        <v>57.625</v>
      </c>
      <c r="C1994" s="116">
        <v>56.174999999999997</v>
      </c>
      <c r="D1994" s="116">
        <v>55.8</v>
      </c>
      <c r="E1994" s="116">
        <v>57.274999999999999</v>
      </c>
      <c r="F1994" s="116">
        <v>112.35</v>
      </c>
      <c r="G1994">
        <v>133849</v>
      </c>
      <c r="H1994" s="116"/>
      <c r="I1994" s="116"/>
      <c r="L1994" s="169">
        <v>44938</v>
      </c>
      <c r="M1994" s="116">
        <v>56.2</v>
      </c>
      <c r="N1994" s="116">
        <v>57.625</v>
      </c>
      <c r="O1994" s="116">
        <v>55.8</v>
      </c>
      <c r="P1994" s="116">
        <v>57.625</v>
      </c>
      <c r="Q1994" s="116">
        <v>112.4</v>
      </c>
      <c r="R1994">
        <v>1707241</v>
      </c>
    </row>
    <row r="1995" spans="1:18" x14ac:dyDescent="0.25">
      <c r="A1995" s="169">
        <v>44939</v>
      </c>
      <c r="B1995" s="116">
        <v>57.075000000000003</v>
      </c>
      <c r="C1995" s="116">
        <v>56.75</v>
      </c>
      <c r="D1995" s="116">
        <v>55.875</v>
      </c>
      <c r="E1995" s="116">
        <v>56.325000000000003</v>
      </c>
      <c r="F1995" s="116">
        <v>113.5</v>
      </c>
      <c r="G1995">
        <v>145846</v>
      </c>
      <c r="H1995" s="116"/>
      <c r="I1995" s="116"/>
      <c r="L1995" s="169">
        <v>44939</v>
      </c>
      <c r="M1995" s="116">
        <v>56.674999999999997</v>
      </c>
      <c r="N1995" s="116">
        <v>57.075000000000003</v>
      </c>
      <c r="O1995" s="116">
        <v>55.85</v>
      </c>
      <c r="P1995" s="116">
        <v>56.475000000000001</v>
      </c>
      <c r="Q1995" s="116">
        <v>113.35</v>
      </c>
      <c r="R1995">
        <v>1859385</v>
      </c>
    </row>
    <row r="1996" spans="1:18" x14ac:dyDescent="0.25">
      <c r="A1996" s="169">
        <v>44942</v>
      </c>
      <c r="B1996" s="116">
        <v>57.024999999999999</v>
      </c>
      <c r="C1996" s="116">
        <v>55.725000000000001</v>
      </c>
      <c r="D1996" s="116">
        <v>55.35</v>
      </c>
      <c r="E1996" s="116">
        <v>56.575000000000003</v>
      </c>
      <c r="F1996" s="116">
        <v>111.45</v>
      </c>
      <c r="G1996">
        <v>104907</v>
      </c>
      <c r="H1996" s="116"/>
      <c r="I1996" s="116"/>
      <c r="L1996" s="169">
        <v>44942</v>
      </c>
      <c r="M1996" s="116">
        <v>55.774999999999999</v>
      </c>
      <c r="N1996" s="116">
        <v>57.075000000000003</v>
      </c>
      <c r="O1996" s="116">
        <v>55.4</v>
      </c>
      <c r="P1996" s="116">
        <v>56.975000000000001</v>
      </c>
      <c r="Q1996" s="116">
        <v>111.55</v>
      </c>
      <c r="R1996">
        <v>1141810</v>
      </c>
    </row>
    <row r="1997" spans="1:18" x14ac:dyDescent="0.25">
      <c r="A1997" s="169">
        <v>44943</v>
      </c>
      <c r="B1997" s="116">
        <v>57.05</v>
      </c>
      <c r="C1997" s="116">
        <v>56.8</v>
      </c>
      <c r="D1997" s="116">
        <v>54.524999999999999</v>
      </c>
      <c r="E1997" s="116">
        <v>55.55</v>
      </c>
      <c r="F1997" s="116">
        <v>113.6</v>
      </c>
      <c r="G1997">
        <v>193823</v>
      </c>
      <c r="H1997" s="116"/>
      <c r="I1997" s="116"/>
      <c r="L1997" s="169">
        <v>44943</v>
      </c>
      <c r="M1997" s="116">
        <v>56.725000000000001</v>
      </c>
      <c r="N1997" s="116">
        <v>57.125</v>
      </c>
      <c r="O1997" s="116">
        <v>54.5</v>
      </c>
      <c r="P1997" s="116">
        <v>55.8</v>
      </c>
      <c r="Q1997" s="116">
        <v>113.45</v>
      </c>
      <c r="R1997">
        <v>2092776</v>
      </c>
    </row>
    <row r="1998" spans="1:18" x14ac:dyDescent="0.25">
      <c r="A1998" s="169">
        <v>44944</v>
      </c>
      <c r="B1998" s="116">
        <v>58.95</v>
      </c>
      <c r="C1998" s="116">
        <v>58.475000000000001</v>
      </c>
      <c r="D1998" s="116">
        <v>57</v>
      </c>
      <c r="E1998" s="116">
        <v>57</v>
      </c>
      <c r="F1998" s="116">
        <v>116.95</v>
      </c>
      <c r="G1998">
        <v>435408</v>
      </c>
      <c r="H1998" s="116"/>
      <c r="I1998" s="116"/>
      <c r="L1998" s="169">
        <v>44944</v>
      </c>
      <c r="M1998" s="116">
        <v>58.475000000000001</v>
      </c>
      <c r="N1998" s="116">
        <v>59</v>
      </c>
      <c r="O1998" s="116">
        <v>56.85</v>
      </c>
      <c r="P1998" s="116">
        <v>57</v>
      </c>
      <c r="Q1998" s="116">
        <v>116.95</v>
      </c>
      <c r="R1998">
        <v>3763499</v>
      </c>
    </row>
    <row r="1999" spans="1:18" x14ac:dyDescent="0.25">
      <c r="A1999" s="169">
        <v>44945</v>
      </c>
      <c r="B1999" s="116">
        <v>59.1</v>
      </c>
      <c r="C1999" s="116">
        <v>58.375</v>
      </c>
      <c r="D1999" s="116">
        <v>57.575000000000003</v>
      </c>
      <c r="E1999" s="116">
        <v>57.575000000000003</v>
      </c>
      <c r="F1999" s="116">
        <v>116.75</v>
      </c>
      <c r="G1999">
        <v>179706</v>
      </c>
      <c r="H1999" s="116"/>
      <c r="I1999" s="116"/>
      <c r="L1999" s="169">
        <v>44945</v>
      </c>
      <c r="M1999" s="116">
        <v>58.45</v>
      </c>
      <c r="N1999" s="116">
        <v>59.1</v>
      </c>
      <c r="O1999" s="116">
        <v>57.575000000000003</v>
      </c>
      <c r="P1999" s="116">
        <v>58.125</v>
      </c>
      <c r="Q1999" s="116">
        <v>116.9</v>
      </c>
      <c r="R1999">
        <v>2032273</v>
      </c>
    </row>
    <row r="2000" spans="1:18" x14ac:dyDescent="0.25">
      <c r="A2000" s="169">
        <v>44946</v>
      </c>
      <c r="B2000" s="116">
        <v>58.95</v>
      </c>
      <c r="C2000" s="116">
        <v>58.3</v>
      </c>
      <c r="D2000" s="116">
        <v>57.55</v>
      </c>
      <c r="E2000" s="116">
        <v>58.95</v>
      </c>
      <c r="F2000" s="116">
        <v>116.6</v>
      </c>
      <c r="G2000">
        <v>106363</v>
      </c>
      <c r="H2000" s="116"/>
      <c r="I2000" s="116"/>
      <c r="L2000" s="169">
        <v>44946</v>
      </c>
      <c r="M2000" s="116">
        <v>58.375</v>
      </c>
      <c r="N2000" s="116">
        <v>58.875</v>
      </c>
      <c r="O2000" s="116">
        <v>57.524999999999999</v>
      </c>
      <c r="P2000" s="116">
        <v>58.75</v>
      </c>
      <c r="Q2000" s="116">
        <v>116.75</v>
      </c>
      <c r="R2000">
        <v>1899687</v>
      </c>
    </row>
    <row r="2001" spans="1:18" x14ac:dyDescent="0.25">
      <c r="A2001" s="169">
        <v>44949</v>
      </c>
      <c r="B2001" s="116">
        <v>58.625</v>
      </c>
      <c r="C2001" s="116">
        <v>57.575000000000003</v>
      </c>
      <c r="D2001" s="116">
        <v>57.05</v>
      </c>
      <c r="E2001" s="116">
        <v>58.625</v>
      </c>
      <c r="F2001" s="116">
        <v>115.15</v>
      </c>
      <c r="G2001">
        <v>80128</v>
      </c>
      <c r="H2001" s="116"/>
      <c r="I2001" s="116"/>
      <c r="L2001" s="169">
        <v>44949</v>
      </c>
      <c r="M2001" s="116">
        <v>57.55</v>
      </c>
      <c r="N2001" s="116">
        <v>58.674999999999997</v>
      </c>
      <c r="O2001" s="116">
        <v>56.9</v>
      </c>
      <c r="P2001" s="116">
        <v>58.5</v>
      </c>
      <c r="Q2001" s="116">
        <v>115.1</v>
      </c>
      <c r="R2001">
        <v>1005433</v>
      </c>
    </row>
    <row r="2002" spans="1:18" x14ac:dyDescent="0.25">
      <c r="A2002" s="169">
        <v>44950</v>
      </c>
      <c r="B2002" s="116">
        <v>58.125</v>
      </c>
      <c r="C2002" s="116">
        <v>55.65</v>
      </c>
      <c r="D2002" s="116">
        <v>54</v>
      </c>
      <c r="E2002" s="116">
        <v>58.125</v>
      </c>
      <c r="F2002" s="116">
        <v>111.3</v>
      </c>
      <c r="G2002">
        <v>146358</v>
      </c>
      <c r="H2002" s="116"/>
      <c r="I2002" s="116"/>
      <c r="L2002" s="169">
        <v>44950</v>
      </c>
      <c r="M2002" s="116">
        <v>55.575000000000003</v>
      </c>
      <c r="N2002" s="116">
        <v>57.924999999999997</v>
      </c>
      <c r="O2002" s="116">
        <v>53.95</v>
      </c>
      <c r="P2002" s="116">
        <v>57.875</v>
      </c>
      <c r="Q2002" s="116">
        <v>111.15</v>
      </c>
      <c r="R2002">
        <v>1379186</v>
      </c>
    </row>
    <row r="2003" spans="1:18" x14ac:dyDescent="0.25">
      <c r="A2003" s="169">
        <v>44951</v>
      </c>
      <c r="B2003" s="116">
        <v>56.7</v>
      </c>
      <c r="C2003" s="116">
        <v>54.95</v>
      </c>
      <c r="D2003" s="116">
        <v>54.35</v>
      </c>
      <c r="E2003" s="116">
        <v>55.6</v>
      </c>
      <c r="F2003" s="116">
        <v>109.9</v>
      </c>
      <c r="G2003">
        <v>187727</v>
      </c>
      <c r="H2003" s="116"/>
      <c r="I2003" s="116"/>
      <c r="L2003" s="169">
        <v>44951</v>
      </c>
      <c r="M2003" s="116">
        <v>55.075000000000003</v>
      </c>
      <c r="N2003" s="116">
        <v>56.7</v>
      </c>
      <c r="O2003" s="116">
        <v>54.274999999999999</v>
      </c>
      <c r="P2003" s="116">
        <v>55.725000000000001</v>
      </c>
      <c r="Q2003" s="116">
        <v>110.15</v>
      </c>
      <c r="R2003">
        <v>1620236</v>
      </c>
    </row>
    <row r="2004" spans="1:18" x14ac:dyDescent="0.25">
      <c r="A2004" s="169">
        <v>44953</v>
      </c>
      <c r="B2004" s="116">
        <v>60.875</v>
      </c>
      <c r="C2004" s="116">
        <v>58.25</v>
      </c>
      <c r="D2004" s="116">
        <v>56.1</v>
      </c>
      <c r="E2004" s="116">
        <v>58.45</v>
      </c>
      <c r="F2004" s="116">
        <v>116.5</v>
      </c>
      <c r="G2004">
        <v>926336</v>
      </c>
      <c r="H2004" s="116"/>
      <c r="I2004" s="116"/>
      <c r="L2004" s="169">
        <v>44953</v>
      </c>
      <c r="M2004" s="116">
        <v>58.3</v>
      </c>
      <c r="N2004" s="116">
        <v>60.85</v>
      </c>
      <c r="O2004" s="116">
        <v>56.075000000000003</v>
      </c>
      <c r="P2004" s="116">
        <v>58.5</v>
      </c>
      <c r="Q2004" s="116">
        <v>116.6</v>
      </c>
      <c r="R2004">
        <v>11331544</v>
      </c>
    </row>
    <row r="2005" spans="1:18" x14ac:dyDescent="0.25">
      <c r="A2005" s="169">
        <v>44956</v>
      </c>
      <c r="B2005" s="116">
        <v>62.174999999999997</v>
      </c>
      <c r="C2005" s="116">
        <v>61.6</v>
      </c>
      <c r="D2005" s="116">
        <v>57.9</v>
      </c>
      <c r="E2005" s="116">
        <v>59.825000000000003</v>
      </c>
      <c r="F2005" s="116">
        <v>123.2</v>
      </c>
      <c r="G2005">
        <v>535684</v>
      </c>
      <c r="H2005" s="116"/>
      <c r="I2005" s="116"/>
      <c r="L2005" s="169">
        <v>44956</v>
      </c>
      <c r="M2005" s="116">
        <v>61.6</v>
      </c>
      <c r="N2005" s="116">
        <v>62.2</v>
      </c>
      <c r="O2005" s="116">
        <v>57.9</v>
      </c>
      <c r="P2005" s="116">
        <v>58.524999999999999</v>
      </c>
      <c r="Q2005" s="116">
        <v>123.2</v>
      </c>
      <c r="R2005">
        <v>6428952</v>
      </c>
    </row>
    <row r="2006" spans="1:18" x14ac:dyDescent="0.25">
      <c r="A2006" s="169">
        <v>44957</v>
      </c>
      <c r="B2006" s="116">
        <v>62.95</v>
      </c>
      <c r="C2006" s="116">
        <v>62.524999999999999</v>
      </c>
      <c r="D2006" s="116">
        <v>60.375</v>
      </c>
      <c r="E2006" s="116">
        <v>61.825000000000003</v>
      </c>
      <c r="F2006" s="116">
        <v>125.05</v>
      </c>
      <c r="G2006">
        <v>487647</v>
      </c>
      <c r="H2006" s="116"/>
      <c r="I2006" s="116"/>
      <c r="L2006" s="169">
        <v>44957</v>
      </c>
      <c r="M2006" s="116">
        <v>62.575000000000003</v>
      </c>
      <c r="N2006" s="116">
        <v>63</v>
      </c>
      <c r="O2006" s="116">
        <v>60.325000000000003</v>
      </c>
      <c r="P2006" s="116">
        <v>62</v>
      </c>
      <c r="Q2006" s="116">
        <v>125.15</v>
      </c>
      <c r="R2006">
        <v>4465130</v>
      </c>
    </row>
    <row r="2007" spans="1:18" x14ac:dyDescent="0.25">
      <c r="A2007" s="169">
        <v>44958</v>
      </c>
      <c r="B2007" s="116">
        <v>65.599999999999994</v>
      </c>
      <c r="C2007" s="116">
        <v>62.125</v>
      </c>
      <c r="D2007" s="116">
        <v>58.825000000000003</v>
      </c>
      <c r="E2007" s="116">
        <v>62.9</v>
      </c>
      <c r="F2007" s="116">
        <v>124.25</v>
      </c>
      <c r="G2007">
        <v>753511</v>
      </c>
      <c r="H2007" s="116"/>
      <c r="I2007" s="116"/>
      <c r="L2007" s="169">
        <v>44958</v>
      </c>
      <c r="M2007" s="116">
        <v>62.1</v>
      </c>
      <c r="N2007" s="116">
        <v>65.625</v>
      </c>
      <c r="O2007" s="116">
        <v>58.9</v>
      </c>
      <c r="P2007" s="116">
        <v>62.5</v>
      </c>
      <c r="Q2007" s="116">
        <v>124.2</v>
      </c>
      <c r="R2007">
        <v>6496747</v>
      </c>
    </row>
    <row r="2008" spans="1:18" x14ac:dyDescent="0.25">
      <c r="A2008" s="169">
        <v>44959</v>
      </c>
      <c r="B2008" s="116">
        <v>67.45</v>
      </c>
      <c r="C2008" s="116">
        <v>66.625</v>
      </c>
      <c r="D2008" s="116">
        <v>62.125</v>
      </c>
      <c r="E2008" s="116">
        <v>62.875</v>
      </c>
      <c r="F2008" s="116">
        <v>133.25</v>
      </c>
      <c r="G2008">
        <v>843742</v>
      </c>
      <c r="H2008" s="116"/>
      <c r="I2008" s="116"/>
      <c r="L2008" s="169">
        <v>44959</v>
      </c>
      <c r="M2008" s="116">
        <v>66.650000000000006</v>
      </c>
      <c r="N2008" s="116">
        <v>67.5</v>
      </c>
      <c r="O2008" s="116">
        <v>62</v>
      </c>
      <c r="P2008" s="116">
        <v>62</v>
      </c>
      <c r="Q2008" s="116">
        <v>133.30000000000001</v>
      </c>
      <c r="R2008">
        <v>7694864</v>
      </c>
    </row>
    <row r="2009" spans="1:18" x14ac:dyDescent="0.25">
      <c r="A2009" s="169">
        <v>44960</v>
      </c>
      <c r="B2009" s="116">
        <v>67.95</v>
      </c>
      <c r="C2009" s="116">
        <v>65.075000000000003</v>
      </c>
      <c r="D2009" s="116">
        <v>63.875</v>
      </c>
      <c r="E2009" s="116">
        <v>67</v>
      </c>
      <c r="F2009" s="116">
        <v>130.15</v>
      </c>
      <c r="G2009">
        <v>301739</v>
      </c>
      <c r="H2009" s="116"/>
      <c r="I2009" s="116"/>
      <c r="L2009" s="169">
        <v>44960</v>
      </c>
      <c r="M2009" s="116">
        <v>64.974999999999994</v>
      </c>
      <c r="N2009" s="116">
        <v>67.924999999999997</v>
      </c>
      <c r="O2009" s="116">
        <v>63.75</v>
      </c>
      <c r="P2009" s="116">
        <v>67.150000000000006</v>
      </c>
      <c r="Q2009" s="116">
        <v>129.94999999999999</v>
      </c>
      <c r="R2009">
        <v>4107579</v>
      </c>
    </row>
    <row r="2010" spans="1:18" x14ac:dyDescent="0.25">
      <c r="A2010" s="169">
        <v>44963</v>
      </c>
      <c r="B2010" s="116">
        <v>69.325000000000003</v>
      </c>
      <c r="C2010" s="116">
        <v>67.974999999999994</v>
      </c>
      <c r="D2010" s="116">
        <v>65.174999999999997</v>
      </c>
      <c r="E2010" s="116">
        <v>65.474999999999994</v>
      </c>
      <c r="F2010" s="116">
        <v>135.94999999999999</v>
      </c>
      <c r="G2010">
        <v>643930</v>
      </c>
      <c r="H2010" s="116"/>
      <c r="I2010" s="116"/>
      <c r="L2010" s="169">
        <v>44963</v>
      </c>
      <c r="M2010" s="116">
        <v>67.95</v>
      </c>
      <c r="N2010" s="116">
        <v>69.325000000000003</v>
      </c>
      <c r="O2010" s="116">
        <v>65.174999999999997</v>
      </c>
      <c r="P2010" s="116">
        <v>65.224999999999994</v>
      </c>
      <c r="Q2010" s="116">
        <v>135.9</v>
      </c>
      <c r="R2010">
        <v>4288623</v>
      </c>
    </row>
    <row r="2011" spans="1:18" x14ac:dyDescent="0.25">
      <c r="A2011" s="169">
        <v>44964</v>
      </c>
      <c r="B2011" s="116">
        <v>68.849999999999994</v>
      </c>
      <c r="C2011" s="116">
        <v>67</v>
      </c>
      <c r="D2011" s="116">
        <v>66.625</v>
      </c>
      <c r="E2011" s="116">
        <v>68.474999999999994</v>
      </c>
      <c r="F2011" s="116">
        <v>134</v>
      </c>
      <c r="G2011">
        <v>272101</v>
      </c>
      <c r="H2011" s="116"/>
      <c r="I2011" s="116"/>
      <c r="L2011" s="169">
        <v>44964</v>
      </c>
      <c r="M2011" s="116">
        <v>67.05</v>
      </c>
      <c r="N2011" s="116">
        <v>68.849999999999994</v>
      </c>
      <c r="O2011" s="116">
        <v>66.625</v>
      </c>
      <c r="P2011" s="116">
        <v>68.400000000000006</v>
      </c>
      <c r="Q2011" s="116">
        <v>134.1</v>
      </c>
      <c r="R2011">
        <v>2926207</v>
      </c>
    </row>
    <row r="2012" spans="1:18" x14ac:dyDescent="0.25">
      <c r="A2012" s="169">
        <v>44965</v>
      </c>
      <c r="B2012" s="116">
        <v>70.7</v>
      </c>
      <c r="C2012" s="116">
        <v>69.825000000000003</v>
      </c>
      <c r="D2012" s="116">
        <v>66.674999999999997</v>
      </c>
      <c r="E2012" s="116">
        <v>67.025000000000006</v>
      </c>
      <c r="F2012" s="116">
        <v>139.65</v>
      </c>
      <c r="G2012">
        <v>334770</v>
      </c>
      <c r="H2012" s="116"/>
      <c r="I2012" s="116"/>
      <c r="L2012" s="169">
        <v>44965</v>
      </c>
      <c r="M2012" s="116">
        <v>69.75</v>
      </c>
      <c r="N2012" s="116">
        <v>70.7</v>
      </c>
      <c r="O2012" s="116">
        <v>66.674999999999997</v>
      </c>
      <c r="P2012" s="116">
        <v>67.125</v>
      </c>
      <c r="Q2012" s="116">
        <v>139.5</v>
      </c>
      <c r="R2012">
        <v>4764000</v>
      </c>
    </row>
    <row r="2013" spans="1:18" x14ac:dyDescent="0.25">
      <c r="A2013" s="169">
        <v>44966</v>
      </c>
      <c r="B2013" s="116">
        <v>70.650000000000006</v>
      </c>
      <c r="C2013" s="116">
        <v>69.599999999999994</v>
      </c>
      <c r="D2013" s="116">
        <v>69</v>
      </c>
      <c r="E2013" s="116">
        <v>69.825000000000003</v>
      </c>
      <c r="F2013" s="116">
        <v>139.19999999999999</v>
      </c>
      <c r="G2013">
        <v>186296</v>
      </c>
      <c r="H2013" s="116"/>
      <c r="I2013" s="116"/>
      <c r="L2013" s="169">
        <v>44966</v>
      </c>
      <c r="M2013" s="116">
        <v>69.625</v>
      </c>
      <c r="N2013" s="116">
        <v>70.724999999999994</v>
      </c>
      <c r="O2013" s="116">
        <v>68.95</v>
      </c>
      <c r="P2013" s="116">
        <v>70</v>
      </c>
      <c r="Q2013" s="116">
        <v>139.25</v>
      </c>
      <c r="R2013">
        <v>1972012</v>
      </c>
    </row>
    <row r="2014" spans="1:18" x14ac:dyDescent="0.25">
      <c r="A2014" s="169">
        <v>44967</v>
      </c>
      <c r="B2014" s="116">
        <v>72.674999999999997</v>
      </c>
      <c r="C2014" s="116">
        <v>70.974999999999994</v>
      </c>
      <c r="D2014" s="116">
        <v>69.45</v>
      </c>
      <c r="E2014" s="116">
        <v>69.599999999999994</v>
      </c>
      <c r="F2014" s="116">
        <v>141.94999999999999</v>
      </c>
      <c r="G2014">
        <v>365553</v>
      </c>
      <c r="H2014" s="116"/>
      <c r="I2014" s="116"/>
      <c r="L2014" s="169">
        <v>44967</v>
      </c>
      <c r="M2014" s="116">
        <v>71</v>
      </c>
      <c r="N2014" s="116">
        <v>72.7</v>
      </c>
      <c r="O2014" s="116">
        <v>69.275000000000006</v>
      </c>
      <c r="P2014" s="116">
        <v>69.5</v>
      </c>
      <c r="Q2014" s="116">
        <v>142</v>
      </c>
      <c r="R2014">
        <v>4729938</v>
      </c>
    </row>
    <row r="2015" spans="1:18" x14ac:dyDescent="0.25">
      <c r="A2015" s="169">
        <v>44970</v>
      </c>
      <c r="B2015" s="116">
        <v>73.525000000000006</v>
      </c>
      <c r="C2015" s="116">
        <v>72.7</v>
      </c>
      <c r="D2015" s="116">
        <v>70.55</v>
      </c>
      <c r="E2015" s="116">
        <v>71.575000000000003</v>
      </c>
      <c r="F2015" s="116">
        <v>145.4</v>
      </c>
      <c r="G2015">
        <v>252384</v>
      </c>
      <c r="H2015" s="116"/>
      <c r="I2015" s="116"/>
      <c r="L2015" s="169">
        <v>44970</v>
      </c>
      <c r="M2015" s="116">
        <v>72.75</v>
      </c>
      <c r="N2015" s="116">
        <v>73.575000000000003</v>
      </c>
      <c r="O2015" s="116">
        <v>70.5</v>
      </c>
      <c r="P2015" s="116">
        <v>71.224999999999994</v>
      </c>
      <c r="Q2015" s="116">
        <v>145.5</v>
      </c>
      <c r="R2015">
        <v>3242321</v>
      </c>
    </row>
    <row r="2016" spans="1:18" x14ac:dyDescent="0.25">
      <c r="A2016" s="169">
        <v>44971</v>
      </c>
      <c r="B2016" s="116">
        <v>73.8</v>
      </c>
      <c r="C2016" s="116">
        <v>72.025000000000006</v>
      </c>
      <c r="D2016" s="116">
        <v>70.674999999999997</v>
      </c>
      <c r="E2016" s="116">
        <v>72.400000000000006</v>
      </c>
      <c r="F2016" s="116">
        <v>144.05000000000001</v>
      </c>
      <c r="G2016">
        <v>209432</v>
      </c>
      <c r="H2016" s="116"/>
      <c r="I2016" s="116"/>
      <c r="L2016" s="169">
        <v>44971</v>
      </c>
      <c r="M2016" s="116">
        <v>72.05</v>
      </c>
      <c r="N2016" s="116">
        <v>73.849999999999994</v>
      </c>
      <c r="O2016" s="116">
        <v>70.599999999999994</v>
      </c>
      <c r="P2016" s="116">
        <v>73</v>
      </c>
      <c r="Q2016" s="116">
        <v>144.1</v>
      </c>
      <c r="R2016">
        <v>2956714</v>
      </c>
    </row>
    <row r="2017" spans="1:18" x14ac:dyDescent="0.25">
      <c r="A2017" s="169">
        <v>44972</v>
      </c>
      <c r="B2017" s="116">
        <v>76.224999999999994</v>
      </c>
      <c r="C2017" s="116">
        <v>75.525000000000006</v>
      </c>
      <c r="D2017" s="116">
        <v>71.775000000000006</v>
      </c>
      <c r="E2017" s="116">
        <v>71.775000000000006</v>
      </c>
      <c r="F2017" s="116">
        <v>151.05000000000001</v>
      </c>
      <c r="G2017">
        <v>320698</v>
      </c>
      <c r="H2017" s="116"/>
      <c r="I2017" s="116"/>
      <c r="L2017" s="169">
        <v>44972</v>
      </c>
      <c r="M2017" s="116">
        <v>75.575000000000003</v>
      </c>
      <c r="N2017" s="116">
        <v>76.2</v>
      </c>
      <c r="O2017" s="116">
        <v>72.05</v>
      </c>
      <c r="P2017" s="116">
        <v>72.125</v>
      </c>
      <c r="Q2017" s="116">
        <v>151.15</v>
      </c>
      <c r="R2017">
        <v>4339022</v>
      </c>
    </row>
    <row r="2018" spans="1:18" x14ac:dyDescent="0.25">
      <c r="A2018" s="169">
        <v>44973</v>
      </c>
      <c r="B2018" s="116">
        <v>76.5</v>
      </c>
      <c r="C2018" s="116">
        <v>73.8</v>
      </c>
      <c r="D2018" s="116">
        <v>73.5</v>
      </c>
      <c r="E2018" s="116">
        <v>75.900000000000006</v>
      </c>
      <c r="F2018" s="116">
        <v>147.6</v>
      </c>
      <c r="G2018">
        <v>203276</v>
      </c>
      <c r="H2018" s="116"/>
      <c r="I2018" s="116"/>
      <c r="L2018" s="169">
        <v>44973</v>
      </c>
      <c r="M2018" s="116">
        <v>73.8</v>
      </c>
      <c r="N2018" s="116">
        <v>76.375</v>
      </c>
      <c r="O2018" s="116">
        <v>73.424999999999997</v>
      </c>
      <c r="P2018" s="116">
        <v>76.224999999999994</v>
      </c>
      <c r="Q2018" s="116">
        <v>147.6</v>
      </c>
      <c r="R2018">
        <v>2578749</v>
      </c>
    </row>
    <row r="2019" spans="1:18" x14ac:dyDescent="0.25">
      <c r="A2019" s="169">
        <v>44974</v>
      </c>
      <c r="B2019" s="116">
        <v>75.375</v>
      </c>
      <c r="C2019" s="116">
        <v>73</v>
      </c>
      <c r="D2019" s="116">
        <v>71.724999999999994</v>
      </c>
      <c r="E2019" s="116">
        <v>73.95</v>
      </c>
      <c r="F2019" s="116">
        <v>146</v>
      </c>
      <c r="G2019">
        <v>394832</v>
      </c>
      <c r="H2019" s="116"/>
      <c r="I2019" s="116"/>
      <c r="L2019" s="169">
        <v>44974</v>
      </c>
      <c r="M2019" s="116">
        <v>73</v>
      </c>
      <c r="N2019" s="116">
        <v>75.375</v>
      </c>
      <c r="O2019" s="116">
        <v>71.724999999999994</v>
      </c>
      <c r="P2019" s="116">
        <v>73.825000000000003</v>
      </c>
      <c r="Q2019" s="116">
        <v>146</v>
      </c>
      <c r="R2019">
        <v>2535314</v>
      </c>
    </row>
    <row r="2020" spans="1:18" x14ac:dyDescent="0.25">
      <c r="A2020" s="169">
        <v>44977</v>
      </c>
      <c r="B2020" s="116">
        <v>75.5</v>
      </c>
      <c r="C2020" s="116">
        <v>74.775000000000006</v>
      </c>
      <c r="D2020" s="116">
        <v>72.45</v>
      </c>
      <c r="E2020" s="116">
        <v>73.5</v>
      </c>
      <c r="F2020" s="116">
        <v>149.55000000000001</v>
      </c>
      <c r="G2020">
        <v>373849</v>
      </c>
      <c r="H2020" s="116"/>
      <c r="I2020" s="116"/>
      <c r="L2020" s="169">
        <v>44977</v>
      </c>
      <c r="M2020" s="116">
        <v>74.75</v>
      </c>
      <c r="N2020" s="116">
        <v>75.5</v>
      </c>
      <c r="O2020" s="116">
        <v>72.45</v>
      </c>
      <c r="P2020" s="116">
        <v>73.5</v>
      </c>
      <c r="Q2020" s="116">
        <v>149.5</v>
      </c>
      <c r="R2020">
        <v>2634069</v>
      </c>
    </row>
    <row r="2021" spans="1:18" x14ac:dyDescent="0.25">
      <c r="A2021" s="169">
        <v>44978</v>
      </c>
      <c r="B2021" s="116">
        <v>77</v>
      </c>
      <c r="C2021" s="116">
        <v>76.625</v>
      </c>
      <c r="D2021" s="116">
        <v>74.2</v>
      </c>
      <c r="E2021" s="116">
        <v>75</v>
      </c>
      <c r="F2021" s="116">
        <v>153.25</v>
      </c>
      <c r="G2021">
        <v>297469</v>
      </c>
      <c r="H2021" s="116"/>
      <c r="I2021" s="116"/>
      <c r="L2021" s="169">
        <v>44978</v>
      </c>
      <c r="M2021" s="116">
        <v>76.7</v>
      </c>
      <c r="N2021" s="116">
        <v>77</v>
      </c>
      <c r="O2021" s="116">
        <v>74.150000000000006</v>
      </c>
      <c r="P2021" s="116">
        <v>74.974999999999994</v>
      </c>
      <c r="Q2021" s="116">
        <v>153.4</v>
      </c>
      <c r="R2021">
        <v>2891552</v>
      </c>
    </row>
    <row r="2022" spans="1:18" x14ac:dyDescent="0.25">
      <c r="A2022" s="169">
        <v>44979</v>
      </c>
      <c r="B2022" s="116">
        <v>77.2</v>
      </c>
      <c r="C2022" s="116">
        <v>74.25</v>
      </c>
      <c r="D2022" s="116">
        <v>73.625</v>
      </c>
      <c r="E2022" s="116">
        <v>76.025000000000006</v>
      </c>
      <c r="F2022" s="116">
        <v>148.5</v>
      </c>
      <c r="G2022">
        <v>197560</v>
      </c>
      <c r="H2022" s="116"/>
      <c r="I2022" s="116"/>
      <c r="L2022" s="169">
        <v>44979</v>
      </c>
      <c r="M2022" s="116">
        <v>74.349999999999994</v>
      </c>
      <c r="N2022" s="116">
        <v>77.2</v>
      </c>
      <c r="O2022" s="116">
        <v>73.525000000000006</v>
      </c>
      <c r="P2022" s="116">
        <v>76.5</v>
      </c>
      <c r="Q2022" s="116">
        <v>148.69999999999999</v>
      </c>
      <c r="R2022">
        <v>2170760</v>
      </c>
    </row>
    <row r="2023" spans="1:18" x14ac:dyDescent="0.25">
      <c r="A2023" s="169">
        <v>44980</v>
      </c>
      <c r="B2023" s="116">
        <v>75.849999999999994</v>
      </c>
      <c r="C2023" s="116">
        <v>74.599999999999994</v>
      </c>
      <c r="D2023" s="116">
        <v>74.025000000000006</v>
      </c>
      <c r="E2023" s="116">
        <v>74.974999999999994</v>
      </c>
      <c r="F2023" s="116">
        <v>149.19999999999999</v>
      </c>
      <c r="G2023">
        <v>168746</v>
      </c>
      <c r="H2023" s="116"/>
      <c r="I2023" s="116"/>
      <c r="L2023" s="169">
        <v>44980</v>
      </c>
      <c r="M2023" s="116">
        <v>74.625</v>
      </c>
      <c r="N2023" s="116">
        <v>75.900000000000006</v>
      </c>
      <c r="O2023" s="116">
        <v>74</v>
      </c>
      <c r="P2023" s="116">
        <v>74.599999999999994</v>
      </c>
      <c r="Q2023" s="116">
        <v>149.25</v>
      </c>
      <c r="R2023">
        <v>1592981</v>
      </c>
    </row>
    <row r="2024" spans="1:18" x14ac:dyDescent="0.25">
      <c r="A2024" s="169">
        <v>44981</v>
      </c>
      <c r="B2024" s="116">
        <v>79.25</v>
      </c>
      <c r="C2024" s="116">
        <v>78.75</v>
      </c>
      <c r="D2024" s="116">
        <v>74.400000000000006</v>
      </c>
      <c r="E2024" s="116">
        <v>74.625</v>
      </c>
      <c r="F2024" s="116">
        <v>157.5</v>
      </c>
      <c r="G2024">
        <v>371685</v>
      </c>
      <c r="H2024" s="116"/>
      <c r="I2024" s="116"/>
      <c r="L2024" s="169">
        <v>44981</v>
      </c>
      <c r="M2024" s="116">
        <v>78.775000000000006</v>
      </c>
      <c r="N2024" s="116">
        <v>79.224999999999994</v>
      </c>
      <c r="O2024" s="116">
        <v>74.400000000000006</v>
      </c>
      <c r="P2024" s="116">
        <v>75.2</v>
      </c>
      <c r="Q2024" s="116">
        <v>157.55000000000001</v>
      </c>
      <c r="R2024">
        <v>3949676</v>
      </c>
    </row>
    <row r="2025" spans="1:18" x14ac:dyDescent="0.25">
      <c r="A2025" s="169">
        <v>44984</v>
      </c>
      <c r="B2025" s="116">
        <v>79.224999999999994</v>
      </c>
      <c r="C2025" s="116">
        <v>72.775000000000006</v>
      </c>
      <c r="D2025" s="116">
        <v>71.5</v>
      </c>
      <c r="E2025" s="116">
        <v>79.224999999999994</v>
      </c>
      <c r="F2025" s="116">
        <v>145.55000000000001</v>
      </c>
      <c r="G2025">
        <v>288586</v>
      </c>
      <c r="H2025" s="116"/>
      <c r="I2025" s="116"/>
      <c r="L2025" s="169">
        <v>44984</v>
      </c>
      <c r="M2025" s="116">
        <v>72.75</v>
      </c>
      <c r="N2025" s="116">
        <v>79.174999999999997</v>
      </c>
      <c r="O2025" s="116">
        <v>71.5</v>
      </c>
      <c r="P2025" s="116">
        <v>78.775000000000006</v>
      </c>
      <c r="Q2025" s="116">
        <v>145.5</v>
      </c>
      <c r="R2025">
        <v>3885938</v>
      </c>
    </row>
    <row r="2026" spans="1:18" x14ac:dyDescent="0.25">
      <c r="A2026" s="169">
        <v>44985</v>
      </c>
      <c r="B2026" s="116">
        <v>75.5</v>
      </c>
      <c r="C2026" s="116">
        <v>75.05</v>
      </c>
      <c r="D2026" s="116">
        <v>71.75</v>
      </c>
      <c r="E2026" s="116">
        <v>72.825000000000003</v>
      </c>
      <c r="F2026" s="116">
        <v>150.1</v>
      </c>
      <c r="G2026">
        <v>393566</v>
      </c>
      <c r="H2026" s="116"/>
      <c r="I2026" s="116"/>
      <c r="L2026" s="169">
        <v>44985</v>
      </c>
      <c r="M2026" s="116">
        <v>75.075000000000003</v>
      </c>
      <c r="N2026" s="116">
        <v>75.599999999999994</v>
      </c>
      <c r="O2026" s="116">
        <v>71.7</v>
      </c>
      <c r="P2026" s="116">
        <v>73.3</v>
      </c>
      <c r="Q2026" s="116">
        <v>150.15</v>
      </c>
      <c r="R2026">
        <v>4900128</v>
      </c>
    </row>
    <row r="2027" spans="1:18" x14ac:dyDescent="0.25">
      <c r="A2027" s="169">
        <v>44986</v>
      </c>
      <c r="B2027" s="116">
        <v>76.599999999999994</v>
      </c>
      <c r="C2027" s="116">
        <v>74.8</v>
      </c>
      <c r="D2027" s="116">
        <v>73.625</v>
      </c>
      <c r="E2027" s="116">
        <v>75.25</v>
      </c>
      <c r="F2027" s="116">
        <v>149.6</v>
      </c>
      <c r="G2027">
        <v>120304</v>
      </c>
      <c r="H2027" s="116"/>
      <c r="I2027" s="116"/>
      <c r="L2027" s="169">
        <v>44986</v>
      </c>
      <c r="M2027" s="116">
        <v>74.775000000000006</v>
      </c>
      <c r="N2027" s="116">
        <v>76.599999999999994</v>
      </c>
      <c r="O2027" s="116">
        <v>73.575000000000003</v>
      </c>
      <c r="P2027" s="116">
        <v>75.075000000000003</v>
      </c>
      <c r="Q2027" s="116">
        <v>149.55000000000001</v>
      </c>
      <c r="R2027">
        <v>2124556</v>
      </c>
    </row>
    <row r="2028" spans="1:18" x14ac:dyDescent="0.25">
      <c r="A2028" s="169">
        <v>44987</v>
      </c>
      <c r="B2028" s="116">
        <v>75.650000000000006</v>
      </c>
      <c r="C2028" s="116">
        <v>73.25</v>
      </c>
      <c r="D2028" s="116">
        <v>72.75</v>
      </c>
      <c r="E2028" s="116">
        <v>74.75</v>
      </c>
      <c r="F2028" s="116">
        <v>146.5</v>
      </c>
      <c r="G2028">
        <v>186981</v>
      </c>
      <c r="H2028" s="116"/>
      <c r="I2028" s="116"/>
      <c r="L2028" s="169">
        <v>44987</v>
      </c>
      <c r="M2028" s="116">
        <v>73.325000000000003</v>
      </c>
      <c r="N2028" s="116">
        <v>75.724999999999994</v>
      </c>
      <c r="O2028" s="116">
        <v>72.625</v>
      </c>
      <c r="P2028" s="116">
        <v>74.974999999999994</v>
      </c>
      <c r="Q2028" s="116">
        <v>146.65</v>
      </c>
      <c r="R2028">
        <v>1469267</v>
      </c>
    </row>
    <row r="2029" spans="1:18" x14ac:dyDescent="0.25">
      <c r="A2029" s="169">
        <v>44988</v>
      </c>
      <c r="B2029" s="116">
        <v>74.75</v>
      </c>
      <c r="C2029" s="116">
        <v>73.825000000000003</v>
      </c>
      <c r="D2029" s="116">
        <v>73.5</v>
      </c>
      <c r="E2029" s="116">
        <v>73.7</v>
      </c>
      <c r="F2029" s="116">
        <v>147.65</v>
      </c>
      <c r="G2029">
        <v>81942</v>
      </c>
      <c r="H2029" s="116"/>
      <c r="I2029" s="116"/>
      <c r="L2029" s="169">
        <v>44988</v>
      </c>
      <c r="M2029" s="116">
        <v>73.849999999999994</v>
      </c>
      <c r="N2029" s="116">
        <v>74.75</v>
      </c>
      <c r="O2029" s="116">
        <v>73.525000000000006</v>
      </c>
      <c r="P2029" s="116">
        <v>73.724999999999994</v>
      </c>
      <c r="Q2029" s="116">
        <v>147.69999999999999</v>
      </c>
      <c r="R2029">
        <v>1137351</v>
      </c>
    </row>
    <row r="2030" spans="1:18" x14ac:dyDescent="0.25">
      <c r="A2030" s="169">
        <v>44991</v>
      </c>
      <c r="B2030" s="116">
        <v>78.3</v>
      </c>
      <c r="C2030" s="116">
        <v>77.775000000000006</v>
      </c>
      <c r="D2030" s="116">
        <v>72.825000000000003</v>
      </c>
      <c r="E2030" s="116">
        <v>72.825000000000003</v>
      </c>
      <c r="F2030" s="116">
        <v>155.55000000000001</v>
      </c>
      <c r="G2030">
        <v>3686124</v>
      </c>
      <c r="H2030" s="116"/>
      <c r="I2030" s="116"/>
      <c r="L2030" s="169">
        <v>44991</v>
      </c>
      <c r="M2030" s="116">
        <v>77.75</v>
      </c>
      <c r="N2030" s="116">
        <v>78.3</v>
      </c>
      <c r="O2030" s="116">
        <v>73.75</v>
      </c>
      <c r="P2030" s="116">
        <v>73.974999999999994</v>
      </c>
      <c r="Q2030" s="116">
        <v>155.5</v>
      </c>
      <c r="R2030">
        <v>2587545</v>
      </c>
    </row>
    <row r="2031" spans="1:18" x14ac:dyDescent="0.25">
      <c r="A2031" s="169">
        <v>44993</v>
      </c>
      <c r="B2031" s="116">
        <v>82.45</v>
      </c>
      <c r="C2031" s="116">
        <v>81.625</v>
      </c>
      <c r="D2031" s="116">
        <v>76.75</v>
      </c>
      <c r="E2031" s="116">
        <v>77.45</v>
      </c>
      <c r="F2031" s="116">
        <v>163.25</v>
      </c>
      <c r="G2031">
        <v>397788</v>
      </c>
      <c r="H2031" s="116"/>
      <c r="I2031" s="116"/>
      <c r="L2031" s="169">
        <v>44993</v>
      </c>
      <c r="M2031" s="116">
        <v>81.674999999999997</v>
      </c>
      <c r="N2031" s="116">
        <v>82.15</v>
      </c>
      <c r="O2031" s="116">
        <v>76.775000000000006</v>
      </c>
      <c r="P2031" s="116">
        <v>77.25</v>
      </c>
      <c r="Q2031" s="116">
        <v>163.35</v>
      </c>
      <c r="R2031">
        <v>4340711</v>
      </c>
    </row>
    <row r="2032" spans="1:18" x14ac:dyDescent="0.25">
      <c r="A2032" s="169">
        <v>44994</v>
      </c>
      <c r="B2032" s="116">
        <v>88.875</v>
      </c>
      <c r="C2032" s="116">
        <v>87.05</v>
      </c>
      <c r="D2032" s="116">
        <v>81</v>
      </c>
      <c r="E2032" s="116">
        <v>82.125</v>
      </c>
      <c r="F2032" s="116">
        <v>174.1</v>
      </c>
      <c r="G2032">
        <v>592390</v>
      </c>
      <c r="H2032" s="116"/>
      <c r="I2032" s="116"/>
      <c r="L2032" s="169">
        <v>44994</v>
      </c>
      <c r="M2032" s="116">
        <v>87.05</v>
      </c>
      <c r="N2032" s="116">
        <v>88.875</v>
      </c>
      <c r="O2032" s="116">
        <v>80.900000000000006</v>
      </c>
      <c r="P2032" s="116">
        <v>81.95</v>
      </c>
      <c r="Q2032" s="116">
        <v>174.1</v>
      </c>
      <c r="R2032">
        <v>9711637</v>
      </c>
    </row>
    <row r="2033" spans="1:18" x14ac:dyDescent="0.25">
      <c r="A2033" s="169">
        <v>44995</v>
      </c>
      <c r="B2033" s="116">
        <v>89.825000000000003</v>
      </c>
      <c r="C2033" s="116">
        <v>87.275000000000006</v>
      </c>
      <c r="D2033" s="116">
        <v>85.375</v>
      </c>
      <c r="E2033" s="116">
        <v>87.1</v>
      </c>
      <c r="F2033" s="116">
        <v>174.55</v>
      </c>
      <c r="G2033">
        <v>406066</v>
      </c>
      <c r="H2033" s="116"/>
      <c r="I2033" s="116"/>
      <c r="L2033" s="169">
        <v>44995</v>
      </c>
      <c r="M2033" s="116">
        <v>87.325000000000003</v>
      </c>
      <c r="N2033" s="116">
        <v>89.775000000000006</v>
      </c>
      <c r="O2033" s="116">
        <v>85.325000000000003</v>
      </c>
      <c r="P2033" s="116">
        <v>86.825000000000003</v>
      </c>
      <c r="Q2033" s="116">
        <v>174.65</v>
      </c>
      <c r="R2033">
        <v>5732063</v>
      </c>
    </row>
    <row r="2034" spans="1:18" x14ac:dyDescent="0.25">
      <c r="A2034" s="169">
        <v>44998</v>
      </c>
      <c r="B2034" s="116">
        <v>88</v>
      </c>
      <c r="C2034" s="116">
        <v>82.45</v>
      </c>
      <c r="D2034" s="116">
        <v>81</v>
      </c>
      <c r="E2034" s="116">
        <v>87.974999999999994</v>
      </c>
      <c r="F2034" s="116">
        <v>164.9</v>
      </c>
      <c r="G2034">
        <v>354427</v>
      </c>
      <c r="H2034" s="116"/>
      <c r="I2034" s="116"/>
      <c r="L2034" s="169">
        <v>44998</v>
      </c>
      <c r="M2034" s="116">
        <v>82.45</v>
      </c>
      <c r="N2034" s="116">
        <v>88.075000000000003</v>
      </c>
      <c r="O2034" s="116">
        <v>81.075000000000003</v>
      </c>
      <c r="P2034" s="116">
        <v>87.5</v>
      </c>
      <c r="Q2034" s="116">
        <v>164.9</v>
      </c>
      <c r="R2034">
        <v>3103623</v>
      </c>
    </row>
    <row r="2035" spans="1:18" x14ac:dyDescent="0.25">
      <c r="A2035" s="169">
        <v>44999</v>
      </c>
      <c r="B2035" s="116">
        <v>84.224999999999994</v>
      </c>
      <c r="C2035" s="116">
        <v>79.3</v>
      </c>
      <c r="D2035" s="116">
        <v>77.849999999999994</v>
      </c>
      <c r="E2035" s="116">
        <v>82.5</v>
      </c>
      <c r="F2035" s="116">
        <v>158.6</v>
      </c>
      <c r="G2035">
        <v>428240</v>
      </c>
      <c r="H2035" s="116"/>
      <c r="I2035" s="116"/>
      <c r="L2035" s="169">
        <v>44999</v>
      </c>
      <c r="M2035" s="116">
        <v>79.349999999999994</v>
      </c>
      <c r="N2035" s="116">
        <v>84.2</v>
      </c>
      <c r="O2035" s="116">
        <v>77.775000000000006</v>
      </c>
      <c r="P2035" s="116">
        <v>82.924999999999997</v>
      </c>
      <c r="Q2035" s="116">
        <v>158.69999999999999</v>
      </c>
      <c r="R2035">
        <v>3604059</v>
      </c>
    </row>
    <row r="2036" spans="1:18" x14ac:dyDescent="0.25">
      <c r="A2036" s="169">
        <v>45000</v>
      </c>
      <c r="B2036" s="116">
        <v>81.25</v>
      </c>
      <c r="C2036" s="116">
        <v>78.150000000000006</v>
      </c>
      <c r="D2036" s="116">
        <v>77.5</v>
      </c>
      <c r="E2036" s="116">
        <v>80.125</v>
      </c>
      <c r="F2036" s="116">
        <v>156.30000000000001</v>
      </c>
      <c r="G2036">
        <v>395467</v>
      </c>
      <c r="H2036" s="116"/>
      <c r="I2036" s="116"/>
      <c r="L2036" s="169">
        <v>45000</v>
      </c>
      <c r="M2036" s="116">
        <v>78.150000000000006</v>
      </c>
      <c r="N2036" s="116">
        <v>81.3</v>
      </c>
      <c r="O2036" s="116">
        <v>77.5</v>
      </c>
      <c r="P2036" s="116">
        <v>80.5</v>
      </c>
      <c r="Q2036" s="116">
        <v>156.30000000000001</v>
      </c>
      <c r="R2036">
        <v>2993981</v>
      </c>
    </row>
    <row r="2037" spans="1:18" x14ac:dyDescent="0.25">
      <c r="A2037" s="169">
        <v>45001</v>
      </c>
      <c r="B2037" s="116">
        <v>79.349999999999994</v>
      </c>
      <c r="C2037" s="116">
        <v>76.849999999999994</v>
      </c>
      <c r="D2037" s="116">
        <v>75.525000000000006</v>
      </c>
      <c r="E2037" s="116">
        <v>77.55</v>
      </c>
      <c r="F2037" s="116">
        <v>153.69999999999999</v>
      </c>
      <c r="G2037">
        <v>285519</v>
      </c>
      <c r="H2037" s="116"/>
      <c r="I2037" s="116"/>
      <c r="L2037" s="169">
        <v>45001</v>
      </c>
      <c r="M2037" s="116">
        <v>76.75</v>
      </c>
      <c r="N2037" s="116">
        <v>79.424999999999997</v>
      </c>
      <c r="O2037" s="116">
        <v>75.599999999999994</v>
      </c>
      <c r="P2037" s="116">
        <v>78.325000000000003</v>
      </c>
      <c r="Q2037" s="116">
        <v>153.5</v>
      </c>
      <c r="R2037">
        <v>2243230</v>
      </c>
    </row>
    <row r="2038" spans="1:18" x14ac:dyDescent="0.25">
      <c r="A2038" s="169">
        <v>45002</v>
      </c>
      <c r="B2038" s="116">
        <v>78.275000000000006</v>
      </c>
      <c r="C2038" s="116">
        <v>77.349999999999994</v>
      </c>
      <c r="D2038" s="116">
        <v>74.724999999999994</v>
      </c>
      <c r="E2038" s="116">
        <v>77.5</v>
      </c>
      <c r="F2038" s="116">
        <v>154.69999999999999</v>
      </c>
      <c r="G2038">
        <v>261643</v>
      </c>
      <c r="H2038" s="116"/>
      <c r="I2038" s="116"/>
      <c r="L2038" s="169">
        <v>45002</v>
      </c>
      <c r="M2038" s="116">
        <v>77.400000000000006</v>
      </c>
      <c r="N2038" s="116">
        <v>78.3</v>
      </c>
      <c r="O2038" s="116">
        <v>74.674999999999997</v>
      </c>
      <c r="P2038" s="116">
        <v>77.95</v>
      </c>
      <c r="Q2038" s="116">
        <v>154.80000000000001</v>
      </c>
      <c r="R2038">
        <v>2318960</v>
      </c>
    </row>
    <row r="2039" spans="1:18" x14ac:dyDescent="0.25">
      <c r="A2039" s="169">
        <v>45005</v>
      </c>
      <c r="B2039" s="116">
        <v>76.825000000000003</v>
      </c>
      <c r="C2039" s="116">
        <v>73.625</v>
      </c>
      <c r="D2039" s="116">
        <v>73.05</v>
      </c>
      <c r="E2039" s="116">
        <v>76.025000000000006</v>
      </c>
      <c r="F2039" s="116">
        <v>147.25</v>
      </c>
      <c r="G2039">
        <v>135731</v>
      </c>
      <c r="H2039" s="116"/>
      <c r="I2039" s="116"/>
      <c r="L2039" s="169">
        <v>45005</v>
      </c>
      <c r="M2039" s="116">
        <v>73.575000000000003</v>
      </c>
      <c r="N2039" s="116">
        <v>76.75</v>
      </c>
      <c r="O2039" s="116">
        <v>73.025000000000006</v>
      </c>
      <c r="P2039" s="116">
        <v>76.75</v>
      </c>
      <c r="Q2039" s="116">
        <v>147.15</v>
      </c>
      <c r="R2039">
        <v>2027767</v>
      </c>
    </row>
    <row r="2040" spans="1:18" x14ac:dyDescent="0.25">
      <c r="A2040" s="169">
        <v>45006</v>
      </c>
      <c r="B2040" s="116">
        <v>74.424999999999997</v>
      </c>
      <c r="C2040" s="116">
        <v>73.375</v>
      </c>
      <c r="D2040" s="116">
        <v>72.125</v>
      </c>
      <c r="E2040" s="116">
        <v>73.650000000000006</v>
      </c>
      <c r="F2040" s="116">
        <v>146.75</v>
      </c>
      <c r="G2040">
        <v>283486</v>
      </c>
      <c r="H2040" s="116"/>
      <c r="I2040" s="116"/>
      <c r="L2040" s="169">
        <v>45006</v>
      </c>
      <c r="M2040" s="116">
        <v>73.349999999999994</v>
      </c>
      <c r="N2040" s="116">
        <v>74.45</v>
      </c>
      <c r="O2040" s="116">
        <v>72.075000000000003</v>
      </c>
      <c r="P2040" s="116">
        <v>74</v>
      </c>
      <c r="Q2040" s="116">
        <v>146.69999999999999</v>
      </c>
      <c r="R2040">
        <v>2237498</v>
      </c>
    </row>
    <row r="2041" spans="1:18" x14ac:dyDescent="0.25">
      <c r="A2041" s="169">
        <v>45007</v>
      </c>
      <c r="B2041" s="116">
        <v>77.224999999999994</v>
      </c>
      <c r="C2041" s="116">
        <v>76.125</v>
      </c>
      <c r="D2041" s="116">
        <v>73.075000000000003</v>
      </c>
      <c r="E2041" s="116">
        <v>73.349999999999994</v>
      </c>
      <c r="F2041" s="116">
        <v>152.25</v>
      </c>
      <c r="G2041">
        <v>376144</v>
      </c>
      <c r="H2041" s="116"/>
      <c r="I2041" s="116"/>
      <c r="L2041" s="169">
        <v>45007</v>
      </c>
      <c r="M2041" s="116">
        <v>76.174999999999997</v>
      </c>
      <c r="N2041" s="116">
        <v>77.224999999999994</v>
      </c>
      <c r="O2041" s="116">
        <v>73.099999999999994</v>
      </c>
      <c r="P2041" s="116">
        <v>73.349999999999994</v>
      </c>
      <c r="Q2041" s="116">
        <v>152.35</v>
      </c>
      <c r="R2041">
        <v>4470203</v>
      </c>
    </row>
    <row r="2042" spans="1:18" x14ac:dyDescent="0.25">
      <c r="A2042" s="169">
        <v>45008</v>
      </c>
      <c r="B2042" s="116">
        <v>76.150000000000006</v>
      </c>
      <c r="C2042" s="116">
        <v>73.650000000000006</v>
      </c>
      <c r="D2042" s="116">
        <v>73.375</v>
      </c>
      <c r="E2042" s="116">
        <v>76.125</v>
      </c>
      <c r="F2042" s="116">
        <v>147.30000000000001</v>
      </c>
      <c r="G2042">
        <v>93506</v>
      </c>
      <c r="H2042" s="116"/>
      <c r="I2042" s="116"/>
      <c r="L2042" s="169">
        <v>45008</v>
      </c>
      <c r="M2042" s="116">
        <v>73.625</v>
      </c>
      <c r="N2042" s="116">
        <v>76.349999999999994</v>
      </c>
      <c r="O2042" s="116">
        <v>73.349999999999994</v>
      </c>
      <c r="P2042" s="116">
        <v>76.150000000000006</v>
      </c>
      <c r="Q2042" s="116">
        <v>147.25</v>
      </c>
      <c r="R2042">
        <v>1555672</v>
      </c>
    </row>
    <row r="2043" spans="1:18" x14ac:dyDescent="0.25">
      <c r="A2043" s="169">
        <v>45009</v>
      </c>
      <c r="B2043" s="116">
        <v>73.875</v>
      </c>
      <c r="C2043" s="116">
        <v>70.625</v>
      </c>
      <c r="D2043" s="116">
        <v>70.25</v>
      </c>
      <c r="E2043" s="116">
        <v>73.325000000000003</v>
      </c>
      <c r="F2043" s="116">
        <v>141.25</v>
      </c>
      <c r="G2043">
        <v>178112</v>
      </c>
      <c r="H2043" s="116"/>
      <c r="I2043" s="116"/>
      <c r="L2043" s="169">
        <v>45009</v>
      </c>
      <c r="M2043" s="116">
        <v>70.625</v>
      </c>
      <c r="N2043" s="116">
        <v>73.825000000000003</v>
      </c>
      <c r="O2043" s="116">
        <v>70.349999999999994</v>
      </c>
      <c r="P2043" s="116">
        <v>73.75</v>
      </c>
      <c r="Q2043" s="116">
        <v>141.25</v>
      </c>
      <c r="R2043">
        <v>1795341</v>
      </c>
    </row>
    <row r="2044" spans="1:18" x14ac:dyDescent="0.25">
      <c r="A2044" s="169">
        <v>45012</v>
      </c>
      <c r="B2044" s="116">
        <v>71.2</v>
      </c>
      <c r="C2044" s="116">
        <v>70.5</v>
      </c>
      <c r="D2044" s="116">
        <v>67.8</v>
      </c>
      <c r="E2044" s="116">
        <v>70.125</v>
      </c>
      <c r="F2044" s="116">
        <v>141</v>
      </c>
      <c r="G2044">
        <v>283077</v>
      </c>
      <c r="H2044" s="116"/>
      <c r="I2044" s="116"/>
      <c r="L2044" s="169">
        <v>45012</v>
      </c>
      <c r="M2044" s="116">
        <v>70.525000000000006</v>
      </c>
      <c r="N2044" s="116">
        <v>71.224999999999994</v>
      </c>
      <c r="O2044" s="116">
        <v>67.7</v>
      </c>
      <c r="P2044" s="116">
        <v>70.625</v>
      </c>
      <c r="Q2044" s="116">
        <v>141.05000000000001</v>
      </c>
      <c r="R2044">
        <v>2075633</v>
      </c>
    </row>
    <row r="2045" spans="1:18" x14ac:dyDescent="0.25">
      <c r="A2045" s="169">
        <v>45013</v>
      </c>
      <c r="B2045" s="116">
        <v>72.75</v>
      </c>
      <c r="C2045" s="116">
        <v>71.900000000000006</v>
      </c>
      <c r="D2045" s="116">
        <v>69.125</v>
      </c>
      <c r="E2045" s="116">
        <v>70.125</v>
      </c>
      <c r="F2045" s="116">
        <v>143.80000000000001</v>
      </c>
      <c r="G2045">
        <v>139390</v>
      </c>
      <c r="H2045" s="116"/>
      <c r="I2045" s="116"/>
      <c r="L2045" s="169">
        <v>45013</v>
      </c>
      <c r="M2045" s="116">
        <v>71.924999999999997</v>
      </c>
      <c r="N2045" s="116">
        <v>72.75</v>
      </c>
      <c r="O2045" s="116">
        <v>69.075000000000003</v>
      </c>
      <c r="P2045" s="116">
        <v>70.875</v>
      </c>
      <c r="Q2045" s="116">
        <v>143.85</v>
      </c>
      <c r="R2045">
        <v>2355048</v>
      </c>
    </row>
    <row r="2046" spans="1:18" x14ac:dyDescent="0.25">
      <c r="A2046" s="169">
        <v>45014</v>
      </c>
      <c r="B2046" s="116">
        <v>74.599999999999994</v>
      </c>
      <c r="C2046" s="116">
        <v>74.3</v>
      </c>
      <c r="D2046" s="116">
        <v>71.2</v>
      </c>
      <c r="E2046" s="116">
        <v>71.75</v>
      </c>
      <c r="F2046" s="116">
        <v>148.6</v>
      </c>
      <c r="G2046">
        <v>148678</v>
      </c>
      <c r="H2046" s="116"/>
      <c r="I2046" s="116"/>
      <c r="L2046" s="169">
        <v>45014</v>
      </c>
      <c r="M2046" s="116">
        <v>74.325000000000003</v>
      </c>
      <c r="N2046" s="116">
        <v>74.575000000000003</v>
      </c>
      <c r="O2046" s="116">
        <v>71.099999999999994</v>
      </c>
      <c r="P2046" s="116">
        <v>71.974999999999994</v>
      </c>
      <c r="Q2046" s="116">
        <v>148.65</v>
      </c>
      <c r="R2046">
        <v>2239748</v>
      </c>
    </row>
    <row r="2047" spans="1:18" x14ac:dyDescent="0.25">
      <c r="A2047" s="169">
        <v>45016</v>
      </c>
      <c r="B2047" s="116">
        <v>76.125</v>
      </c>
      <c r="C2047" s="116">
        <v>72.775000000000006</v>
      </c>
      <c r="D2047" s="116">
        <v>72.5</v>
      </c>
      <c r="E2047" s="116">
        <v>74.974999999999994</v>
      </c>
      <c r="F2047" s="116">
        <v>145.55000000000001</v>
      </c>
      <c r="G2047">
        <v>118755</v>
      </c>
      <c r="H2047" s="116"/>
      <c r="I2047" s="116"/>
      <c r="L2047" s="169">
        <v>45016</v>
      </c>
      <c r="M2047" s="116">
        <v>72.95</v>
      </c>
      <c r="N2047" s="116">
        <v>76.05</v>
      </c>
      <c r="O2047" s="116">
        <v>72.5</v>
      </c>
      <c r="P2047" s="116">
        <v>74.974999999999994</v>
      </c>
      <c r="Q2047" s="116">
        <v>145.9</v>
      </c>
      <c r="R2047">
        <v>1741769</v>
      </c>
    </row>
    <row r="2048" spans="1:18" x14ac:dyDescent="0.25">
      <c r="A2048" s="169">
        <v>45019</v>
      </c>
      <c r="B2048" s="116">
        <v>75.3</v>
      </c>
      <c r="C2048" s="116">
        <v>74.525000000000006</v>
      </c>
      <c r="D2048" s="116">
        <v>72.575000000000003</v>
      </c>
      <c r="E2048" s="116">
        <v>72.575000000000003</v>
      </c>
      <c r="F2048" s="116">
        <v>149.05000000000001</v>
      </c>
      <c r="G2048">
        <v>280060</v>
      </c>
      <c r="H2048" s="116"/>
      <c r="I2048" s="116"/>
      <c r="L2048" s="169">
        <v>45019</v>
      </c>
      <c r="M2048" s="116">
        <v>74.5</v>
      </c>
      <c r="N2048" s="116">
        <v>75.400000000000006</v>
      </c>
      <c r="O2048" s="116">
        <v>73.174999999999997</v>
      </c>
      <c r="P2048" s="116">
        <v>73.45</v>
      </c>
      <c r="Q2048" s="116">
        <v>149</v>
      </c>
      <c r="R2048">
        <v>1872462</v>
      </c>
    </row>
    <row r="2049" spans="1:18" x14ac:dyDescent="0.25">
      <c r="A2049" s="169">
        <v>45021</v>
      </c>
      <c r="B2049" s="116">
        <v>80.924999999999997</v>
      </c>
      <c r="C2049" s="116">
        <v>80.224999999999994</v>
      </c>
      <c r="D2049" s="116">
        <v>74.900000000000006</v>
      </c>
      <c r="E2049" s="116">
        <v>75.375</v>
      </c>
      <c r="F2049" s="116">
        <v>160.44999999999999</v>
      </c>
      <c r="G2049">
        <v>539853</v>
      </c>
      <c r="H2049" s="116"/>
      <c r="I2049" s="116"/>
      <c r="L2049" s="169">
        <v>45021</v>
      </c>
      <c r="M2049" s="116">
        <v>80.3</v>
      </c>
      <c r="N2049" s="116">
        <v>80.974999999999994</v>
      </c>
      <c r="O2049" s="116">
        <v>74.525000000000006</v>
      </c>
      <c r="P2049" s="116">
        <v>74.900000000000006</v>
      </c>
      <c r="Q2049" s="116">
        <v>160.6</v>
      </c>
      <c r="R2049">
        <v>5118684</v>
      </c>
    </row>
    <row r="2050" spans="1:18" x14ac:dyDescent="0.25">
      <c r="A2050" s="169">
        <v>45022</v>
      </c>
      <c r="B2050" s="116">
        <v>81.724999999999994</v>
      </c>
      <c r="C2050" s="116">
        <v>80.349999999999994</v>
      </c>
      <c r="D2050" s="116">
        <v>78.724999999999994</v>
      </c>
      <c r="E2050" s="116">
        <v>80.174999999999997</v>
      </c>
      <c r="F2050" s="116">
        <v>160.69999999999999</v>
      </c>
      <c r="G2050">
        <v>161751</v>
      </c>
      <c r="H2050" s="116"/>
      <c r="I2050" s="116"/>
      <c r="L2050" s="169">
        <v>45022</v>
      </c>
      <c r="M2050" s="116">
        <v>80.45</v>
      </c>
      <c r="N2050" s="116">
        <v>81.7</v>
      </c>
      <c r="O2050" s="116">
        <v>78.55</v>
      </c>
      <c r="P2050" s="116">
        <v>80.5</v>
      </c>
      <c r="Q2050" s="116">
        <v>160.9</v>
      </c>
      <c r="R2050">
        <v>2540772</v>
      </c>
    </row>
    <row r="2051" spans="1:18" x14ac:dyDescent="0.25">
      <c r="A2051" s="169">
        <v>45026</v>
      </c>
      <c r="B2051" s="116">
        <v>81.724999999999994</v>
      </c>
      <c r="C2051" s="116">
        <v>80.825000000000003</v>
      </c>
      <c r="D2051" s="116">
        <v>80.05</v>
      </c>
      <c r="E2051" s="116">
        <v>80.375</v>
      </c>
      <c r="F2051" s="116">
        <v>161.65</v>
      </c>
      <c r="G2051">
        <v>385547</v>
      </c>
      <c r="H2051" s="116"/>
      <c r="I2051" s="116"/>
      <c r="L2051" s="169">
        <v>45026</v>
      </c>
      <c r="M2051" s="116">
        <v>80.875</v>
      </c>
      <c r="N2051" s="116">
        <v>81.8</v>
      </c>
      <c r="O2051" s="116">
        <v>80</v>
      </c>
      <c r="P2051" s="116">
        <v>80.924999999999997</v>
      </c>
      <c r="Q2051" s="116">
        <v>161.75</v>
      </c>
      <c r="R2051">
        <v>2113912</v>
      </c>
    </row>
    <row r="2052" spans="1:18" x14ac:dyDescent="0.25">
      <c r="A2052" s="169">
        <v>45027</v>
      </c>
      <c r="B2052" s="116">
        <v>82.2</v>
      </c>
      <c r="C2052" s="116">
        <v>81.674999999999997</v>
      </c>
      <c r="D2052" s="116">
        <v>79.275000000000006</v>
      </c>
      <c r="E2052" s="116">
        <v>79.275000000000006</v>
      </c>
      <c r="F2052" s="116">
        <v>163.35</v>
      </c>
      <c r="G2052">
        <v>350011</v>
      </c>
      <c r="H2052" s="116"/>
      <c r="I2052" s="116"/>
      <c r="L2052" s="169">
        <v>45027</v>
      </c>
      <c r="M2052" s="116">
        <v>81.650000000000006</v>
      </c>
      <c r="N2052" s="116">
        <v>82.224999999999994</v>
      </c>
      <c r="O2052" s="116">
        <v>80.3</v>
      </c>
      <c r="P2052" s="116">
        <v>80.924999999999997</v>
      </c>
      <c r="Q2052" s="116">
        <v>163.30000000000001</v>
      </c>
      <c r="R2052">
        <v>2288211</v>
      </c>
    </row>
    <row r="2053" spans="1:18" x14ac:dyDescent="0.25">
      <c r="A2053" s="169">
        <v>45028</v>
      </c>
      <c r="B2053" s="116">
        <v>83.35</v>
      </c>
      <c r="C2053" s="116">
        <v>81.599999999999994</v>
      </c>
      <c r="D2053" s="116">
        <v>81.125</v>
      </c>
      <c r="E2053" s="116">
        <v>81.625</v>
      </c>
      <c r="F2053" s="116">
        <v>163.19999999999999</v>
      </c>
      <c r="G2053">
        <v>232851</v>
      </c>
      <c r="H2053" s="116"/>
      <c r="I2053" s="116"/>
      <c r="L2053" s="169">
        <v>45028</v>
      </c>
      <c r="M2053" s="116">
        <v>81.724999999999994</v>
      </c>
      <c r="N2053" s="116">
        <v>83.35</v>
      </c>
      <c r="O2053" s="116">
        <v>81.150000000000006</v>
      </c>
      <c r="P2053" s="116">
        <v>81.900000000000006</v>
      </c>
      <c r="Q2053" s="116">
        <v>163.44999999999999</v>
      </c>
      <c r="R2053">
        <v>2717611</v>
      </c>
    </row>
    <row r="2054" spans="1:18" x14ac:dyDescent="0.25">
      <c r="A2054" s="169">
        <v>45029</v>
      </c>
      <c r="B2054" s="116">
        <v>82.25</v>
      </c>
      <c r="C2054" s="116">
        <v>81.650000000000006</v>
      </c>
      <c r="D2054" s="116">
        <v>81.224999999999994</v>
      </c>
      <c r="E2054" s="116">
        <v>81.224999999999994</v>
      </c>
      <c r="F2054" s="116">
        <v>163.30000000000001</v>
      </c>
      <c r="G2054">
        <v>58465</v>
      </c>
      <c r="H2054" s="116"/>
      <c r="I2054" s="116"/>
      <c r="L2054" s="169">
        <v>45029</v>
      </c>
      <c r="M2054" s="116">
        <v>81.7</v>
      </c>
      <c r="N2054" s="116">
        <v>82.3</v>
      </c>
      <c r="O2054" s="116">
        <v>81.275000000000006</v>
      </c>
      <c r="P2054" s="116">
        <v>81.8</v>
      </c>
      <c r="Q2054" s="116">
        <v>163.4</v>
      </c>
      <c r="R2054">
        <v>834024</v>
      </c>
    </row>
    <row r="2055" spans="1:18" x14ac:dyDescent="0.25">
      <c r="A2055" s="169">
        <v>45033</v>
      </c>
      <c r="B2055" s="116">
        <v>82.7</v>
      </c>
      <c r="C2055" s="116">
        <v>78.125</v>
      </c>
      <c r="D2055" s="116">
        <v>77.25</v>
      </c>
      <c r="E2055" s="116">
        <v>79.7</v>
      </c>
      <c r="F2055" s="116">
        <v>156.25</v>
      </c>
      <c r="G2055">
        <v>229903</v>
      </c>
      <c r="H2055" s="116"/>
      <c r="I2055" s="116"/>
      <c r="L2055" s="169">
        <v>45033</v>
      </c>
      <c r="M2055" s="116">
        <v>78.150000000000006</v>
      </c>
      <c r="N2055" s="116">
        <v>82.724999999999994</v>
      </c>
      <c r="O2055" s="116">
        <v>77.150000000000006</v>
      </c>
      <c r="P2055" s="116">
        <v>81.3</v>
      </c>
      <c r="Q2055" s="116">
        <v>156.30000000000001</v>
      </c>
      <c r="R2055">
        <v>2187444</v>
      </c>
    </row>
    <row r="2056" spans="1:18" x14ac:dyDescent="0.25">
      <c r="A2056" s="169">
        <v>45034</v>
      </c>
      <c r="B2056" s="116">
        <v>79.025000000000006</v>
      </c>
      <c r="C2056" s="116">
        <v>77.849999999999994</v>
      </c>
      <c r="D2056" s="116">
        <v>76.575000000000003</v>
      </c>
      <c r="E2056" s="116">
        <v>78.275000000000006</v>
      </c>
      <c r="F2056" s="116">
        <v>155.69999999999999</v>
      </c>
      <c r="G2056">
        <v>165392</v>
      </c>
      <c r="H2056" s="116"/>
      <c r="I2056" s="116"/>
      <c r="L2056" s="169">
        <v>45034</v>
      </c>
      <c r="M2056" s="116">
        <v>77.924999999999997</v>
      </c>
      <c r="N2056" s="116">
        <v>79.099999999999994</v>
      </c>
      <c r="O2056" s="116">
        <v>76.55</v>
      </c>
      <c r="P2056" s="116">
        <v>78.75</v>
      </c>
      <c r="Q2056" s="116">
        <v>155.85</v>
      </c>
      <c r="R2056">
        <v>1675429</v>
      </c>
    </row>
    <row r="2057" spans="1:18" x14ac:dyDescent="0.25">
      <c r="A2057" s="169">
        <v>45035</v>
      </c>
      <c r="B2057" s="116">
        <v>82.424999999999997</v>
      </c>
      <c r="C2057" s="116">
        <v>82.174999999999997</v>
      </c>
      <c r="D2057" s="116">
        <v>77.924999999999997</v>
      </c>
      <c r="E2057" s="116">
        <v>79</v>
      </c>
      <c r="F2057" s="116">
        <v>164.35</v>
      </c>
      <c r="G2057">
        <v>301611</v>
      </c>
      <c r="H2057" s="116"/>
      <c r="I2057" s="116"/>
      <c r="L2057" s="169">
        <v>45035</v>
      </c>
      <c r="M2057" s="116">
        <v>82.125</v>
      </c>
      <c r="N2057" s="116">
        <v>82.4</v>
      </c>
      <c r="O2057" s="116">
        <v>77.924999999999997</v>
      </c>
      <c r="P2057" s="116">
        <v>78</v>
      </c>
      <c r="Q2057" s="116">
        <v>164.25</v>
      </c>
      <c r="R2057">
        <v>3559447</v>
      </c>
    </row>
    <row r="2058" spans="1:18" x14ac:dyDescent="0.25">
      <c r="A2058" s="169">
        <v>45036</v>
      </c>
      <c r="B2058" s="116">
        <v>82.775000000000006</v>
      </c>
      <c r="C2058" s="116">
        <v>79.224999999999994</v>
      </c>
      <c r="D2058" s="116">
        <v>79</v>
      </c>
      <c r="E2058" s="116">
        <v>82.775000000000006</v>
      </c>
      <c r="F2058" s="116">
        <v>158.44999999999999</v>
      </c>
      <c r="G2058">
        <v>137014</v>
      </c>
      <c r="H2058" s="116"/>
      <c r="I2058" s="116"/>
      <c r="L2058" s="169">
        <v>45036</v>
      </c>
      <c r="M2058" s="116">
        <v>79.174999999999997</v>
      </c>
      <c r="N2058" s="116">
        <v>82.375</v>
      </c>
      <c r="O2058" s="116">
        <v>79</v>
      </c>
      <c r="P2058" s="116">
        <v>82.125</v>
      </c>
      <c r="Q2058" s="116">
        <v>158.35</v>
      </c>
      <c r="R2058">
        <v>1336013</v>
      </c>
    </row>
    <row r="2059" spans="1:18" x14ac:dyDescent="0.25">
      <c r="A2059" s="169">
        <v>45037</v>
      </c>
      <c r="B2059" s="116">
        <v>80.349999999999994</v>
      </c>
      <c r="C2059" s="116">
        <v>79.7</v>
      </c>
      <c r="D2059" s="116">
        <v>78.025000000000006</v>
      </c>
      <c r="E2059" s="116">
        <v>79.45</v>
      </c>
      <c r="F2059" s="116">
        <v>159.4</v>
      </c>
      <c r="G2059">
        <v>113095</v>
      </c>
      <c r="H2059" s="116"/>
      <c r="I2059" s="116"/>
      <c r="L2059" s="169">
        <v>45037</v>
      </c>
      <c r="M2059" s="116">
        <v>79.599999999999994</v>
      </c>
      <c r="N2059" s="116">
        <v>80.424999999999997</v>
      </c>
      <c r="O2059" s="116">
        <v>78</v>
      </c>
      <c r="P2059" s="116">
        <v>79.2</v>
      </c>
      <c r="Q2059" s="116">
        <v>159.19999999999999</v>
      </c>
      <c r="R2059">
        <v>926051</v>
      </c>
    </row>
    <row r="2060" spans="1:18" x14ac:dyDescent="0.25">
      <c r="A2060" s="169">
        <v>45040</v>
      </c>
      <c r="B2060" s="116">
        <v>81.349999999999994</v>
      </c>
      <c r="C2060" s="116">
        <v>80.325000000000003</v>
      </c>
      <c r="D2060" s="116">
        <v>78.900000000000006</v>
      </c>
      <c r="E2060" s="116">
        <v>79.825000000000003</v>
      </c>
      <c r="F2060" s="116">
        <v>160.65</v>
      </c>
      <c r="G2060">
        <v>95291</v>
      </c>
      <c r="H2060" s="116"/>
      <c r="I2060" s="116"/>
      <c r="L2060" s="169">
        <v>45040</v>
      </c>
      <c r="M2060" s="116">
        <v>80.349999999999994</v>
      </c>
      <c r="N2060" s="116">
        <v>81.3</v>
      </c>
      <c r="O2060" s="116">
        <v>78.900000000000006</v>
      </c>
      <c r="P2060" s="116">
        <v>79.625</v>
      </c>
      <c r="Q2060" s="116">
        <v>160.69999999999999</v>
      </c>
      <c r="R2060">
        <v>893347</v>
      </c>
    </row>
    <row r="2061" spans="1:18" x14ac:dyDescent="0.25">
      <c r="A2061" s="169">
        <v>45041</v>
      </c>
      <c r="B2061" s="116">
        <v>81.775000000000006</v>
      </c>
      <c r="C2061" s="116">
        <v>79.95</v>
      </c>
      <c r="D2061" s="116">
        <v>79.5</v>
      </c>
      <c r="E2061" s="116">
        <v>79.5</v>
      </c>
      <c r="F2061" s="116">
        <v>159.9</v>
      </c>
      <c r="G2061">
        <v>53714</v>
      </c>
      <c r="H2061" s="116"/>
      <c r="I2061" s="116"/>
      <c r="L2061" s="169">
        <v>45041</v>
      </c>
      <c r="M2061" s="116">
        <v>79.8</v>
      </c>
      <c r="N2061" s="116">
        <v>81.75</v>
      </c>
      <c r="O2061" s="116">
        <v>79.5</v>
      </c>
      <c r="P2061" s="116">
        <v>80.599999999999994</v>
      </c>
      <c r="Q2061" s="116">
        <v>159.6</v>
      </c>
      <c r="R2061">
        <v>688720</v>
      </c>
    </row>
    <row r="2062" spans="1:18" x14ac:dyDescent="0.25">
      <c r="A2062" s="169">
        <v>45042</v>
      </c>
      <c r="B2062" s="116">
        <v>82.05</v>
      </c>
      <c r="C2062" s="116">
        <v>79.75</v>
      </c>
      <c r="D2062" s="116">
        <v>79.125</v>
      </c>
      <c r="E2062" s="116">
        <v>80</v>
      </c>
      <c r="F2062" s="116">
        <v>159.5</v>
      </c>
      <c r="G2062">
        <v>95872</v>
      </c>
      <c r="H2062" s="116"/>
      <c r="I2062" s="116"/>
      <c r="L2062" s="169">
        <v>45042</v>
      </c>
      <c r="M2062" s="116">
        <v>79.900000000000006</v>
      </c>
      <c r="N2062" s="116">
        <v>82.125</v>
      </c>
      <c r="O2062" s="116">
        <v>79.025000000000006</v>
      </c>
      <c r="P2062" s="116">
        <v>80.2</v>
      </c>
      <c r="Q2062" s="116">
        <v>159.80000000000001</v>
      </c>
      <c r="R2062">
        <v>978741</v>
      </c>
    </row>
    <row r="2063" spans="1:18" x14ac:dyDescent="0.25">
      <c r="A2063" s="169">
        <v>45043</v>
      </c>
      <c r="B2063" s="116">
        <v>83.4</v>
      </c>
      <c r="C2063" s="116">
        <v>81.224999999999994</v>
      </c>
      <c r="D2063" s="116">
        <v>80</v>
      </c>
      <c r="E2063" s="116">
        <v>80</v>
      </c>
      <c r="F2063" s="116">
        <v>162.44999999999999</v>
      </c>
      <c r="G2063">
        <v>71920</v>
      </c>
      <c r="H2063" s="116"/>
      <c r="I2063" s="116"/>
      <c r="L2063" s="169">
        <v>45043</v>
      </c>
      <c r="M2063" s="116">
        <v>81.3</v>
      </c>
      <c r="N2063" s="116">
        <v>83.474999999999994</v>
      </c>
      <c r="O2063" s="116">
        <v>80.075000000000003</v>
      </c>
      <c r="P2063" s="116">
        <v>80.174999999999997</v>
      </c>
      <c r="Q2063" s="116">
        <v>162.6</v>
      </c>
      <c r="R2063">
        <v>1716693</v>
      </c>
    </row>
    <row r="2064" spans="1:18" x14ac:dyDescent="0.25">
      <c r="A2064" s="169">
        <v>45044</v>
      </c>
      <c r="B2064" s="116">
        <v>82.325000000000003</v>
      </c>
      <c r="C2064" s="116">
        <v>81.599999999999994</v>
      </c>
      <c r="D2064" s="116">
        <v>80.3</v>
      </c>
      <c r="E2064" s="116">
        <v>81.400000000000006</v>
      </c>
      <c r="F2064" s="116">
        <v>163.19999999999999</v>
      </c>
      <c r="G2064">
        <v>56333</v>
      </c>
      <c r="H2064" s="116"/>
      <c r="I2064" s="116"/>
      <c r="L2064" s="169">
        <v>45044</v>
      </c>
      <c r="M2064" s="116">
        <v>81.775000000000006</v>
      </c>
      <c r="N2064" s="116">
        <v>82.4</v>
      </c>
      <c r="O2064" s="116">
        <v>80.275000000000006</v>
      </c>
      <c r="P2064" s="116">
        <v>81.5</v>
      </c>
      <c r="Q2064" s="116">
        <v>163.55000000000001</v>
      </c>
      <c r="R2064">
        <v>1165476</v>
      </c>
    </row>
    <row r="2065" spans="1:18" x14ac:dyDescent="0.25">
      <c r="A2065" s="169">
        <v>45048</v>
      </c>
      <c r="B2065" s="116">
        <v>84.9</v>
      </c>
      <c r="C2065" s="116">
        <v>83.825000000000003</v>
      </c>
      <c r="D2065" s="116">
        <v>81.025000000000006</v>
      </c>
      <c r="E2065" s="116">
        <v>81.025000000000006</v>
      </c>
      <c r="F2065" s="116">
        <v>167.65</v>
      </c>
      <c r="G2065">
        <v>124287</v>
      </c>
      <c r="H2065" s="116"/>
      <c r="I2065" s="116"/>
      <c r="L2065" s="169">
        <v>45048</v>
      </c>
      <c r="M2065" s="116">
        <v>83.85</v>
      </c>
      <c r="N2065" s="116">
        <v>84.9</v>
      </c>
      <c r="O2065" s="116">
        <v>82.05</v>
      </c>
      <c r="P2065" s="116">
        <v>82.325000000000003</v>
      </c>
      <c r="Q2065" s="116">
        <v>167.7</v>
      </c>
      <c r="R2065">
        <v>1899916</v>
      </c>
    </row>
    <row r="2066" spans="1:18" x14ac:dyDescent="0.25">
      <c r="A2066" s="169">
        <v>45049</v>
      </c>
      <c r="B2066" s="116">
        <v>83.825000000000003</v>
      </c>
      <c r="C2066" s="116">
        <v>79.349999999999994</v>
      </c>
      <c r="D2066" s="116">
        <v>79</v>
      </c>
      <c r="E2066" s="116">
        <v>83.825000000000003</v>
      </c>
      <c r="F2066" s="116">
        <v>158.69999999999999</v>
      </c>
      <c r="G2066">
        <v>96748</v>
      </c>
      <c r="H2066" s="116"/>
      <c r="I2066" s="116"/>
      <c r="L2066" s="169">
        <v>45049</v>
      </c>
      <c r="M2066" s="116">
        <v>79.45</v>
      </c>
      <c r="N2066" s="116">
        <v>83.7</v>
      </c>
      <c r="O2066" s="116">
        <v>79</v>
      </c>
      <c r="P2066" s="116">
        <v>83.7</v>
      </c>
      <c r="Q2066" s="116">
        <v>158.9</v>
      </c>
      <c r="R2066">
        <v>1872284</v>
      </c>
    </row>
    <row r="2067" spans="1:18" x14ac:dyDescent="0.25">
      <c r="A2067" s="169">
        <v>45050</v>
      </c>
      <c r="B2067" s="116">
        <v>80.3</v>
      </c>
      <c r="C2067" s="116">
        <v>78.7</v>
      </c>
      <c r="D2067" s="116">
        <v>77.599999999999994</v>
      </c>
      <c r="E2067" s="116">
        <v>79.150000000000006</v>
      </c>
      <c r="F2067" s="116">
        <v>157.4</v>
      </c>
      <c r="G2067">
        <v>93303</v>
      </c>
      <c r="H2067" s="116"/>
      <c r="I2067" s="116"/>
      <c r="L2067" s="169">
        <v>45050</v>
      </c>
      <c r="M2067" s="116">
        <v>78.775000000000006</v>
      </c>
      <c r="N2067" s="116">
        <v>80.349999999999994</v>
      </c>
      <c r="O2067" s="116">
        <v>77.599999999999994</v>
      </c>
      <c r="P2067" s="116">
        <v>79.849999999999994</v>
      </c>
      <c r="Q2067" s="116">
        <v>157.55000000000001</v>
      </c>
      <c r="R2067">
        <v>1929304</v>
      </c>
    </row>
    <row r="2068" spans="1:18" x14ac:dyDescent="0.25">
      <c r="A2068" s="169">
        <v>45051</v>
      </c>
      <c r="B2068" s="116">
        <v>79.224999999999994</v>
      </c>
      <c r="C2068" s="116">
        <v>77.849999999999994</v>
      </c>
      <c r="D2068" s="116">
        <v>77.674999999999997</v>
      </c>
      <c r="E2068" s="116">
        <v>78.25</v>
      </c>
      <c r="F2068" s="116">
        <v>155.69999999999999</v>
      </c>
      <c r="G2068">
        <v>63142</v>
      </c>
      <c r="H2068" s="116"/>
      <c r="I2068" s="116"/>
      <c r="L2068" s="169">
        <v>45051</v>
      </c>
      <c r="M2068" s="116">
        <v>78</v>
      </c>
      <c r="N2068" s="116">
        <v>79.224999999999994</v>
      </c>
      <c r="O2068" s="116">
        <v>77.625</v>
      </c>
      <c r="P2068" s="116">
        <v>78.275000000000006</v>
      </c>
      <c r="Q2068" s="116">
        <v>156</v>
      </c>
      <c r="R2068">
        <v>1084960</v>
      </c>
    </row>
    <row r="2069" spans="1:18" x14ac:dyDescent="0.25">
      <c r="A2069" s="169">
        <v>45054</v>
      </c>
      <c r="B2069" s="116">
        <v>80.8</v>
      </c>
      <c r="C2069" s="116">
        <v>80.25</v>
      </c>
      <c r="D2069" s="116">
        <v>77.8</v>
      </c>
      <c r="E2069" s="116">
        <v>78</v>
      </c>
      <c r="F2069" s="116">
        <v>160.5</v>
      </c>
      <c r="G2069">
        <v>64454</v>
      </c>
      <c r="H2069" s="116"/>
      <c r="I2069" s="116"/>
      <c r="L2069" s="169">
        <v>45054</v>
      </c>
      <c r="M2069" s="116">
        <v>80.3</v>
      </c>
      <c r="N2069" s="116">
        <v>80.900000000000006</v>
      </c>
      <c r="O2069" s="116">
        <v>77.75</v>
      </c>
      <c r="P2069" s="116">
        <v>78.474999999999994</v>
      </c>
      <c r="Q2069" s="116">
        <v>160.6</v>
      </c>
      <c r="R2069">
        <v>1365988</v>
      </c>
    </row>
    <row r="2070" spans="1:18" x14ac:dyDescent="0.25">
      <c r="A2070" s="169">
        <v>45055</v>
      </c>
      <c r="B2070" s="116">
        <v>82.35</v>
      </c>
      <c r="C2070" s="116">
        <v>80.674999999999997</v>
      </c>
      <c r="D2070" s="116">
        <v>80</v>
      </c>
      <c r="E2070" s="116">
        <v>80.25</v>
      </c>
      <c r="F2070" s="116">
        <v>161.35</v>
      </c>
      <c r="G2070">
        <v>84272</v>
      </c>
      <c r="H2070" s="116"/>
      <c r="I2070" s="116"/>
      <c r="L2070" s="169">
        <v>45055</v>
      </c>
      <c r="M2070" s="116">
        <v>80.650000000000006</v>
      </c>
      <c r="N2070" s="116">
        <v>82.35</v>
      </c>
      <c r="O2070" s="116">
        <v>79.424999999999997</v>
      </c>
      <c r="P2070" s="116">
        <v>80.75</v>
      </c>
      <c r="Q2070" s="116">
        <v>161.30000000000001</v>
      </c>
      <c r="R2070">
        <v>1800196</v>
      </c>
    </row>
    <row r="2071" spans="1:18" x14ac:dyDescent="0.25">
      <c r="A2071" s="169">
        <v>45056</v>
      </c>
      <c r="B2071" s="116">
        <v>85</v>
      </c>
      <c r="C2071" s="116">
        <v>84.4</v>
      </c>
      <c r="D2071" s="116">
        <v>79.674999999999997</v>
      </c>
      <c r="E2071" s="116">
        <v>81.5</v>
      </c>
      <c r="F2071" s="116">
        <v>168.8</v>
      </c>
      <c r="G2071">
        <v>193325</v>
      </c>
      <c r="H2071" s="116"/>
      <c r="I2071" s="116"/>
      <c r="L2071" s="169">
        <v>45056</v>
      </c>
      <c r="M2071" s="116">
        <v>84.424999999999997</v>
      </c>
      <c r="N2071" s="116">
        <v>85.174999999999997</v>
      </c>
      <c r="O2071" s="116">
        <v>79.599999999999994</v>
      </c>
      <c r="P2071" s="116">
        <v>80.849999999999994</v>
      </c>
      <c r="Q2071" s="116">
        <v>168.85</v>
      </c>
      <c r="R2071">
        <v>2822637</v>
      </c>
    </row>
    <row r="2072" spans="1:18" x14ac:dyDescent="0.25">
      <c r="A2072" s="169">
        <v>45057</v>
      </c>
      <c r="B2072" s="116">
        <v>88.424999999999997</v>
      </c>
      <c r="C2072" s="116">
        <v>86.9</v>
      </c>
      <c r="D2072" s="116">
        <v>85</v>
      </c>
      <c r="E2072" s="116">
        <v>85.8</v>
      </c>
      <c r="F2072" s="116">
        <v>173.8</v>
      </c>
      <c r="G2072">
        <v>153872</v>
      </c>
      <c r="H2072" s="116"/>
      <c r="I2072" s="116"/>
      <c r="L2072" s="169">
        <v>45057</v>
      </c>
      <c r="M2072" s="116">
        <v>86.825000000000003</v>
      </c>
      <c r="N2072" s="116">
        <v>88.3</v>
      </c>
      <c r="O2072" s="116">
        <v>85</v>
      </c>
      <c r="P2072" s="116">
        <v>85.075000000000003</v>
      </c>
      <c r="Q2072" s="116">
        <v>173.65</v>
      </c>
      <c r="R2072">
        <v>3531617</v>
      </c>
    </row>
    <row r="2073" spans="1:18" x14ac:dyDescent="0.25">
      <c r="A2073" s="169">
        <v>45058</v>
      </c>
      <c r="B2073" s="116">
        <v>87.35</v>
      </c>
      <c r="C2073" s="116">
        <v>85.35</v>
      </c>
      <c r="D2073" s="116">
        <v>84.625</v>
      </c>
      <c r="E2073" s="116">
        <v>87</v>
      </c>
      <c r="F2073" s="116">
        <v>170.7</v>
      </c>
      <c r="G2073">
        <v>98496</v>
      </c>
      <c r="H2073" s="116"/>
      <c r="I2073" s="116"/>
      <c r="L2073" s="169">
        <v>45058</v>
      </c>
      <c r="M2073" s="116">
        <v>85.325000000000003</v>
      </c>
      <c r="N2073" s="116">
        <v>87.325000000000003</v>
      </c>
      <c r="O2073" s="116">
        <v>84.775000000000006</v>
      </c>
      <c r="P2073" s="116">
        <v>86.75</v>
      </c>
      <c r="Q2073" s="116">
        <v>170.65</v>
      </c>
      <c r="R2073">
        <v>1277114</v>
      </c>
    </row>
    <row r="2074" spans="1:18" x14ac:dyDescent="0.25">
      <c r="A2074" s="169">
        <v>45061</v>
      </c>
      <c r="B2074" s="116">
        <v>88.174999999999997</v>
      </c>
      <c r="C2074" s="116">
        <v>86.724999999999994</v>
      </c>
      <c r="D2074" s="116">
        <v>85.075000000000003</v>
      </c>
      <c r="E2074" s="116">
        <v>85.075000000000003</v>
      </c>
      <c r="F2074" s="116">
        <v>173.45</v>
      </c>
      <c r="G2074">
        <v>111428</v>
      </c>
      <c r="H2074" s="116"/>
      <c r="I2074" s="116"/>
      <c r="L2074" s="169">
        <v>45061</v>
      </c>
      <c r="M2074" s="116">
        <v>86.75</v>
      </c>
      <c r="N2074" s="116">
        <v>88.1</v>
      </c>
      <c r="O2074" s="116">
        <v>85.45</v>
      </c>
      <c r="P2074" s="116">
        <v>85.674999999999997</v>
      </c>
      <c r="Q2074" s="116">
        <v>173.5</v>
      </c>
      <c r="R2074">
        <v>1572871</v>
      </c>
    </row>
    <row r="2075" spans="1:18" x14ac:dyDescent="0.25">
      <c r="A2075" s="169">
        <v>45062</v>
      </c>
      <c r="B2075" s="116">
        <v>88.85</v>
      </c>
      <c r="C2075" s="116">
        <v>86.25</v>
      </c>
      <c r="D2075" s="116">
        <v>85.85</v>
      </c>
      <c r="E2075" s="116">
        <v>86.825000000000003</v>
      </c>
      <c r="F2075" s="116">
        <v>172.5</v>
      </c>
      <c r="G2075">
        <v>80139</v>
      </c>
      <c r="H2075" s="116"/>
      <c r="I2075" s="116"/>
      <c r="L2075" s="169">
        <v>45062</v>
      </c>
      <c r="M2075" s="116">
        <v>86.3</v>
      </c>
      <c r="N2075" s="116">
        <v>88.825000000000003</v>
      </c>
      <c r="O2075" s="116">
        <v>85.775000000000006</v>
      </c>
      <c r="P2075" s="116">
        <v>87.025000000000006</v>
      </c>
      <c r="Q2075" s="116">
        <v>172.6</v>
      </c>
      <c r="R2075">
        <v>1382675</v>
      </c>
    </row>
    <row r="2076" spans="1:18" x14ac:dyDescent="0.25">
      <c r="A2076" s="169">
        <v>45063</v>
      </c>
      <c r="B2076" s="116">
        <v>88.2</v>
      </c>
      <c r="C2076" s="116">
        <v>87.325000000000003</v>
      </c>
      <c r="D2076" s="116">
        <v>85.125</v>
      </c>
      <c r="E2076" s="116">
        <v>86.3</v>
      </c>
      <c r="F2076" s="116">
        <v>174.65</v>
      </c>
      <c r="G2076">
        <v>74545</v>
      </c>
      <c r="H2076" s="116"/>
      <c r="I2076" s="116"/>
      <c r="L2076" s="169">
        <v>45063</v>
      </c>
      <c r="M2076" s="116">
        <v>87.45</v>
      </c>
      <c r="N2076" s="116">
        <v>88.25</v>
      </c>
      <c r="O2076" s="116">
        <v>85.05</v>
      </c>
      <c r="P2076" s="116">
        <v>86.55</v>
      </c>
      <c r="Q2076" s="116">
        <v>174.9</v>
      </c>
      <c r="R2076">
        <v>1617324</v>
      </c>
    </row>
    <row r="2077" spans="1:18" x14ac:dyDescent="0.25">
      <c r="A2077" s="169">
        <v>45064</v>
      </c>
      <c r="B2077" s="116">
        <v>99.125</v>
      </c>
      <c r="C2077" s="116">
        <v>92.875</v>
      </c>
      <c r="D2077" s="116">
        <v>91</v>
      </c>
      <c r="E2077" s="116">
        <v>91</v>
      </c>
      <c r="F2077" s="116">
        <v>185.75</v>
      </c>
      <c r="G2077">
        <v>804241</v>
      </c>
      <c r="H2077" s="116"/>
      <c r="I2077" s="116"/>
      <c r="L2077" s="169">
        <v>45064</v>
      </c>
      <c r="M2077" s="116">
        <v>92.875</v>
      </c>
      <c r="N2077" s="116">
        <v>99.174999999999997</v>
      </c>
      <c r="O2077" s="116">
        <v>91.5</v>
      </c>
      <c r="P2077" s="116">
        <v>91.5</v>
      </c>
      <c r="Q2077" s="116">
        <v>185.75</v>
      </c>
      <c r="R2077">
        <v>20584894</v>
      </c>
    </row>
    <row r="2078" spans="1:18" x14ac:dyDescent="0.25">
      <c r="A2078" s="169">
        <v>45065</v>
      </c>
      <c r="B2078" s="116">
        <v>96.2</v>
      </c>
      <c r="C2078" s="116">
        <v>93.4</v>
      </c>
      <c r="D2078" s="116">
        <v>92.224999999999994</v>
      </c>
      <c r="E2078" s="116">
        <v>94.474999999999994</v>
      </c>
      <c r="F2078" s="116">
        <v>186.8</v>
      </c>
      <c r="G2078">
        <v>344703</v>
      </c>
      <c r="H2078" s="116"/>
      <c r="I2078" s="116"/>
      <c r="L2078" s="169">
        <v>45065</v>
      </c>
      <c r="M2078" s="116">
        <v>93.45</v>
      </c>
      <c r="N2078" s="116">
        <v>96.2</v>
      </c>
      <c r="O2078" s="116">
        <v>92.2</v>
      </c>
      <c r="P2078" s="116">
        <v>94</v>
      </c>
      <c r="Q2078" s="116">
        <v>186.9</v>
      </c>
      <c r="R2078">
        <v>4078767</v>
      </c>
    </row>
    <row r="2079" spans="1:18" x14ac:dyDescent="0.25">
      <c r="A2079" s="169">
        <v>45068</v>
      </c>
      <c r="B2079" s="116">
        <v>97.275000000000006</v>
      </c>
      <c r="C2079" s="116">
        <v>95.5</v>
      </c>
      <c r="D2079" s="116">
        <v>93.75</v>
      </c>
      <c r="E2079" s="116">
        <v>93.75</v>
      </c>
      <c r="F2079" s="116">
        <v>191</v>
      </c>
      <c r="G2079">
        <v>144827</v>
      </c>
      <c r="H2079" s="116"/>
      <c r="I2079" s="116"/>
      <c r="L2079" s="169">
        <v>45068</v>
      </c>
      <c r="M2079" s="116">
        <v>95.474999999999994</v>
      </c>
      <c r="N2079" s="116">
        <v>97.25</v>
      </c>
      <c r="O2079" s="116">
        <v>93.775000000000006</v>
      </c>
      <c r="P2079" s="116">
        <v>93.95</v>
      </c>
      <c r="Q2079" s="116">
        <v>190.95</v>
      </c>
      <c r="R2079">
        <v>3152408</v>
      </c>
    </row>
    <row r="2080" spans="1:18" x14ac:dyDescent="0.25">
      <c r="A2080" s="169">
        <v>45069</v>
      </c>
      <c r="B2080" s="116">
        <v>96.9</v>
      </c>
      <c r="C2080" s="116">
        <v>94.65</v>
      </c>
      <c r="D2080" s="116">
        <v>93.85</v>
      </c>
      <c r="E2080" s="116">
        <v>95.075000000000003</v>
      </c>
      <c r="F2080" s="116">
        <v>189.3</v>
      </c>
      <c r="G2080">
        <v>161480</v>
      </c>
      <c r="H2080" s="116"/>
      <c r="I2080" s="116"/>
      <c r="L2080" s="169">
        <v>45069</v>
      </c>
      <c r="M2080" s="116">
        <v>94.724999999999994</v>
      </c>
      <c r="N2080" s="116">
        <v>96.95</v>
      </c>
      <c r="O2080" s="116">
        <v>93.85</v>
      </c>
      <c r="P2080" s="116">
        <v>95.924999999999997</v>
      </c>
      <c r="Q2080" s="116">
        <v>189.45</v>
      </c>
      <c r="R2080">
        <v>1692896</v>
      </c>
    </row>
    <row r="2081" spans="1:18" x14ac:dyDescent="0.25">
      <c r="A2081" s="169">
        <v>45070</v>
      </c>
      <c r="B2081" s="116">
        <v>102.5</v>
      </c>
      <c r="C2081" s="116">
        <v>101.625</v>
      </c>
      <c r="D2081" s="116">
        <v>94.575000000000003</v>
      </c>
      <c r="E2081" s="116">
        <v>94.95</v>
      </c>
      <c r="F2081" s="116">
        <v>203.25</v>
      </c>
      <c r="G2081">
        <v>273274</v>
      </c>
      <c r="H2081" s="116"/>
      <c r="I2081" s="116"/>
      <c r="L2081" s="169">
        <v>45070</v>
      </c>
      <c r="M2081" s="116">
        <v>101.625</v>
      </c>
      <c r="N2081" s="116">
        <v>102.4</v>
      </c>
      <c r="O2081" s="116">
        <v>94.474999999999994</v>
      </c>
      <c r="P2081" s="116">
        <v>94.525000000000006</v>
      </c>
      <c r="Q2081" s="116">
        <v>203.25</v>
      </c>
      <c r="R2081">
        <v>5670986</v>
      </c>
    </row>
    <row r="2082" spans="1:18" x14ac:dyDescent="0.25">
      <c r="A2082" s="169">
        <v>45071</v>
      </c>
      <c r="B2082" s="116">
        <v>102.45</v>
      </c>
      <c r="C2082" s="116">
        <v>97.474999999999994</v>
      </c>
      <c r="D2082" s="116">
        <v>96.55</v>
      </c>
      <c r="E2082" s="116">
        <v>102.45</v>
      </c>
      <c r="F2082" s="116">
        <v>194.95</v>
      </c>
      <c r="G2082">
        <v>207166</v>
      </c>
      <c r="H2082" s="116"/>
      <c r="I2082" s="116"/>
      <c r="L2082" s="169">
        <v>45071</v>
      </c>
      <c r="M2082" s="116">
        <v>97.625</v>
      </c>
      <c r="N2082" s="116">
        <v>101.925</v>
      </c>
      <c r="O2082" s="116">
        <v>96.575000000000003</v>
      </c>
      <c r="P2082" s="116">
        <v>101.75</v>
      </c>
      <c r="Q2082" s="116">
        <v>195.25</v>
      </c>
      <c r="R2082">
        <v>2596472</v>
      </c>
    </row>
    <row r="2083" spans="1:18" x14ac:dyDescent="0.25">
      <c r="A2083" s="169">
        <v>45072</v>
      </c>
      <c r="B2083" s="116">
        <v>100</v>
      </c>
      <c r="C2083" s="116">
        <v>99.55</v>
      </c>
      <c r="D2083" s="116">
        <v>96.174999999999997</v>
      </c>
      <c r="E2083" s="116">
        <v>97.174999999999997</v>
      </c>
      <c r="F2083" s="116">
        <v>199.1</v>
      </c>
      <c r="G2083">
        <v>215921</v>
      </c>
      <c r="H2083" s="116"/>
      <c r="I2083" s="116"/>
      <c r="L2083" s="169">
        <v>45072</v>
      </c>
      <c r="M2083" s="116">
        <v>98.35</v>
      </c>
      <c r="N2083" s="116">
        <v>100.15</v>
      </c>
      <c r="O2083" s="116">
        <v>96</v>
      </c>
      <c r="P2083" s="116">
        <v>97.625</v>
      </c>
      <c r="Q2083" s="116">
        <v>196.7</v>
      </c>
      <c r="R2083">
        <v>2671261</v>
      </c>
    </row>
    <row r="2084" spans="1:18" x14ac:dyDescent="0.25">
      <c r="A2084" s="169">
        <v>45075</v>
      </c>
      <c r="B2084" s="116">
        <v>98.974999999999994</v>
      </c>
      <c r="C2084" s="116">
        <v>96.775000000000006</v>
      </c>
      <c r="D2084" s="116">
        <v>95.5</v>
      </c>
      <c r="E2084" s="116">
        <v>98.974999999999994</v>
      </c>
      <c r="F2084" s="116">
        <v>193.55</v>
      </c>
      <c r="G2084">
        <v>120966</v>
      </c>
      <c r="H2084" s="116"/>
      <c r="I2084" s="116"/>
      <c r="L2084" s="169">
        <v>45075</v>
      </c>
      <c r="M2084" s="116">
        <v>96.775000000000006</v>
      </c>
      <c r="N2084" s="116">
        <v>98.75</v>
      </c>
      <c r="O2084" s="116">
        <v>95.5</v>
      </c>
      <c r="P2084" s="116">
        <v>98.5</v>
      </c>
      <c r="Q2084" s="116">
        <v>193.55</v>
      </c>
      <c r="R2084">
        <v>1561998</v>
      </c>
    </row>
    <row r="2085" spans="1:18" x14ac:dyDescent="0.25">
      <c r="A2085" s="169">
        <v>45076</v>
      </c>
      <c r="B2085" s="116">
        <v>106.95</v>
      </c>
      <c r="C2085" s="116">
        <v>105.15</v>
      </c>
      <c r="D2085" s="116">
        <v>96.9</v>
      </c>
      <c r="E2085" s="116">
        <v>97.474999999999994</v>
      </c>
      <c r="F2085" s="116">
        <v>210.3</v>
      </c>
      <c r="G2085">
        <v>797422</v>
      </c>
      <c r="H2085" s="116"/>
      <c r="I2085" s="116"/>
      <c r="L2085" s="169">
        <v>45076</v>
      </c>
      <c r="M2085" s="116">
        <v>105.3</v>
      </c>
      <c r="N2085" s="116">
        <v>106.9</v>
      </c>
      <c r="O2085" s="116">
        <v>96.775000000000006</v>
      </c>
      <c r="P2085" s="116">
        <v>97.15</v>
      </c>
      <c r="Q2085" s="116">
        <v>210.6</v>
      </c>
      <c r="R2085">
        <v>9240676</v>
      </c>
    </row>
    <row r="2086" spans="1:18" x14ac:dyDescent="0.25">
      <c r="A2086" s="169">
        <v>45077</v>
      </c>
      <c r="B2086" s="116">
        <v>124.5</v>
      </c>
      <c r="C2086" s="116">
        <v>121.575</v>
      </c>
      <c r="D2086" s="116">
        <v>106.35</v>
      </c>
      <c r="E2086" s="116">
        <v>106.72499999999999</v>
      </c>
      <c r="F2086" s="116">
        <v>243.15</v>
      </c>
      <c r="G2086">
        <v>998495</v>
      </c>
      <c r="H2086" s="116"/>
      <c r="I2086" s="116"/>
      <c r="L2086" s="169">
        <v>45077</v>
      </c>
      <c r="M2086" s="116">
        <v>121.6</v>
      </c>
      <c r="N2086" s="116">
        <v>124.35</v>
      </c>
      <c r="O2086" s="116">
        <v>106.3</v>
      </c>
      <c r="P2086" s="116">
        <v>107</v>
      </c>
      <c r="Q2086" s="116">
        <v>243.2</v>
      </c>
      <c r="R2086">
        <v>18334493</v>
      </c>
    </row>
    <row r="2087" spans="1:18" x14ac:dyDescent="0.25">
      <c r="A2087" s="169">
        <v>45078</v>
      </c>
      <c r="B2087" s="116">
        <v>126.95</v>
      </c>
      <c r="C2087" s="116">
        <v>123.22499999999999</v>
      </c>
      <c r="D2087" s="116">
        <v>118.47499999999999</v>
      </c>
      <c r="E2087" s="116">
        <v>122.325</v>
      </c>
      <c r="F2087" s="116">
        <v>246.45</v>
      </c>
      <c r="G2087">
        <v>705525</v>
      </c>
      <c r="H2087" s="116"/>
      <c r="I2087" s="116"/>
      <c r="L2087" s="169">
        <v>45078</v>
      </c>
      <c r="M2087" s="116">
        <v>123.175</v>
      </c>
      <c r="N2087" s="116">
        <v>126.95</v>
      </c>
      <c r="O2087" s="116">
        <v>118.5</v>
      </c>
      <c r="P2087" s="116">
        <v>121.5</v>
      </c>
      <c r="Q2087" s="116">
        <v>246.35</v>
      </c>
      <c r="R2087">
        <v>14471097</v>
      </c>
    </row>
    <row r="2088" spans="1:18" x14ac:dyDescent="0.25">
      <c r="A2088" s="169">
        <v>45079</v>
      </c>
      <c r="B2088" s="116">
        <v>124.95</v>
      </c>
      <c r="C2088" s="116">
        <v>123.65</v>
      </c>
      <c r="D2088" s="116">
        <v>120.25</v>
      </c>
      <c r="E2088" s="116">
        <v>122.5</v>
      </c>
      <c r="F2088" s="116">
        <v>247.3</v>
      </c>
      <c r="G2088">
        <v>265890</v>
      </c>
      <c r="H2088" s="116"/>
      <c r="I2088" s="116"/>
      <c r="L2088" s="169">
        <v>45079</v>
      </c>
      <c r="M2088" s="116">
        <v>123.52500000000001</v>
      </c>
      <c r="N2088" s="116">
        <v>124.75</v>
      </c>
      <c r="O2088" s="116">
        <v>120.25</v>
      </c>
      <c r="P2088" s="116">
        <v>122.5</v>
      </c>
      <c r="Q2088" s="116">
        <v>247.05</v>
      </c>
      <c r="R2088">
        <v>3502267</v>
      </c>
    </row>
    <row r="2089" spans="1:18" x14ac:dyDescent="0.25">
      <c r="A2089" s="169">
        <v>45082</v>
      </c>
      <c r="B2089" s="116">
        <v>126.47499999999999</v>
      </c>
      <c r="C2089" s="116">
        <v>118.22499999999999</v>
      </c>
      <c r="D2089" s="116">
        <v>116.52500000000001</v>
      </c>
      <c r="E2089" s="116">
        <v>123.75</v>
      </c>
      <c r="F2089" s="116">
        <v>236.45</v>
      </c>
      <c r="G2089">
        <v>226395</v>
      </c>
      <c r="H2089" s="116"/>
      <c r="I2089" s="116"/>
      <c r="L2089" s="169">
        <v>45082</v>
      </c>
      <c r="M2089" s="116">
        <v>118.47499999999999</v>
      </c>
      <c r="N2089" s="116">
        <v>126.5</v>
      </c>
      <c r="O2089" s="116">
        <v>117.5</v>
      </c>
      <c r="P2089" s="116">
        <v>124.15</v>
      </c>
      <c r="Q2089" s="116">
        <v>236.95</v>
      </c>
      <c r="R2089">
        <v>1850723</v>
      </c>
    </row>
    <row r="2090" spans="1:18" x14ac:dyDescent="0.25">
      <c r="A2090" s="169">
        <v>45083</v>
      </c>
      <c r="B2090" s="116">
        <v>119.77500000000001</v>
      </c>
      <c r="C2090" s="116">
        <v>119.05</v>
      </c>
      <c r="D2090" s="116">
        <v>113.6</v>
      </c>
      <c r="E2090" s="116">
        <v>118.825</v>
      </c>
      <c r="F2090" s="116">
        <v>238.1</v>
      </c>
      <c r="G2090">
        <v>200415</v>
      </c>
      <c r="H2090" s="116"/>
      <c r="I2090" s="116"/>
      <c r="L2090" s="169">
        <v>45083</v>
      </c>
      <c r="M2090" s="116">
        <v>119</v>
      </c>
      <c r="N2090" s="116">
        <v>119.825</v>
      </c>
      <c r="O2090" s="116">
        <v>113.5</v>
      </c>
      <c r="P2090" s="116">
        <v>118.27500000000001</v>
      </c>
      <c r="Q2090" s="116">
        <v>238</v>
      </c>
      <c r="R2090">
        <v>2814783</v>
      </c>
    </row>
    <row r="2091" spans="1:18" x14ac:dyDescent="0.25">
      <c r="A2091" s="169">
        <v>45084</v>
      </c>
      <c r="B2091" s="116">
        <v>120.95</v>
      </c>
      <c r="C2091" s="116">
        <v>116.97499999999999</v>
      </c>
      <c r="D2091" s="116">
        <v>116.55</v>
      </c>
      <c r="E2091" s="116">
        <v>119.1</v>
      </c>
      <c r="F2091" s="116">
        <v>233.95</v>
      </c>
      <c r="G2091">
        <v>96002</v>
      </c>
      <c r="H2091" s="116"/>
      <c r="I2091" s="116"/>
      <c r="L2091" s="169">
        <v>45084</v>
      </c>
      <c r="M2091" s="116">
        <v>117.1</v>
      </c>
      <c r="N2091" s="116">
        <v>120.9</v>
      </c>
      <c r="O2091" s="116">
        <v>116.6</v>
      </c>
      <c r="P2091" s="116">
        <v>119.5</v>
      </c>
      <c r="Q2091" s="116">
        <v>234.2</v>
      </c>
      <c r="R2091">
        <v>963723</v>
      </c>
    </row>
    <row r="2092" spans="1:18" x14ac:dyDescent="0.25">
      <c r="A2092" s="169">
        <v>45085</v>
      </c>
      <c r="B2092" s="116">
        <v>118.25</v>
      </c>
      <c r="C2092" s="116">
        <v>115.02500000000001</v>
      </c>
      <c r="D2092" s="116">
        <v>114</v>
      </c>
      <c r="E2092" s="116">
        <v>117.3</v>
      </c>
      <c r="F2092" s="116">
        <v>230.05</v>
      </c>
      <c r="G2092">
        <v>57693</v>
      </c>
      <c r="H2092" s="116"/>
      <c r="I2092" s="116"/>
      <c r="L2092" s="169">
        <v>45085</v>
      </c>
      <c r="M2092" s="116">
        <v>115.05</v>
      </c>
      <c r="N2092" s="116">
        <v>118.25</v>
      </c>
      <c r="O2092" s="116">
        <v>114</v>
      </c>
      <c r="P2092" s="116">
        <v>117.6</v>
      </c>
      <c r="Q2092" s="116">
        <v>230.1</v>
      </c>
      <c r="R2092">
        <v>1297687</v>
      </c>
    </row>
    <row r="2093" spans="1:18" x14ac:dyDescent="0.25">
      <c r="A2093" s="169">
        <v>45086</v>
      </c>
      <c r="B2093" s="116">
        <v>121.4</v>
      </c>
      <c r="C2093" s="116">
        <v>120.5</v>
      </c>
      <c r="D2093" s="116">
        <v>114.7</v>
      </c>
      <c r="E2093" s="116">
        <v>115.25</v>
      </c>
      <c r="F2093" s="116">
        <v>241</v>
      </c>
      <c r="G2093">
        <v>89429</v>
      </c>
      <c r="H2093" s="116"/>
      <c r="I2093" s="116"/>
      <c r="L2093" s="169">
        <v>45086</v>
      </c>
      <c r="M2093" s="116">
        <v>120.45</v>
      </c>
      <c r="N2093" s="116">
        <v>121.4</v>
      </c>
      <c r="O2093" s="116">
        <v>114.52500000000001</v>
      </c>
      <c r="P2093" s="116">
        <v>115.5</v>
      </c>
      <c r="Q2093" s="116">
        <v>240.9</v>
      </c>
      <c r="R2093">
        <v>2387116</v>
      </c>
    </row>
    <row r="2094" spans="1:18" x14ac:dyDescent="0.25">
      <c r="A2094" s="169">
        <v>45089</v>
      </c>
      <c r="B2094" s="116">
        <v>122.425</v>
      </c>
      <c r="C2094" s="116">
        <v>118.65</v>
      </c>
      <c r="D2094" s="116">
        <v>117.55</v>
      </c>
      <c r="E2094" s="116">
        <v>120.5</v>
      </c>
      <c r="F2094" s="116">
        <v>237.3</v>
      </c>
      <c r="G2094">
        <v>90799</v>
      </c>
      <c r="H2094" s="116"/>
      <c r="I2094" s="116"/>
      <c r="L2094" s="169">
        <v>45089</v>
      </c>
      <c r="M2094" s="116">
        <v>118.75</v>
      </c>
      <c r="N2094" s="116">
        <v>122.47499999999999</v>
      </c>
      <c r="O2094" s="116">
        <v>117.72499999999999</v>
      </c>
      <c r="P2094" s="116">
        <v>120.6</v>
      </c>
      <c r="Q2094" s="116">
        <v>237.5</v>
      </c>
      <c r="R2094">
        <v>1069538</v>
      </c>
    </row>
    <row r="2095" spans="1:18" x14ac:dyDescent="0.25">
      <c r="A2095" s="169">
        <v>45090</v>
      </c>
      <c r="B2095" s="116">
        <v>123</v>
      </c>
      <c r="C2095" s="116">
        <v>122.175</v>
      </c>
      <c r="D2095" s="116">
        <v>117.55</v>
      </c>
      <c r="E2095" s="116">
        <v>118.65</v>
      </c>
      <c r="F2095" s="116">
        <v>244.35</v>
      </c>
      <c r="G2095">
        <v>63134</v>
      </c>
      <c r="H2095" s="116"/>
      <c r="I2095" s="116"/>
      <c r="L2095" s="169">
        <v>45090</v>
      </c>
      <c r="M2095" s="116">
        <v>122.1</v>
      </c>
      <c r="N2095" s="116">
        <v>123</v>
      </c>
      <c r="O2095" s="116">
        <v>117.52500000000001</v>
      </c>
      <c r="P2095" s="116">
        <v>118.5</v>
      </c>
      <c r="Q2095" s="116">
        <v>244.2</v>
      </c>
      <c r="R2095">
        <v>1390291</v>
      </c>
    </row>
    <row r="2096" spans="1:18" x14ac:dyDescent="0.25">
      <c r="A2096" s="169">
        <v>45091</v>
      </c>
      <c r="B2096" s="116">
        <v>125.35</v>
      </c>
      <c r="C2096" s="116">
        <v>123.375</v>
      </c>
      <c r="D2096" s="116">
        <v>122.35</v>
      </c>
      <c r="E2096" s="116">
        <v>123.4</v>
      </c>
      <c r="F2096" s="116">
        <v>246.75</v>
      </c>
      <c r="G2096">
        <v>149805</v>
      </c>
      <c r="H2096" s="116"/>
      <c r="I2096" s="116"/>
      <c r="L2096" s="169">
        <v>45091</v>
      </c>
      <c r="M2096" s="116">
        <v>123.825</v>
      </c>
      <c r="N2096" s="116">
        <v>125.47499999999999</v>
      </c>
      <c r="O2096" s="116">
        <v>122.5</v>
      </c>
      <c r="P2096" s="116">
        <v>123</v>
      </c>
      <c r="Q2096" s="116">
        <v>247.65</v>
      </c>
      <c r="R2096">
        <v>1388245</v>
      </c>
    </row>
    <row r="2097" spans="1:18" x14ac:dyDescent="0.25">
      <c r="A2097" s="169">
        <v>45092</v>
      </c>
      <c r="B2097" s="116">
        <v>124.3</v>
      </c>
      <c r="C2097" s="116">
        <v>123.425</v>
      </c>
      <c r="D2097" s="116">
        <v>121.52500000000001</v>
      </c>
      <c r="E2097" s="116">
        <v>124.3</v>
      </c>
      <c r="F2097" s="116">
        <v>246.85</v>
      </c>
      <c r="G2097">
        <v>32672</v>
      </c>
      <c r="H2097" s="116"/>
      <c r="I2097" s="116"/>
      <c r="L2097" s="169">
        <v>45092</v>
      </c>
      <c r="M2097" s="116">
        <v>123.2</v>
      </c>
      <c r="N2097" s="116">
        <v>124.4</v>
      </c>
      <c r="O2097" s="116">
        <v>121.52500000000001</v>
      </c>
      <c r="P2097" s="116">
        <v>124.4</v>
      </c>
      <c r="Q2097" s="116">
        <v>246.4</v>
      </c>
      <c r="R2097">
        <v>680040</v>
      </c>
    </row>
    <row r="2098" spans="1:18" x14ac:dyDescent="0.25">
      <c r="A2098" s="169">
        <v>45093</v>
      </c>
      <c r="B2098" s="116">
        <v>124.95</v>
      </c>
      <c r="C2098" s="116">
        <v>117.77500000000001</v>
      </c>
      <c r="D2098" s="116">
        <v>116</v>
      </c>
      <c r="E2098" s="116">
        <v>124.47499999999999</v>
      </c>
      <c r="F2098" s="116">
        <v>235.55</v>
      </c>
      <c r="G2098">
        <v>98103</v>
      </c>
      <c r="H2098" s="116"/>
      <c r="I2098" s="116"/>
      <c r="L2098" s="169">
        <v>45093</v>
      </c>
      <c r="M2098" s="116">
        <v>117.97499999999999</v>
      </c>
      <c r="N2098" s="116">
        <v>124.9</v>
      </c>
      <c r="O2098" s="116">
        <v>116</v>
      </c>
      <c r="P2098" s="116">
        <v>123.47499999999999</v>
      </c>
      <c r="Q2098" s="116">
        <v>235.95</v>
      </c>
      <c r="R2098">
        <v>1051107</v>
      </c>
    </row>
    <row r="2099" spans="1:18" x14ac:dyDescent="0.25">
      <c r="A2099" s="169">
        <v>45096</v>
      </c>
      <c r="B2099" s="116">
        <v>119.1</v>
      </c>
      <c r="C2099" s="116">
        <v>117.6</v>
      </c>
      <c r="D2099" s="116">
        <v>115.675</v>
      </c>
      <c r="E2099" s="116">
        <v>118</v>
      </c>
      <c r="F2099" s="116">
        <v>235.2</v>
      </c>
      <c r="G2099">
        <v>54007</v>
      </c>
      <c r="H2099" s="116"/>
      <c r="I2099" s="116"/>
      <c r="L2099" s="169">
        <v>45096</v>
      </c>
      <c r="M2099" s="116">
        <v>117.675</v>
      </c>
      <c r="N2099" s="116">
        <v>119.22499999999999</v>
      </c>
      <c r="O2099" s="116">
        <v>115.575</v>
      </c>
      <c r="P2099" s="116">
        <v>117.95</v>
      </c>
      <c r="Q2099" s="116">
        <v>235.35</v>
      </c>
      <c r="R2099">
        <v>834622</v>
      </c>
    </row>
    <row r="2100" spans="1:18" x14ac:dyDescent="0.25">
      <c r="A2100" s="169">
        <v>45097</v>
      </c>
      <c r="B2100" s="116">
        <v>120.22499999999999</v>
      </c>
      <c r="C2100" s="116">
        <v>119.15</v>
      </c>
      <c r="D2100" s="116">
        <v>115.8</v>
      </c>
      <c r="E2100" s="116">
        <v>115.8</v>
      </c>
      <c r="F2100" s="116">
        <v>238.3</v>
      </c>
      <c r="G2100">
        <v>38789</v>
      </c>
      <c r="H2100" s="116"/>
      <c r="I2100" s="116"/>
      <c r="L2100" s="169">
        <v>45097</v>
      </c>
      <c r="M2100" s="116">
        <v>119.175</v>
      </c>
      <c r="N2100" s="116">
        <v>120.325</v>
      </c>
      <c r="O2100" s="116">
        <v>116.05</v>
      </c>
      <c r="P2100" s="116">
        <v>119</v>
      </c>
      <c r="Q2100" s="116">
        <v>238.35</v>
      </c>
      <c r="R2100">
        <v>760079</v>
      </c>
    </row>
    <row r="2101" spans="1:18" x14ac:dyDescent="0.25">
      <c r="A2101" s="169">
        <v>45098</v>
      </c>
      <c r="B2101" s="116">
        <v>121.625</v>
      </c>
      <c r="C2101" s="116">
        <v>119.875</v>
      </c>
      <c r="D2101" s="116">
        <v>117.825</v>
      </c>
      <c r="E2101" s="116">
        <v>119.375</v>
      </c>
      <c r="F2101" s="116">
        <v>239.75</v>
      </c>
      <c r="G2101">
        <v>39440</v>
      </c>
      <c r="H2101" s="116"/>
      <c r="I2101" s="116"/>
      <c r="L2101" s="169">
        <v>45098</v>
      </c>
      <c r="M2101" s="116">
        <v>120.175</v>
      </c>
      <c r="N2101" s="116">
        <v>121.6</v>
      </c>
      <c r="O2101" s="116">
        <v>117.85</v>
      </c>
      <c r="P2101" s="116">
        <v>119.72499999999999</v>
      </c>
      <c r="Q2101" s="116">
        <v>240.35</v>
      </c>
      <c r="R2101">
        <v>811397</v>
      </c>
    </row>
    <row r="2102" spans="1:18" x14ac:dyDescent="0.25">
      <c r="A2102" s="169">
        <v>45099</v>
      </c>
      <c r="B2102" s="116">
        <v>120.9</v>
      </c>
      <c r="C2102" s="116">
        <v>115.97499999999999</v>
      </c>
      <c r="D2102" s="116">
        <v>115.5</v>
      </c>
      <c r="E2102" s="116">
        <v>120.35</v>
      </c>
      <c r="F2102" s="116">
        <v>231.95</v>
      </c>
      <c r="G2102">
        <v>39650</v>
      </c>
      <c r="H2102" s="116"/>
      <c r="I2102" s="116"/>
      <c r="L2102" s="169">
        <v>45099</v>
      </c>
      <c r="M2102" s="116">
        <v>116.05</v>
      </c>
      <c r="N2102" s="116">
        <v>121</v>
      </c>
      <c r="O2102" s="116">
        <v>115.52500000000001</v>
      </c>
      <c r="P2102" s="116">
        <v>120.175</v>
      </c>
      <c r="Q2102" s="116">
        <v>232.1</v>
      </c>
      <c r="R2102">
        <v>672009</v>
      </c>
    </row>
    <row r="2103" spans="1:18" x14ac:dyDescent="0.25">
      <c r="A2103" s="169">
        <v>45100</v>
      </c>
      <c r="B2103" s="116">
        <v>118.125</v>
      </c>
      <c r="C2103" s="116">
        <v>115.375</v>
      </c>
      <c r="D2103" s="116">
        <v>114.27500000000001</v>
      </c>
      <c r="E2103" s="116">
        <v>116</v>
      </c>
      <c r="F2103" s="116">
        <v>230.75</v>
      </c>
      <c r="G2103">
        <v>50286</v>
      </c>
      <c r="H2103" s="116"/>
      <c r="I2103" s="116"/>
      <c r="L2103" s="169">
        <v>45100</v>
      </c>
      <c r="M2103" s="116">
        <v>115.125</v>
      </c>
      <c r="N2103" s="116">
        <v>117.95</v>
      </c>
      <c r="O2103" s="116">
        <v>114.15</v>
      </c>
      <c r="P2103" s="116">
        <v>116.5</v>
      </c>
      <c r="Q2103" s="116">
        <v>230.25</v>
      </c>
      <c r="R2103">
        <v>818311</v>
      </c>
    </row>
    <row r="2104" spans="1:18" x14ac:dyDescent="0.25">
      <c r="A2104" s="169">
        <v>45103</v>
      </c>
      <c r="B2104" s="116">
        <v>123.5</v>
      </c>
      <c r="C2104" s="116">
        <v>123.1</v>
      </c>
      <c r="D2104" s="116">
        <v>114.72499999999999</v>
      </c>
      <c r="E2104" s="116">
        <v>114.72499999999999</v>
      </c>
      <c r="F2104" s="116">
        <v>246.2</v>
      </c>
      <c r="G2104">
        <v>742304</v>
      </c>
      <c r="H2104" s="116"/>
      <c r="I2104" s="116"/>
      <c r="L2104" s="169">
        <v>45103</v>
      </c>
      <c r="M2104" s="116">
        <v>122.6</v>
      </c>
      <c r="N2104" s="116">
        <v>123.5</v>
      </c>
      <c r="O2104" s="116">
        <v>115.55</v>
      </c>
      <c r="P2104" s="116">
        <v>115.77500000000001</v>
      </c>
      <c r="Q2104" s="116">
        <v>245.2</v>
      </c>
      <c r="R2104">
        <v>1961587</v>
      </c>
    </row>
    <row r="2105" spans="1:18" x14ac:dyDescent="0.25">
      <c r="A2105" s="169">
        <v>45104</v>
      </c>
      <c r="B2105" s="116">
        <v>131</v>
      </c>
      <c r="C2105" s="116">
        <v>130.35</v>
      </c>
      <c r="D2105" s="116">
        <v>122.7</v>
      </c>
      <c r="E2105" s="116">
        <v>123.875</v>
      </c>
      <c r="F2105" s="116">
        <v>260.7</v>
      </c>
      <c r="G2105">
        <v>316609</v>
      </c>
      <c r="H2105" s="116"/>
      <c r="I2105" s="116"/>
      <c r="L2105" s="169">
        <v>45104</v>
      </c>
      <c r="M2105" s="116">
        <v>130.42500000000001</v>
      </c>
      <c r="N2105" s="116">
        <v>131</v>
      </c>
      <c r="O2105" s="116">
        <v>123</v>
      </c>
      <c r="P2105" s="116">
        <v>123.3</v>
      </c>
      <c r="Q2105" s="116">
        <v>260.85000000000002</v>
      </c>
      <c r="R2105">
        <v>3242219</v>
      </c>
    </row>
    <row r="2106" spans="1:18" x14ac:dyDescent="0.25">
      <c r="A2106" s="169">
        <v>45105</v>
      </c>
      <c r="B2106" s="116">
        <v>132.19999999999999</v>
      </c>
      <c r="C2106" s="116">
        <v>128.42500000000001</v>
      </c>
      <c r="D2106" s="116">
        <v>126.625</v>
      </c>
      <c r="E2106" s="116">
        <v>130.75</v>
      </c>
      <c r="F2106" s="116">
        <v>256.85000000000002</v>
      </c>
      <c r="G2106">
        <v>82788</v>
      </c>
      <c r="H2106" s="116"/>
      <c r="I2106" s="116"/>
      <c r="L2106" s="169">
        <v>45105</v>
      </c>
      <c r="M2106" s="116">
        <v>128.65</v>
      </c>
      <c r="N2106" s="116">
        <v>132.19999999999999</v>
      </c>
      <c r="O2106" s="116">
        <v>126.52500000000001</v>
      </c>
      <c r="P2106" s="116">
        <v>130.80000000000001</v>
      </c>
      <c r="Q2106" s="116">
        <v>257.3</v>
      </c>
      <c r="R2106">
        <v>1275791</v>
      </c>
    </row>
    <row r="2107" spans="1:18" x14ac:dyDescent="0.25">
      <c r="A2107" s="169">
        <v>45107</v>
      </c>
      <c r="B2107" s="116">
        <v>129.5</v>
      </c>
      <c r="C2107" s="116">
        <v>127.77500000000001</v>
      </c>
      <c r="D2107" s="116">
        <v>126.52500000000001</v>
      </c>
      <c r="E2107" s="116">
        <v>128.75</v>
      </c>
      <c r="F2107" s="116">
        <v>255.55</v>
      </c>
      <c r="G2107">
        <v>41486</v>
      </c>
      <c r="H2107" s="116"/>
      <c r="I2107" s="116"/>
      <c r="L2107" s="169">
        <v>45107</v>
      </c>
      <c r="M2107" s="116">
        <v>127.95</v>
      </c>
      <c r="N2107" s="116">
        <v>129.5</v>
      </c>
      <c r="O2107" s="116">
        <v>126.6</v>
      </c>
      <c r="P2107" s="116">
        <v>128.75</v>
      </c>
      <c r="Q2107" s="116">
        <v>255.9</v>
      </c>
      <c r="R2107">
        <v>976909</v>
      </c>
    </row>
    <row r="2108" spans="1:18" x14ac:dyDescent="0.25">
      <c r="A2108" s="169">
        <v>45110</v>
      </c>
      <c r="B2108" s="116">
        <v>136.5</v>
      </c>
      <c r="C2108" s="116">
        <v>135.30000000000001</v>
      </c>
      <c r="D2108" s="116">
        <v>128.6</v>
      </c>
      <c r="E2108" s="116">
        <v>128.625</v>
      </c>
      <c r="F2108" s="116">
        <v>270.60000000000002</v>
      </c>
      <c r="G2108">
        <v>139592</v>
      </c>
      <c r="H2108" s="116"/>
      <c r="I2108" s="116"/>
      <c r="L2108" s="169">
        <v>45110</v>
      </c>
      <c r="M2108" s="116">
        <v>134.9</v>
      </c>
      <c r="N2108" s="116">
        <v>136.5</v>
      </c>
      <c r="O2108" s="116">
        <v>128.52500000000001</v>
      </c>
      <c r="P2108" s="116">
        <v>128.55000000000001</v>
      </c>
      <c r="Q2108" s="116">
        <v>269.8</v>
      </c>
      <c r="R2108">
        <v>2372374</v>
      </c>
    </row>
    <row r="2109" spans="1:18" x14ac:dyDescent="0.25">
      <c r="A2109" s="169">
        <v>45111</v>
      </c>
      <c r="B2109" s="116">
        <v>138</v>
      </c>
      <c r="C2109" s="116">
        <v>136.27500000000001</v>
      </c>
      <c r="D2109" s="116">
        <v>133</v>
      </c>
      <c r="E2109" s="116">
        <v>135.5</v>
      </c>
      <c r="F2109" s="116">
        <v>272.55</v>
      </c>
      <c r="G2109">
        <v>128116</v>
      </c>
      <c r="H2109" s="116"/>
      <c r="I2109" s="116"/>
      <c r="L2109" s="169">
        <v>45111</v>
      </c>
      <c r="M2109" s="116">
        <v>136.32499999999999</v>
      </c>
      <c r="N2109" s="116">
        <v>138.17500000000001</v>
      </c>
      <c r="O2109" s="116">
        <v>133.27500000000001</v>
      </c>
      <c r="P2109" s="116">
        <v>135.32499999999999</v>
      </c>
      <c r="Q2109" s="116">
        <v>272.64999999999998</v>
      </c>
      <c r="R2109">
        <v>1408713</v>
      </c>
    </row>
    <row r="2110" spans="1:18" x14ac:dyDescent="0.25">
      <c r="A2110" s="169">
        <v>45112</v>
      </c>
      <c r="B2110" s="116">
        <v>140.4</v>
      </c>
      <c r="C2110" s="116">
        <v>137.97499999999999</v>
      </c>
      <c r="D2110" s="116">
        <v>136.375</v>
      </c>
      <c r="E2110" s="116">
        <v>136.44999999999999</v>
      </c>
      <c r="F2110" s="116">
        <v>275.95</v>
      </c>
      <c r="G2110">
        <v>91451</v>
      </c>
      <c r="H2110" s="116"/>
      <c r="I2110" s="116"/>
      <c r="L2110" s="169">
        <v>45112</v>
      </c>
      <c r="M2110" s="116">
        <v>137.92500000000001</v>
      </c>
      <c r="N2110" s="116">
        <v>140.5</v>
      </c>
      <c r="O2110" s="116">
        <v>136.27500000000001</v>
      </c>
      <c r="P2110" s="116">
        <v>136.27500000000001</v>
      </c>
      <c r="Q2110" s="116">
        <v>275.85000000000002</v>
      </c>
      <c r="R2110">
        <v>1274475</v>
      </c>
    </row>
    <row r="2111" spans="1:18" x14ac:dyDescent="0.25">
      <c r="A2111" s="169">
        <v>45113</v>
      </c>
      <c r="B2111" s="116">
        <v>143.32499999999999</v>
      </c>
      <c r="C2111" s="116">
        <v>142.47499999999999</v>
      </c>
      <c r="D2111" s="116">
        <v>136.75</v>
      </c>
      <c r="E2111" s="116">
        <v>137.47499999999999</v>
      </c>
      <c r="F2111" s="116">
        <v>284.95</v>
      </c>
      <c r="G2111">
        <v>109201</v>
      </c>
      <c r="H2111" s="116"/>
      <c r="I2111" s="116"/>
      <c r="L2111" s="169">
        <v>45113</v>
      </c>
      <c r="M2111" s="116">
        <v>142.5</v>
      </c>
      <c r="N2111" s="116">
        <v>143.22499999999999</v>
      </c>
      <c r="O2111" s="116">
        <v>136.80000000000001</v>
      </c>
      <c r="P2111" s="116">
        <v>137.25</v>
      </c>
      <c r="Q2111" s="116">
        <v>285</v>
      </c>
      <c r="R2111">
        <v>1387658</v>
      </c>
    </row>
    <row r="2112" spans="1:18" x14ac:dyDescent="0.25">
      <c r="A2112" s="169">
        <v>45114</v>
      </c>
      <c r="B2112" s="116">
        <v>145.67500000000001</v>
      </c>
      <c r="C2112" s="116">
        <v>143.5</v>
      </c>
      <c r="D2112" s="116">
        <v>131.375</v>
      </c>
      <c r="E2112" s="116">
        <v>143.97499999999999</v>
      </c>
      <c r="F2112" s="116">
        <v>287</v>
      </c>
      <c r="G2112">
        <v>95250</v>
      </c>
      <c r="H2112" s="116"/>
      <c r="I2112" s="116"/>
      <c r="L2112" s="169">
        <v>45114</v>
      </c>
      <c r="M2112" s="116">
        <v>142.97499999999999</v>
      </c>
      <c r="N2112" s="116">
        <v>144.19999999999999</v>
      </c>
      <c r="O2112" s="116">
        <v>131.375</v>
      </c>
      <c r="P2112" s="116">
        <v>141.6</v>
      </c>
      <c r="Q2112" s="116">
        <v>285.95</v>
      </c>
      <c r="R2112">
        <v>1647258</v>
      </c>
    </row>
    <row r="2113" spans="1:18" x14ac:dyDescent="0.25">
      <c r="A2113" s="169">
        <v>45117</v>
      </c>
      <c r="B2113" s="116">
        <v>151.72499999999999</v>
      </c>
      <c r="C2113" s="116">
        <v>150.52500000000001</v>
      </c>
      <c r="D2113" s="116">
        <v>142.57499999999999</v>
      </c>
      <c r="E2113" s="116">
        <v>143.5</v>
      </c>
      <c r="F2113" s="116">
        <v>301.05</v>
      </c>
      <c r="G2113">
        <v>194410</v>
      </c>
      <c r="H2113" s="116"/>
      <c r="I2113" s="116"/>
      <c r="L2113" s="169">
        <v>45117</v>
      </c>
      <c r="M2113" s="116">
        <v>150.6</v>
      </c>
      <c r="N2113" s="116">
        <v>151.5</v>
      </c>
      <c r="O2113" s="116">
        <v>142.65</v>
      </c>
      <c r="P2113" s="116">
        <v>142.97499999999999</v>
      </c>
      <c r="Q2113" s="116">
        <v>301.2</v>
      </c>
      <c r="R2113">
        <v>1863407</v>
      </c>
    </row>
    <row r="2114" spans="1:18" x14ac:dyDescent="0.25">
      <c r="A2114" s="169">
        <v>45118</v>
      </c>
      <c r="B2114" s="116">
        <v>159.5</v>
      </c>
      <c r="C2114" s="116">
        <v>157.32499999999999</v>
      </c>
      <c r="D2114" s="116">
        <v>150.97499999999999</v>
      </c>
      <c r="E2114" s="116">
        <v>152.07499999999999</v>
      </c>
      <c r="F2114" s="116">
        <v>314.64999999999998</v>
      </c>
      <c r="G2114">
        <v>132838</v>
      </c>
      <c r="H2114" s="116"/>
      <c r="I2114" s="116"/>
      <c r="L2114" s="169">
        <v>45118</v>
      </c>
      <c r="M2114" s="116">
        <v>157.375</v>
      </c>
      <c r="N2114" s="116">
        <v>159.65</v>
      </c>
      <c r="O2114" s="116">
        <v>150.9</v>
      </c>
      <c r="P2114" s="116">
        <v>151.22499999999999</v>
      </c>
      <c r="Q2114" s="116">
        <v>314.75</v>
      </c>
      <c r="R2114">
        <v>2352389</v>
      </c>
    </row>
    <row r="2115" spans="1:18" x14ac:dyDescent="0.25">
      <c r="A2115" s="169">
        <v>45119</v>
      </c>
      <c r="B2115" s="116">
        <v>166.375</v>
      </c>
      <c r="C2115" s="116">
        <v>165.3</v>
      </c>
      <c r="D2115" s="116">
        <v>156.27500000000001</v>
      </c>
      <c r="E2115" s="116">
        <v>157.35</v>
      </c>
      <c r="F2115" s="116">
        <v>330.6</v>
      </c>
      <c r="G2115">
        <v>105682</v>
      </c>
      <c r="H2115" s="116"/>
      <c r="I2115" s="116"/>
      <c r="L2115" s="169">
        <v>45119</v>
      </c>
      <c r="M2115" s="116">
        <v>165.375</v>
      </c>
      <c r="N2115" s="116">
        <v>166.47499999999999</v>
      </c>
      <c r="O2115" s="116">
        <v>156.27500000000001</v>
      </c>
      <c r="P2115" s="116">
        <v>158.15</v>
      </c>
      <c r="Q2115" s="116">
        <v>330.75</v>
      </c>
      <c r="R2115">
        <v>2241344</v>
      </c>
    </row>
    <row r="2116" spans="1:18" x14ac:dyDescent="0.25">
      <c r="A2116" s="169">
        <v>45120</v>
      </c>
      <c r="B2116" s="116">
        <v>168</v>
      </c>
      <c r="C2116" s="116">
        <v>159.42500000000001</v>
      </c>
      <c r="D2116" s="116">
        <v>156</v>
      </c>
      <c r="E2116" s="116">
        <v>166.4</v>
      </c>
      <c r="F2116" s="116">
        <v>318.85000000000002</v>
      </c>
      <c r="G2116">
        <v>132152</v>
      </c>
      <c r="H2116" s="116"/>
      <c r="I2116" s="116"/>
      <c r="L2116" s="169">
        <v>45120</v>
      </c>
      <c r="M2116" s="116">
        <v>159.32499999999999</v>
      </c>
      <c r="N2116" s="116">
        <v>168.05</v>
      </c>
      <c r="O2116" s="116">
        <v>156</v>
      </c>
      <c r="P2116" s="116">
        <v>166.25</v>
      </c>
      <c r="Q2116" s="116">
        <v>318.64999999999998</v>
      </c>
      <c r="R2116">
        <v>1981191</v>
      </c>
    </row>
    <row r="2117" spans="1:18" x14ac:dyDescent="0.25">
      <c r="A2117" s="169">
        <v>45121</v>
      </c>
      <c r="B2117" s="116">
        <v>160.17500000000001</v>
      </c>
      <c r="C2117" s="116">
        <v>158</v>
      </c>
      <c r="D2117" s="116">
        <v>156.5</v>
      </c>
      <c r="E2117" s="116">
        <v>159.97499999999999</v>
      </c>
      <c r="F2117" s="116">
        <v>316</v>
      </c>
      <c r="G2117">
        <v>72010</v>
      </c>
      <c r="H2117" s="116"/>
      <c r="I2117" s="116"/>
      <c r="L2117" s="169">
        <v>45121</v>
      </c>
      <c r="M2117" s="116">
        <v>158.125</v>
      </c>
      <c r="N2117" s="116">
        <v>160.1</v>
      </c>
      <c r="O2117" s="116">
        <v>156.5</v>
      </c>
      <c r="P2117" s="116">
        <v>159.625</v>
      </c>
      <c r="Q2117" s="116">
        <v>316.25</v>
      </c>
      <c r="R2117">
        <v>1024822</v>
      </c>
    </row>
    <row r="2118" spans="1:18" x14ac:dyDescent="0.25">
      <c r="A2118" s="169">
        <v>45124</v>
      </c>
      <c r="B2118" s="116">
        <v>174.02500000000001</v>
      </c>
      <c r="C2118" s="116">
        <v>173</v>
      </c>
      <c r="D2118" s="116">
        <v>158.07499999999999</v>
      </c>
      <c r="E2118" s="116">
        <v>158.07499999999999</v>
      </c>
      <c r="F2118" s="116">
        <v>346</v>
      </c>
      <c r="G2118">
        <v>161779</v>
      </c>
      <c r="H2118" s="116"/>
      <c r="I2118" s="116"/>
      <c r="L2118" s="169">
        <v>45124</v>
      </c>
      <c r="M2118" s="116">
        <v>172.875</v>
      </c>
      <c r="N2118" s="116">
        <v>174.125</v>
      </c>
      <c r="O2118" s="116">
        <v>158.47499999999999</v>
      </c>
      <c r="P2118" s="116">
        <v>158.72499999999999</v>
      </c>
      <c r="Q2118" s="116">
        <v>345.75</v>
      </c>
      <c r="R2118">
        <v>5619471</v>
      </c>
    </row>
    <row r="2119" spans="1:18" x14ac:dyDescent="0.25">
      <c r="A2119" s="169">
        <v>45125</v>
      </c>
      <c r="B2119" s="116">
        <v>174.47499999999999</v>
      </c>
      <c r="C2119" s="116">
        <v>170.82499999999999</v>
      </c>
      <c r="D2119" s="116">
        <v>167.85</v>
      </c>
      <c r="E2119" s="116">
        <v>172.5</v>
      </c>
      <c r="F2119" s="116">
        <v>341.65</v>
      </c>
      <c r="G2119">
        <v>187562</v>
      </c>
      <c r="H2119" s="116"/>
      <c r="I2119" s="116"/>
      <c r="L2119" s="169">
        <v>45125</v>
      </c>
      <c r="M2119" s="116">
        <v>171.05</v>
      </c>
      <c r="N2119" s="116">
        <v>174.45</v>
      </c>
      <c r="O2119" s="116">
        <v>167.97499999999999</v>
      </c>
      <c r="P2119" s="116">
        <v>173</v>
      </c>
      <c r="Q2119" s="116">
        <v>342.1</v>
      </c>
      <c r="R2119">
        <v>1887556</v>
      </c>
    </row>
    <row r="2120" spans="1:18" x14ac:dyDescent="0.25">
      <c r="A2120" s="169">
        <v>45126</v>
      </c>
      <c r="B2120" s="116">
        <v>179.82499999999999</v>
      </c>
      <c r="C2120" s="116">
        <v>178.32499999999999</v>
      </c>
      <c r="D2120" s="116">
        <v>171.15</v>
      </c>
      <c r="E2120" s="116">
        <v>171.15</v>
      </c>
      <c r="F2120" s="116">
        <v>356.65</v>
      </c>
      <c r="G2120">
        <v>61079</v>
      </c>
      <c r="H2120" s="116"/>
      <c r="I2120" s="116"/>
      <c r="L2120" s="169">
        <v>45126</v>
      </c>
      <c r="M2120" s="116">
        <v>178.7</v>
      </c>
      <c r="N2120" s="116">
        <v>179.875</v>
      </c>
      <c r="O2120" s="116">
        <v>171.2</v>
      </c>
      <c r="P2120" s="116">
        <v>171.4</v>
      </c>
      <c r="Q2120" s="116">
        <v>357.4</v>
      </c>
      <c r="R2120">
        <v>1860987</v>
      </c>
    </row>
    <row r="2121" spans="1:18" x14ac:dyDescent="0.25">
      <c r="A2121" s="169">
        <v>45127</v>
      </c>
      <c r="B2121" s="116">
        <v>179.35</v>
      </c>
      <c r="C2121" s="116">
        <v>177.4</v>
      </c>
      <c r="D2121" s="116">
        <v>175.22499999999999</v>
      </c>
      <c r="E2121" s="116">
        <v>178.47499999999999</v>
      </c>
      <c r="F2121" s="116">
        <v>354.8</v>
      </c>
      <c r="G2121">
        <v>60622</v>
      </c>
      <c r="H2121" s="116"/>
      <c r="I2121" s="116"/>
      <c r="L2121" s="169">
        <v>45127</v>
      </c>
      <c r="M2121" s="116">
        <v>177.57499999999999</v>
      </c>
      <c r="N2121" s="116">
        <v>179.47499999999999</v>
      </c>
      <c r="O2121" s="116">
        <v>175.22499999999999</v>
      </c>
      <c r="P2121" s="116">
        <v>177.45</v>
      </c>
      <c r="Q2121" s="116">
        <v>355.15</v>
      </c>
      <c r="R2121">
        <v>1370024</v>
      </c>
    </row>
    <row r="2122" spans="1:18" x14ac:dyDescent="0.25">
      <c r="A2122" s="169">
        <v>45128</v>
      </c>
      <c r="B2122" s="116">
        <v>192.17500000000001</v>
      </c>
      <c r="C2122" s="116">
        <v>190.32499999999999</v>
      </c>
      <c r="D2122" s="116">
        <v>176.8</v>
      </c>
      <c r="E2122" s="116">
        <v>177.85</v>
      </c>
      <c r="F2122" s="116">
        <v>380.65</v>
      </c>
      <c r="G2122">
        <v>125133</v>
      </c>
      <c r="H2122" s="116"/>
      <c r="I2122" s="116"/>
      <c r="L2122" s="169">
        <v>45128</v>
      </c>
      <c r="M2122" s="116">
        <v>190.15</v>
      </c>
      <c r="N2122" s="116">
        <v>191.75</v>
      </c>
      <c r="O2122" s="116">
        <v>176.07499999999999</v>
      </c>
      <c r="P2122" s="116">
        <v>177.27500000000001</v>
      </c>
      <c r="Q2122" s="116">
        <v>380.3</v>
      </c>
      <c r="R2122">
        <v>2923306</v>
      </c>
    </row>
    <row r="2123" spans="1:18" x14ac:dyDescent="0.25">
      <c r="A2123" s="169">
        <v>45131</v>
      </c>
      <c r="B2123" s="116">
        <v>192.47499999999999</v>
      </c>
      <c r="C2123" s="116">
        <v>179.625</v>
      </c>
      <c r="D2123" s="116">
        <v>177.57499999999999</v>
      </c>
      <c r="E2123" s="116">
        <v>190.3</v>
      </c>
      <c r="F2123" s="116">
        <v>359.25</v>
      </c>
      <c r="G2123">
        <v>177198</v>
      </c>
      <c r="H2123" s="116"/>
      <c r="I2123" s="116"/>
      <c r="L2123" s="169">
        <v>45131</v>
      </c>
      <c r="M2123" s="116">
        <v>179.55</v>
      </c>
      <c r="N2123" s="116">
        <v>192.25</v>
      </c>
      <c r="O2123" s="116">
        <v>177.77500000000001</v>
      </c>
      <c r="P2123" s="116">
        <v>190.15</v>
      </c>
      <c r="Q2123" s="116">
        <v>359.1</v>
      </c>
      <c r="R2123">
        <v>1926367</v>
      </c>
    </row>
    <row r="2124" spans="1:18" x14ac:dyDescent="0.25">
      <c r="A2124" s="169">
        <v>45132</v>
      </c>
      <c r="B2124" s="116">
        <v>186.45</v>
      </c>
      <c r="C2124" s="116">
        <v>181</v>
      </c>
      <c r="D2124" s="116">
        <v>179</v>
      </c>
      <c r="E2124" s="116">
        <v>181.47499999999999</v>
      </c>
      <c r="F2124" s="116">
        <v>362</v>
      </c>
      <c r="G2124">
        <v>144983</v>
      </c>
      <c r="H2124" s="116"/>
      <c r="I2124" s="116"/>
      <c r="L2124" s="169">
        <v>45132</v>
      </c>
      <c r="M2124" s="116">
        <v>181.07499999999999</v>
      </c>
      <c r="N2124" s="116">
        <v>186.375</v>
      </c>
      <c r="O2124" s="116">
        <v>179</v>
      </c>
      <c r="P2124" s="116">
        <v>180.875</v>
      </c>
      <c r="Q2124" s="116">
        <v>362.15</v>
      </c>
      <c r="R2124">
        <v>1279753</v>
      </c>
    </row>
    <row r="2125" spans="1:18" x14ac:dyDescent="0.25">
      <c r="A2125" s="169">
        <v>45133</v>
      </c>
      <c r="B2125" s="116">
        <v>185.875</v>
      </c>
      <c r="C2125" s="116">
        <v>183.77500000000001</v>
      </c>
      <c r="D2125" s="116">
        <v>181</v>
      </c>
      <c r="E2125" s="116">
        <v>181</v>
      </c>
      <c r="F2125" s="116">
        <v>367.55</v>
      </c>
      <c r="G2125">
        <v>54715</v>
      </c>
      <c r="H2125" s="116"/>
      <c r="I2125" s="116"/>
      <c r="L2125" s="169">
        <v>45133</v>
      </c>
      <c r="M2125" s="116">
        <v>183.92500000000001</v>
      </c>
      <c r="N2125" s="116">
        <v>185.8</v>
      </c>
      <c r="O2125" s="116">
        <v>181</v>
      </c>
      <c r="P2125" s="116">
        <v>181.57499999999999</v>
      </c>
      <c r="Q2125" s="116">
        <v>367.85</v>
      </c>
      <c r="R2125">
        <v>866244</v>
      </c>
    </row>
    <row r="2126" spans="1:18" x14ac:dyDescent="0.25">
      <c r="A2126" s="169">
        <v>45134</v>
      </c>
      <c r="B2126" s="116">
        <v>187.4</v>
      </c>
      <c r="C2126" s="116">
        <v>185.55</v>
      </c>
      <c r="D2126" s="116">
        <v>183.02500000000001</v>
      </c>
      <c r="E2126" s="116">
        <v>183.8</v>
      </c>
      <c r="F2126" s="116">
        <v>371.1</v>
      </c>
      <c r="G2126">
        <v>39005</v>
      </c>
      <c r="H2126" s="116"/>
      <c r="I2126" s="116"/>
      <c r="L2126" s="169">
        <v>45134</v>
      </c>
      <c r="M2126" s="116">
        <v>185.85</v>
      </c>
      <c r="N2126" s="116">
        <v>187.42500000000001</v>
      </c>
      <c r="O2126" s="116">
        <v>182.85</v>
      </c>
      <c r="P2126" s="116">
        <v>184.55</v>
      </c>
      <c r="Q2126" s="116">
        <v>371.7</v>
      </c>
      <c r="R2126">
        <v>900182</v>
      </c>
    </row>
    <row r="2127" spans="1:18" x14ac:dyDescent="0.25">
      <c r="A2127" s="169">
        <v>45135</v>
      </c>
      <c r="B2127" s="116">
        <v>188.5</v>
      </c>
      <c r="C2127" s="116">
        <v>162.875</v>
      </c>
      <c r="D2127" s="116">
        <v>157.5</v>
      </c>
      <c r="E2127" s="116">
        <v>185.82499999999999</v>
      </c>
      <c r="F2127" s="116">
        <v>325.75</v>
      </c>
      <c r="G2127">
        <v>250047</v>
      </c>
      <c r="H2127" s="116"/>
      <c r="I2127" s="116"/>
      <c r="L2127" s="169">
        <v>45135</v>
      </c>
      <c r="M2127" s="116">
        <v>162.82499999999999</v>
      </c>
      <c r="N2127" s="116">
        <v>186.25</v>
      </c>
      <c r="O2127" s="116">
        <v>157.5</v>
      </c>
      <c r="P2127" s="116">
        <v>186.25</v>
      </c>
      <c r="Q2127" s="116">
        <v>325.64999999999998</v>
      </c>
      <c r="R2127">
        <v>3904398</v>
      </c>
    </row>
    <row r="2128" spans="1:18" x14ac:dyDescent="0.25">
      <c r="A2128" s="169">
        <v>45138</v>
      </c>
      <c r="B2128" s="116">
        <v>165</v>
      </c>
      <c r="C2128" s="116">
        <v>162.15</v>
      </c>
      <c r="D2128" s="116">
        <v>150.15</v>
      </c>
      <c r="E2128" s="116">
        <v>163.69999999999999</v>
      </c>
      <c r="F2128" s="116">
        <v>324.3</v>
      </c>
      <c r="G2128">
        <v>594879</v>
      </c>
      <c r="H2128" s="116"/>
      <c r="I2128" s="116"/>
      <c r="L2128" s="169">
        <v>45138</v>
      </c>
      <c r="M2128" s="116">
        <v>162.17500000000001</v>
      </c>
      <c r="N2128" s="116">
        <v>165</v>
      </c>
      <c r="O2128" s="116">
        <v>150.15</v>
      </c>
      <c r="P2128" s="116">
        <v>162.82499999999999</v>
      </c>
      <c r="Q2128" s="116">
        <v>324.35000000000002</v>
      </c>
      <c r="R2128">
        <v>3778516</v>
      </c>
    </row>
    <row r="2129" spans="1:18" x14ac:dyDescent="0.25">
      <c r="A2129" s="169">
        <v>45139</v>
      </c>
      <c r="B2129" s="116">
        <v>171.3</v>
      </c>
      <c r="C2129" s="116">
        <v>165.3</v>
      </c>
      <c r="D2129" s="116">
        <v>163</v>
      </c>
      <c r="E2129" s="116">
        <v>164.95</v>
      </c>
      <c r="F2129" s="116">
        <v>330.6</v>
      </c>
      <c r="G2129">
        <v>97243</v>
      </c>
      <c r="H2129" s="116"/>
      <c r="I2129" s="116"/>
      <c r="L2129" s="169">
        <v>45139</v>
      </c>
      <c r="M2129" s="116">
        <v>165.5</v>
      </c>
      <c r="N2129" s="116">
        <v>171.15</v>
      </c>
      <c r="O2129" s="116">
        <v>162.65</v>
      </c>
      <c r="P2129" s="116">
        <v>165.7</v>
      </c>
      <c r="Q2129" s="116">
        <v>331</v>
      </c>
      <c r="R2129">
        <v>1593704</v>
      </c>
    </row>
    <row r="2130" spans="1:18" x14ac:dyDescent="0.25">
      <c r="A2130" s="169">
        <v>45140</v>
      </c>
      <c r="B2130" s="116">
        <v>166.77500000000001</v>
      </c>
      <c r="C2130" s="116">
        <v>154.9</v>
      </c>
      <c r="D2130" s="116">
        <v>152</v>
      </c>
      <c r="E2130" s="116">
        <v>164.02500000000001</v>
      </c>
      <c r="F2130" s="116">
        <v>309.8</v>
      </c>
      <c r="G2130">
        <v>69438</v>
      </c>
      <c r="H2130" s="116"/>
      <c r="I2130" s="116"/>
      <c r="L2130" s="169">
        <v>45140</v>
      </c>
      <c r="M2130" s="116">
        <v>155.1</v>
      </c>
      <c r="N2130" s="116">
        <v>166.65</v>
      </c>
      <c r="O2130" s="116">
        <v>152</v>
      </c>
      <c r="P2130" s="116">
        <v>165.92500000000001</v>
      </c>
      <c r="Q2130" s="116">
        <v>310.2</v>
      </c>
      <c r="R2130">
        <v>1596832</v>
      </c>
    </row>
    <row r="2131" spans="1:18" x14ac:dyDescent="0.25">
      <c r="A2131" s="169">
        <v>45141</v>
      </c>
      <c r="B2131" s="116">
        <v>162.4</v>
      </c>
      <c r="C2131" s="116">
        <v>160.85</v>
      </c>
      <c r="D2131" s="116">
        <v>152.92500000000001</v>
      </c>
      <c r="E2131" s="116">
        <v>155.02500000000001</v>
      </c>
      <c r="F2131" s="116">
        <v>321.7</v>
      </c>
      <c r="G2131">
        <v>68038</v>
      </c>
      <c r="H2131" s="116"/>
      <c r="I2131" s="116"/>
      <c r="L2131" s="169">
        <v>45141</v>
      </c>
      <c r="M2131" s="116">
        <v>160.92500000000001</v>
      </c>
      <c r="N2131" s="116">
        <v>162.4</v>
      </c>
      <c r="O2131" s="116">
        <v>152.67500000000001</v>
      </c>
      <c r="P2131" s="116">
        <v>155.77500000000001</v>
      </c>
      <c r="Q2131" s="116">
        <v>321.85000000000002</v>
      </c>
      <c r="R2131">
        <v>1408545</v>
      </c>
    </row>
    <row r="2132" spans="1:18" x14ac:dyDescent="0.25">
      <c r="A2132" s="169">
        <v>45142</v>
      </c>
      <c r="B2132" s="116">
        <v>164.02500000000001</v>
      </c>
      <c r="C2132" s="116">
        <v>160.97499999999999</v>
      </c>
      <c r="D2132" s="116">
        <v>158.52500000000001</v>
      </c>
      <c r="E2132" s="116">
        <v>158.52500000000001</v>
      </c>
      <c r="F2132" s="116">
        <v>321.95</v>
      </c>
      <c r="G2132">
        <v>41060</v>
      </c>
      <c r="H2132" s="116"/>
      <c r="I2132" s="116"/>
      <c r="L2132" s="169">
        <v>45142</v>
      </c>
      <c r="M2132" s="116">
        <v>160.875</v>
      </c>
      <c r="N2132" s="116">
        <v>164.22499999999999</v>
      </c>
      <c r="O2132" s="116">
        <v>158.94999999999999</v>
      </c>
      <c r="P2132" s="116">
        <v>161</v>
      </c>
      <c r="Q2132" s="116">
        <v>321.75</v>
      </c>
      <c r="R2132">
        <v>668270</v>
      </c>
    </row>
    <row r="2133" spans="1:18" x14ac:dyDescent="0.25">
      <c r="A2133" s="169">
        <v>45145</v>
      </c>
      <c r="B2133" s="116">
        <v>162</v>
      </c>
      <c r="C2133" s="116">
        <v>160.9</v>
      </c>
      <c r="D2133" s="116">
        <v>157.55000000000001</v>
      </c>
      <c r="E2133" s="116">
        <v>160.97499999999999</v>
      </c>
      <c r="F2133" s="116">
        <v>321.8</v>
      </c>
      <c r="G2133">
        <v>53285</v>
      </c>
      <c r="H2133" s="116"/>
      <c r="I2133" s="116"/>
      <c r="L2133" s="169">
        <v>45145</v>
      </c>
      <c r="M2133" s="116">
        <v>161.32499999999999</v>
      </c>
      <c r="N2133" s="116">
        <v>162.25</v>
      </c>
      <c r="O2133" s="116">
        <v>157.57499999999999</v>
      </c>
      <c r="P2133" s="116">
        <v>160.97499999999999</v>
      </c>
      <c r="Q2133" s="116">
        <v>322.64999999999998</v>
      </c>
      <c r="R2133">
        <v>585366</v>
      </c>
    </row>
    <row r="2134" spans="1:18" x14ac:dyDescent="0.25">
      <c r="A2134" s="169">
        <v>45146</v>
      </c>
      <c r="B2134" s="116">
        <v>168.2</v>
      </c>
      <c r="C2134" s="116">
        <v>166.85</v>
      </c>
      <c r="D2134" s="116">
        <v>161.5</v>
      </c>
      <c r="E2134" s="116">
        <v>161.5</v>
      </c>
      <c r="F2134" s="116">
        <v>333.7</v>
      </c>
      <c r="G2134">
        <v>73008</v>
      </c>
      <c r="H2134" s="116"/>
      <c r="I2134" s="116"/>
      <c r="L2134" s="169">
        <v>45146</v>
      </c>
      <c r="M2134" s="116">
        <v>167</v>
      </c>
      <c r="N2134" s="116">
        <v>168.2</v>
      </c>
      <c r="O2134" s="116">
        <v>161.22499999999999</v>
      </c>
      <c r="P2134" s="116">
        <v>161.69999999999999</v>
      </c>
      <c r="Q2134" s="116">
        <v>334</v>
      </c>
      <c r="R2134">
        <v>1218201</v>
      </c>
    </row>
    <row r="2135" spans="1:18" x14ac:dyDescent="0.25">
      <c r="A2135" s="169">
        <v>45147</v>
      </c>
      <c r="B2135" s="116">
        <v>169.97499999999999</v>
      </c>
      <c r="C2135" s="116">
        <v>168.95</v>
      </c>
      <c r="D2135" s="116">
        <v>166.25</v>
      </c>
      <c r="E2135" s="116">
        <v>166.32499999999999</v>
      </c>
      <c r="F2135" s="116">
        <v>337.9</v>
      </c>
      <c r="G2135">
        <v>32159</v>
      </c>
      <c r="H2135" s="116"/>
      <c r="I2135" s="116"/>
      <c r="L2135" s="169">
        <v>45147</v>
      </c>
      <c r="M2135" s="116">
        <v>169.17500000000001</v>
      </c>
      <c r="N2135" s="116">
        <v>170</v>
      </c>
      <c r="O2135" s="116">
        <v>166</v>
      </c>
      <c r="P2135" s="116">
        <v>167.6</v>
      </c>
      <c r="Q2135" s="116">
        <v>338.35</v>
      </c>
      <c r="R2135">
        <v>1093805</v>
      </c>
    </row>
    <row r="2136" spans="1:18" x14ac:dyDescent="0.25">
      <c r="A2136" s="169">
        <v>45148</v>
      </c>
      <c r="B2136" s="116">
        <v>176.42500000000001</v>
      </c>
      <c r="C2136" s="116">
        <v>174.35</v>
      </c>
      <c r="D2136" s="116">
        <v>169.75</v>
      </c>
      <c r="E2136" s="116">
        <v>170.25</v>
      </c>
      <c r="F2136" s="116">
        <v>348.7</v>
      </c>
      <c r="G2136">
        <v>45683</v>
      </c>
      <c r="H2136" s="116"/>
      <c r="I2136" s="116"/>
      <c r="L2136" s="169">
        <v>45148</v>
      </c>
      <c r="M2136" s="116">
        <v>174.47499999999999</v>
      </c>
      <c r="N2136" s="116">
        <v>176.6</v>
      </c>
      <c r="O2136" s="116">
        <v>169.27500000000001</v>
      </c>
      <c r="P2136" s="116">
        <v>170.02500000000001</v>
      </c>
      <c r="Q2136" s="116">
        <v>348.95</v>
      </c>
      <c r="R2136">
        <v>1068097</v>
      </c>
    </row>
    <row r="2137" spans="1:18" x14ac:dyDescent="0.25">
      <c r="A2137" s="169">
        <v>45149</v>
      </c>
      <c r="B2137" s="116">
        <v>176.5</v>
      </c>
      <c r="C2137" s="116">
        <v>170.85</v>
      </c>
      <c r="D2137" s="116">
        <v>162.92500000000001</v>
      </c>
      <c r="E2137" s="116">
        <v>174.45</v>
      </c>
      <c r="F2137" s="116">
        <v>341.7</v>
      </c>
      <c r="G2137">
        <v>88746</v>
      </c>
      <c r="H2137" s="116"/>
      <c r="I2137" s="116"/>
      <c r="L2137" s="169">
        <v>45149</v>
      </c>
      <c r="M2137" s="116">
        <v>170.32499999999999</v>
      </c>
      <c r="N2137" s="116">
        <v>176.55</v>
      </c>
      <c r="O2137" s="116">
        <v>162.52500000000001</v>
      </c>
      <c r="P2137" s="116">
        <v>174.15</v>
      </c>
      <c r="Q2137" s="116">
        <v>340.65</v>
      </c>
      <c r="R2137">
        <v>1741549</v>
      </c>
    </row>
    <row r="2138" spans="1:18" x14ac:dyDescent="0.25">
      <c r="A2138" s="169">
        <v>45152</v>
      </c>
      <c r="B2138" s="116">
        <v>174.72499999999999</v>
      </c>
      <c r="C2138" s="116">
        <v>167.57499999999999</v>
      </c>
      <c r="D2138" s="116">
        <v>160</v>
      </c>
      <c r="E2138" s="116">
        <v>173.5</v>
      </c>
      <c r="F2138" s="116">
        <v>335.15</v>
      </c>
      <c r="G2138">
        <v>187358</v>
      </c>
      <c r="H2138" s="116"/>
      <c r="I2138" s="116"/>
      <c r="L2138" s="169">
        <v>45152</v>
      </c>
      <c r="M2138" s="116">
        <v>167.85</v>
      </c>
      <c r="N2138" s="116">
        <v>175</v>
      </c>
      <c r="O2138" s="116">
        <v>160</v>
      </c>
      <c r="P2138" s="116">
        <v>175</v>
      </c>
      <c r="Q2138" s="116">
        <v>335.7</v>
      </c>
      <c r="R2138">
        <v>1412116</v>
      </c>
    </row>
    <row r="2139" spans="1:18" x14ac:dyDescent="0.25">
      <c r="A2139" s="169">
        <v>45154</v>
      </c>
      <c r="B2139" s="116">
        <v>171.9</v>
      </c>
      <c r="C2139" s="116">
        <v>166.85</v>
      </c>
      <c r="D2139" s="116">
        <v>164.97499999999999</v>
      </c>
      <c r="E2139" s="116">
        <v>168</v>
      </c>
      <c r="F2139" s="116">
        <v>333.7</v>
      </c>
      <c r="G2139">
        <v>22940</v>
      </c>
      <c r="H2139" s="116"/>
      <c r="I2139" s="116"/>
      <c r="L2139" s="169">
        <v>45154</v>
      </c>
      <c r="M2139" s="116">
        <v>166.9</v>
      </c>
      <c r="N2139" s="116">
        <v>171.97499999999999</v>
      </c>
      <c r="O2139" s="116">
        <v>164.7</v>
      </c>
      <c r="P2139" s="116">
        <v>167.85</v>
      </c>
      <c r="Q2139" s="116">
        <v>333.8</v>
      </c>
      <c r="R2139">
        <v>538914</v>
      </c>
    </row>
    <row r="2140" spans="1:18" x14ac:dyDescent="0.25">
      <c r="A2140" s="169">
        <v>45155</v>
      </c>
      <c r="B2140" s="116">
        <v>169.375</v>
      </c>
      <c r="C2140" s="116">
        <v>163.4</v>
      </c>
      <c r="D2140" s="116">
        <v>160.67500000000001</v>
      </c>
      <c r="E2140" s="116">
        <v>166.17500000000001</v>
      </c>
      <c r="F2140" s="116">
        <v>326.8</v>
      </c>
      <c r="G2140">
        <v>18443</v>
      </c>
      <c r="H2140" s="116"/>
      <c r="I2140" s="116"/>
      <c r="L2140" s="169">
        <v>45155</v>
      </c>
      <c r="M2140" s="116">
        <v>163.47499999999999</v>
      </c>
      <c r="N2140" s="116">
        <v>169.45</v>
      </c>
      <c r="O2140" s="116">
        <v>157.625</v>
      </c>
      <c r="P2140" s="116">
        <v>167.67500000000001</v>
      </c>
      <c r="Q2140" s="116">
        <v>326.95</v>
      </c>
      <c r="R2140">
        <v>381326</v>
      </c>
    </row>
    <row r="2141" spans="1:18" x14ac:dyDescent="0.25">
      <c r="A2141" s="169">
        <v>45156</v>
      </c>
      <c r="B2141" s="116">
        <v>164.875</v>
      </c>
      <c r="C2141" s="116">
        <v>160</v>
      </c>
      <c r="D2141" s="116">
        <v>159.02500000000001</v>
      </c>
      <c r="E2141" s="116">
        <v>160.72499999999999</v>
      </c>
      <c r="F2141" s="116">
        <v>320</v>
      </c>
      <c r="G2141">
        <v>36019</v>
      </c>
      <c r="H2141" s="116"/>
      <c r="I2141" s="116"/>
      <c r="L2141" s="169">
        <v>45156</v>
      </c>
      <c r="M2141" s="116">
        <v>159.9</v>
      </c>
      <c r="N2141" s="116">
        <v>164.9</v>
      </c>
      <c r="O2141" s="116">
        <v>159</v>
      </c>
      <c r="P2141" s="116">
        <v>163.1</v>
      </c>
      <c r="Q2141" s="116">
        <v>319.8</v>
      </c>
      <c r="R2141">
        <v>502393</v>
      </c>
    </row>
    <row r="2142" spans="1:18" x14ac:dyDescent="0.25">
      <c r="A2142" s="169">
        <v>45159</v>
      </c>
      <c r="B2142" s="116">
        <v>167.17500000000001</v>
      </c>
      <c r="C2142" s="116">
        <v>164.77500000000001</v>
      </c>
      <c r="D2142" s="116">
        <v>159.69999999999999</v>
      </c>
      <c r="E2142" s="116">
        <v>159.69999999999999</v>
      </c>
      <c r="F2142" s="116">
        <v>329.55</v>
      </c>
      <c r="G2142">
        <v>38825</v>
      </c>
      <c r="H2142" s="116"/>
      <c r="I2142" s="116"/>
      <c r="L2142" s="169">
        <v>45159</v>
      </c>
      <c r="M2142" s="116">
        <v>164.77500000000001</v>
      </c>
      <c r="N2142" s="116">
        <v>167.17500000000001</v>
      </c>
      <c r="O2142" s="116">
        <v>160</v>
      </c>
      <c r="P2142" s="116">
        <v>160.4</v>
      </c>
      <c r="Q2142" s="116">
        <v>329.55</v>
      </c>
      <c r="R2142">
        <v>448400</v>
      </c>
    </row>
    <row r="2143" spans="1:18" x14ac:dyDescent="0.25">
      <c r="A2143" s="169">
        <v>45160</v>
      </c>
      <c r="B2143" s="116">
        <v>166.4</v>
      </c>
      <c r="C2143" s="116">
        <v>160.32499999999999</v>
      </c>
      <c r="D2143" s="116">
        <v>160</v>
      </c>
      <c r="E2143" s="116">
        <v>166.4</v>
      </c>
      <c r="F2143" s="116">
        <v>320.64999999999998</v>
      </c>
      <c r="G2143">
        <v>56872</v>
      </c>
      <c r="H2143" s="116"/>
      <c r="I2143" s="116"/>
      <c r="L2143" s="169">
        <v>45160</v>
      </c>
      <c r="M2143" s="116">
        <v>160.17500000000001</v>
      </c>
      <c r="N2143" s="116">
        <v>166.45</v>
      </c>
      <c r="O2143" s="116">
        <v>159.72499999999999</v>
      </c>
      <c r="P2143" s="116">
        <v>165.6</v>
      </c>
      <c r="Q2143" s="116">
        <v>320.35000000000002</v>
      </c>
      <c r="R2143">
        <v>690545</v>
      </c>
    </row>
    <row r="2144" spans="1:18" x14ac:dyDescent="0.25">
      <c r="A2144" s="169">
        <v>45161</v>
      </c>
      <c r="B2144" s="116">
        <v>163.5</v>
      </c>
      <c r="C2144" s="116">
        <v>153</v>
      </c>
      <c r="D2144" s="116">
        <v>151.1</v>
      </c>
      <c r="E2144" s="116">
        <v>161.44999999999999</v>
      </c>
      <c r="F2144" s="116">
        <v>306</v>
      </c>
      <c r="G2144">
        <v>154791</v>
      </c>
      <c r="H2144" s="116"/>
      <c r="I2144" s="116"/>
      <c r="L2144" s="169">
        <v>45161</v>
      </c>
      <c r="M2144" s="116">
        <v>152.97499999999999</v>
      </c>
      <c r="N2144" s="116">
        <v>163.6</v>
      </c>
      <c r="O2144" s="116">
        <v>151.22499999999999</v>
      </c>
      <c r="P2144" s="116">
        <v>161.15</v>
      </c>
      <c r="Q2144" s="116">
        <v>305.95</v>
      </c>
      <c r="R2144">
        <v>1500152</v>
      </c>
    </row>
    <row r="2145" spans="1:18" x14ac:dyDescent="0.25">
      <c r="A2145" s="169">
        <v>45162</v>
      </c>
      <c r="B2145" s="116">
        <v>161</v>
      </c>
      <c r="C2145" s="116">
        <v>158.52500000000001</v>
      </c>
      <c r="D2145" s="116">
        <v>155.1</v>
      </c>
      <c r="E2145" s="116">
        <v>155.1</v>
      </c>
      <c r="F2145" s="116">
        <v>317.05</v>
      </c>
      <c r="G2145">
        <v>87592</v>
      </c>
      <c r="H2145" s="116"/>
      <c r="I2145" s="116"/>
      <c r="L2145" s="169">
        <v>45162</v>
      </c>
      <c r="M2145" s="116">
        <v>158.625</v>
      </c>
      <c r="N2145" s="116">
        <v>161.02500000000001</v>
      </c>
      <c r="O2145" s="116">
        <v>155.47499999999999</v>
      </c>
      <c r="P2145" s="116">
        <v>157.5</v>
      </c>
      <c r="Q2145" s="116">
        <v>317.25</v>
      </c>
      <c r="R2145">
        <v>858170</v>
      </c>
    </row>
    <row r="2146" spans="1:18" x14ac:dyDescent="0.25">
      <c r="A2146" s="169">
        <v>45163</v>
      </c>
      <c r="B2146" s="116">
        <v>160.44999999999999</v>
      </c>
      <c r="C2146" s="116">
        <v>156.17500000000001</v>
      </c>
      <c r="D2146" s="116">
        <v>154.875</v>
      </c>
      <c r="E2146" s="116">
        <v>160.44999999999999</v>
      </c>
      <c r="F2146" s="116">
        <v>312.35000000000002</v>
      </c>
      <c r="G2146">
        <v>15458</v>
      </c>
      <c r="H2146" s="116"/>
      <c r="I2146" s="116"/>
      <c r="L2146" s="169">
        <v>45163</v>
      </c>
      <c r="M2146" s="116">
        <v>155.97499999999999</v>
      </c>
      <c r="N2146" s="116">
        <v>159.42500000000001</v>
      </c>
      <c r="O2146" s="116">
        <v>154.75</v>
      </c>
      <c r="P2146" s="116">
        <v>159.22499999999999</v>
      </c>
      <c r="Q2146" s="116">
        <v>311.95</v>
      </c>
      <c r="R2146">
        <v>377995</v>
      </c>
    </row>
    <row r="2147" spans="1:18" x14ac:dyDescent="0.25">
      <c r="A2147" s="169">
        <v>45166</v>
      </c>
      <c r="B2147" s="116">
        <v>158.47499999999999</v>
      </c>
      <c r="C2147" s="116">
        <v>155.22499999999999</v>
      </c>
      <c r="D2147" s="116">
        <v>152.625</v>
      </c>
      <c r="E2147" s="116">
        <v>158.47499999999999</v>
      </c>
      <c r="F2147" s="116">
        <v>310.45</v>
      </c>
      <c r="G2147">
        <v>64736</v>
      </c>
      <c r="H2147" s="116"/>
      <c r="I2147" s="116"/>
      <c r="L2147" s="169">
        <v>45166</v>
      </c>
      <c r="M2147" s="116">
        <v>155.30000000000001</v>
      </c>
      <c r="N2147" s="116">
        <v>157.375</v>
      </c>
      <c r="O2147" s="116">
        <v>153.77500000000001</v>
      </c>
      <c r="P2147" s="116">
        <v>157.22499999999999</v>
      </c>
      <c r="Q2147" s="116">
        <v>310.60000000000002</v>
      </c>
      <c r="R2147">
        <v>429361</v>
      </c>
    </row>
    <row r="2148" spans="1:18" x14ac:dyDescent="0.25">
      <c r="A2148" s="169">
        <v>45167</v>
      </c>
      <c r="B2148" s="116">
        <v>159.25</v>
      </c>
      <c r="C2148" s="116">
        <v>157.30000000000001</v>
      </c>
      <c r="D2148" s="116">
        <v>154.75</v>
      </c>
      <c r="E2148" s="116">
        <v>154.75</v>
      </c>
      <c r="F2148" s="116">
        <v>314.60000000000002</v>
      </c>
      <c r="G2148">
        <v>17068</v>
      </c>
      <c r="H2148" s="116"/>
      <c r="I2148" s="116"/>
      <c r="L2148" s="169">
        <v>45167</v>
      </c>
      <c r="M2148" s="116">
        <v>157.35</v>
      </c>
      <c r="N2148" s="116">
        <v>159.25</v>
      </c>
      <c r="O2148" s="116">
        <v>155.65</v>
      </c>
      <c r="P2148" s="116">
        <v>155.72499999999999</v>
      </c>
      <c r="Q2148" s="116">
        <v>314.7</v>
      </c>
      <c r="R2148">
        <v>533501</v>
      </c>
    </row>
    <row r="2149" spans="1:18" x14ac:dyDescent="0.25">
      <c r="A2149" s="169">
        <v>45168</v>
      </c>
      <c r="B2149" s="116">
        <v>169.05</v>
      </c>
      <c r="C2149" s="116">
        <v>165.52500000000001</v>
      </c>
      <c r="D2149" s="116">
        <v>159.77500000000001</v>
      </c>
      <c r="E2149" s="116">
        <v>161.47499999999999</v>
      </c>
      <c r="F2149" s="116">
        <v>331.05</v>
      </c>
      <c r="G2149">
        <v>135122</v>
      </c>
      <c r="H2149" s="116"/>
      <c r="I2149" s="116"/>
      <c r="L2149" s="169">
        <v>45168</v>
      </c>
      <c r="M2149" s="116">
        <v>166.3</v>
      </c>
      <c r="N2149" s="116">
        <v>169.05</v>
      </c>
      <c r="O2149" s="116">
        <v>158.72499999999999</v>
      </c>
      <c r="P2149" s="116">
        <v>158.72499999999999</v>
      </c>
      <c r="Q2149" s="116">
        <v>332.6</v>
      </c>
      <c r="R2149">
        <v>1807559</v>
      </c>
    </row>
    <row r="2150" spans="1:18" x14ac:dyDescent="0.25">
      <c r="A2150" s="169">
        <v>45169</v>
      </c>
      <c r="B2150" s="116">
        <v>177.42500000000001</v>
      </c>
      <c r="C2150" s="116">
        <v>175.4</v>
      </c>
      <c r="D2150" s="116">
        <v>166.5</v>
      </c>
      <c r="E2150" s="116">
        <v>169.95</v>
      </c>
      <c r="F2150" s="116">
        <v>350.8</v>
      </c>
      <c r="G2150">
        <v>78161</v>
      </c>
      <c r="H2150" s="116"/>
      <c r="I2150" s="116"/>
      <c r="L2150" s="169">
        <v>45169</v>
      </c>
      <c r="M2150" s="116">
        <v>175.1</v>
      </c>
      <c r="N2150" s="116">
        <v>177.5</v>
      </c>
      <c r="O2150" s="116">
        <v>166.27500000000001</v>
      </c>
      <c r="P2150" s="116">
        <v>166.3</v>
      </c>
      <c r="Q2150" s="116">
        <v>350.2</v>
      </c>
      <c r="R2150">
        <v>1825783</v>
      </c>
    </row>
    <row r="2151" spans="1:18" x14ac:dyDescent="0.25">
      <c r="A2151" s="169">
        <v>45170</v>
      </c>
      <c r="B2151" s="116">
        <v>187.125</v>
      </c>
      <c r="C2151" s="116">
        <v>180.3</v>
      </c>
      <c r="D2151" s="116">
        <v>176.75</v>
      </c>
      <c r="E2151" s="116">
        <v>176.75</v>
      </c>
      <c r="F2151" s="116">
        <v>360.6</v>
      </c>
      <c r="G2151">
        <v>259003</v>
      </c>
      <c r="H2151" s="116"/>
      <c r="I2151" s="116"/>
      <c r="L2151" s="169">
        <v>45170</v>
      </c>
      <c r="M2151" s="116">
        <v>180.35</v>
      </c>
      <c r="N2151" s="116">
        <v>186.45</v>
      </c>
      <c r="O2151" s="116">
        <v>177.5</v>
      </c>
      <c r="P2151" s="116">
        <v>177.5</v>
      </c>
      <c r="Q2151" s="116">
        <v>360.7</v>
      </c>
      <c r="R2151">
        <v>2021482</v>
      </c>
    </row>
    <row r="2152" spans="1:18" x14ac:dyDescent="0.25">
      <c r="A2152" s="169">
        <v>45173</v>
      </c>
      <c r="B2152" s="116">
        <v>185.97499999999999</v>
      </c>
      <c r="C2152" s="116">
        <v>181.8</v>
      </c>
      <c r="D2152" s="116">
        <v>180.67500000000001</v>
      </c>
      <c r="E2152" s="116">
        <v>182.15</v>
      </c>
      <c r="F2152" s="116">
        <v>363.6</v>
      </c>
      <c r="G2152">
        <v>40796</v>
      </c>
      <c r="H2152" s="116"/>
      <c r="I2152" s="116"/>
      <c r="L2152" s="169">
        <v>45173</v>
      </c>
      <c r="M2152" s="116">
        <v>181.9</v>
      </c>
      <c r="N2152" s="116">
        <v>186</v>
      </c>
      <c r="O2152" s="116">
        <v>180.5</v>
      </c>
      <c r="P2152" s="116">
        <v>182</v>
      </c>
      <c r="Q2152" s="116">
        <v>363.8</v>
      </c>
      <c r="R2152">
        <v>790705</v>
      </c>
    </row>
    <row r="2153" spans="1:18" x14ac:dyDescent="0.25">
      <c r="A2153" s="169">
        <v>45174</v>
      </c>
      <c r="B2153" s="116">
        <v>190.77500000000001</v>
      </c>
      <c r="C2153" s="116">
        <v>185.75</v>
      </c>
      <c r="D2153" s="116">
        <v>182.5</v>
      </c>
      <c r="E2153" s="116">
        <v>182.5</v>
      </c>
      <c r="F2153" s="116">
        <v>371.5</v>
      </c>
      <c r="G2153">
        <v>55988</v>
      </c>
      <c r="H2153" s="116"/>
      <c r="I2153" s="116"/>
      <c r="L2153" s="169">
        <v>45174</v>
      </c>
      <c r="M2153" s="116">
        <v>185.4</v>
      </c>
      <c r="N2153" s="116">
        <v>190.7</v>
      </c>
      <c r="O2153" s="116">
        <v>182.5</v>
      </c>
      <c r="P2153" s="116">
        <v>182.95</v>
      </c>
      <c r="Q2153" s="116">
        <v>370.8</v>
      </c>
      <c r="R2153">
        <v>1400839</v>
      </c>
    </row>
    <row r="2154" spans="1:18" x14ac:dyDescent="0.25">
      <c r="A2154" s="169">
        <v>45175</v>
      </c>
      <c r="B2154" s="116">
        <v>192.4</v>
      </c>
      <c r="C2154" s="116">
        <v>186.42500000000001</v>
      </c>
      <c r="D2154" s="116">
        <v>184.72499999999999</v>
      </c>
      <c r="E2154" s="116">
        <v>185.77500000000001</v>
      </c>
      <c r="F2154" s="116">
        <v>372.85</v>
      </c>
      <c r="G2154">
        <v>113020</v>
      </c>
      <c r="H2154" s="116"/>
      <c r="I2154" s="116"/>
      <c r="L2154" s="169">
        <v>45175</v>
      </c>
      <c r="M2154" s="116">
        <v>186.6</v>
      </c>
      <c r="N2154" s="116">
        <v>190.375</v>
      </c>
      <c r="O2154" s="116">
        <v>184.95</v>
      </c>
      <c r="P2154" s="116">
        <v>186.15</v>
      </c>
      <c r="Q2154" s="116">
        <v>373.2</v>
      </c>
      <c r="R2154">
        <v>826476</v>
      </c>
    </row>
    <row r="2155" spans="1:18" x14ac:dyDescent="0.25">
      <c r="A2155" s="169">
        <v>45176</v>
      </c>
      <c r="B2155" s="116">
        <v>187.625</v>
      </c>
      <c r="C2155" s="116">
        <v>181.27500000000001</v>
      </c>
      <c r="D2155" s="116">
        <v>180.27500000000001</v>
      </c>
      <c r="E2155" s="116">
        <v>186.7</v>
      </c>
      <c r="F2155" s="116">
        <v>362.55</v>
      </c>
      <c r="G2155">
        <v>26894</v>
      </c>
      <c r="H2155" s="116"/>
      <c r="I2155" s="116"/>
      <c r="L2155" s="169">
        <v>45176</v>
      </c>
      <c r="M2155" s="116">
        <v>181.17500000000001</v>
      </c>
      <c r="N2155" s="116">
        <v>187.72499999999999</v>
      </c>
      <c r="O2155" s="116">
        <v>180.125</v>
      </c>
      <c r="P2155" s="116">
        <v>186.95</v>
      </c>
      <c r="Q2155" s="116">
        <v>362.35</v>
      </c>
      <c r="R2155">
        <v>686833</v>
      </c>
    </row>
    <row r="2156" spans="1:18" x14ac:dyDescent="0.25">
      <c r="A2156" s="169">
        <v>45177</v>
      </c>
      <c r="B2156" s="116">
        <v>187.4</v>
      </c>
      <c r="C2156" s="116">
        <v>186.02500000000001</v>
      </c>
      <c r="D2156" s="116">
        <v>177.5</v>
      </c>
      <c r="E2156" s="116">
        <v>182.52500000000001</v>
      </c>
      <c r="F2156" s="116">
        <v>372.05</v>
      </c>
      <c r="G2156">
        <v>91443</v>
      </c>
      <c r="H2156" s="116"/>
      <c r="I2156" s="116"/>
      <c r="L2156" s="169">
        <v>45177</v>
      </c>
      <c r="M2156" s="116">
        <v>185.97499999999999</v>
      </c>
      <c r="N2156" s="116">
        <v>187.5</v>
      </c>
      <c r="O2156" s="116">
        <v>177.75</v>
      </c>
      <c r="P2156" s="116">
        <v>182.07499999999999</v>
      </c>
      <c r="Q2156" s="116">
        <v>371.95</v>
      </c>
      <c r="R2156">
        <v>1029794</v>
      </c>
    </row>
    <row r="2157" spans="1:18" x14ac:dyDescent="0.25">
      <c r="A2157" s="169">
        <v>45180</v>
      </c>
      <c r="B2157" s="116">
        <v>195.47499999999999</v>
      </c>
      <c r="C2157" s="116">
        <v>192.17500000000001</v>
      </c>
      <c r="D2157" s="116">
        <v>184.97499999999999</v>
      </c>
      <c r="E2157" s="116">
        <v>186</v>
      </c>
      <c r="F2157" s="116">
        <v>384.35</v>
      </c>
      <c r="G2157">
        <v>157910</v>
      </c>
      <c r="H2157" s="116"/>
      <c r="I2157" s="116"/>
      <c r="L2157" s="169">
        <v>45180</v>
      </c>
      <c r="M2157" s="116">
        <v>192.27500000000001</v>
      </c>
      <c r="N2157" s="116">
        <v>195.5</v>
      </c>
      <c r="O2157" s="116">
        <v>185.07499999999999</v>
      </c>
      <c r="P2157" s="116">
        <v>186.9</v>
      </c>
      <c r="Q2157" s="116">
        <v>384.55</v>
      </c>
      <c r="R2157">
        <v>1869453</v>
      </c>
    </row>
    <row r="2158" spans="1:18" x14ac:dyDescent="0.25">
      <c r="A2158" s="169">
        <v>45181</v>
      </c>
      <c r="B2158" s="116">
        <v>194.45</v>
      </c>
      <c r="C2158" s="116">
        <v>167.22499999999999</v>
      </c>
      <c r="D2158" s="116">
        <v>156.07499999999999</v>
      </c>
      <c r="E2158" s="116">
        <v>193.85</v>
      </c>
      <c r="F2158" s="116">
        <v>334.45</v>
      </c>
      <c r="G2158">
        <v>125118</v>
      </c>
      <c r="H2158" s="116"/>
      <c r="I2158" s="116"/>
      <c r="L2158" s="169">
        <v>45181</v>
      </c>
      <c r="M2158" s="116">
        <v>166.47499999999999</v>
      </c>
      <c r="N2158" s="116">
        <v>194.9</v>
      </c>
      <c r="O2158" s="116">
        <v>154.75</v>
      </c>
      <c r="P2158" s="116">
        <v>193.85</v>
      </c>
      <c r="Q2158" s="116">
        <v>332.95</v>
      </c>
      <c r="R2158">
        <v>2357627</v>
      </c>
    </row>
    <row r="2159" spans="1:18" x14ac:dyDescent="0.25">
      <c r="A2159" s="169">
        <v>45182</v>
      </c>
      <c r="B2159" s="116">
        <v>178.4</v>
      </c>
      <c r="C2159" s="116">
        <v>175.1</v>
      </c>
      <c r="D2159" s="116">
        <v>167.85</v>
      </c>
      <c r="E2159" s="116">
        <v>169.97499999999999</v>
      </c>
      <c r="F2159" s="116">
        <v>350.2</v>
      </c>
      <c r="G2159">
        <v>142375</v>
      </c>
      <c r="H2159" s="116"/>
      <c r="I2159" s="116"/>
      <c r="L2159" s="169">
        <v>45182</v>
      </c>
      <c r="M2159" s="116">
        <v>174.42500000000001</v>
      </c>
      <c r="N2159" s="116">
        <v>179.97499999999999</v>
      </c>
      <c r="O2159" s="116">
        <v>167.6</v>
      </c>
      <c r="P2159" s="116">
        <v>169.97499999999999</v>
      </c>
      <c r="Q2159" s="116">
        <v>348.85</v>
      </c>
      <c r="R2159">
        <v>1114179</v>
      </c>
    </row>
    <row r="2160" spans="1:18" x14ac:dyDescent="0.25">
      <c r="A2160" s="169">
        <v>45183</v>
      </c>
      <c r="B2160" s="116">
        <v>179.47499999999999</v>
      </c>
      <c r="C2160" s="116">
        <v>174.2</v>
      </c>
      <c r="D2160" s="116">
        <v>172.32499999999999</v>
      </c>
      <c r="E2160" s="116">
        <v>176.85</v>
      </c>
      <c r="F2160" s="116">
        <v>348.4</v>
      </c>
      <c r="G2160">
        <v>78220</v>
      </c>
      <c r="H2160" s="116"/>
      <c r="I2160" s="116"/>
      <c r="L2160" s="169">
        <v>45183</v>
      </c>
      <c r="M2160" s="116">
        <v>173.97499999999999</v>
      </c>
      <c r="N2160" s="116">
        <v>179.35</v>
      </c>
      <c r="O2160" s="116">
        <v>172.02500000000001</v>
      </c>
      <c r="P2160" s="116">
        <v>176</v>
      </c>
      <c r="Q2160" s="116">
        <v>347.95</v>
      </c>
      <c r="R2160">
        <v>803580</v>
      </c>
    </row>
    <row r="2161" spans="1:18" x14ac:dyDescent="0.25">
      <c r="A2161" s="169">
        <v>45184</v>
      </c>
      <c r="B2161" s="116">
        <v>189</v>
      </c>
      <c r="C2161" s="116">
        <v>185.77500000000001</v>
      </c>
      <c r="D2161" s="116">
        <v>173</v>
      </c>
      <c r="E2161" s="116">
        <v>176.97499999999999</v>
      </c>
      <c r="F2161" s="116">
        <v>371.55</v>
      </c>
      <c r="G2161">
        <v>161483</v>
      </c>
      <c r="H2161" s="116"/>
      <c r="I2161" s="116"/>
      <c r="L2161" s="169">
        <v>45184</v>
      </c>
      <c r="M2161" s="116">
        <v>184.9</v>
      </c>
      <c r="N2161" s="116">
        <v>188.9</v>
      </c>
      <c r="O2161" s="116">
        <v>173</v>
      </c>
      <c r="P2161" s="116">
        <v>175.07499999999999</v>
      </c>
      <c r="Q2161" s="116">
        <v>369.8</v>
      </c>
      <c r="R2161">
        <v>1589578</v>
      </c>
    </row>
    <row r="2162" spans="1:18" x14ac:dyDescent="0.25">
      <c r="A2162" s="169">
        <v>45187</v>
      </c>
      <c r="B2162" s="116">
        <v>185.25</v>
      </c>
      <c r="C2162" s="116">
        <v>180.02500000000001</v>
      </c>
      <c r="D2162" s="116">
        <v>179.35</v>
      </c>
      <c r="E2162" s="116">
        <v>184.95</v>
      </c>
      <c r="F2162" s="116">
        <v>360.05</v>
      </c>
      <c r="G2162">
        <v>87872</v>
      </c>
      <c r="H2162" s="116"/>
      <c r="I2162" s="116"/>
      <c r="L2162" s="169">
        <v>45187</v>
      </c>
      <c r="M2162" s="116">
        <v>180.32499999999999</v>
      </c>
      <c r="N2162" s="116">
        <v>185.52500000000001</v>
      </c>
      <c r="O2162" s="116">
        <v>179.5</v>
      </c>
      <c r="P2162" s="116">
        <v>184.52500000000001</v>
      </c>
      <c r="Q2162" s="116">
        <v>360.65</v>
      </c>
      <c r="R2162">
        <v>528325</v>
      </c>
    </row>
    <row r="2163" spans="1:18" x14ac:dyDescent="0.25">
      <c r="A2163" s="169">
        <v>45189</v>
      </c>
      <c r="B2163" s="116">
        <v>181.97499999999999</v>
      </c>
      <c r="C2163" s="116">
        <v>177.42500000000001</v>
      </c>
      <c r="D2163" s="116">
        <v>175.3</v>
      </c>
      <c r="E2163" s="116">
        <v>179.47499999999999</v>
      </c>
      <c r="F2163" s="116">
        <v>354.85</v>
      </c>
      <c r="G2163">
        <v>26430</v>
      </c>
      <c r="H2163" s="116"/>
      <c r="I2163" s="116"/>
      <c r="L2163" s="169">
        <v>45189</v>
      </c>
      <c r="M2163" s="116">
        <v>177.2</v>
      </c>
      <c r="N2163" s="116">
        <v>181.85</v>
      </c>
      <c r="O2163" s="116">
        <v>175.25</v>
      </c>
      <c r="P2163" s="116">
        <v>179</v>
      </c>
      <c r="Q2163" s="116">
        <v>354.4</v>
      </c>
      <c r="R2163">
        <v>502035</v>
      </c>
    </row>
    <row r="2164" spans="1:18" x14ac:dyDescent="0.25">
      <c r="A2164" s="169">
        <v>45190</v>
      </c>
      <c r="B2164" s="116">
        <v>181.35</v>
      </c>
      <c r="C2164" s="116">
        <v>175.75</v>
      </c>
      <c r="D2164" s="116">
        <v>172.82499999999999</v>
      </c>
      <c r="E2164" s="116">
        <v>176.25</v>
      </c>
      <c r="F2164" s="116">
        <v>351.5</v>
      </c>
      <c r="G2164">
        <v>80942</v>
      </c>
      <c r="H2164" s="116"/>
      <c r="I2164" s="116"/>
      <c r="L2164" s="169">
        <v>45190</v>
      </c>
      <c r="M2164" s="116">
        <v>176.1</v>
      </c>
      <c r="N2164" s="116">
        <v>181.22499999999999</v>
      </c>
      <c r="O2164" s="116">
        <v>174.5</v>
      </c>
      <c r="P2164" s="116">
        <v>177.55</v>
      </c>
      <c r="Q2164" s="116">
        <v>352.2</v>
      </c>
      <c r="R2164">
        <v>420881</v>
      </c>
    </row>
    <row r="2165" spans="1:18" x14ac:dyDescent="0.25">
      <c r="A2165" s="169">
        <v>45191</v>
      </c>
      <c r="B2165" s="116">
        <v>178.1</v>
      </c>
      <c r="C2165" s="116">
        <v>173.35</v>
      </c>
      <c r="D2165" s="116">
        <v>170.3</v>
      </c>
      <c r="E2165" s="116">
        <v>175.35</v>
      </c>
      <c r="F2165" s="116">
        <v>346.7</v>
      </c>
      <c r="G2165">
        <v>26833</v>
      </c>
      <c r="H2165" s="116"/>
      <c r="I2165" s="116"/>
      <c r="L2165" s="169">
        <v>45191</v>
      </c>
      <c r="M2165" s="116">
        <v>173.05</v>
      </c>
      <c r="N2165" s="116">
        <v>178.05</v>
      </c>
      <c r="O2165" s="116">
        <v>170.02500000000001</v>
      </c>
      <c r="P2165" s="116">
        <v>174.5</v>
      </c>
      <c r="Q2165" s="116">
        <v>346.1</v>
      </c>
      <c r="R2165">
        <v>588278</v>
      </c>
    </row>
    <row r="2166" spans="1:18" x14ac:dyDescent="0.25">
      <c r="A2166" s="169">
        <v>45194</v>
      </c>
      <c r="B2166" s="116">
        <v>179.97499999999999</v>
      </c>
      <c r="C2166" s="116">
        <v>176.47499999999999</v>
      </c>
      <c r="D2166" s="116">
        <v>174.97499999999999</v>
      </c>
      <c r="E2166" s="116">
        <v>174.97499999999999</v>
      </c>
      <c r="F2166" s="116">
        <v>352.95</v>
      </c>
      <c r="G2166">
        <v>42372</v>
      </c>
      <c r="H2166" s="116"/>
      <c r="I2166" s="116"/>
      <c r="L2166" s="169">
        <v>45194</v>
      </c>
      <c r="M2166" s="116">
        <v>176.75</v>
      </c>
      <c r="N2166" s="116">
        <v>179.92500000000001</v>
      </c>
      <c r="O2166" s="116">
        <v>173.9</v>
      </c>
      <c r="P2166" s="116">
        <v>173.92500000000001</v>
      </c>
      <c r="Q2166" s="116">
        <v>353.5</v>
      </c>
      <c r="R2166">
        <v>555416</v>
      </c>
    </row>
    <row r="2167" spans="1:18" x14ac:dyDescent="0.25">
      <c r="A2167" s="169">
        <v>45195</v>
      </c>
      <c r="B2167" s="116">
        <v>177.1</v>
      </c>
      <c r="C2167" s="116">
        <v>174.3</v>
      </c>
      <c r="D2167" s="116">
        <v>173.35</v>
      </c>
      <c r="E2167" s="116">
        <v>173.42500000000001</v>
      </c>
      <c r="F2167" s="116">
        <v>348.6</v>
      </c>
      <c r="G2167">
        <v>13532</v>
      </c>
      <c r="H2167" s="116"/>
      <c r="I2167" s="116"/>
      <c r="L2167" s="169">
        <v>45195</v>
      </c>
      <c r="M2167" s="116">
        <v>174.35</v>
      </c>
      <c r="N2167" s="116">
        <v>177.27500000000001</v>
      </c>
      <c r="O2167" s="116">
        <v>173.15</v>
      </c>
      <c r="P2167" s="116">
        <v>176.75</v>
      </c>
      <c r="Q2167" s="116">
        <v>348.7</v>
      </c>
      <c r="R2167">
        <v>377923</v>
      </c>
    </row>
    <row r="2168" spans="1:18" x14ac:dyDescent="0.25">
      <c r="A2168" s="169">
        <v>45196</v>
      </c>
      <c r="B2168" s="116">
        <v>175.82499999999999</v>
      </c>
      <c r="C2168" s="116">
        <v>172.95</v>
      </c>
      <c r="D2168" s="116">
        <v>172.375</v>
      </c>
      <c r="E2168" s="116">
        <v>175.07499999999999</v>
      </c>
      <c r="F2168" s="116">
        <v>345.9</v>
      </c>
      <c r="G2168">
        <v>17844</v>
      </c>
      <c r="H2168" s="116"/>
      <c r="I2168" s="116"/>
      <c r="L2168" s="169">
        <v>45196</v>
      </c>
      <c r="M2168" s="116">
        <v>172.82499999999999</v>
      </c>
      <c r="N2168" s="116">
        <v>175.75</v>
      </c>
      <c r="O2168" s="116">
        <v>172.125</v>
      </c>
      <c r="P2168" s="116">
        <v>174.5</v>
      </c>
      <c r="Q2168" s="116">
        <v>345.65</v>
      </c>
      <c r="R2168">
        <v>390349</v>
      </c>
    </row>
    <row r="2169" spans="1:18" x14ac:dyDescent="0.25">
      <c r="A2169" s="169">
        <v>45197</v>
      </c>
      <c r="B2169" s="116">
        <v>177.375</v>
      </c>
      <c r="C2169" s="116">
        <v>174.82499999999999</v>
      </c>
      <c r="D2169" s="116">
        <v>173.5</v>
      </c>
      <c r="E2169" s="116">
        <v>174.2</v>
      </c>
      <c r="F2169" s="116">
        <v>349.65</v>
      </c>
      <c r="G2169">
        <v>39643</v>
      </c>
      <c r="H2169" s="116"/>
      <c r="I2169" s="116"/>
      <c r="L2169" s="169">
        <v>45197</v>
      </c>
      <c r="M2169" s="116">
        <v>175.15</v>
      </c>
      <c r="N2169" s="116">
        <v>177.5</v>
      </c>
      <c r="O2169" s="116">
        <v>173.6</v>
      </c>
      <c r="P2169" s="116">
        <v>173.77500000000001</v>
      </c>
      <c r="Q2169" s="116">
        <v>350.3</v>
      </c>
      <c r="R2169">
        <v>530812</v>
      </c>
    </row>
    <row r="2170" spans="1:18" x14ac:dyDescent="0.25">
      <c r="A2170" s="169">
        <v>45198</v>
      </c>
      <c r="B2170" s="116">
        <v>176.52500000000001</v>
      </c>
      <c r="C2170" s="116">
        <v>173.25</v>
      </c>
      <c r="D2170" s="116">
        <v>172.75</v>
      </c>
      <c r="E2170" s="116">
        <v>176.52500000000001</v>
      </c>
      <c r="F2170" s="116">
        <v>346.5</v>
      </c>
      <c r="G2170">
        <v>16851</v>
      </c>
      <c r="H2170" s="116"/>
      <c r="I2170" s="116"/>
      <c r="L2170" s="169">
        <v>45198</v>
      </c>
      <c r="M2170" s="116">
        <v>173.3</v>
      </c>
      <c r="N2170" s="116">
        <v>176</v>
      </c>
      <c r="O2170" s="116">
        <v>172.5</v>
      </c>
      <c r="P2170" s="116">
        <v>175.15</v>
      </c>
      <c r="Q2170" s="116">
        <v>346.6</v>
      </c>
      <c r="R2170">
        <v>308423</v>
      </c>
    </row>
    <row r="2171" spans="1:18" x14ac:dyDescent="0.25">
      <c r="A2171" s="169">
        <v>45202</v>
      </c>
      <c r="B2171" s="116">
        <v>183</v>
      </c>
      <c r="C2171" s="116">
        <v>182.55</v>
      </c>
      <c r="D2171" s="116">
        <v>174</v>
      </c>
      <c r="E2171" s="116">
        <v>176.47499999999999</v>
      </c>
      <c r="F2171" s="116">
        <v>365.1</v>
      </c>
      <c r="G2171">
        <v>65317</v>
      </c>
      <c r="H2171" s="116"/>
      <c r="I2171" s="116"/>
      <c r="L2171" s="169">
        <v>45202</v>
      </c>
      <c r="M2171" s="116">
        <v>182.5</v>
      </c>
      <c r="N2171" s="116">
        <v>182.97499999999999</v>
      </c>
      <c r="O2171" s="116">
        <v>173.65</v>
      </c>
      <c r="P2171" s="116">
        <v>173.92500000000001</v>
      </c>
      <c r="Q2171" s="116">
        <v>365</v>
      </c>
      <c r="R2171">
        <v>1310900</v>
      </c>
    </row>
    <row r="2172" spans="1:18" x14ac:dyDescent="0.25">
      <c r="A2172" s="169">
        <v>45203</v>
      </c>
      <c r="B2172" s="116">
        <v>186.27500000000001</v>
      </c>
      <c r="C2172" s="116">
        <v>178.95</v>
      </c>
      <c r="D2172" s="116">
        <v>176.5</v>
      </c>
      <c r="E2172" s="116">
        <v>184.3</v>
      </c>
      <c r="F2172" s="116">
        <v>357.9</v>
      </c>
      <c r="G2172">
        <v>85048</v>
      </c>
      <c r="H2172" s="116"/>
      <c r="I2172" s="116"/>
      <c r="L2172" s="169">
        <v>45203</v>
      </c>
      <c r="M2172" s="116">
        <v>178.8</v>
      </c>
      <c r="N2172" s="116">
        <v>186.65</v>
      </c>
      <c r="O2172" s="116">
        <v>176.57499999999999</v>
      </c>
      <c r="P2172" s="116">
        <v>182.5</v>
      </c>
      <c r="Q2172" s="116">
        <v>357.6</v>
      </c>
      <c r="R2172">
        <v>721674</v>
      </c>
    </row>
    <row r="2173" spans="1:18" x14ac:dyDescent="0.25">
      <c r="A2173" s="169">
        <v>45204</v>
      </c>
      <c r="B2173" s="116">
        <v>181.625</v>
      </c>
      <c r="C2173" s="116">
        <v>176.42500000000001</v>
      </c>
      <c r="D2173" s="116">
        <v>175.65</v>
      </c>
      <c r="E2173" s="116">
        <v>179.17500000000001</v>
      </c>
      <c r="F2173" s="116">
        <v>352.85</v>
      </c>
      <c r="G2173">
        <v>29602</v>
      </c>
      <c r="H2173" s="116"/>
      <c r="I2173" s="116"/>
      <c r="L2173" s="169">
        <v>45204</v>
      </c>
      <c r="M2173" s="116">
        <v>176.3</v>
      </c>
      <c r="N2173" s="116">
        <v>181.55</v>
      </c>
      <c r="O2173" s="116">
        <v>175.3</v>
      </c>
      <c r="P2173" s="116">
        <v>179.9</v>
      </c>
      <c r="Q2173" s="116">
        <v>352.6</v>
      </c>
      <c r="R2173">
        <v>339416</v>
      </c>
    </row>
    <row r="2174" spans="1:18" x14ac:dyDescent="0.25">
      <c r="A2174" s="169">
        <v>45205</v>
      </c>
      <c r="B2174" s="116">
        <v>177.875</v>
      </c>
      <c r="C2174" s="116">
        <v>172.6</v>
      </c>
      <c r="D2174" s="116">
        <v>168.52500000000001</v>
      </c>
      <c r="E2174" s="116">
        <v>176.45</v>
      </c>
      <c r="F2174" s="116">
        <v>345.2</v>
      </c>
      <c r="G2174">
        <v>64422</v>
      </c>
      <c r="H2174" s="116"/>
      <c r="I2174" s="116"/>
      <c r="L2174" s="169">
        <v>45205</v>
      </c>
      <c r="M2174" s="116">
        <v>172.65</v>
      </c>
      <c r="N2174" s="116">
        <v>178</v>
      </c>
      <c r="O2174" s="116">
        <v>168.55</v>
      </c>
      <c r="P2174" s="116">
        <v>177.42500000000001</v>
      </c>
      <c r="Q2174" s="116">
        <v>345.3</v>
      </c>
      <c r="R2174">
        <v>652800</v>
      </c>
    </row>
    <row r="2175" spans="1:18" x14ac:dyDescent="0.25">
      <c r="A2175" s="169">
        <v>45208</v>
      </c>
      <c r="B2175" s="116">
        <v>172.5</v>
      </c>
      <c r="C2175" s="116">
        <v>167.375</v>
      </c>
      <c r="D2175" s="116">
        <v>164.875</v>
      </c>
      <c r="E2175" s="116">
        <v>172.5</v>
      </c>
      <c r="F2175" s="116">
        <v>334.75</v>
      </c>
      <c r="G2175">
        <v>22947</v>
      </c>
      <c r="H2175" s="116"/>
      <c r="I2175" s="116"/>
      <c r="L2175" s="169">
        <v>45208</v>
      </c>
      <c r="M2175" s="116">
        <v>167.125</v>
      </c>
      <c r="N2175" s="116">
        <v>172.4</v>
      </c>
      <c r="O2175" s="116">
        <v>164.27500000000001</v>
      </c>
      <c r="P2175" s="116">
        <v>171.625</v>
      </c>
      <c r="Q2175" s="116">
        <v>334.25</v>
      </c>
      <c r="R2175">
        <v>458340</v>
      </c>
    </row>
    <row r="2176" spans="1:18" x14ac:dyDescent="0.25">
      <c r="A2176" s="169">
        <v>45209</v>
      </c>
      <c r="B2176" s="116">
        <v>172.375</v>
      </c>
      <c r="C2176" s="116">
        <v>168.32499999999999</v>
      </c>
      <c r="D2176" s="116">
        <v>167.625</v>
      </c>
      <c r="E2176" s="116">
        <v>168.02500000000001</v>
      </c>
      <c r="F2176" s="116">
        <v>336.65</v>
      </c>
      <c r="G2176">
        <v>41915</v>
      </c>
      <c r="H2176" s="116"/>
      <c r="I2176" s="116"/>
      <c r="L2176" s="169">
        <v>45209</v>
      </c>
      <c r="M2176" s="116">
        <v>168.45</v>
      </c>
      <c r="N2176" s="116">
        <v>172.5</v>
      </c>
      <c r="O2176" s="116">
        <v>167.5</v>
      </c>
      <c r="P2176" s="116">
        <v>169.52500000000001</v>
      </c>
      <c r="Q2176" s="116">
        <v>336.9</v>
      </c>
      <c r="R2176">
        <v>429887</v>
      </c>
    </row>
    <row r="2177" spans="1:18" x14ac:dyDescent="0.25">
      <c r="A2177" s="169">
        <v>45210</v>
      </c>
      <c r="B2177" s="116">
        <v>178.92500000000001</v>
      </c>
      <c r="C2177" s="116">
        <v>173.07499999999999</v>
      </c>
      <c r="D2177" s="116">
        <v>169.57499999999999</v>
      </c>
      <c r="E2177" s="116">
        <v>169.7</v>
      </c>
      <c r="F2177" s="116">
        <v>346.15</v>
      </c>
      <c r="G2177">
        <v>57466</v>
      </c>
      <c r="H2177" s="116"/>
      <c r="I2177" s="116"/>
      <c r="L2177" s="169">
        <v>45210</v>
      </c>
      <c r="M2177" s="116">
        <v>173.5</v>
      </c>
      <c r="N2177" s="116">
        <v>179</v>
      </c>
      <c r="O2177" s="116">
        <v>169.32499999999999</v>
      </c>
      <c r="P2177" s="116">
        <v>169.35</v>
      </c>
      <c r="Q2177" s="116">
        <v>347</v>
      </c>
      <c r="R2177">
        <v>1484130</v>
      </c>
    </row>
    <row r="2178" spans="1:18" x14ac:dyDescent="0.25">
      <c r="A2178" s="169">
        <v>45211</v>
      </c>
      <c r="B2178" s="116">
        <v>180.52500000000001</v>
      </c>
      <c r="C2178" s="116">
        <v>178.97499999999999</v>
      </c>
      <c r="D2178" s="116">
        <v>175</v>
      </c>
      <c r="E2178" s="116">
        <v>176.35</v>
      </c>
      <c r="F2178" s="116">
        <v>357.95</v>
      </c>
      <c r="G2178">
        <v>34723</v>
      </c>
      <c r="H2178" s="116"/>
      <c r="I2178" s="116"/>
      <c r="L2178" s="169">
        <v>45211</v>
      </c>
      <c r="M2178" s="116">
        <v>178.8</v>
      </c>
      <c r="N2178" s="116">
        <v>180.85</v>
      </c>
      <c r="O2178" s="116">
        <v>173.6</v>
      </c>
      <c r="P2178" s="116">
        <v>174.2</v>
      </c>
      <c r="Q2178" s="116">
        <v>357.6</v>
      </c>
      <c r="R2178">
        <v>730519</v>
      </c>
    </row>
    <row r="2179" spans="1:18" x14ac:dyDescent="0.25">
      <c r="A2179" s="169">
        <v>45212</v>
      </c>
      <c r="B2179" s="116">
        <v>183</v>
      </c>
      <c r="C2179" s="116">
        <v>180.67500000000001</v>
      </c>
      <c r="D2179" s="116">
        <v>177.6</v>
      </c>
      <c r="E2179" s="116">
        <v>178.8</v>
      </c>
      <c r="F2179" s="116">
        <v>361.35</v>
      </c>
      <c r="G2179">
        <v>101628</v>
      </c>
      <c r="H2179" s="116"/>
      <c r="I2179" s="116"/>
      <c r="L2179" s="169">
        <v>45212</v>
      </c>
      <c r="M2179" s="116">
        <v>180.67500000000001</v>
      </c>
      <c r="N2179" s="116">
        <v>183.17500000000001</v>
      </c>
      <c r="O2179" s="116">
        <v>177.95</v>
      </c>
      <c r="P2179" s="116">
        <v>178.52500000000001</v>
      </c>
      <c r="Q2179" s="116">
        <v>361.35</v>
      </c>
      <c r="R2179">
        <v>523927</v>
      </c>
    </row>
    <row r="2180" spans="1:18" x14ac:dyDescent="0.25">
      <c r="A2180" s="169">
        <v>45215</v>
      </c>
      <c r="B2180" s="116">
        <v>190.45</v>
      </c>
      <c r="C2180" s="116">
        <v>189.05</v>
      </c>
      <c r="D2180" s="116">
        <v>180.7</v>
      </c>
      <c r="E2180" s="116">
        <v>180.7</v>
      </c>
      <c r="F2180" s="116">
        <v>378.1</v>
      </c>
      <c r="G2180">
        <v>192560</v>
      </c>
      <c r="H2180" s="116"/>
      <c r="I2180" s="116"/>
      <c r="L2180" s="169">
        <v>45215</v>
      </c>
      <c r="M2180" s="116">
        <v>188.95</v>
      </c>
      <c r="N2180" s="116">
        <v>190.5</v>
      </c>
      <c r="O2180" s="116">
        <v>180.67500000000001</v>
      </c>
      <c r="P2180" s="116">
        <v>181.67500000000001</v>
      </c>
      <c r="Q2180" s="116">
        <v>377.9</v>
      </c>
      <c r="R2180">
        <v>1550352</v>
      </c>
    </row>
    <row r="2181" spans="1:18" x14ac:dyDescent="0.25">
      <c r="A2181" s="169">
        <v>45216</v>
      </c>
      <c r="B2181" s="116">
        <v>192.15</v>
      </c>
      <c r="C2181" s="116">
        <v>190.55</v>
      </c>
      <c r="D2181" s="116">
        <v>187</v>
      </c>
      <c r="E2181" s="116">
        <v>190.1</v>
      </c>
      <c r="F2181" s="116">
        <v>381.1</v>
      </c>
      <c r="G2181">
        <v>107649</v>
      </c>
      <c r="H2181" s="116"/>
      <c r="I2181" s="116"/>
      <c r="L2181" s="169">
        <v>45216</v>
      </c>
      <c r="M2181" s="116">
        <v>190.42500000000001</v>
      </c>
      <c r="N2181" s="116">
        <v>192</v>
      </c>
      <c r="O2181" s="116">
        <v>187.02500000000001</v>
      </c>
      <c r="P2181" s="116">
        <v>191</v>
      </c>
      <c r="Q2181" s="116">
        <v>380.85</v>
      </c>
      <c r="R2181">
        <v>992500</v>
      </c>
    </row>
    <row r="2182" spans="1:18" x14ac:dyDescent="0.25">
      <c r="A2182" s="169">
        <v>45217</v>
      </c>
      <c r="B2182" s="116">
        <v>195.05</v>
      </c>
      <c r="C2182" s="116">
        <v>193.82499999999999</v>
      </c>
      <c r="D2182" s="116">
        <v>185.6</v>
      </c>
      <c r="E2182" s="116">
        <v>190.55</v>
      </c>
      <c r="F2182" s="116">
        <v>387.65</v>
      </c>
      <c r="G2182">
        <v>148212</v>
      </c>
      <c r="H2182" s="116"/>
      <c r="I2182" s="116"/>
      <c r="L2182" s="169">
        <v>45217</v>
      </c>
      <c r="M2182" s="116">
        <v>194.125</v>
      </c>
      <c r="N2182" s="116">
        <v>195.45</v>
      </c>
      <c r="O2182" s="116">
        <v>185.65</v>
      </c>
      <c r="P2182" s="116">
        <v>190.65</v>
      </c>
      <c r="Q2182" s="116">
        <v>388.25</v>
      </c>
      <c r="R2182">
        <v>1171104</v>
      </c>
    </row>
    <row r="2183" spans="1:18" x14ac:dyDescent="0.25">
      <c r="A2183" s="169">
        <v>45218</v>
      </c>
      <c r="B2183" s="116">
        <v>199.25</v>
      </c>
      <c r="C2183" s="116">
        <v>197.72499999999999</v>
      </c>
      <c r="D2183" s="116">
        <v>188.2</v>
      </c>
      <c r="E2183" s="116">
        <v>195.22499999999999</v>
      </c>
      <c r="F2183" s="116">
        <v>395.45</v>
      </c>
      <c r="G2183">
        <v>110794</v>
      </c>
      <c r="H2183" s="116"/>
      <c r="I2183" s="116"/>
      <c r="L2183" s="169">
        <v>45218</v>
      </c>
      <c r="M2183" s="116">
        <v>197.97499999999999</v>
      </c>
      <c r="N2183" s="116">
        <v>199.4</v>
      </c>
      <c r="O2183" s="116">
        <v>188</v>
      </c>
      <c r="P2183" s="116">
        <v>194.7</v>
      </c>
      <c r="Q2183" s="116">
        <v>395.95</v>
      </c>
      <c r="R2183">
        <v>1908212</v>
      </c>
    </row>
    <row r="2184" spans="1:18" x14ac:dyDescent="0.25">
      <c r="A2184" s="169">
        <v>45219</v>
      </c>
      <c r="B2184" s="116">
        <v>202.5</v>
      </c>
      <c r="C2184" s="116">
        <v>198.75</v>
      </c>
      <c r="D2184" s="116">
        <v>194.4</v>
      </c>
      <c r="E2184" s="116">
        <v>198.67500000000001</v>
      </c>
      <c r="F2184" s="116">
        <v>397.5</v>
      </c>
      <c r="G2184">
        <v>85293</v>
      </c>
      <c r="H2184" s="116"/>
      <c r="I2184" s="116"/>
      <c r="L2184" s="169">
        <v>45219</v>
      </c>
      <c r="M2184" s="116">
        <v>198.57499999999999</v>
      </c>
      <c r="N2184" s="116">
        <v>202.5</v>
      </c>
      <c r="O2184" s="116">
        <v>194.52500000000001</v>
      </c>
      <c r="P2184" s="116">
        <v>198.6</v>
      </c>
      <c r="Q2184" s="116">
        <v>397.15</v>
      </c>
      <c r="R2184">
        <v>2824561</v>
      </c>
    </row>
    <row r="2185" spans="1:18" x14ac:dyDescent="0.25">
      <c r="A2185" s="169">
        <v>45222</v>
      </c>
      <c r="B2185" s="116">
        <v>203.25</v>
      </c>
      <c r="C2185" s="116">
        <v>182.55</v>
      </c>
      <c r="D2185" s="116">
        <v>179.82499999999999</v>
      </c>
      <c r="E2185" s="116">
        <v>199.47499999999999</v>
      </c>
      <c r="F2185" s="116">
        <v>365.1</v>
      </c>
      <c r="G2185">
        <v>164931</v>
      </c>
      <c r="H2185" s="116"/>
      <c r="I2185" s="116"/>
      <c r="L2185" s="169">
        <v>45222</v>
      </c>
      <c r="M2185" s="116">
        <v>182.65</v>
      </c>
      <c r="N2185" s="116">
        <v>203.45</v>
      </c>
      <c r="O2185" s="116">
        <v>180.57499999999999</v>
      </c>
      <c r="P2185" s="116">
        <v>198.57499999999999</v>
      </c>
      <c r="Q2185" s="116">
        <v>365.3</v>
      </c>
      <c r="R2185">
        <v>1235702</v>
      </c>
    </row>
    <row r="2186" spans="1:18" x14ac:dyDescent="0.25">
      <c r="A2186" s="169">
        <v>45224</v>
      </c>
      <c r="B2186" s="116">
        <v>190.15</v>
      </c>
      <c r="C2186" s="116">
        <v>178.55</v>
      </c>
      <c r="D2186" s="116">
        <v>175.32499999999999</v>
      </c>
      <c r="E2186" s="116">
        <v>186</v>
      </c>
      <c r="F2186" s="116">
        <v>357.1</v>
      </c>
      <c r="G2186">
        <v>50444</v>
      </c>
      <c r="H2186" s="116"/>
      <c r="I2186" s="116"/>
      <c r="L2186" s="169">
        <v>45224</v>
      </c>
      <c r="M2186" s="116">
        <v>178.47499999999999</v>
      </c>
      <c r="N2186" s="116">
        <v>189.25</v>
      </c>
      <c r="O2186" s="116">
        <v>174.95</v>
      </c>
      <c r="P2186" s="116">
        <v>186.4</v>
      </c>
      <c r="Q2186" s="116">
        <v>356.95</v>
      </c>
      <c r="R2186">
        <v>1999620</v>
      </c>
    </row>
    <row r="2187" spans="1:18" x14ac:dyDescent="0.25">
      <c r="A2187" s="169">
        <v>45225</v>
      </c>
      <c r="B2187" s="116">
        <v>196.97499999999999</v>
      </c>
      <c r="C2187" s="116">
        <v>193.35</v>
      </c>
      <c r="D2187" s="116">
        <v>165.02500000000001</v>
      </c>
      <c r="E2187" s="116">
        <v>177.9</v>
      </c>
      <c r="F2187" s="116">
        <v>386.7</v>
      </c>
      <c r="G2187">
        <v>437755</v>
      </c>
      <c r="H2187" s="116"/>
      <c r="I2187" s="116"/>
      <c r="L2187" s="169">
        <v>45225</v>
      </c>
      <c r="M2187" s="116">
        <v>193.8</v>
      </c>
      <c r="N2187" s="116">
        <v>196.9</v>
      </c>
      <c r="O2187" s="116">
        <v>165</v>
      </c>
      <c r="P2187" s="116">
        <v>176</v>
      </c>
      <c r="Q2187" s="116">
        <v>387.6</v>
      </c>
      <c r="R2187">
        <v>5259019</v>
      </c>
    </row>
    <row r="2188" spans="1:18" x14ac:dyDescent="0.25">
      <c r="A2188" s="169">
        <v>45226</v>
      </c>
      <c r="B2188" s="116">
        <v>204.75</v>
      </c>
      <c r="C2188" s="116">
        <v>191.75</v>
      </c>
      <c r="D2188" s="116">
        <v>190</v>
      </c>
      <c r="E2188" s="116">
        <v>200.125</v>
      </c>
      <c r="F2188" s="116">
        <v>383.5</v>
      </c>
      <c r="G2188">
        <v>128562</v>
      </c>
      <c r="H2188" s="116"/>
      <c r="I2188" s="116"/>
      <c r="L2188" s="169">
        <v>45226</v>
      </c>
      <c r="M2188" s="116">
        <v>191.72499999999999</v>
      </c>
      <c r="N2188" s="116">
        <v>205</v>
      </c>
      <c r="O2188" s="116">
        <v>190.05</v>
      </c>
      <c r="P2188" s="116">
        <v>199.9</v>
      </c>
      <c r="Q2188" s="116">
        <v>383.45</v>
      </c>
      <c r="R2188">
        <v>2849002</v>
      </c>
    </row>
    <row r="2189" spans="1:18" x14ac:dyDescent="0.25">
      <c r="A2189" s="169">
        <v>45229</v>
      </c>
      <c r="B2189" s="116">
        <v>209.5</v>
      </c>
      <c r="C2189" s="116">
        <v>206.27500000000001</v>
      </c>
      <c r="D2189" s="116">
        <v>190.52500000000001</v>
      </c>
      <c r="E2189" s="116">
        <v>193.77500000000001</v>
      </c>
      <c r="F2189" s="116">
        <v>412.55</v>
      </c>
      <c r="G2189">
        <v>303264</v>
      </c>
      <c r="H2189" s="116"/>
      <c r="I2189" s="116"/>
      <c r="L2189" s="169">
        <v>45229</v>
      </c>
      <c r="M2189" s="116">
        <v>206.6</v>
      </c>
      <c r="N2189" s="116">
        <v>209.57499999999999</v>
      </c>
      <c r="O2189" s="116">
        <v>190.625</v>
      </c>
      <c r="P2189" s="116">
        <v>194</v>
      </c>
      <c r="Q2189" s="116">
        <v>413.2</v>
      </c>
      <c r="R2189">
        <v>3136770</v>
      </c>
    </row>
    <row r="2190" spans="1:18" x14ac:dyDescent="0.25">
      <c r="A2190" s="169">
        <v>45230</v>
      </c>
      <c r="B2190" s="116">
        <v>224</v>
      </c>
      <c r="C2190" s="116">
        <v>221.57499999999999</v>
      </c>
      <c r="D2190" s="116">
        <v>207.9</v>
      </c>
      <c r="E2190" s="116">
        <v>211.02500000000001</v>
      </c>
      <c r="F2190" s="116">
        <v>443.15</v>
      </c>
      <c r="G2190">
        <v>189913</v>
      </c>
      <c r="H2190" s="116"/>
      <c r="I2190" s="116"/>
      <c r="L2190" s="169">
        <v>45230</v>
      </c>
      <c r="M2190" s="116">
        <v>221.45</v>
      </c>
      <c r="N2190" s="116">
        <v>224</v>
      </c>
      <c r="O2190" s="116">
        <v>207.625</v>
      </c>
      <c r="P2190" s="116">
        <v>211</v>
      </c>
      <c r="Q2190" s="116">
        <v>442.9</v>
      </c>
      <c r="R2190">
        <v>3134535</v>
      </c>
    </row>
    <row r="2191" spans="1:18" x14ac:dyDescent="0.25">
      <c r="A2191" s="169">
        <v>45231</v>
      </c>
      <c r="B2191" s="116">
        <v>226.9</v>
      </c>
      <c r="C2191" s="116">
        <v>217.57499999999999</v>
      </c>
      <c r="D2191" s="116">
        <v>212.52500000000001</v>
      </c>
      <c r="E2191" s="116">
        <v>223.97499999999999</v>
      </c>
      <c r="F2191" s="116">
        <v>435.15</v>
      </c>
      <c r="G2191">
        <v>240358</v>
      </c>
      <c r="H2191" s="116"/>
      <c r="I2191" s="116"/>
      <c r="L2191" s="169">
        <v>45231</v>
      </c>
      <c r="M2191" s="116">
        <v>217.42500000000001</v>
      </c>
      <c r="N2191" s="116">
        <v>226.85</v>
      </c>
      <c r="O2191" s="116">
        <v>212.52500000000001</v>
      </c>
      <c r="P2191" s="116">
        <v>223.4</v>
      </c>
      <c r="Q2191" s="116">
        <v>434.85</v>
      </c>
      <c r="R2191">
        <v>2069243</v>
      </c>
    </row>
    <row r="2192" spans="1:18" x14ac:dyDescent="0.25">
      <c r="A2192" s="169">
        <v>45232</v>
      </c>
      <c r="B2192" s="116">
        <v>226.875</v>
      </c>
      <c r="C2192" s="116">
        <v>220.7</v>
      </c>
      <c r="D2192" s="116">
        <v>210.92500000000001</v>
      </c>
      <c r="E2192" s="116">
        <v>220</v>
      </c>
      <c r="F2192" s="116">
        <v>441.4</v>
      </c>
      <c r="G2192">
        <v>205224</v>
      </c>
      <c r="H2192" s="116"/>
      <c r="I2192" s="116"/>
      <c r="L2192" s="169">
        <v>45232</v>
      </c>
      <c r="M2192" s="116">
        <v>220.72499999999999</v>
      </c>
      <c r="N2192" s="116">
        <v>226.8</v>
      </c>
      <c r="O2192" s="116">
        <v>211</v>
      </c>
      <c r="P2192" s="116">
        <v>220.25</v>
      </c>
      <c r="Q2192" s="116">
        <v>441.45</v>
      </c>
      <c r="R2192">
        <v>1572601</v>
      </c>
    </row>
    <row r="2193" spans="1:18" x14ac:dyDescent="0.25">
      <c r="A2193" s="169">
        <v>45233</v>
      </c>
      <c r="B2193" s="116">
        <v>233.65</v>
      </c>
      <c r="C2193" s="116">
        <v>230.625</v>
      </c>
      <c r="D2193" s="116">
        <v>221.05</v>
      </c>
      <c r="E2193" s="116">
        <v>226.875</v>
      </c>
      <c r="F2193" s="116">
        <v>461.25</v>
      </c>
      <c r="G2193">
        <v>77163</v>
      </c>
      <c r="H2193" s="116"/>
      <c r="I2193" s="116"/>
      <c r="L2193" s="169">
        <v>45233</v>
      </c>
      <c r="M2193" s="116">
        <v>230.27500000000001</v>
      </c>
      <c r="N2193" s="116">
        <v>233.82499999999999</v>
      </c>
      <c r="O2193" s="116">
        <v>220.95</v>
      </c>
      <c r="P2193" s="116">
        <v>222.5</v>
      </c>
      <c r="Q2193" s="116">
        <v>460.55</v>
      </c>
      <c r="R2193">
        <v>2428331</v>
      </c>
    </row>
    <row r="2194" spans="1:18" x14ac:dyDescent="0.25">
      <c r="A2194" s="169">
        <v>45236</v>
      </c>
      <c r="B2194" s="116">
        <v>238.5</v>
      </c>
      <c r="C2194" s="116">
        <v>236.57499999999999</v>
      </c>
      <c r="D2194" s="116">
        <v>229.02500000000001</v>
      </c>
      <c r="E2194" s="116">
        <v>232.6</v>
      </c>
      <c r="F2194" s="116">
        <v>473.15</v>
      </c>
      <c r="G2194">
        <v>105604</v>
      </c>
      <c r="H2194" s="116"/>
      <c r="I2194" s="116"/>
      <c r="L2194" s="169">
        <v>45236</v>
      </c>
      <c r="M2194" s="116">
        <v>236.47499999999999</v>
      </c>
      <c r="N2194" s="116">
        <v>238.5</v>
      </c>
      <c r="O2194" s="116">
        <v>229.05</v>
      </c>
      <c r="P2194" s="116">
        <v>232</v>
      </c>
      <c r="Q2194" s="116">
        <v>472.95</v>
      </c>
      <c r="R2194">
        <v>1398161</v>
      </c>
    </row>
    <row r="2195" spans="1:18" x14ac:dyDescent="0.25">
      <c r="A2195" s="169">
        <v>45237</v>
      </c>
      <c r="B2195" s="116">
        <v>242.65</v>
      </c>
      <c r="C2195" s="116">
        <v>241.35</v>
      </c>
      <c r="D2195" s="116">
        <v>234.07499999999999</v>
      </c>
      <c r="E2195" s="116">
        <v>238.47499999999999</v>
      </c>
      <c r="F2195" s="116">
        <v>482.7</v>
      </c>
      <c r="G2195">
        <v>128279</v>
      </c>
      <c r="H2195" s="116"/>
      <c r="I2195" s="116"/>
      <c r="L2195" s="169">
        <v>45237</v>
      </c>
      <c r="M2195" s="116">
        <v>241.27500000000001</v>
      </c>
      <c r="N2195" s="116">
        <v>242.5</v>
      </c>
      <c r="O2195" s="116">
        <v>234.27500000000001</v>
      </c>
      <c r="P2195" s="116">
        <v>236.47499999999999</v>
      </c>
      <c r="Q2195" s="116">
        <v>482.55</v>
      </c>
      <c r="R2195">
        <v>1148468</v>
      </c>
    </row>
    <row r="2196" spans="1:18" x14ac:dyDescent="0.25">
      <c r="A2196" s="169">
        <v>45238</v>
      </c>
      <c r="B2196" s="116">
        <v>242.875</v>
      </c>
      <c r="C2196" s="116">
        <v>233.35</v>
      </c>
      <c r="D2196" s="116">
        <v>232.22499999999999</v>
      </c>
      <c r="E2196" s="116">
        <v>242</v>
      </c>
      <c r="F2196" s="116">
        <v>466.7</v>
      </c>
      <c r="G2196">
        <v>138414</v>
      </c>
      <c r="H2196" s="116"/>
      <c r="I2196" s="116"/>
      <c r="L2196" s="169">
        <v>45238</v>
      </c>
      <c r="M2196" s="116">
        <v>233.5</v>
      </c>
      <c r="N2196" s="116">
        <v>242.42500000000001</v>
      </c>
      <c r="O2196" s="116">
        <v>232.5</v>
      </c>
      <c r="P2196" s="116">
        <v>242</v>
      </c>
      <c r="Q2196" s="116">
        <v>467</v>
      </c>
      <c r="R2196">
        <v>896192</v>
      </c>
    </row>
    <row r="2197" spans="1:18" x14ac:dyDescent="0.25">
      <c r="A2197" s="169">
        <v>45239</v>
      </c>
      <c r="B2197" s="116">
        <v>236.375</v>
      </c>
      <c r="C2197" s="116">
        <v>234</v>
      </c>
      <c r="D2197" s="116">
        <v>228.92500000000001</v>
      </c>
      <c r="E2197" s="116">
        <v>235.8</v>
      </c>
      <c r="F2197" s="116">
        <v>468</v>
      </c>
      <c r="G2197">
        <v>33464</v>
      </c>
      <c r="H2197" s="116"/>
      <c r="I2197" s="116"/>
      <c r="L2197" s="169">
        <v>45239</v>
      </c>
      <c r="M2197" s="116">
        <v>234.32499999999999</v>
      </c>
      <c r="N2197" s="116">
        <v>236.25</v>
      </c>
      <c r="O2197" s="116">
        <v>228.9</v>
      </c>
      <c r="P2197" s="116">
        <v>234.65</v>
      </c>
      <c r="Q2197" s="116">
        <v>468.65</v>
      </c>
      <c r="R2197">
        <v>873698</v>
      </c>
    </row>
    <row r="2198" spans="1:18" x14ac:dyDescent="0.25">
      <c r="A2198" s="169">
        <v>45240</v>
      </c>
      <c r="B2198" s="116">
        <v>247.9</v>
      </c>
      <c r="C2198" s="116">
        <v>243.95</v>
      </c>
      <c r="D2198" s="116">
        <v>235</v>
      </c>
      <c r="E2198" s="116">
        <v>235</v>
      </c>
      <c r="F2198" s="116">
        <v>487.9</v>
      </c>
      <c r="G2198">
        <v>76860</v>
      </c>
      <c r="H2198" s="116"/>
      <c r="I2198" s="116"/>
      <c r="L2198" s="169">
        <v>45240</v>
      </c>
      <c r="M2198" s="116">
        <v>243.875</v>
      </c>
      <c r="N2198" s="116">
        <v>248</v>
      </c>
      <c r="O2198" s="116">
        <v>235</v>
      </c>
      <c r="P2198" s="116">
        <v>235.3</v>
      </c>
      <c r="Q2198" s="116">
        <v>487.75</v>
      </c>
      <c r="R2198">
        <v>1537458</v>
      </c>
    </row>
    <row r="2199" spans="1:18" x14ac:dyDescent="0.25">
      <c r="A2199" s="169">
        <v>45242</v>
      </c>
      <c r="B2199" s="116">
        <v>248.4</v>
      </c>
      <c r="C2199" s="116">
        <v>247.9</v>
      </c>
      <c r="D2199" s="116">
        <v>245.22499999999999</v>
      </c>
      <c r="E2199" s="116">
        <v>247.92500000000001</v>
      </c>
      <c r="F2199" s="116">
        <v>495.8</v>
      </c>
      <c r="G2199">
        <v>50546</v>
      </c>
      <c r="H2199" s="116"/>
      <c r="I2199" s="116"/>
      <c r="L2199" s="169">
        <v>45242</v>
      </c>
      <c r="M2199" s="116">
        <v>247.85</v>
      </c>
      <c r="N2199" s="116">
        <v>248.5</v>
      </c>
      <c r="O2199" s="116">
        <v>245.52500000000001</v>
      </c>
      <c r="P2199" s="116">
        <v>246.125</v>
      </c>
      <c r="Q2199" s="116">
        <v>495.7</v>
      </c>
      <c r="R2199">
        <v>358695</v>
      </c>
    </row>
    <row r="2200" spans="1:18" x14ac:dyDescent="0.25">
      <c r="A2200" s="169">
        <v>45243</v>
      </c>
      <c r="B2200" s="116">
        <v>249.85</v>
      </c>
      <c r="C2200" s="116">
        <v>246.22499999999999</v>
      </c>
      <c r="D2200" s="116">
        <v>243.25</v>
      </c>
      <c r="E2200" s="116">
        <v>249.85</v>
      </c>
      <c r="F2200" s="116">
        <v>492.45</v>
      </c>
      <c r="G2200">
        <v>51098</v>
      </c>
      <c r="H2200" s="116"/>
      <c r="I2200" s="116"/>
      <c r="L2200" s="169">
        <v>45243</v>
      </c>
      <c r="M2200" s="116">
        <v>246.35</v>
      </c>
      <c r="N2200" s="116">
        <v>248</v>
      </c>
      <c r="O2200" s="116">
        <v>242.875</v>
      </c>
      <c r="P2200" s="116">
        <v>248</v>
      </c>
      <c r="Q2200" s="116">
        <v>492.7</v>
      </c>
      <c r="R2200">
        <v>493661</v>
      </c>
    </row>
    <row r="2201" spans="1:18" x14ac:dyDescent="0.25">
      <c r="A2201" s="169">
        <v>45245</v>
      </c>
      <c r="B2201" s="116">
        <v>257.3</v>
      </c>
      <c r="C2201" s="116">
        <v>253.5</v>
      </c>
      <c r="D2201" s="116">
        <v>245.5</v>
      </c>
      <c r="E2201" s="116">
        <v>247.97499999999999</v>
      </c>
      <c r="F2201" s="116">
        <v>507</v>
      </c>
      <c r="G2201">
        <v>46941</v>
      </c>
      <c r="H2201" s="116"/>
      <c r="I2201" s="116"/>
      <c r="L2201" s="169">
        <v>45245</v>
      </c>
      <c r="M2201" s="116">
        <v>253.4</v>
      </c>
      <c r="N2201" s="116">
        <v>257.39999999999998</v>
      </c>
      <c r="O2201" s="116">
        <v>245.25</v>
      </c>
      <c r="P2201" s="116">
        <v>246.5</v>
      </c>
      <c r="Q2201" s="116">
        <v>506.8</v>
      </c>
      <c r="R2201">
        <v>1161789</v>
      </c>
    </row>
    <row r="2202" spans="1:18" x14ac:dyDescent="0.25">
      <c r="A2202" s="169">
        <v>45246</v>
      </c>
      <c r="B2202" s="116">
        <v>257.47500000000002</v>
      </c>
      <c r="C2202" s="116">
        <v>245.375</v>
      </c>
      <c r="D2202" s="116">
        <v>241.875</v>
      </c>
      <c r="E2202" s="116">
        <v>251.02500000000001</v>
      </c>
      <c r="F2202" s="116">
        <v>490.75</v>
      </c>
      <c r="G2202">
        <v>118404</v>
      </c>
      <c r="H2202" s="116"/>
      <c r="I2202" s="116"/>
      <c r="L2202" s="169">
        <v>45246</v>
      </c>
      <c r="M2202" s="116">
        <v>245.47499999999999</v>
      </c>
      <c r="N2202" s="116">
        <v>257.5</v>
      </c>
      <c r="O2202" s="116">
        <v>241.57499999999999</v>
      </c>
      <c r="P2202" s="116">
        <v>252.65</v>
      </c>
      <c r="Q2202" s="116">
        <v>490.95</v>
      </c>
      <c r="R2202">
        <v>869224</v>
      </c>
    </row>
    <row r="2203" spans="1:18" x14ac:dyDescent="0.25">
      <c r="A2203" s="169">
        <v>45247</v>
      </c>
      <c r="B2203" s="116">
        <v>247.72499999999999</v>
      </c>
      <c r="C2203" s="116">
        <v>243.5</v>
      </c>
      <c r="D2203" s="116">
        <v>242.02500000000001</v>
      </c>
      <c r="E2203" s="116">
        <v>245.5</v>
      </c>
      <c r="F2203" s="116">
        <v>487</v>
      </c>
      <c r="G2203">
        <v>28094</v>
      </c>
      <c r="H2203" s="116"/>
      <c r="I2203" s="116"/>
      <c r="L2203" s="169">
        <v>45247</v>
      </c>
      <c r="M2203" s="116">
        <v>243.55</v>
      </c>
      <c r="N2203" s="116">
        <v>247.875</v>
      </c>
      <c r="O2203" s="116">
        <v>241.8</v>
      </c>
      <c r="P2203" s="116">
        <v>245.47499999999999</v>
      </c>
      <c r="Q2203" s="116">
        <v>487.1</v>
      </c>
      <c r="R2203">
        <v>629754</v>
      </c>
    </row>
    <row r="2204" spans="1:18" x14ac:dyDescent="0.25">
      <c r="A2204" s="169">
        <v>45250</v>
      </c>
      <c r="B2204" s="116">
        <v>245.72499999999999</v>
      </c>
      <c r="C2204" s="116">
        <v>236.55</v>
      </c>
      <c r="D2204" s="116">
        <v>235.1</v>
      </c>
      <c r="E2204" s="116">
        <v>245.72499999999999</v>
      </c>
      <c r="F2204" s="116">
        <v>473.1</v>
      </c>
      <c r="G2204">
        <v>47324</v>
      </c>
      <c r="H2204" s="116"/>
      <c r="I2204" s="116"/>
      <c r="L2204" s="169">
        <v>45250</v>
      </c>
      <c r="M2204" s="116">
        <v>236.67500000000001</v>
      </c>
      <c r="N2204" s="116">
        <v>245.05</v>
      </c>
      <c r="O2204" s="116">
        <v>235</v>
      </c>
      <c r="P2204" s="116">
        <v>244.42500000000001</v>
      </c>
      <c r="Q2204" s="116">
        <v>473.35</v>
      </c>
      <c r="R2204">
        <v>806938</v>
      </c>
    </row>
    <row r="2205" spans="1:18" x14ac:dyDescent="0.25">
      <c r="A2205" s="169">
        <v>45251</v>
      </c>
      <c r="B2205" s="116">
        <v>243.7</v>
      </c>
      <c r="C2205" s="116">
        <v>240.15</v>
      </c>
      <c r="D2205" s="116">
        <v>238.65</v>
      </c>
      <c r="E2205" s="116">
        <v>241.3</v>
      </c>
      <c r="F2205" s="116">
        <v>480.3</v>
      </c>
      <c r="G2205">
        <v>20124</v>
      </c>
      <c r="H2205" s="116"/>
      <c r="I2205" s="116"/>
      <c r="L2205" s="169">
        <v>45251</v>
      </c>
      <c r="M2205" s="116">
        <v>240.25</v>
      </c>
      <c r="N2205" s="116">
        <v>243.75</v>
      </c>
      <c r="O2205" s="116">
        <v>237.5</v>
      </c>
      <c r="P2205" s="116">
        <v>237.5</v>
      </c>
      <c r="Q2205" s="116">
        <v>480.5</v>
      </c>
      <c r="R2205">
        <v>722282</v>
      </c>
    </row>
    <row r="2206" spans="1:18" x14ac:dyDescent="0.25">
      <c r="A2206" s="169">
        <v>45252</v>
      </c>
      <c r="B2206" s="116">
        <v>244.97499999999999</v>
      </c>
      <c r="C2206" s="116">
        <v>227.6</v>
      </c>
      <c r="D2206" s="116">
        <v>223.85</v>
      </c>
      <c r="E2206" s="116">
        <v>244.97499999999999</v>
      </c>
      <c r="F2206" s="116">
        <v>455.2</v>
      </c>
      <c r="G2206">
        <v>69072</v>
      </c>
      <c r="H2206" s="116"/>
      <c r="I2206" s="116"/>
      <c r="L2206" s="169">
        <v>45252</v>
      </c>
      <c r="M2206" s="116">
        <v>227.72499999999999</v>
      </c>
      <c r="N2206" s="116">
        <v>241.52500000000001</v>
      </c>
      <c r="O2206" s="116">
        <v>223.57499999999999</v>
      </c>
      <c r="P2206" s="116">
        <v>240.72499999999999</v>
      </c>
      <c r="Q2206" s="116">
        <v>455.45</v>
      </c>
      <c r="R2206">
        <v>1856124</v>
      </c>
    </row>
    <row r="2207" spans="1:18" x14ac:dyDescent="0.25">
      <c r="A2207" s="169">
        <v>45253</v>
      </c>
      <c r="B2207" s="116">
        <v>232.375</v>
      </c>
      <c r="C2207" s="116">
        <v>228.375</v>
      </c>
      <c r="D2207" s="116">
        <v>227.25</v>
      </c>
      <c r="E2207" s="116">
        <v>227.92500000000001</v>
      </c>
      <c r="F2207" s="116">
        <v>456.75</v>
      </c>
      <c r="G2207">
        <v>31082</v>
      </c>
      <c r="H2207" s="116"/>
      <c r="I2207" s="116"/>
      <c r="L2207" s="169">
        <v>45253</v>
      </c>
      <c r="M2207" s="116">
        <v>228.625</v>
      </c>
      <c r="N2207" s="116">
        <v>232.3</v>
      </c>
      <c r="O2207" s="116">
        <v>227.17500000000001</v>
      </c>
      <c r="P2207" s="116">
        <v>228.97499999999999</v>
      </c>
      <c r="Q2207" s="116">
        <v>457.25</v>
      </c>
      <c r="R2207">
        <v>904641</v>
      </c>
    </row>
    <row r="2208" spans="1:18" x14ac:dyDescent="0.25">
      <c r="A2208" s="169">
        <v>45254</v>
      </c>
      <c r="B2208" s="116">
        <v>232.3</v>
      </c>
      <c r="C2208" s="116">
        <v>222.95</v>
      </c>
      <c r="D2208" s="116">
        <v>221.6</v>
      </c>
      <c r="E2208" s="116">
        <v>232.3</v>
      </c>
      <c r="F2208" s="116">
        <v>445.9</v>
      </c>
      <c r="G2208">
        <v>27484</v>
      </c>
      <c r="H2208" s="116"/>
      <c r="I2208" s="116"/>
      <c r="L2208" s="169">
        <v>45254</v>
      </c>
      <c r="M2208" s="116">
        <v>222.72499999999999</v>
      </c>
      <c r="N2208" s="116">
        <v>230.6</v>
      </c>
      <c r="O2208" s="116">
        <v>221.9</v>
      </c>
      <c r="P2208" s="116">
        <v>229</v>
      </c>
      <c r="Q2208" s="116">
        <v>445.45</v>
      </c>
      <c r="R2208">
        <v>881110</v>
      </c>
    </row>
    <row r="2209" spans="1:18" x14ac:dyDescent="0.25">
      <c r="A2209" s="169">
        <v>45258</v>
      </c>
      <c r="B2209" s="116">
        <v>232.35</v>
      </c>
      <c r="C2209" s="116">
        <v>231.07499999999999</v>
      </c>
      <c r="D2209" s="116">
        <v>222.5</v>
      </c>
      <c r="E2209" s="116">
        <v>222.95</v>
      </c>
      <c r="F2209" s="116">
        <v>462.15</v>
      </c>
      <c r="G2209">
        <v>98877</v>
      </c>
      <c r="H2209" s="116"/>
      <c r="I2209" s="116"/>
      <c r="L2209" s="169">
        <v>45258</v>
      </c>
      <c r="M2209" s="116">
        <v>229.85</v>
      </c>
      <c r="N2209" s="116">
        <v>232.375</v>
      </c>
      <c r="O2209" s="116">
        <v>222.55</v>
      </c>
      <c r="P2209" s="116">
        <v>223.77500000000001</v>
      </c>
      <c r="Q2209" s="116">
        <v>459.7</v>
      </c>
      <c r="R2209">
        <v>2155044</v>
      </c>
    </row>
    <row r="2210" spans="1:18" x14ac:dyDescent="0.25">
      <c r="A2210" s="169">
        <v>45259</v>
      </c>
      <c r="B2210" s="116">
        <v>234.82499999999999</v>
      </c>
      <c r="C2210" s="116">
        <v>231</v>
      </c>
      <c r="D2210" s="116">
        <v>227.17500000000001</v>
      </c>
      <c r="E2210" s="116">
        <v>231.47499999999999</v>
      </c>
      <c r="F2210" s="116">
        <v>462</v>
      </c>
      <c r="G2210">
        <v>75735</v>
      </c>
      <c r="H2210" s="116"/>
      <c r="I2210" s="116"/>
      <c r="L2210" s="169">
        <v>45259</v>
      </c>
      <c r="M2210" s="116">
        <v>231.7</v>
      </c>
      <c r="N2210" s="116">
        <v>234.85</v>
      </c>
      <c r="O2210" s="116">
        <v>227.3</v>
      </c>
      <c r="P2210" s="116">
        <v>231</v>
      </c>
      <c r="Q2210" s="116">
        <v>463.4</v>
      </c>
      <c r="R2210">
        <v>1310681</v>
      </c>
    </row>
    <row r="2211" spans="1:18" x14ac:dyDescent="0.25">
      <c r="A2211" s="169">
        <v>45260</v>
      </c>
      <c r="B2211" s="116">
        <v>238.7</v>
      </c>
      <c r="C2211" s="116">
        <v>228.97499999999999</v>
      </c>
      <c r="D2211" s="116">
        <v>224.42500000000001</v>
      </c>
      <c r="E2211" s="116">
        <v>231</v>
      </c>
      <c r="F2211" s="116">
        <v>457.95</v>
      </c>
      <c r="G2211">
        <v>43374</v>
      </c>
      <c r="H2211" s="116"/>
      <c r="I2211" s="116"/>
      <c r="L2211" s="169">
        <v>45260</v>
      </c>
      <c r="M2211" s="116">
        <v>232.32499999999999</v>
      </c>
      <c r="N2211" s="116">
        <v>239</v>
      </c>
      <c r="O2211" s="116">
        <v>223.2</v>
      </c>
      <c r="P2211" s="116">
        <v>230.125</v>
      </c>
      <c r="Q2211" s="116">
        <v>464.65</v>
      </c>
      <c r="R2211">
        <v>2420551</v>
      </c>
    </row>
    <row r="2212" spans="1:18" x14ac:dyDescent="0.25">
      <c r="A2212" s="169">
        <v>45261</v>
      </c>
      <c r="B2212" s="116">
        <v>237.2</v>
      </c>
      <c r="C2212" s="116">
        <v>235.07499999999999</v>
      </c>
      <c r="D2212" s="116">
        <v>231.5</v>
      </c>
      <c r="E2212" s="116">
        <v>231.72499999999999</v>
      </c>
      <c r="F2212" s="116">
        <v>470.15</v>
      </c>
      <c r="G2212">
        <v>24943</v>
      </c>
      <c r="H2212" s="116"/>
      <c r="I2212" s="116"/>
      <c r="L2212" s="169">
        <v>45261</v>
      </c>
      <c r="M2212" s="116">
        <v>235.35</v>
      </c>
      <c r="N2212" s="116">
        <v>239.77500000000001</v>
      </c>
      <c r="O2212" s="116">
        <v>231</v>
      </c>
      <c r="P2212" s="116">
        <v>231.45</v>
      </c>
      <c r="Q2212" s="116">
        <v>470.7</v>
      </c>
      <c r="R2212">
        <v>718464</v>
      </c>
    </row>
    <row r="2213" spans="1:18" x14ac:dyDescent="0.25">
      <c r="A2213" s="169">
        <v>45264</v>
      </c>
      <c r="B2213" s="116">
        <v>242.47499999999999</v>
      </c>
      <c r="C2213" s="116">
        <v>230.67500000000001</v>
      </c>
      <c r="D2213" s="116">
        <v>228.72499999999999</v>
      </c>
      <c r="E2213" s="116">
        <v>240</v>
      </c>
      <c r="F2213" s="116">
        <v>461.35</v>
      </c>
      <c r="G2213">
        <v>42573</v>
      </c>
      <c r="H2213" s="116"/>
      <c r="I2213" s="116"/>
      <c r="L2213" s="169">
        <v>45264</v>
      </c>
      <c r="M2213" s="116">
        <v>230.875</v>
      </c>
      <c r="N2213" s="116">
        <v>242.47499999999999</v>
      </c>
      <c r="O2213" s="116">
        <v>228.5</v>
      </c>
      <c r="P2213" s="116">
        <v>242.47499999999999</v>
      </c>
      <c r="Q2213" s="116">
        <v>461.75</v>
      </c>
      <c r="R2213">
        <v>1418576</v>
      </c>
    </row>
    <row r="2214" spans="1:18" x14ac:dyDescent="0.25">
      <c r="A2214" s="169">
        <v>45265</v>
      </c>
      <c r="B2214" s="116">
        <v>234.35</v>
      </c>
      <c r="C2214" s="116">
        <v>230.15</v>
      </c>
      <c r="D2214" s="116">
        <v>227.27500000000001</v>
      </c>
      <c r="E2214" s="116">
        <v>232.92500000000001</v>
      </c>
      <c r="F2214" s="116">
        <v>460.3</v>
      </c>
      <c r="G2214">
        <v>33749</v>
      </c>
      <c r="H2214" s="116"/>
      <c r="I2214" s="116"/>
      <c r="L2214" s="169">
        <v>45265</v>
      </c>
      <c r="M2214" s="116">
        <v>230.15</v>
      </c>
      <c r="N2214" s="116">
        <v>234.25</v>
      </c>
      <c r="O2214" s="116">
        <v>227.25</v>
      </c>
      <c r="P2214" s="116">
        <v>231.9</v>
      </c>
      <c r="Q2214" s="116">
        <v>460.3</v>
      </c>
      <c r="R2214">
        <v>740534</v>
      </c>
    </row>
    <row r="2215" spans="1:18" x14ac:dyDescent="0.25">
      <c r="A2215" s="169">
        <v>45266</v>
      </c>
      <c r="B2215" s="116">
        <v>231.77500000000001</v>
      </c>
      <c r="C2215" s="116">
        <v>228.22499999999999</v>
      </c>
      <c r="D2215" s="116">
        <v>219.25</v>
      </c>
      <c r="E2215" s="116">
        <v>230.02500000000001</v>
      </c>
      <c r="F2215" s="116">
        <v>456.45</v>
      </c>
      <c r="G2215">
        <v>132713</v>
      </c>
      <c r="H2215" s="116"/>
      <c r="I2215" s="116"/>
      <c r="L2215" s="169">
        <v>45266</v>
      </c>
      <c r="M2215" s="116">
        <v>228.15</v>
      </c>
      <c r="N2215" s="116">
        <v>231.55</v>
      </c>
      <c r="O2215" s="116">
        <v>219</v>
      </c>
      <c r="P2215" s="116">
        <v>230.6</v>
      </c>
      <c r="Q2215" s="116">
        <v>456.3</v>
      </c>
      <c r="R2215">
        <v>1421367</v>
      </c>
    </row>
    <row r="2216" spans="1:18" x14ac:dyDescent="0.25">
      <c r="A2216" s="169">
        <v>45267</v>
      </c>
      <c r="B2216" s="116">
        <v>229.4</v>
      </c>
      <c r="C2216" s="116">
        <v>225.625</v>
      </c>
      <c r="D2216" s="116">
        <v>223.02500000000001</v>
      </c>
      <c r="E2216" s="116">
        <v>229.375</v>
      </c>
      <c r="F2216" s="116">
        <v>451.25</v>
      </c>
      <c r="G2216">
        <v>64404</v>
      </c>
      <c r="H2216" s="116"/>
      <c r="I2216" s="116"/>
      <c r="L2216" s="169">
        <v>45267</v>
      </c>
      <c r="M2216" s="116">
        <v>225.57499999999999</v>
      </c>
      <c r="N2216" s="116">
        <v>229.55</v>
      </c>
      <c r="O2216" s="116">
        <v>223</v>
      </c>
      <c r="P2216" s="116">
        <v>228.35</v>
      </c>
      <c r="Q2216" s="116">
        <v>451.15</v>
      </c>
      <c r="R2216">
        <v>577746</v>
      </c>
    </row>
    <row r="2217" spans="1:18" x14ac:dyDescent="0.25">
      <c r="A2217" s="169">
        <v>45268</v>
      </c>
      <c r="B2217" s="116">
        <v>227</v>
      </c>
      <c r="C2217" s="116">
        <v>217.35</v>
      </c>
      <c r="D2217" s="116">
        <v>216.5</v>
      </c>
      <c r="E2217" s="116">
        <v>227</v>
      </c>
      <c r="F2217" s="116">
        <v>434.7</v>
      </c>
      <c r="G2217">
        <v>134970</v>
      </c>
      <c r="H2217" s="116"/>
      <c r="I2217" s="116"/>
      <c r="L2217" s="169">
        <v>45268</v>
      </c>
      <c r="M2217" s="116">
        <v>217.45</v>
      </c>
      <c r="N2217" s="116">
        <v>226.92500000000001</v>
      </c>
      <c r="O2217" s="116">
        <v>216.125</v>
      </c>
      <c r="P2217" s="116">
        <v>226.125</v>
      </c>
      <c r="Q2217" s="116">
        <v>434.9</v>
      </c>
      <c r="R2217">
        <v>1590306</v>
      </c>
    </row>
    <row r="2218" spans="1:18" x14ac:dyDescent="0.25">
      <c r="A2218" s="169">
        <v>45271</v>
      </c>
      <c r="B2218" s="116">
        <v>223.25</v>
      </c>
      <c r="C2218" s="116">
        <v>219.5</v>
      </c>
      <c r="D2218" s="116">
        <v>215.55</v>
      </c>
      <c r="E2218" s="116">
        <v>218.77500000000001</v>
      </c>
      <c r="F2218" s="116">
        <v>439</v>
      </c>
      <c r="G2218">
        <v>36154</v>
      </c>
      <c r="H2218" s="116"/>
      <c r="I2218" s="116"/>
      <c r="L2218" s="169">
        <v>45271</v>
      </c>
      <c r="M2218" s="116">
        <v>219.75</v>
      </c>
      <c r="N2218" s="116">
        <v>223.67500000000001</v>
      </c>
      <c r="O2218" s="116">
        <v>215.55</v>
      </c>
      <c r="P2218" s="116">
        <v>218.52500000000001</v>
      </c>
      <c r="Q2218" s="116">
        <v>439.5</v>
      </c>
      <c r="R2218">
        <v>1045690</v>
      </c>
    </row>
    <row r="2219" spans="1:18" x14ac:dyDescent="0.25">
      <c r="A2219" s="169">
        <v>45272</v>
      </c>
      <c r="B2219" s="116">
        <v>223</v>
      </c>
      <c r="C2219" s="116">
        <v>220.27500000000001</v>
      </c>
      <c r="D2219" s="116">
        <v>219.05</v>
      </c>
      <c r="E2219" s="116">
        <v>221.17500000000001</v>
      </c>
      <c r="F2219" s="116">
        <v>440.55</v>
      </c>
      <c r="G2219">
        <v>21155</v>
      </c>
      <c r="H2219" s="116"/>
      <c r="I2219" s="116"/>
      <c r="L2219" s="169">
        <v>45272</v>
      </c>
      <c r="M2219" s="116">
        <v>220.32499999999999</v>
      </c>
      <c r="N2219" s="116">
        <v>222.875</v>
      </c>
      <c r="O2219" s="116">
        <v>219</v>
      </c>
      <c r="P2219" s="116">
        <v>221</v>
      </c>
      <c r="Q2219" s="116">
        <v>440.65</v>
      </c>
      <c r="R2219">
        <v>1129793</v>
      </c>
    </row>
    <row r="2220" spans="1:18" x14ac:dyDescent="0.25">
      <c r="A2220" s="169">
        <v>45273</v>
      </c>
      <c r="B2220" s="116">
        <v>221.625</v>
      </c>
      <c r="C2220" s="116">
        <v>215.35</v>
      </c>
      <c r="D2220" s="116">
        <v>214.32499999999999</v>
      </c>
      <c r="E2220" s="116">
        <v>221.6</v>
      </c>
      <c r="F2220" s="116">
        <v>430.7</v>
      </c>
      <c r="G2220">
        <v>26876</v>
      </c>
      <c r="H2220" s="116"/>
      <c r="I2220" s="116"/>
      <c r="L2220" s="169">
        <v>45273</v>
      </c>
      <c r="M2220" s="116">
        <v>215.15</v>
      </c>
      <c r="N2220" s="116">
        <v>221.25</v>
      </c>
      <c r="O2220" s="116">
        <v>214</v>
      </c>
      <c r="P2220" s="116">
        <v>221.15</v>
      </c>
      <c r="Q2220" s="116">
        <v>430.3</v>
      </c>
      <c r="R2220">
        <v>1048200</v>
      </c>
    </row>
    <row r="2221" spans="1:18" x14ac:dyDescent="0.25">
      <c r="A2221" s="169">
        <v>45274</v>
      </c>
      <c r="B2221" s="116">
        <v>220.5</v>
      </c>
      <c r="C2221" s="116">
        <v>217.72499999999999</v>
      </c>
      <c r="D2221" s="116">
        <v>214</v>
      </c>
      <c r="E2221" s="116">
        <v>216.25</v>
      </c>
      <c r="F2221" s="116">
        <v>435.45</v>
      </c>
      <c r="G2221">
        <v>102883</v>
      </c>
      <c r="H2221" s="116"/>
      <c r="I2221" s="116"/>
      <c r="L2221" s="169">
        <v>45274</v>
      </c>
      <c r="M2221" s="116">
        <v>217.35</v>
      </c>
      <c r="N2221" s="116">
        <v>220.57499999999999</v>
      </c>
      <c r="O2221" s="116">
        <v>214</v>
      </c>
      <c r="P2221" s="116">
        <v>216.45</v>
      </c>
      <c r="Q2221" s="116">
        <v>434.7</v>
      </c>
      <c r="R2221">
        <v>1207695</v>
      </c>
    </row>
    <row r="2222" spans="1:18" x14ac:dyDescent="0.25">
      <c r="A2222" s="169">
        <v>45275</v>
      </c>
      <c r="B2222" s="116">
        <v>224.875</v>
      </c>
      <c r="C2222" s="116">
        <v>218</v>
      </c>
      <c r="D2222" s="116">
        <v>216.1</v>
      </c>
      <c r="E2222" s="116">
        <v>216.1</v>
      </c>
      <c r="F2222" s="116">
        <v>436</v>
      </c>
      <c r="G2222">
        <v>94990</v>
      </c>
      <c r="H2222" s="116"/>
      <c r="I2222" s="116"/>
      <c r="L2222" s="169">
        <v>45275</v>
      </c>
      <c r="M2222" s="116">
        <v>218.07499999999999</v>
      </c>
      <c r="N2222" s="116">
        <v>225</v>
      </c>
      <c r="O2222" s="116">
        <v>217.3</v>
      </c>
      <c r="P2222" s="116">
        <v>217.47499999999999</v>
      </c>
      <c r="Q2222" s="116">
        <v>436.15</v>
      </c>
      <c r="R2222">
        <v>928533</v>
      </c>
    </row>
    <row r="2223" spans="1:18" x14ac:dyDescent="0.25">
      <c r="A2223" s="169">
        <v>45278</v>
      </c>
      <c r="B2223" s="116">
        <v>222.17500000000001</v>
      </c>
      <c r="C2223" s="116">
        <v>216.7</v>
      </c>
      <c r="D2223" s="116">
        <v>211.875</v>
      </c>
      <c r="E2223" s="116">
        <v>215.625</v>
      </c>
      <c r="F2223" s="116">
        <v>433.4</v>
      </c>
      <c r="G2223">
        <v>40000</v>
      </c>
      <c r="H2223" s="116"/>
      <c r="I2223" s="116"/>
      <c r="L2223" s="169">
        <v>45278</v>
      </c>
      <c r="M2223" s="116">
        <v>216.625</v>
      </c>
      <c r="N2223" s="116">
        <v>222</v>
      </c>
      <c r="O2223" s="116">
        <v>211.2</v>
      </c>
      <c r="P2223" s="116">
        <v>216.97499999999999</v>
      </c>
      <c r="Q2223" s="116">
        <v>433.25</v>
      </c>
      <c r="R2223">
        <v>1531515</v>
      </c>
    </row>
    <row r="2224" spans="1:18" x14ac:dyDescent="0.25">
      <c r="A2224" s="169">
        <v>45279</v>
      </c>
      <c r="B2224" s="116">
        <v>225.85</v>
      </c>
      <c r="C2224" s="116">
        <v>219.57499999999999</v>
      </c>
      <c r="D2224" s="116">
        <v>218.15</v>
      </c>
      <c r="E2224" s="116">
        <v>222</v>
      </c>
      <c r="F2224" s="116">
        <v>439.15</v>
      </c>
      <c r="G2224">
        <v>112850</v>
      </c>
      <c r="H2224" s="116"/>
      <c r="I2224" s="116"/>
      <c r="L2224" s="169">
        <v>45279</v>
      </c>
      <c r="M2224" s="116">
        <v>219.27500000000001</v>
      </c>
      <c r="N2224" s="116">
        <v>226</v>
      </c>
      <c r="O2224" s="116">
        <v>217.875</v>
      </c>
      <c r="P2224" s="116">
        <v>222.55</v>
      </c>
      <c r="Q2224" s="116">
        <v>438.55</v>
      </c>
      <c r="R2224">
        <v>1434781</v>
      </c>
    </row>
    <row r="2225" spans="1:18" x14ac:dyDescent="0.25">
      <c r="A2225" s="169">
        <v>45280</v>
      </c>
      <c r="B2225" s="116">
        <v>224</v>
      </c>
      <c r="C2225" s="116">
        <v>207</v>
      </c>
      <c r="D2225" s="116">
        <v>202.375</v>
      </c>
      <c r="E2225" s="116">
        <v>219.875</v>
      </c>
      <c r="F2225" s="116">
        <v>414</v>
      </c>
      <c r="G2225">
        <v>193709</v>
      </c>
      <c r="H2225" s="116"/>
      <c r="I2225" s="116"/>
      <c r="L2225" s="169">
        <v>45280</v>
      </c>
      <c r="M2225" s="116">
        <v>207.05</v>
      </c>
      <c r="N2225" s="116">
        <v>224.4</v>
      </c>
      <c r="O2225" s="116">
        <v>202.97499999999999</v>
      </c>
      <c r="P2225" s="116">
        <v>221</v>
      </c>
      <c r="Q2225" s="116">
        <v>414.1</v>
      </c>
      <c r="R2225">
        <v>1464764</v>
      </c>
    </row>
    <row r="2226" spans="1:18" x14ac:dyDescent="0.25">
      <c r="A2226" s="169">
        <v>45281</v>
      </c>
      <c r="B2226" s="116">
        <v>211.45</v>
      </c>
      <c r="C2226" s="116">
        <v>208.625</v>
      </c>
      <c r="D2226" s="116">
        <v>202.3</v>
      </c>
      <c r="E2226" s="116">
        <v>204.52500000000001</v>
      </c>
      <c r="F2226" s="116">
        <v>417.25</v>
      </c>
      <c r="G2226">
        <v>47645</v>
      </c>
      <c r="H2226" s="116"/>
      <c r="I2226" s="116"/>
      <c r="L2226" s="169">
        <v>45281</v>
      </c>
      <c r="M2226" s="116">
        <v>208.57499999999999</v>
      </c>
      <c r="N2226" s="116">
        <v>212.1</v>
      </c>
      <c r="O2226" s="116">
        <v>202.5</v>
      </c>
      <c r="P2226" s="116">
        <v>203.77500000000001</v>
      </c>
      <c r="Q2226" s="116">
        <v>417.15</v>
      </c>
      <c r="R2226">
        <v>941142</v>
      </c>
    </row>
    <row r="2227" spans="1:18" x14ac:dyDescent="0.25">
      <c r="A2227" s="169">
        <v>45282</v>
      </c>
      <c r="B2227" s="116">
        <v>213</v>
      </c>
      <c r="C2227" s="116">
        <v>212.15</v>
      </c>
      <c r="D2227" s="116">
        <v>205.55</v>
      </c>
      <c r="E2227" s="116">
        <v>208.6</v>
      </c>
      <c r="F2227" s="116">
        <v>424.3</v>
      </c>
      <c r="G2227">
        <v>107682</v>
      </c>
      <c r="H2227" s="116"/>
      <c r="I2227" s="116"/>
      <c r="L2227" s="169">
        <v>45282</v>
      </c>
      <c r="M2227" s="116">
        <v>212.2</v>
      </c>
      <c r="N2227" s="116">
        <v>214.375</v>
      </c>
      <c r="O2227" s="116">
        <v>205.57499999999999</v>
      </c>
      <c r="P2227" s="116">
        <v>208.9</v>
      </c>
      <c r="Q2227" s="116">
        <v>424.4</v>
      </c>
      <c r="R2227">
        <v>1185313</v>
      </c>
    </row>
    <row r="2228" spans="1:18" x14ac:dyDescent="0.25">
      <c r="A2228" s="169">
        <v>45286</v>
      </c>
      <c r="B2228" s="116">
        <v>213.1</v>
      </c>
      <c r="C2228" s="116">
        <v>210.97499999999999</v>
      </c>
      <c r="D2228" s="116">
        <v>209.32499999999999</v>
      </c>
      <c r="E2228" s="116">
        <v>212.5</v>
      </c>
      <c r="F2228" s="116">
        <v>421.95</v>
      </c>
      <c r="G2228">
        <v>26740</v>
      </c>
      <c r="H2228" s="116"/>
      <c r="I2228" s="116"/>
      <c r="L2228" s="169">
        <v>45286</v>
      </c>
      <c r="M2228" s="116">
        <v>211.07499999999999</v>
      </c>
      <c r="N2228" s="116">
        <v>213.45</v>
      </c>
      <c r="O2228" s="116">
        <v>209.27500000000001</v>
      </c>
      <c r="P2228" s="116">
        <v>212.35</v>
      </c>
      <c r="Q2228" s="116">
        <v>422.15</v>
      </c>
      <c r="R2228">
        <v>528946</v>
      </c>
    </row>
    <row r="2229" spans="1:18" x14ac:dyDescent="0.25">
      <c r="A2229" s="169">
        <v>45287</v>
      </c>
      <c r="B2229" s="116">
        <v>212.25</v>
      </c>
      <c r="C2229" s="116">
        <v>206.22499999999999</v>
      </c>
      <c r="D2229" s="116">
        <v>205.65</v>
      </c>
      <c r="E2229" s="116">
        <v>211.02500000000001</v>
      </c>
      <c r="F2229" s="116">
        <v>412.45</v>
      </c>
      <c r="G2229">
        <v>32067</v>
      </c>
      <c r="H2229" s="116"/>
      <c r="I2229" s="116"/>
      <c r="L2229" s="169">
        <v>45287</v>
      </c>
      <c r="M2229" s="116">
        <v>206.22499999999999</v>
      </c>
      <c r="N2229" s="116">
        <v>212.07499999999999</v>
      </c>
      <c r="O2229" s="116">
        <v>204.95</v>
      </c>
      <c r="P2229" s="116">
        <v>211.3</v>
      </c>
      <c r="Q2229" s="116">
        <v>412.45</v>
      </c>
      <c r="R2229">
        <v>650252</v>
      </c>
    </row>
    <row r="2230" spans="1:18" x14ac:dyDescent="0.25">
      <c r="A2230" s="169">
        <v>45288</v>
      </c>
      <c r="B2230" s="116">
        <v>209.1</v>
      </c>
      <c r="C2230" s="116">
        <v>204.4</v>
      </c>
      <c r="D2230" s="116">
        <v>203.72499999999999</v>
      </c>
      <c r="E2230" s="116">
        <v>207.3</v>
      </c>
      <c r="F2230" s="116">
        <v>408.8</v>
      </c>
      <c r="G2230">
        <v>76624</v>
      </c>
      <c r="H2230" s="116"/>
      <c r="I2230" s="116"/>
      <c r="L2230" s="169">
        <v>45288</v>
      </c>
      <c r="M2230" s="116">
        <v>204.27500000000001</v>
      </c>
      <c r="N2230" s="116">
        <v>209.25</v>
      </c>
      <c r="O2230" s="116">
        <v>203.5</v>
      </c>
      <c r="P2230" s="116">
        <v>207.07499999999999</v>
      </c>
      <c r="Q2230" s="116">
        <v>408.55</v>
      </c>
      <c r="R2230">
        <v>689375</v>
      </c>
    </row>
    <row r="2231" spans="1:18" x14ac:dyDescent="0.25">
      <c r="A2231" s="169">
        <v>45289</v>
      </c>
      <c r="B2231" s="116">
        <v>209.85</v>
      </c>
      <c r="C2231" s="116">
        <v>206</v>
      </c>
      <c r="D2231" s="116">
        <v>204.02500000000001</v>
      </c>
      <c r="E2231" s="116">
        <v>204.02500000000001</v>
      </c>
      <c r="F2231" s="116">
        <v>412</v>
      </c>
      <c r="G2231">
        <v>59012</v>
      </c>
      <c r="H2231" s="116"/>
      <c r="I2231" s="116"/>
      <c r="L2231" s="169">
        <v>45289</v>
      </c>
      <c r="M2231" s="116">
        <v>206.02500000000001</v>
      </c>
      <c r="N2231" s="116">
        <v>209.9</v>
      </c>
      <c r="O2231" s="116">
        <v>203.75</v>
      </c>
      <c r="P2231" s="116">
        <v>204.27500000000001</v>
      </c>
      <c r="Q2231" s="116">
        <v>412.05</v>
      </c>
      <c r="R2231">
        <v>804824</v>
      </c>
    </row>
    <row r="2232" spans="1:18" x14ac:dyDescent="0.25">
      <c r="A2232" s="169">
        <v>45292</v>
      </c>
      <c r="B2232" s="116">
        <v>212.5</v>
      </c>
      <c r="C2232" s="116">
        <v>211</v>
      </c>
      <c r="D2232" s="116">
        <v>201.82499999999999</v>
      </c>
      <c r="E2232" s="116">
        <v>206</v>
      </c>
      <c r="F2232" s="116">
        <v>422</v>
      </c>
      <c r="G2232">
        <v>53049</v>
      </c>
      <c r="H2232" s="116"/>
      <c r="I2232" s="116"/>
      <c r="L2232" s="169">
        <v>45292</v>
      </c>
      <c r="M2232" s="116">
        <v>211.07499999999999</v>
      </c>
      <c r="N2232" s="116">
        <v>212.82499999999999</v>
      </c>
      <c r="O2232" s="116">
        <v>202</v>
      </c>
      <c r="P2232" s="116">
        <v>206.02500000000001</v>
      </c>
      <c r="Q2232" s="116">
        <v>422.15</v>
      </c>
      <c r="R2232">
        <v>1587727</v>
      </c>
    </row>
    <row r="2233" spans="1:18" x14ac:dyDescent="0.25">
      <c r="A2233" s="169">
        <v>45293</v>
      </c>
      <c r="B2233" s="116">
        <v>223.17500000000001</v>
      </c>
      <c r="C2233" s="116">
        <v>221.375</v>
      </c>
      <c r="D2233" s="116">
        <v>213.1</v>
      </c>
      <c r="E2233" s="116">
        <v>213.25</v>
      </c>
      <c r="F2233" s="116">
        <v>442.75</v>
      </c>
      <c r="G2233">
        <v>122318</v>
      </c>
      <c r="H2233" s="116"/>
      <c r="I2233" s="116"/>
      <c r="L2233" s="169">
        <v>45293</v>
      </c>
      <c r="M2233" s="116">
        <v>221.3</v>
      </c>
      <c r="N2233" s="116">
        <v>223</v>
      </c>
      <c r="O2233" s="116">
        <v>213</v>
      </c>
      <c r="P2233" s="116">
        <v>213</v>
      </c>
      <c r="Q2233" s="116">
        <v>442.6</v>
      </c>
      <c r="R2233">
        <v>3006645</v>
      </c>
    </row>
    <row r="2234" spans="1:18" x14ac:dyDescent="0.25">
      <c r="A2234" s="169">
        <v>45294</v>
      </c>
      <c r="B2234" s="116">
        <v>226.25</v>
      </c>
      <c r="C2234" s="116">
        <v>224.92500000000001</v>
      </c>
      <c r="D2234" s="116">
        <v>217.72499999999999</v>
      </c>
      <c r="E2234" s="116">
        <v>224.45</v>
      </c>
      <c r="F2234" s="116">
        <v>449.85</v>
      </c>
      <c r="G2234">
        <v>190289</v>
      </c>
      <c r="H2234" s="116"/>
      <c r="I2234" s="116"/>
      <c r="L2234" s="169">
        <v>45294</v>
      </c>
      <c r="M2234" s="116">
        <v>225.2</v>
      </c>
      <c r="N2234" s="116">
        <v>226.27500000000001</v>
      </c>
      <c r="O2234" s="116">
        <v>217.57499999999999</v>
      </c>
      <c r="P2234" s="116">
        <v>224.02500000000001</v>
      </c>
      <c r="Q2234" s="116">
        <v>450.4</v>
      </c>
      <c r="R2234">
        <v>1623994</v>
      </c>
    </row>
    <row r="2235" spans="1:18" x14ac:dyDescent="0.25">
      <c r="A2235" s="169">
        <v>45295</v>
      </c>
      <c r="B2235" s="116">
        <v>227.6</v>
      </c>
      <c r="C2235" s="116">
        <v>224.15</v>
      </c>
      <c r="D2235" s="116">
        <v>222.52500000000001</v>
      </c>
      <c r="E2235" s="116">
        <v>225.92500000000001</v>
      </c>
      <c r="F2235" s="116">
        <v>448.3</v>
      </c>
      <c r="G2235">
        <v>45701</v>
      </c>
      <c r="H2235" s="116"/>
      <c r="I2235" s="116"/>
      <c r="L2235" s="169">
        <v>45295</v>
      </c>
      <c r="M2235" s="116">
        <v>223.85</v>
      </c>
      <c r="N2235" s="116">
        <v>228.52500000000001</v>
      </c>
      <c r="O2235" s="116">
        <v>222.5</v>
      </c>
      <c r="P2235" s="116">
        <v>225.5</v>
      </c>
      <c r="Q2235" s="116">
        <v>447.7</v>
      </c>
      <c r="R2235">
        <v>1113201</v>
      </c>
    </row>
    <row r="2236" spans="1:18" x14ac:dyDescent="0.25">
      <c r="A2236" s="169">
        <v>45296</v>
      </c>
      <c r="B2236" s="116">
        <v>229</v>
      </c>
      <c r="C2236" s="116">
        <v>224.32499999999999</v>
      </c>
      <c r="D2236" s="116">
        <v>221.17500000000001</v>
      </c>
      <c r="E2236" s="116">
        <v>223.67500000000001</v>
      </c>
      <c r="F2236" s="116">
        <v>448.65</v>
      </c>
      <c r="G2236">
        <v>144720</v>
      </c>
      <c r="H2236" s="116"/>
      <c r="I2236" s="116"/>
      <c r="L2236" s="169">
        <v>45296</v>
      </c>
      <c r="M2236" s="116">
        <v>224.8</v>
      </c>
      <c r="N2236" s="116">
        <v>229.35</v>
      </c>
      <c r="O2236" s="116">
        <v>221.2</v>
      </c>
      <c r="P2236" s="116">
        <v>225</v>
      </c>
      <c r="Q2236" s="116">
        <v>449.6</v>
      </c>
      <c r="R2236">
        <v>1332991</v>
      </c>
    </row>
    <row r="2237" spans="1:18" x14ac:dyDescent="0.25">
      <c r="A2237" s="169">
        <v>45299</v>
      </c>
      <c r="B2237" s="116">
        <v>235.5</v>
      </c>
      <c r="C2237" s="116">
        <v>234.3</v>
      </c>
      <c r="D2237" s="116">
        <v>225.25</v>
      </c>
      <c r="E2237" s="116">
        <v>228.32499999999999</v>
      </c>
      <c r="F2237" s="116">
        <v>468.6</v>
      </c>
      <c r="G2237">
        <v>93771</v>
      </c>
      <c r="H2237" s="116"/>
      <c r="I2237" s="116"/>
      <c r="L2237" s="169">
        <v>45299</v>
      </c>
      <c r="M2237" s="116">
        <v>234.35</v>
      </c>
      <c r="N2237" s="116">
        <v>235.5</v>
      </c>
      <c r="O2237" s="116">
        <v>225.22499999999999</v>
      </c>
      <c r="P2237" s="116">
        <v>225.25</v>
      </c>
      <c r="Q2237" s="116">
        <v>468.7</v>
      </c>
      <c r="R2237">
        <v>1891654</v>
      </c>
    </row>
    <row r="2238" spans="1:18" x14ac:dyDescent="0.25">
      <c r="A2238" s="169">
        <v>45300</v>
      </c>
      <c r="B2238" s="116">
        <v>243.2</v>
      </c>
      <c r="C2238" s="116">
        <v>239.72499999999999</v>
      </c>
      <c r="D2238" s="116">
        <v>235.02500000000001</v>
      </c>
      <c r="E2238" s="116">
        <v>237.25</v>
      </c>
      <c r="F2238" s="116">
        <v>479.45</v>
      </c>
      <c r="G2238">
        <v>81791</v>
      </c>
      <c r="H2238" s="116"/>
      <c r="I2238" s="116"/>
      <c r="L2238" s="169">
        <v>45300</v>
      </c>
      <c r="M2238" s="116">
        <v>239.45</v>
      </c>
      <c r="N2238" s="116">
        <v>243.25</v>
      </c>
      <c r="O2238" s="116">
        <v>234.85</v>
      </c>
      <c r="P2238" s="116">
        <v>236.5</v>
      </c>
      <c r="Q2238" s="116">
        <v>478.9</v>
      </c>
      <c r="R2238">
        <v>1617163</v>
      </c>
    </row>
    <row r="2239" spans="1:18" x14ac:dyDescent="0.25">
      <c r="A2239" s="169">
        <v>45301</v>
      </c>
      <c r="B2239" s="116">
        <v>247.5</v>
      </c>
      <c r="C2239" s="116">
        <v>246.45</v>
      </c>
      <c r="D2239" s="116">
        <v>240</v>
      </c>
      <c r="E2239" s="116">
        <v>243.77500000000001</v>
      </c>
      <c r="F2239" s="116">
        <v>492.9</v>
      </c>
      <c r="G2239">
        <v>153496</v>
      </c>
      <c r="H2239" s="116"/>
      <c r="I2239" s="116"/>
      <c r="L2239" s="169">
        <v>45301</v>
      </c>
      <c r="M2239" s="116">
        <v>246.52500000000001</v>
      </c>
      <c r="N2239" s="116">
        <v>247.5</v>
      </c>
      <c r="O2239" s="116">
        <v>240.17500000000001</v>
      </c>
      <c r="P2239" s="116">
        <v>241.5</v>
      </c>
      <c r="Q2239" s="116">
        <v>493.05</v>
      </c>
      <c r="R2239">
        <v>1448138</v>
      </c>
    </row>
    <row r="2240" spans="1:18" x14ac:dyDescent="0.25">
      <c r="A2240" s="169">
        <v>45302</v>
      </c>
      <c r="B2240" s="116">
        <v>250.35</v>
      </c>
      <c r="C2240" s="116">
        <v>245.07499999999999</v>
      </c>
      <c r="D2240" s="116">
        <v>243.8</v>
      </c>
      <c r="E2240" s="116">
        <v>248.875</v>
      </c>
      <c r="F2240" s="116">
        <v>490.15</v>
      </c>
      <c r="G2240">
        <v>54306</v>
      </c>
      <c r="H2240" s="116"/>
      <c r="I2240" s="116"/>
      <c r="L2240" s="169">
        <v>45302</v>
      </c>
      <c r="M2240" s="116">
        <v>244.92500000000001</v>
      </c>
      <c r="N2240" s="116">
        <v>250.375</v>
      </c>
      <c r="O2240" s="116">
        <v>243.02500000000001</v>
      </c>
      <c r="P2240" s="116">
        <v>247.5</v>
      </c>
      <c r="Q2240" s="116">
        <v>489.85</v>
      </c>
      <c r="R2240">
        <v>1202580</v>
      </c>
    </row>
    <row r="2241" spans="1:18" x14ac:dyDescent="0.25">
      <c r="A2241" s="169">
        <v>45303</v>
      </c>
      <c r="B2241" s="116">
        <v>248.75</v>
      </c>
      <c r="C2241" s="116">
        <v>244.42500000000001</v>
      </c>
      <c r="D2241" s="116">
        <v>241.9</v>
      </c>
      <c r="E2241" s="116">
        <v>246</v>
      </c>
      <c r="F2241" s="116">
        <v>488.85</v>
      </c>
      <c r="G2241">
        <v>126877</v>
      </c>
      <c r="H2241" s="116"/>
      <c r="I2241" s="116"/>
      <c r="L2241" s="169">
        <v>45303</v>
      </c>
      <c r="M2241" s="116">
        <v>244.32499999999999</v>
      </c>
      <c r="N2241" s="116">
        <v>248.9</v>
      </c>
      <c r="O2241" s="116">
        <v>242.25</v>
      </c>
      <c r="P2241" s="116">
        <v>246.3</v>
      </c>
      <c r="Q2241" s="116">
        <v>488.65</v>
      </c>
      <c r="R2241">
        <v>1022698</v>
      </c>
    </row>
    <row r="2242" spans="1:18" x14ac:dyDescent="0.25">
      <c r="A2242" s="169">
        <v>45306</v>
      </c>
      <c r="B2242" s="116">
        <v>258.45</v>
      </c>
      <c r="C2242" s="116">
        <v>257.3</v>
      </c>
      <c r="D2242" s="116">
        <v>246.17500000000001</v>
      </c>
      <c r="E2242" s="116">
        <v>246.52500000000001</v>
      </c>
      <c r="F2242" s="116">
        <v>514.6</v>
      </c>
      <c r="G2242">
        <v>253701</v>
      </c>
      <c r="H2242" s="116"/>
      <c r="I2242" s="116"/>
      <c r="L2242" s="169">
        <v>45306</v>
      </c>
      <c r="M2242" s="116">
        <v>257.5</v>
      </c>
      <c r="N2242" s="116">
        <v>258.39999999999998</v>
      </c>
      <c r="O2242" s="116">
        <v>245.7</v>
      </c>
      <c r="P2242" s="116">
        <v>245.72499999999999</v>
      </c>
      <c r="Q2242" s="116">
        <v>515</v>
      </c>
      <c r="R2242">
        <v>2258990</v>
      </c>
    </row>
    <row r="2243" spans="1:18" x14ac:dyDescent="0.25">
      <c r="A2243" s="169">
        <v>45307</v>
      </c>
      <c r="B2243" s="116">
        <v>265</v>
      </c>
      <c r="C2243" s="116">
        <v>259.39999999999998</v>
      </c>
      <c r="D2243" s="116">
        <v>249</v>
      </c>
      <c r="E2243" s="116">
        <v>259.27499999999998</v>
      </c>
      <c r="F2243" s="116">
        <v>518.79999999999995</v>
      </c>
      <c r="G2243">
        <v>249443</v>
      </c>
      <c r="H2243" s="116"/>
      <c r="I2243" s="116"/>
      <c r="L2243" s="169">
        <v>45307</v>
      </c>
      <c r="M2243" s="116">
        <v>259.57499999999999</v>
      </c>
      <c r="N2243" s="116">
        <v>264.95</v>
      </c>
      <c r="O2243" s="116">
        <v>249.1</v>
      </c>
      <c r="P2243" s="116">
        <v>259</v>
      </c>
      <c r="Q2243" s="116">
        <v>519.15</v>
      </c>
      <c r="R2243">
        <v>5474848</v>
      </c>
    </row>
    <row r="2244" spans="1:18" x14ac:dyDescent="0.25">
      <c r="A2244" s="169">
        <v>45308</v>
      </c>
      <c r="B2244" s="116">
        <v>269.375</v>
      </c>
      <c r="C2244" s="116">
        <v>260.05</v>
      </c>
      <c r="D2244" s="116">
        <v>258.85000000000002</v>
      </c>
      <c r="E2244" s="116">
        <v>266.77499999999998</v>
      </c>
      <c r="F2244" s="116">
        <v>520.1</v>
      </c>
      <c r="G2244">
        <v>257017</v>
      </c>
      <c r="H2244" s="116"/>
      <c r="I2244" s="116"/>
      <c r="L2244" s="169">
        <v>45308</v>
      </c>
      <c r="M2244" s="116">
        <v>260.07499999999999</v>
      </c>
      <c r="N2244" s="116">
        <v>269.45</v>
      </c>
      <c r="O2244" s="116">
        <v>258.75</v>
      </c>
      <c r="P2244" s="116">
        <v>265.5</v>
      </c>
      <c r="Q2244" s="116">
        <v>520.15</v>
      </c>
      <c r="R2244">
        <v>3956264</v>
      </c>
    </row>
    <row r="2245" spans="1:18" x14ac:dyDescent="0.25">
      <c r="A2245" s="169">
        <v>45309</v>
      </c>
      <c r="B2245" s="116">
        <v>268.45</v>
      </c>
      <c r="C2245" s="116">
        <v>252.52500000000001</v>
      </c>
      <c r="D2245" s="116">
        <v>249.35</v>
      </c>
      <c r="E2245" s="116">
        <v>262</v>
      </c>
      <c r="F2245" s="116">
        <v>505.05</v>
      </c>
      <c r="G2245">
        <v>140193</v>
      </c>
      <c r="H2245" s="116"/>
      <c r="I2245" s="116"/>
      <c r="L2245" s="169">
        <v>45309</v>
      </c>
      <c r="M2245" s="116">
        <v>252.95</v>
      </c>
      <c r="N2245" s="116">
        <v>268.39999999999998</v>
      </c>
      <c r="O2245" s="116">
        <v>249.5</v>
      </c>
      <c r="P2245" s="116">
        <v>261.72500000000002</v>
      </c>
      <c r="Q2245" s="116">
        <v>505.9</v>
      </c>
      <c r="R2245">
        <v>2896566</v>
      </c>
    </row>
    <row r="2246" spans="1:18" x14ac:dyDescent="0.25">
      <c r="A2246" s="169">
        <v>45310</v>
      </c>
      <c r="B2246" s="116">
        <v>261.85000000000002</v>
      </c>
      <c r="C2246" s="116">
        <v>253.82499999999999</v>
      </c>
      <c r="D2246" s="116">
        <v>251.82499999999999</v>
      </c>
      <c r="E2246" s="116">
        <v>259.92500000000001</v>
      </c>
      <c r="F2246" s="116">
        <v>507.65</v>
      </c>
      <c r="G2246">
        <v>74375</v>
      </c>
      <c r="H2246" s="116"/>
      <c r="I2246" s="116"/>
      <c r="L2246" s="169">
        <v>45310</v>
      </c>
      <c r="M2246" s="116">
        <v>253.82499999999999</v>
      </c>
      <c r="N2246" s="116">
        <v>261.95</v>
      </c>
      <c r="O2246" s="116">
        <v>250.27500000000001</v>
      </c>
      <c r="P2246" s="116">
        <v>257.5</v>
      </c>
      <c r="Q2246" s="116">
        <v>507.65</v>
      </c>
      <c r="R2246">
        <v>1744257</v>
      </c>
    </row>
    <row r="2247" spans="1:18" x14ac:dyDescent="0.25">
      <c r="A2247" s="169">
        <v>45311</v>
      </c>
      <c r="B2247" s="116">
        <v>256.17500000000001</v>
      </c>
      <c r="C2247" s="116">
        <v>247.17500000000001</v>
      </c>
      <c r="D2247" s="116">
        <v>241.77500000000001</v>
      </c>
      <c r="E2247" s="116">
        <v>254.82499999999999</v>
      </c>
      <c r="F2247" s="116">
        <v>494.35</v>
      </c>
      <c r="G2247">
        <v>143351</v>
      </c>
      <c r="H2247" s="116"/>
      <c r="I2247" s="116"/>
      <c r="L2247" s="169">
        <v>45311</v>
      </c>
      <c r="M2247" s="116">
        <v>245.67500000000001</v>
      </c>
      <c r="N2247" s="116">
        <v>256.25</v>
      </c>
      <c r="O2247" s="116">
        <v>241.75</v>
      </c>
      <c r="P2247" s="116">
        <v>254.5</v>
      </c>
      <c r="Q2247" s="116">
        <v>491.35</v>
      </c>
      <c r="R2247">
        <v>949126</v>
      </c>
    </row>
    <row r="2248" spans="1:18" x14ac:dyDescent="0.25">
      <c r="A2248" s="169">
        <v>45314</v>
      </c>
      <c r="B2248" s="116">
        <v>252.22499999999999</v>
      </c>
      <c r="C2248" s="116">
        <v>237.7</v>
      </c>
      <c r="D2248" s="116">
        <v>236.625</v>
      </c>
      <c r="E2248" s="116">
        <v>247</v>
      </c>
      <c r="F2248" s="116">
        <v>475.4</v>
      </c>
      <c r="G2248">
        <v>273899</v>
      </c>
      <c r="H2248" s="116"/>
      <c r="I2248" s="116"/>
      <c r="L2248" s="169">
        <v>45314</v>
      </c>
      <c r="M2248" s="116">
        <v>237.77500000000001</v>
      </c>
      <c r="N2248" s="116">
        <v>252</v>
      </c>
      <c r="O2248" s="116">
        <v>236.95</v>
      </c>
      <c r="P2248" s="116">
        <v>247.85</v>
      </c>
      <c r="Q2248" s="116">
        <v>475.55</v>
      </c>
      <c r="R2248">
        <v>1557545</v>
      </c>
    </row>
    <row r="2249" spans="1:18" x14ac:dyDescent="0.25">
      <c r="A2249" s="169">
        <v>45315</v>
      </c>
      <c r="B2249" s="116">
        <v>248.5</v>
      </c>
      <c r="C2249" s="116">
        <v>245.07499999999999</v>
      </c>
      <c r="D2249" s="116">
        <v>235.52500000000001</v>
      </c>
      <c r="E2249" s="116">
        <v>238.02500000000001</v>
      </c>
      <c r="F2249" s="116">
        <v>490.15</v>
      </c>
      <c r="G2249">
        <v>66628</v>
      </c>
      <c r="H2249" s="116"/>
      <c r="I2249" s="116"/>
      <c r="L2249" s="169">
        <v>45315</v>
      </c>
      <c r="M2249" s="116">
        <v>245.32499999999999</v>
      </c>
      <c r="N2249" s="116">
        <v>248.625</v>
      </c>
      <c r="O2249" s="116">
        <v>235.5</v>
      </c>
      <c r="P2249" s="116">
        <v>238.47499999999999</v>
      </c>
      <c r="Q2249" s="116">
        <v>490.65</v>
      </c>
      <c r="R2249">
        <v>1478543</v>
      </c>
    </row>
    <row r="2250" spans="1:18" x14ac:dyDescent="0.25">
      <c r="A2250" s="169">
        <v>45316</v>
      </c>
      <c r="B2250" s="116">
        <v>258</v>
      </c>
      <c r="C2250" s="116">
        <v>257.32499999999999</v>
      </c>
      <c r="D2250" s="116">
        <v>246.1</v>
      </c>
      <c r="E2250" s="116">
        <v>246.1</v>
      </c>
      <c r="F2250" s="116">
        <v>514.65</v>
      </c>
      <c r="G2250">
        <v>53628</v>
      </c>
      <c r="H2250" s="116"/>
      <c r="I2250" s="116"/>
      <c r="L2250" s="169">
        <v>45316</v>
      </c>
      <c r="M2250" s="116">
        <v>256.89999999999998</v>
      </c>
      <c r="N2250" s="116">
        <v>257.5</v>
      </c>
      <c r="O2250" s="116">
        <v>245.77500000000001</v>
      </c>
      <c r="P2250" s="116">
        <v>245.8</v>
      </c>
      <c r="Q2250" s="116">
        <v>513.79999999999995</v>
      </c>
      <c r="R2250">
        <v>1511101</v>
      </c>
    </row>
    <row r="2251" spans="1:18" x14ac:dyDescent="0.25">
      <c r="A2251" s="169">
        <v>45320</v>
      </c>
      <c r="B2251" s="116">
        <v>263.47500000000002</v>
      </c>
      <c r="C2251" s="116">
        <v>259.64999999999998</v>
      </c>
      <c r="D2251" s="116">
        <v>253</v>
      </c>
      <c r="E2251" s="116">
        <v>257.52499999999998</v>
      </c>
      <c r="F2251" s="116">
        <v>519.29999999999995</v>
      </c>
      <c r="G2251">
        <v>154126</v>
      </c>
      <c r="H2251" s="116"/>
      <c r="I2251" s="116"/>
      <c r="L2251" s="169">
        <v>45320</v>
      </c>
      <c r="M2251" s="116">
        <v>259.35000000000002</v>
      </c>
      <c r="N2251" s="116">
        <v>263.45</v>
      </c>
      <c r="O2251" s="116">
        <v>255.15</v>
      </c>
      <c r="P2251" s="116">
        <v>258.2</v>
      </c>
      <c r="Q2251" s="116">
        <v>518.70000000000005</v>
      </c>
      <c r="R2251">
        <v>1423829</v>
      </c>
    </row>
    <row r="2252" spans="1:18" x14ac:dyDescent="0.25">
      <c r="A2252" s="169">
        <v>45321</v>
      </c>
      <c r="B2252" s="116">
        <v>264.7</v>
      </c>
      <c r="C2252" s="116">
        <v>260.95</v>
      </c>
      <c r="D2252" s="116">
        <v>258.97500000000002</v>
      </c>
      <c r="E2252" s="116">
        <v>259.7</v>
      </c>
      <c r="F2252" s="116">
        <v>521.9</v>
      </c>
      <c r="G2252">
        <v>97274</v>
      </c>
      <c r="H2252" s="116"/>
      <c r="I2252" s="116"/>
      <c r="L2252" s="169">
        <v>45321</v>
      </c>
      <c r="M2252" s="116">
        <v>261.02499999999998</v>
      </c>
      <c r="N2252" s="116">
        <v>265</v>
      </c>
      <c r="O2252" s="116">
        <v>258.92500000000001</v>
      </c>
      <c r="P2252" s="116">
        <v>261.95</v>
      </c>
      <c r="Q2252" s="116">
        <v>522.04999999999995</v>
      </c>
      <c r="R2252">
        <v>831431</v>
      </c>
    </row>
    <row r="2253" spans="1:18" x14ac:dyDescent="0.25">
      <c r="A2253" s="169">
        <v>45322</v>
      </c>
      <c r="B2253" s="116">
        <v>262.25</v>
      </c>
      <c r="C2253" s="116">
        <v>260.625</v>
      </c>
      <c r="D2253" s="116">
        <v>257</v>
      </c>
      <c r="E2253" s="116">
        <v>260.55</v>
      </c>
      <c r="F2253" s="116">
        <v>521.25</v>
      </c>
      <c r="G2253">
        <v>30130</v>
      </c>
      <c r="H2253" s="116"/>
      <c r="I2253" s="116"/>
      <c r="L2253" s="169">
        <v>45322</v>
      </c>
      <c r="M2253" s="116">
        <v>260.89999999999998</v>
      </c>
      <c r="N2253" s="116">
        <v>262.39999999999998</v>
      </c>
      <c r="O2253" s="116">
        <v>256.60000000000002</v>
      </c>
      <c r="P2253" s="116">
        <v>261.02499999999998</v>
      </c>
      <c r="Q2253" s="116">
        <v>521.79999999999995</v>
      </c>
      <c r="R2253">
        <v>832118</v>
      </c>
    </row>
    <row r="2254" spans="1:18" x14ac:dyDescent="0.25">
      <c r="A2254" s="169">
        <v>45323</v>
      </c>
      <c r="B2254" s="116">
        <v>263.375</v>
      </c>
      <c r="C2254" s="116">
        <v>256.10000000000002</v>
      </c>
      <c r="D2254" s="116">
        <v>254</v>
      </c>
      <c r="E2254" s="116">
        <v>263.375</v>
      </c>
      <c r="F2254" s="116">
        <v>512.20000000000005</v>
      </c>
      <c r="G2254">
        <v>37701</v>
      </c>
      <c r="H2254" s="116"/>
      <c r="I2254" s="116"/>
      <c r="L2254" s="169">
        <v>45323</v>
      </c>
      <c r="M2254" s="116">
        <v>256.3</v>
      </c>
      <c r="N2254" s="116">
        <v>262.8</v>
      </c>
      <c r="O2254" s="116">
        <v>253.5</v>
      </c>
      <c r="P2254" s="116">
        <v>262.10000000000002</v>
      </c>
      <c r="Q2254" s="116">
        <v>512.6</v>
      </c>
      <c r="R2254">
        <v>849832</v>
      </c>
    </row>
    <row r="2255" spans="1:18" x14ac:dyDescent="0.25">
      <c r="A2255" s="169">
        <v>45324</v>
      </c>
      <c r="B2255" s="116">
        <v>258.39999999999998</v>
      </c>
      <c r="C2255" s="116">
        <v>247.625</v>
      </c>
      <c r="D2255" s="116">
        <v>246.32499999999999</v>
      </c>
      <c r="E2255" s="116">
        <v>257.97500000000002</v>
      </c>
      <c r="F2255" s="116">
        <v>495.25</v>
      </c>
      <c r="G2255">
        <v>55715</v>
      </c>
      <c r="H2255" s="116"/>
      <c r="I2255" s="116"/>
      <c r="L2255" s="169">
        <v>45324</v>
      </c>
      <c r="M2255" s="116">
        <v>247.625</v>
      </c>
      <c r="N2255" s="116">
        <v>258.47500000000002</v>
      </c>
      <c r="O2255" s="116">
        <v>246.1</v>
      </c>
      <c r="P2255" s="116">
        <v>257</v>
      </c>
      <c r="Q2255" s="116">
        <v>495.25</v>
      </c>
      <c r="R2255">
        <v>950437</v>
      </c>
    </row>
    <row r="2256" spans="1:18" x14ac:dyDescent="0.25">
      <c r="A2256" s="169">
        <v>45327</v>
      </c>
      <c r="B2256" s="116">
        <v>253.125</v>
      </c>
      <c r="C2256" s="116">
        <v>246.95</v>
      </c>
      <c r="D2256" s="116">
        <v>242.7</v>
      </c>
      <c r="E2256" s="116">
        <v>246.125</v>
      </c>
      <c r="F2256" s="116">
        <v>493.9</v>
      </c>
      <c r="G2256">
        <v>107647</v>
      </c>
      <c r="H2256" s="116"/>
      <c r="I2256" s="116"/>
      <c r="L2256" s="169">
        <v>45327</v>
      </c>
      <c r="M2256" s="116">
        <v>247.55</v>
      </c>
      <c r="N2256" s="116">
        <v>253</v>
      </c>
      <c r="O2256" s="116">
        <v>243.52500000000001</v>
      </c>
      <c r="P2256" s="116">
        <v>247.625</v>
      </c>
      <c r="Q2256" s="116">
        <v>495.1</v>
      </c>
      <c r="R2256">
        <v>846900</v>
      </c>
    </row>
    <row r="2257" spans="1:18" x14ac:dyDescent="0.25">
      <c r="A2257" s="169">
        <v>45328</v>
      </c>
      <c r="B2257" s="116">
        <v>257.3</v>
      </c>
      <c r="C2257" s="116">
        <v>253.52500000000001</v>
      </c>
      <c r="D2257" s="116">
        <v>247</v>
      </c>
      <c r="E2257" s="116">
        <v>247.45</v>
      </c>
      <c r="F2257" s="116">
        <v>507.05</v>
      </c>
      <c r="G2257">
        <v>51768</v>
      </c>
      <c r="H2257" s="116"/>
      <c r="I2257" s="116"/>
      <c r="L2257" s="169">
        <v>45328</v>
      </c>
      <c r="M2257" s="116">
        <v>254.17500000000001</v>
      </c>
      <c r="N2257" s="116">
        <v>257</v>
      </c>
      <c r="O2257" s="116">
        <v>246.25</v>
      </c>
      <c r="P2257" s="116">
        <v>247.22499999999999</v>
      </c>
      <c r="Q2257" s="116">
        <v>508.35</v>
      </c>
      <c r="R2257">
        <v>883958</v>
      </c>
    </row>
    <row r="2258" spans="1:18" x14ac:dyDescent="0.25">
      <c r="A2258" s="169">
        <v>45329</v>
      </c>
      <c r="B2258" s="116">
        <v>259.22500000000002</v>
      </c>
      <c r="C2258" s="116">
        <v>256.85000000000002</v>
      </c>
      <c r="D2258" s="116">
        <v>255.4</v>
      </c>
      <c r="E2258" s="116">
        <v>257.2</v>
      </c>
      <c r="F2258" s="116">
        <v>513.70000000000005</v>
      </c>
      <c r="G2258">
        <v>37477</v>
      </c>
      <c r="H2258" s="116"/>
      <c r="I2258" s="116"/>
      <c r="L2258" s="169">
        <v>45329</v>
      </c>
      <c r="M2258" s="116">
        <v>257.10000000000002</v>
      </c>
      <c r="N2258" s="116">
        <v>259.35000000000002</v>
      </c>
      <c r="O2258" s="116">
        <v>255.15</v>
      </c>
      <c r="P2258" s="116">
        <v>255.375</v>
      </c>
      <c r="Q2258" s="116">
        <v>514.20000000000005</v>
      </c>
      <c r="R2258">
        <v>593954</v>
      </c>
    </row>
    <row r="2259" spans="1:18" x14ac:dyDescent="0.25">
      <c r="A2259" s="169">
        <v>45330</v>
      </c>
      <c r="B2259" s="116">
        <v>275</v>
      </c>
      <c r="C2259" s="116">
        <v>269.82499999999999</v>
      </c>
      <c r="D2259" s="116">
        <v>257.85000000000002</v>
      </c>
      <c r="E2259" s="116">
        <v>259.64999999999998</v>
      </c>
      <c r="F2259" s="116">
        <v>539.65</v>
      </c>
      <c r="G2259">
        <v>129594</v>
      </c>
      <c r="H2259" s="116"/>
      <c r="I2259" s="116"/>
      <c r="L2259" s="169">
        <v>45330</v>
      </c>
      <c r="M2259" s="116">
        <v>268.875</v>
      </c>
      <c r="N2259" s="116">
        <v>275</v>
      </c>
      <c r="O2259" s="116">
        <v>257.5</v>
      </c>
      <c r="P2259" s="116">
        <v>258.35000000000002</v>
      </c>
      <c r="Q2259" s="116">
        <v>537.75</v>
      </c>
      <c r="R2259">
        <v>3229212</v>
      </c>
    </row>
    <row r="2260" spans="1:18" x14ac:dyDescent="0.25">
      <c r="A2260" s="169">
        <v>45331</v>
      </c>
      <c r="B2260" s="116">
        <v>273.5</v>
      </c>
      <c r="C2260" s="116">
        <v>266.97500000000002</v>
      </c>
      <c r="D2260" s="116">
        <v>260.07499999999999</v>
      </c>
      <c r="E2260" s="116">
        <v>271.75</v>
      </c>
      <c r="F2260" s="116">
        <v>533.95000000000005</v>
      </c>
      <c r="G2260">
        <v>163322</v>
      </c>
      <c r="H2260" s="116"/>
      <c r="I2260" s="116"/>
      <c r="L2260" s="169">
        <v>45331</v>
      </c>
      <c r="M2260" s="116">
        <v>266.7</v>
      </c>
      <c r="N2260" s="116">
        <v>273</v>
      </c>
      <c r="O2260" s="116">
        <v>260.2</v>
      </c>
      <c r="P2260" s="116">
        <v>272</v>
      </c>
      <c r="Q2260" s="116">
        <v>533.4</v>
      </c>
      <c r="R2260">
        <v>1054101</v>
      </c>
    </row>
    <row r="2261" spans="1:18" x14ac:dyDescent="0.25">
      <c r="A2261" s="169">
        <v>45334</v>
      </c>
      <c r="B2261" s="116">
        <v>270.27499999999998</v>
      </c>
      <c r="C2261" s="116">
        <v>247.125</v>
      </c>
      <c r="D2261" s="116">
        <v>243</v>
      </c>
      <c r="E2261" s="116">
        <v>269.2</v>
      </c>
      <c r="F2261" s="116">
        <v>494.25</v>
      </c>
      <c r="G2261">
        <v>454402</v>
      </c>
      <c r="H2261" s="116"/>
      <c r="I2261" s="116"/>
      <c r="L2261" s="169">
        <v>45334</v>
      </c>
      <c r="M2261" s="116">
        <v>247.52500000000001</v>
      </c>
      <c r="N2261" s="116">
        <v>269.95</v>
      </c>
      <c r="O2261" s="116">
        <v>243.07499999999999</v>
      </c>
      <c r="P2261" s="116">
        <v>268.85000000000002</v>
      </c>
      <c r="Q2261" s="116">
        <v>495.05</v>
      </c>
      <c r="R2261">
        <v>1092753</v>
      </c>
    </row>
    <row r="2262" spans="1:18" x14ac:dyDescent="0.25">
      <c r="A2262" s="169">
        <v>45335</v>
      </c>
      <c r="B2262" s="116">
        <v>250.92500000000001</v>
      </c>
      <c r="C2262" s="116">
        <v>243.4</v>
      </c>
      <c r="D2262" s="116">
        <v>232.5</v>
      </c>
      <c r="E2262" s="116">
        <v>247.2</v>
      </c>
      <c r="F2262" s="116">
        <v>486.8</v>
      </c>
      <c r="G2262">
        <v>121876</v>
      </c>
      <c r="H2262" s="116"/>
      <c r="I2262" s="116"/>
      <c r="L2262" s="169">
        <v>45335</v>
      </c>
      <c r="M2262" s="116">
        <v>243.35</v>
      </c>
      <c r="N2262" s="116">
        <v>250.97499999999999</v>
      </c>
      <c r="O2262" s="116">
        <v>231.35</v>
      </c>
      <c r="P2262" s="116">
        <v>247.52500000000001</v>
      </c>
      <c r="Q2262" s="116">
        <v>486.7</v>
      </c>
      <c r="R2262">
        <v>923220</v>
      </c>
    </row>
    <row r="2263" spans="1:18" x14ac:dyDescent="0.25">
      <c r="A2263" s="169">
        <v>45336</v>
      </c>
      <c r="B2263" s="116">
        <v>251.45</v>
      </c>
      <c r="C2263" s="116">
        <v>249.55</v>
      </c>
      <c r="D2263" s="116">
        <v>238.15</v>
      </c>
      <c r="E2263" s="116">
        <v>243.6</v>
      </c>
      <c r="F2263" s="116">
        <v>499.1</v>
      </c>
      <c r="G2263">
        <v>131379</v>
      </c>
      <c r="H2263" s="116"/>
      <c r="I2263" s="116"/>
      <c r="L2263" s="169">
        <v>45336</v>
      </c>
      <c r="M2263" s="116">
        <v>249.32499999999999</v>
      </c>
      <c r="N2263" s="116">
        <v>251.57499999999999</v>
      </c>
      <c r="O2263" s="116">
        <v>237.27500000000001</v>
      </c>
      <c r="P2263" s="116">
        <v>243.9</v>
      </c>
      <c r="Q2263" s="116">
        <v>498.65</v>
      </c>
      <c r="R2263">
        <v>698594</v>
      </c>
    </row>
    <row r="2264" spans="1:18" x14ac:dyDescent="0.25">
      <c r="A2264" s="169">
        <v>45337</v>
      </c>
      <c r="B2264" s="116">
        <v>262</v>
      </c>
      <c r="C2264" s="116">
        <v>257.27499999999998</v>
      </c>
      <c r="D2264" s="116">
        <v>250.875</v>
      </c>
      <c r="E2264" s="116">
        <v>252.17500000000001</v>
      </c>
      <c r="F2264" s="116">
        <v>514.54999999999995</v>
      </c>
      <c r="G2264">
        <v>174718</v>
      </c>
      <c r="H2264" s="116"/>
      <c r="I2264" s="116"/>
      <c r="L2264" s="169">
        <v>45337</v>
      </c>
      <c r="M2264" s="116">
        <v>257.22500000000002</v>
      </c>
      <c r="N2264" s="116">
        <v>262.125</v>
      </c>
      <c r="O2264" s="116">
        <v>250.97499999999999</v>
      </c>
      <c r="P2264" s="116">
        <v>251.82499999999999</v>
      </c>
      <c r="Q2264" s="116">
        <v>514.45000000000005</v>
      </c>
      <c r="R2264">
        <v>1107781</v>
      </c>
    </row>
    <row r="2265" spans="1:18" x14ac:dyDescent="0.25">
      <c r="A2265" s="169">
        <v>45338</v>
      </c>
      <c r="B2265" s="116">
        <v>262.07499999999999</v>
      </c>
      <c r="C2265" s="116">
        <v>250.92500000000001</v>
      </c>
      <c r="D2265" s="116">
        <v>249.02500000000001</v>
      </c>
      <c r="E2265" s="116">
        <v>259.47500000000002</v>
      </c>
      <c r="F2265" s="116">
        <v>501.85</v>
      </c>
      <c r="G2265">
        <v>132825</v>
      </c>
      <c r="H2265" s="116"/>
      <c r="I2265" s="116"/>
      <c r="L2265" s="169">
        <v>45338</v>
      </c>
      <c r="M2265" s="116">
        <v>251.02500000000001</v>
      </c>
      <c r="N2265" s="116">
        <v>261.64999999999998</v>
      </c>
      <c r="O2265" s="116">
        <v>249.1</v>
      </c>
      <c r="P2265" s="116">
        <v>257.22500000000002</v>
      </c>
      <c r="Q2265" s="116">
        <v>502.05</v>
      </c>
      <c r="R2265">
        <v>646628</v>
      </c>
    </row>
    <row r="2266" spans="1:18" x14ac:dyDescent="0.25">
      <c r="A2266" s="169">
        <v>45341</v>
      </c>
      <c r="B2266" s="116">
        <v>267.42500000000001</v>
      </c>
      <c r="C2266" s="116">
        <v>262.625</v>
      </c>
      <c r="D2266" s="116">
        <v>251.57499999999999</v>
      </c>
      <c r="E2266" s="116">
        <v>251.57499999999999</v>
      </c>
      <c r="F2266" s="116">
        <v>525.25</v>
      </c>
      <c r="G2266">
        <v>55511</v>
      </c>
      <c r="H2266" s="116"/>
      <c r="I2266" s="116"/>
      <c r="L2266" s="169">
        <v>45341</v>
      </c>
      <c r="M2266" s="116">
        <v>262.60000000000002</v>
      </c>
      <c r="N2266" s="116">
        <v>267.2</v>
      </c>
      <c r="O2266" s="116">
        <v>253</v>
      </c>
      <c r="P2266" s="116">
        <v>253</v>
      </c>
      <c r="Q2266" s="116">
        <v>525.20000000000005</v>
      </c>
      <c r="R2266">
        <v>1344677</v>
      </c>
    </row>
    <row r="2267" spans="1:18" x14ac:dyDescent="0.25">
      <c r="A2267" s="169">
        <v>45342</v>
      </c>
      <c r="B2267" s="116">
        <v>279.14999999999998</v>
      </c>
      <c r="C2267" s="116">
        <v>268.14999999999998</v>
      </c>
      <c r="D2267" s="116">
        <v>264.14999999999998</v>
      </c>
      <c r="E2267" s="116">
        <v>265.05</v>
      </c>
      <c r="F2267" s="116">
        <v>536.29999999999995</v>
      </c>
      <c r="G2267">
        <v>223074</v>
      </c>
      <c r="H2267" s="116"/>
      <c r="I2267" s="116"/>
      <c r="L2267" s="169">
        <v>45342</v>
      </c>
      <c r="M2267" s="116">
        <v>268.625</v>
      </c>
      <c r="N2267" s="116">
        <v>279.22500000000002</v>
      </c>
      <c r="O2267" s="116">
        <v>264.35000000000002</v>
      </c>
      <c r="P2267" s="116">
        <v>271.5</v>
      </c>
      <c r="Q2267" s="116">
        <v>537.25</v>
      </c>
      <c r="R2267">
        <v>1945471</v>
      </c>
    </row>
    <row r="2268" spans="1:18" x14ac:dyDescent="0.25">
      <c r="A2268" s="169">
        <v>45343</v>
      </c>
      <c r="B2268" s="116">
        <v>273.125</v>
      </c>
      <c r="C2268" s="116">
        <v>259.875</v>
      </c>
      <c r="D2268" s="116">
        <v>258.52499999999998</v>
      </c>
      <c r="E2268" s="116">
        <v>272.32499999999999</v>
      </c>
      <c r="F2268" s="116">
        <v>519.75</v>
      </c>
      <c r="G2268">
        <v>42321</v>
      </c>
      <c r="H2268" s="116"/>
      <c r="I2268" s="116"/>
      <c r="L2268" s="169">
        <v>45343</v>
      </c>
      <c r="M2268" s="116">
        <v>259.8</v>
      </c>
      <c r="N2268" s="116">
        <v>273.125</v>
      </c>
      <c r="O2268" s="116">
        <v>258.52499999999998</v>
      </c>
      <c r="P2268" s="116">
        <v>270.95</v>
      </c>
      <c r="Q2268" s="116">
        <v>519.6</v>
      </c>
      <c r="R2268">
        <v>1020659</v>
      </c>
    </row>
    <row r="2269" spans="1:18" x14ac:dyDescent="0.25">
      <c r="A2269" s="169">
        <v>45344</v>
      </c>
      <c r="B2269" s="116">
        <v>263.82499999999999</v>
      </c>
      <c r="C2269" s="116">
        <v>259.375</v>
      </c>
      <c r="D2269" s="116">
        <v>253.45</v>
      </c>
      <c r="E2269" s="116">
        <v>261.5</v>
      </c>
      <c r="F2269" s="116">
        <v>518.75</v>
      </c>
      <c r="G2269">
        <v>99240</v>
      </c>
      <c r="H2269" s="116"/>
      <c r="I2269" s="116"/>
      <c r="L2269" s="169">
        <v>45344</v>
      </c>
      <c r="M2269" s="116">
        <v>259.45</v>
      </c>
      <c r="N2269" s="116">
        <v>263.95</v>
      </c>
      <c r="O2269" s="116">
        <v>253.92500000000001</v>
      </c>
      <c r="P2269" s="116">
        <v>261.35000000000002</v>
      </c>
      <c r="Q2269" s="116">
        <v>518.9</v>
      </c>
      <c r="R2269">
        <v>676547</v>
      </c>
    </row>
    <row r="2270" spans="1:18" x14ac:dyDescent="0.25">
      <c r="A2270" s="169">
        <v>45345</v>
      </c>
      <c r="B2270" s="116">
        <v>264.97500000000002</v>
      </c>
      <c r="C2270" s="116">
        <v>264.25</v>
      </c>
      <c r="D2270" s="116">
        <v>258.72500000000002</v>
      </c>
      <c r="E2270" s="116">
        <v>258.72500000000002</v>
      </c>
      <c r="F2270" s="116">
        <v>528.5</v>
      </c>
      <c r="G2270">
        <v>17608</v>
      </c>
      <c r="H2270" s="116"/>
      <c r="I2270" s="116"/>
      <c r="L2270" s="169">
        <v>45345</v>
      </c>
      <c r="M2270" s="116">
        <v>264.32499999999999</v>
      </c>
      <c r="N2270" s="116">
        <v>265</v>
      </c>
      <c r="O2270" s="116">
        <v>259.55</v>
      </c>
      <c r="P2270" s="116">
        <v>260.5</v>
      </c>
      <c r="Q2270" s="116">
        <v>528.65</v>
      </c>
      <c r="R2270">
        <v>489431</v>
      </c>
    </row>
    <row r="2271" spans="1:18" x14ac:dyDescent="0.25">
      <c r="A2271" s="169">
        <v>45348</v>
      </c>
      <c r="B2271" s="116">
        <v>265.75</v>
      </c>
      <c r="C2271" s="116">
        <v>257.17500000000001</v>
      </c>
      <c r="D2271" s="116">
        <v>256</v>
      </c>
      <c r="E2271" s="116">
        <v>264.14999999999998</v>
      </c>
      <c r="F2271" s="116">
        <v>514.35</v>
      </c>
      <c r="G2271">
        <v>38385</v>
      </c>
      <c r="H2271" s="116"/>
      <c r="I2271" s="116"/>
      <c r="L2271" s="169">
        <v>45348</v>
      </c>
      <c r="M2271" s="116">
        <v>256.82499999999999</v>
      </c>
      <c r="N2271" s="116">
        <v>265.39999999999998</v>
      </c>
      <c r="O2271" s="116">
        <v>255.52500000000001</v>
      </c>
      <c r="P2271" s="116">
        <v>264.5</v>
      </c>
      <c r="Q2271" s="116">
        <v>513.65</v>
      </c>
      <c r="R2271">
        <v>563370</v>
      </c>
    </row>
    <row r="2272" spans="1:18" x14ac:dyDescent="0.25">
      <c r="A2272" s="169">
        <v>45349</v>
      </c>
      <c r="B2272" s="116">
        <v>258.45</v>
      </c>
      <c r="C2272" s="116">
        <v>251.22499999999999</v>
      </c>
      <c r="D2272" s="116">
        <v>250</v>
      </c>
      <c r="E2272" s="116">
        <v>258.39999999999998</v>
      </c>
      <c r="F2272" s="116">
        <v>502.45</v>
      </c>
      <c r="G2272">
        <v>114131</v>
      </c>
      <c r="H2272" s="116"/>
      <c r="I2272" s="116"/>
      <c r="L2272" s="169">
        <v>45349</v>
      </c>
      <c r="M2272" s="116">
        <v>251.25</v>
      </c>
      <c r="N2272" s="116">
        <v>258.5</v>
      </c>
      <c r="O2272" s="116">
        <v>250</v>
      </c>
      <c r="P2272" s="116">
        <v>256.82499999999999</v>
      </c>
      <c r="Q2272" s="116">
        <v>502.5</v>
      </c>
      <c r="R2272">
        <v>659688</v>
      </c>
    </row>
    <row r="2273" spans="1:18" x14ac:dyDescent="0.25">
      <c r="A2273" s="169">
        <v>45350</v>
      </c>
      <c r="B2273" s="116">
        <v>252.35</v>
      </c>
      <c r="C2273" s="116">
        <v>244.47499999999999</v>
      </c>
      <c r="D2273" s="116">
        <v>241.5</v>
      </c>
      <c r="E2273" s="116">
        <v>251.22499999999999</v>
      </c>
      <c r="F2273" s="116">
        <v>488.95</v>
      </c>
      <c r="G2273">
        <v>38948</v>
      </c>
      <c r="H2273" s="116"/>
      <c r="I2273" s="116"/>
      <c r="L2273" s="169">
        <v>45350</v>
      </c>
      <c r="M2273" s="116">
        <v>244.4</v>
      </c>
      <c r="N2273" s="116">
        <v>252.67500000000001</v>
      </c>
      <c r="O2273" s="116">
        <v>241.27500000000001</v>
      </c>
      <c r="P2273" s="116">
        <v>251.25</v>
      </c>
      <c r="Q2273" s="116">
        <v>488.8</v>
      </c>
      <c r="R2273">
        <v>909557</v>
      </c>
    </row>
    <row r="2274" spans="1:18" x14ac:dyDescent="0.25">
      <c r="A2274" s="169">
        <v>45351</v>
      </c>
      <c r="B2274" s="116">
        <v>246.27500000000001</v>
      </c>
      <c r="C2274" s="116">
        <v>238.95</v>
      </c>
      <c r="D2274" s="116">
        <v>233.625</v>
      </c>
      <c r="E2274" s="116">
        <v>244.47499999999999</v>
      </c>
      <c r="F2274" s="116">
        <v>477.9</v>
      </c>
      <c r="G2274">
        <v>173571</v>
      </c>
      <c r="H2274" s="116"/>
      <c r="I2274" s="116"/>
      <c r="L2274" s="169">
        <v>45351</v>
      </c>
      <c r="M2274" s="116">
        <v>238.47499999999999</v>
      </c>
      <c r="N2274" s="116">
        <v>245.875</v>
      </c>
      <c r="O2274" s="116">
        <v>233.625</v>
      </c>
      <c r="P2274" s="116">
        <v>245.875</v>
      </c>
      <c r="Q2274" s="116">
        <v>476.95</v>
      </c>
      <c r="R2274">
        <v>1895894</v>
      </c>
    </row>
    <row r="2275" spans="1:18" x14ac:dyDescent="0.25">
      <c r="A2275" s="169">
        <v>45352</v>
      </c>
      <c r="B2275" s="116">
        <v>246.8</v>
      </c>
      <c r="C2275" s="116">
        <v>245.1</v>
      </c>
      <c r="D2275" s="116">
        <v>240.22499999999999</v>
      </c>
      <c r="E2275" s="116">
        <v>242.5</v>
      </c>
      <c r="F2275" s="116">
        <v>490.2</v>
      </c>
      <c r="G2275">
        <v>161832</v>
      </c>
      <c r="H2275" s="116"/>
      <c r="I2275" s="116"/>
      <c r="L2275" s="169">
        <v>45352</v>
      </c>
      <c r="M2275" s="116">
        <v>244.9</v>
      </c>
      <c r="N2275" s="116">
        <v>246.875</v>
      </c>
      <c r="O2275" s="116">
        <v>240.47499999999999</v>
      </c>
      <c r="P2275" s="116">
        <v>243.75</v>
      </c>
      <c r="Q2275" s="116">
        <v>489.8</v>
      </c>
      <c r="R2275">
        <v>654787</v>
      </c>
    </row>
    <row r="2276" spans="1:18" x14ac:dyDescent="0.25">
      <c r="A2276" s="169">
        <v>45353</v>
      </c>
      <c r="B2276" s="116">
        <v>249.5</v>
      </c>
      <c r="C2276" s="116">
        <v>247.02500000000001</v>
      </c>
      <c r="D2276" s="116">
        <v>245.02500000000001</v>
      </c>
      <c r="E2276" s="116">
        <v>247</v>
      </c>
      <c r="F2276" s="116">
        <v>494.05</v>
      </c>
      <c r="G2276">
        <v>12811</v>
      </c>
      <c r="H2276" s="116"/>
      <c r="I2276" s="116"/>
      <c r="L2276" s="169">
        <v>45353</v>
      </c>
      <c r="M2276" s="116">
        <v>246.67500000000001</v>
      </c>
      <c r="N2276" s="116">
        <v>248.9</v>
      </c>
      <c r="O2276" s="116">
        <v>245</v>
      </c>
      <c r="P2276" s="116">
        <v>247</v>
      </c>
      <c r="Q2276" s="116">
        <v>493.35</v>
      </c>
      <c r="R2276">
        <v>108145</v>
      </c>
    </row>
    <row r="2277" spans="1:18" x14ac:dyDescent="0.25">
      <c r="A2277" s="169">
        <v>45355</v>
      </c>
      <c r="B2277" s="116">
        <v>248.07499999999999</v>
      </c>
      <c r="C2277" s="116">
        <v>243.42500000000001</v>
      </c>
      <c r="D2277" s="116">
        <v>238.85</v>
      </c>
      <c r="E2277" s="116">
        <v>246.7</v>
      </c>
      <c r="F2277" s="116">
        <v>486.85</v>
      </c>
      <c r="G2277">
        <v>69195</v>
      </c>
      <c r="H2277" s="116"/>
      <c r="I2277" s="116"/>
      <c r="L2277" s="169">
        <v>45355</v>
      </c>
      <c r="M2277" s="116">
        <v>243.45</v>
      </c>
      <c r="N2277" s="116">
        <v>248.2</v>
      </c>
      <c r="O2277" s="116">
        <v>238.75</v>
      </c>
      <c r="P2277" s="116">
        <v>247.875</v>
      </c>
      <c r="Q2277" s="116">
        <v>486.9</v>
      </c>
      <c r="R2277">
        <v>652019</v>
      </c>
    </row>
    <row r="2278" spans="1:18" x14ac:dyDescent="0.25">
      <c r="A2278" s="169">
        <v>45356</v>
      </c>
      <c r="B2278" s="116">
        <v>245.72499999999999</v>
      </c>
      <c r="C2278" s="116">
        <v>240.6</v>
      </c>
      <c r="D2278" s="116">
        <v>238.875</v>
      </c>
      <c r="E2278" s="116">
        <v>242.42500000000001</v>
      </c>
      <c r="F2278" s="116">
        <v>481.2</v>
      </c>
      <c r="G2278">
        <v>33582</v>
      </c>
      <c r="H2278" s="116"/>
      <c r="I2278" s="116"/>
      <c r="L2278" s="169">
        <v>45356</v>
      </c>
      <c r="M2278" s="116">
        <v>240.75</v>
      </c>
      <c r="N2278" s="116">
        <v>245.85</v>
      </c>
      <c r="O2278" s="116">
        <v>238.75</v>
      </c>
      <c r="P2278" s="116">
        <v>243.4</v>
      </c>
      <c r="Q2278" s="116">
        <v>481.5</v>
      </c>
      <c r="R2278">
        <v>575252</v>
      </c>
    </row>
    <row r="2279" spans="1:18" x14ac:dyDescent="0.25">
      <c r="A2279" s="169">
        <v>45357</v>
      </c>
      <c r="B2279" s="116">
        <v>241.45</v>
      </c>
      <c r="C2279" s="116">
        <v>231.25</v>
      </c>
      <c r="D2279" s="116">
        <v>227.5</v>
      </c>
      <c r="E2279" s="116">
        <v>238.72499999999999</v>
      </c>
      <c r="F2279" s="116">
        <v>462.5</v>
      </c>
      <c r="G2279">
        <v>54676</v>
      </c>
      <c r="H2279" s="116"/>
      <c r="I2279" s="116"/>
      <c r="L2279" s="169">
        <v>45357</v>
      </c>
      <c r="M2279" s="116">
        <v>231.25</v>
      </c>
      <c r="N2279" s="116">
        <v>241.375</v>
      </c>
      <c r="O2279" s="116">
        <v>227.5</v>
      </c>
      <c r="P2279" s="116">
        <v>240.75</v>
      </c>
      <c r="Q2279" s="116">
        <v>462.5</v>
      </c>
      <c r="R2279">
        <v>1018236</v>
      </c>
    </row>
    <row r="2280" spans="1:18" x14ac:dyDescent="0.25">
      <c r="A2280" s="169">
        <v>45358</v>
      </c>
      <c r="B2280" s="116">
        <v>236.85</v>
      </c>
      <c r="C2280" s="116">
        <v>232.92500000000001</v>
      </c>
      <c r="D2280" s="116">
        <v>230.52500000000001</v>
      </c>
      <c r="E2280" s="116">
        <v>230.52500000000001</v>
      </c>
      <c r="F2280" s="116">
        <v>465.85</v>
      </c>
      <c r="G2280">
        <v>41149</v>
      </c>
      <c r="H2280" s="116"/>
      <c r="I2280" s="116"/>
      <c r="L2280" s="169">
        <v>45358</v>
      </c>
      <c r="M2280" s="116">
        <v>232.97499999999999</v>
      </c>
      <c r="N2280" s="116">
        <v>236.97499999999999</v>
      </c>
      <c r="O2280" s="116">
        <v>231.57499999999999</v>
      </c>
      <c r="P2280" s="116">
        <v>231.57499999999999</v>
      </c>
      <c r="Q2280" s="116">
        <v>465.95</v>
      </c>
      <c r="R2280">
        <v>431159</v>
      </c>
    </row>
    <row r="2281" spans="1:18" x14ac:dyDescent="0.25">
      <c r="A2281" s="169">
        <v>45362</v>
      </c>
      <c r="B2281" s="116">
        <v>233.82499999999999</v>
      </c>
      <c r="C2281" s="116">
        <v>224.95</v>
      </c>
      <c r="D2281" s="116">
        <v>223.5</v>
      </c>
      <c r="E2281" s="116">
        <v>230.22499999999999</v>
      </c>
      <c r="F2281" s="116">
        <v>449.9</v>
      </c>
      <c r="G2281">
        <v>30649</v>
      </c>
      <c r="H2281" s="116"/>
      <c r="I2281" s="116"/>
      <c r="L2281" s="169">
        <v>45362</v>
      </c>
      <c r="M2281" s="116">
        <v>224.97499999999999</v>
      </c>
      <c r="N2281" s="116">
        <v>234</v>
      </c>
      <c r="O2281" s="116">
        <v>222.97499999999999</v>
      </c>
      <c r="P2281" s="116">
        <v>233</v>
      </c>
      <c r="Q2281" s="116">
        <v>449.95</v>
      </c>
      <c r="R2281">
        <v>652231</v>
      </c>
    </row>
    <row r="2282" spans="1:18" x14ac:dyDescent="0.25">
      <c r="A2282" s="169">
        <v>45363</v>
      </c>
      <c r="B2282" s="116">
        <v>228.65</v>
      </c>
      <c r="C2282" s="116">
        <v>221.57499999999999</v>
      </c>
      <c r="D2282" s="116">
        <v>217.7</v>
      </c>
      <c r="E2282" s="116">
        <v>224.7</v>
      </c>
      <c r="F2282" s="116">
        <v>443.15</v>
      </c>
      <c r="G2282">
        <v>100537</v>
      </c>
      <c r="H2282" s="116"/>
      <c r="I2282" s="116"/>
      <c r="L2282" s="169">
        <v>45363</v>
      </c>
      <c r="M2282" s="116">
        <v>221.32499999999999</v>
      </c>
      <c r="N2282" s="116">
        <v>228.92500000000001</v>
      </c>
      <c r="O2282" s="116">
        <v>217.67500000000001</v>
      </c>
      <c r="P2282" s="116">
        <v>226.47499999999999</v>
      </c>
      <c r="Q2282" s="116">
        <v>442.65</v>
      </c>
      <c r="R2282">
        <v>1011449</v>
      </c>
    </row>
    <row r="2283" spans="1:18" x14ac:dyDescent="0.25">
      <c r="A2283" s="169">
        <v>45364</v>
      </c>
      <c r="B2283" s="116">
        <v>222.1</v>
      </c>
      <c r="C2283" s="116">
        <v>194.625</v>
      </c>
      <c r="D2283" s="116">
        <v>189.4</v>
      </c>
      <c r="E2283" s="116">
        <v>221.75</v>
      </c>
      <c r="F2283" s="116">
        <v>389.25</v>
      </c>
      <c r="G2283">
        <v>242300</v>
      </c>
      <c r="H2283" s="116"/>
      <c r="I2283" s="116"/>
      <c r="L2283" s="169">
        <v>45364</v>
      </c>
      <c r="M2283" s="116">
        <v>195.52500000000001</v>
      </c>
      <c r="N2283" s="116">
        <v>223.47499999999999</v>
      </c>
      <c r="O2283" s="116">
        <v>189.97499999999999</v>
      </c>
      <c r="P2283" s="116">
        <v>222.5</v>
      </c>
      <c r="Q2283" s="116">
        <v>391.05</v>
      </c>
      <c r="R2283">
        <v>2409460</v>
      </c>
    </row>
    <row r="2284" spans="1:18" x14ac:dyDescent="0.25">
      <c r="A2284" s="169">
        <v>45365</v>
      </c>
      <c r="B2284" s="116">
        <v>212.6</v>
      </c>
      <c r="C2284" s="116">
        <v>210.07499999999999</v>
      </c>
      <c r="D2284" s="116">
        <v>191.02500000000001</v>
      </c>
      <c r="E2284" s="116">
        <v>191.02500000000001</v>
      </c>
      <c r="F2284" s="116">
        <v>420.15</v>
      </c>
      <c r="G2284">
        <v>116664</v>
      </c>
      <c r="H2284" s="116"/>
      <c r="I2284" s="116"/>
      <c r="L2284" s="169">
        <v>45365</v>
      </c>
      <c r="M2284" s="116">
        <v>209.72499999999999</v>
      </c>
      <c r="N2284" s="116">
        <v>212.625</v>
      </c>
      <c r="O2284" s="116">
        <v>191</v>
      </c>
      <c r="P2284" s="116">
        <v>195</v>
      </c>
      <c r="Q2284" s="116">
        <v>419.45</v>
      </c>
      <c r="R2284">
        <v>1448253</v>
      </c>
    </row>
    <row r="2285" spans="1:18" x14ac:dyDescent="0.25">
      <c r="A2285" s="169">
        <v>45366</v>
      </c>
      <c r="B2285" s="116">
        <v>220.5</v>
      </c>
      <c r="C2285" s="116">
        <v>217.57499999999999</v>
      </c>
      <c r="D2285" s="116">
        <v>202.77500000000001</v>
      </c>
      <c r="E2285" s="116">
        <v>212.6</v>
      </c>
      <c r="F2285" s="116">
        <v>435.15</v>
      </c>
      <c r="G2285">
        <v>163681</v>
      </c>
      <c r="H2285" s="116"/>
      <c r="I2285" s="116"/>
      <c r="L2285" s="169">
        <v>45366</v>
      </c>
      <c r="M2285" s="116">
        <v>217.72499999999999</v>
      </c>
      <c r="N2285" s="116">
        <v>220.85</v>
      </c>
      <c r="O2285" s="116">
        <v>203.22499999999999</v>
      </c>
      <c r="P2285" s="116">
        <v>212.5</v>
      </c>
      <c r="Q2285" s="116">
        <v>435.45</v>
      </c>
      <c r="R2285">
        <v>1262756</v>
      </c>
    </row>
    <row r="2286" spans="1:18" x14ac:dyDescent="0.25">
      <c r="A2286" s="169">
        <v>45369</v>
      </c>
      <c r="B2286" s="116">
        <v>220.97499999999999</v>
      </c>
      <c r="C2286" s="116">
        <v>208.8</v>
      </c>
      <c r="D2286" s="116">
        <v>207</v>
      </c>
      <c r="E2286" s="116">
        <v>217.45</v>
      </c>
      <c r="F2286" s="116">
        <v>417.6</v>
      </c>
      <c r="G2286">
        <v>84545</v>
      </c>
      <c r="H2286" s="116"/>
      <c r="I2286" s="116"/>
      <c r="L2286" s="169">
        <v>45369</v>
      </c>
      <c r="M2286" s="116">
        <v>208.52500000000001</v>
      </c>
      <c r="N2286" s="116">
        <v>220.85</v>
      </c>
      <c r="O2286" s="116">
        <v>206.7</v>
      </c>
      <c r="P2286" s="116">
        <v>216.5</v>
      </c>
      <c r="Q2286" s="116">
        <v>417.05</v>
      </c>
      <c r="R2286">
        <v>1100640</v>
      </c>
    </row>
    <row r="2287" spans="1:18" x14ac:dyDescent="0.25">
      <c r="A2287" s="169">
        <v>45370</v>
      </c>
      <c r="B2287" s="116">
        <v>212.35</v>
      </c>
      <c r="C2287" s="116">
        <v>204.95</v>
      </c>
      <c r="D2287" s="116">
        <v>204.1</v>
      </c>
      <c r="E2287" s="116">
        <v>208.625</v>
      </c>
      <c r="F2287" s="116">
        <v>409.9</v>
      </c>
      <c r="G2287">
        <v>96387</v>
      </c>
      <c r="H2287" s="116"/>
      <c r="I2287" s="116"/>
      <c r="L2287" s="169">
        <v>45370</v>
      </c>
      <c r="M2287" s="116">
        <v>204.875</v>
      </c>
      <c r="N2287" s="116">
        <v>212.4</v>
      </c>
      <c r="O2287" s="116">
        <v>204</v>
      </c>
      <c r="P2287" s="116">
        <v>209</v>
      </c>
      <c r="Q2287" s="116">
        <v>409.75</v>
      </c>
      <c r="R2287">
        <v>606281</v>
      </c>
    </row>
    <row r="2288" spans="1:18" x14ac:dyDescent="0.25">
      <c r="A2288" s="169">
        <v>45371</v>
      </c>
      <c r="B2288" s="116">
        <v>208.82499999999999</v>
      </c>
      <c r="C2288" s="116">
        <v>202.92500000000001</v>
      </c>
      <c r="D2288" s="116">
        <v>199</v>
      </c>
      <c r="E2288" s="116">
        <v>206.45</v>
      </c>
      <c r="F2288" s="116">
        <v>405.85</v>
      </c>
      <c r="G2288">
        <v>104215</v>
      </c>
      <c r="H2288" s="116"/>
      <c r="I2288" s="116"/>
      <c r="L2288" s="169">
        <v>45371</v>
      </c>
      <c r="M2288" s="116">
        <v>202.42500000000001</v>
      </c>
      <c r="N2288" s="116">
        <v>209.2</v>
      </c>
      <c r="O2288" s="116">
        <v>199.1</v>
      </c>
      <c r="P2288" s="116">
        <v>206.67500000000001</v>
      </c>
      <c r="Q2288" s="116">
        <v>404.85</v>
      </c>
      <c r="R2288">
        <v>569963</v>
      </c>
    </row>
    <row r="2289" spans="1:18" x14ac:dyDescent="0.25">
      <c r="A2289" s="169">
        <v>45372</v>
      </c>
      <c r="B2289" s="116">
        <v>217.35</v>
      </c>
      <c r="C2289" s="116">
        <v>215.92500000000001</v>
      </c>
      <c r="D2289" s="116">
        <v>204.95</v>
      </c>
      <c r="E2289" s="116">
        <v>205.32499999999999</v>
      </c>
      <c r="F2289" s="116">
        <v>431.85</v>
      </c>
      <c r="G2289">
        <v>122674</v>
      </c>
      <c r="H2289" s="116"/>
      <c r="I2289" s="116"/>
      <c r="L2289" s="169">
        <v>45372</v>
      </c>
      <c r="M2289" s="116">
        <v>215.75</v>
      </c>
      <c r="N2289" s="116">
        <v>217.47499999999999</v>
      </c>
      <c r="O2289" s="116">
        <v>204.85</v>
      </c>
      <c r="P2289" s="116">
        <v>205.97499999999999</v>
      </c>
      <c r="Q2289" s="116">
        <v>431.5</v>
      </c>
      <c r="R2289">
        <v>1377291</v>
      </c>
    </row>
    <row r="2290" spans="1:18" x14ac:dyDescent="0.25">
      <c r="A2290" s="169">
        <v>45373</v>
      </c>
      <c r="B2290" s="116">
        <v>218.6</v>
      </c>
      <c r="C2290" s="116">
        <v>217.52500000000001</v>
      </c>
      <c r="D2290" s="116">
        <v>211.4</v>
      </c>
      <c r="E2290" s="116">
        <v>218</v>
      </c>
      <c r="F2290" s="116">
        <v>435.05</v>
      </c>
      <c r="G2290">
        <v>59200</v>
      </c>
      <c r="H2290" s="116"/>
      <c r="I2290" s="116"/>
      <c r="L2290" s="169">
        <v>45373</v>
      </c>
      <c r="M2290" s="116">
        <v>217.65</v>
      </c>
      <c r="N2290" s="116">
        <v>218.55</v>
      </c>
      <c r="O2290" s="116">
        <v>211.27500000000001</v>
      </c>
      <c r="P2290" s="116">
        <v>217.5</v>
      </c>
      <c r="Q2290" s="116">
        <v>435.3</v>
      </c>
      <c r="R2290">
        <v>540493</v>
      </c>
    </row>
    <row r="2291" spans="1:18" x14ac:dyDescent="0.25">
      <c r="A2291" s="169">
        <v>45377</v>
      </c>
      <c r="B2291" s="116">
        <v>222.35</v>
      </c>
      <c r="C2291" s="116">
        <v>214.45</v>
      </c>
      <c r="D2291" s="116">
        <v>213.25</v>
      </c>
      <c r="E2291" s="116">
        <v>218.875</v>
      </c>
      <c r="F2291" s="116">
        <v>428.9</v>
      </c>
      <c r="G2291">
        <v>38324</v>
      </c>
      <c r="H2291" s="116"/>
      <c r="I2291" s="116"/>
      <c r="L2291" s="169">
        <v>45377</v>
      </c>
      <c r="M2291" s="116">
        <v>214.4</v>
      </c>
      <c r="N2291" s="116">
        <v>222.5</v>
      </c>
      <c r="O2291" s="116">
        <v>213</v>
      </c>
      <c r="P2291" s="116">
        <v>218</v>
      </c>
      <c r="Q2291" s="116">
        <v>428.8</v>
      </c>
      <c r="R2291">
        <v>689762</v>
      </c>
    </row>
    <row r="2292" spans="1:18" x14ac:dyDescent="0.25">
      <c r="A2292" s="169">
        <v>45378</v>
      </c>
      <c r="B2292" s="116">
        <v>220.2</v>
      </c>
      <c r="C2292" s="116">
        <v>211.875</v>
      </c>
      <c r="D2292" s="116">
        <v>209</v>
      </c>
      <c r="E2292" s="116">
        <v>212.52500000000001</v>
      </c>
      <c r="F2292" s="116">
        <v>423.75</v>
      </c>
      <c r="G2292">
        <v>107579</v>
      </c>
      <c r="H2292" s="116"/>
      <c r="I2292" s="116"/>
      <c r="L2292" s="169">
        <v>45378</v>
      </c>
      <c r="M2292" s="116">
        <v>211.82499999999999</v>
      </c>
      <c r="N2292" s="116">
        <v>220.97499999999999</v>
      </c>
      <c r="O2292" s="116">
        <v>210</v>
      </c>
      <c r="P2292" s="116">
        <v>214</v>
      </c>
      <c r="Q2292" s="116">
        <v>423.65</v>
      </c>
      <c r="R2292">
        <v>815063</v>
      </c>
    </row>
    <row r="2293" spans="1:18" x14ac:dyDescent="0.25">
      <c r="A2293" s="169">
        <v>45379</v>
      </c>
      <c r="B2293" s="116">
        <v>219</v>
      </c>
      <c r="C2293" s="116">
        <v>216.05</v>
      </c>
      <c r="D2293" s="116">
        <v>213</v>
      </c>
      <c r="E2293" s="116">
        <v>213.32499999999999</v>
      </c>
      <c r="F2293" s="116">
        <v>432.1</v>
      </c>
      <c r="G2293">
        <v>116520</v>
      </c>
      <c r="H2293" s="116"/>
      <c r="I2293" s="116"/>
      <c r="L2293" s="169">
        <v>45379</v>
      </c>
      <c r="M2293" s="116">
        <v>216.35</v>
      </c>
      <c r="N2293" s="116">
        <v>219.6</v>
      </c>
      <c r="O2293" s="116">
        <v>214.4</v>
      </c>
      <c r="P2293" s="116">
        <v>214.5</v>
      </c>
      <c r="Q2293" s="116">
        <v>432.7</v>
      </c>
      <c r="R2293">
        <v>738359</v>
      </c>
    </row>
    <row r="2294" spans="1:18" x14ac:dyDescent="0.25">
      <c r="A2294" s="169">
        <v>45383</v>
      </c>
      <c r="B2294" s="116">
        <v>239.02500000000001</v>
      </c>
      <c r="C2294" s="116">
        <v>236.55</v>
      </c>
      <c r="D2294" s="116">
        <v>220.02500000000001</v>
      </c>
      <c r="E2294" s="116">
        <v>220.2</v>
      </c>
      <c r="F2294" s="116">
        <v>473.1</v>
      </c>
      <c r="G2294">
        <v>98655</v>
      </c>
      <c r="H2294" s="116"/>
      <c r="I2294" s="116"/>
      <c r="L2294" s="169">
        <v>45383</v>
      </c>
      <c r="M2294" s="116">
        <v>236.47499999999999</v>
      </c>
      <c r="N2294" s="116">
        <v>238.95</v>
      </c>
      <c r="O2294" s="116">
        <v>219.42500000000001</v>
      </c>
      <c r="P2294" s="116">
        <v>219.6</v>
      </c>
      <c r="Q2294" s="116">
        <v>472.95</v>
      </c>
      <c r="R2294">
        <v>1537781</v>
      </c>
    </row>
    <row r="2295" spans="1:18" x14ac:dyDescent="0.25">
      <c r="A2295" s="169">
        <v>45384</v>
      </c>
      <c r="B2295" s="116">
        <v>244.82499999999999</v>
      </c>
      <c r="C2295" s="116">
        <v>242.65</v>
      </c>
      <c r="D2295" s="116">
        <v>233.77500000000001</v>
      </c>
      <c r="E2295" s="116">
        <v>237.7</v>
      </c>
      <c r="F2295" s="116">
        <v>485.3</v>
      </c>
      <c r="G2295">
        <v>106316</v>
      </c>
      <c r="H2295" s="116"/>
      <c r="I2295" s="116"/>
      <c r="L2295" s="169">
        <v>45384</v>
      </c>
      <c r="M2295" s="116">
        <v>243.5</v>
      </c>
      <c r="N2295" s="116">
        <v>245</v>
      </c>
      <c r="O2295" s="116">
        <v>233.72499999999999</v>
      </c>
      <c r="P2295" s="116">
        <v>236</v>
      </c>
      <c r="Q2295" s="116">
        <v>487</v>
      </c>
      <c r="R2295">
        <v>935931</v>
      </c>
    </row>
    <row r="2296" spans="1:18" x14ac:dyDescent="0.25">
      <c r="A2296" s="169">
        <v>45385</v>
      </c>
      <c r="B2296" s="116">
        <v>251.5</v>
      </c>
      <c r="C2296" s="116">
        <v>250.125</v>
      </c>
      <c r="D2296" s="116">
        <v>241.9</v>
      </c>
      <c r="E2296" s="116">
        <v>244.65</v>
      </c>
      <c r="F2296" s="116">
        <v>500.25</v>
      </c>
      <c r="G2296">
        <v>51410</v>
      </c>
      <c r="H2296" s="116"/>
      <c r="I2296" s="116"/>
      <c r="L2296" s="169">
        <v>45385</v>
      </c>
      <c r="M2296" s="116">
        <v>250.02500000000001</v>
      </c>
      <c r="N2296" s="116">
        <v>251</v>
      </c>
      <c r="O2296" s="116">
        <v>242.125</v>
      </c>
      <c r="P2296" s="116">
        <v>244.9</v>
      </c>
      <c r="Q2296" s="116">
        <v>500.05</v>
      </c>
      <c r="R2296">
        <v>1099112</v>
      </c>
    </row>
    <row r="2297" spans="1:18" x14ac:dyDescent="0.25">
      <c r="A2297" s="169">
        <v>45386</v>
      </c>
      <c r="B2297" s="116">
        <v>256.82499999999999</v>
      </c>
      <c r="C2297" s="116">
        <v>250.07499999999999</v>
      </c>
      <c r="D2297" s="116">
        <v>248.6</v>
      </c>
      <c r="E2297" s="116">
        <v>252.375</v>
      </c>
      <c r="F2297" s="116">
        <v>500.15</v>
      </c>
      <c r="G2297">
        <v>124490</v>
      </c>
      <c r="H2297" s="116"/>
      <c r="I2297" s="116"/>
      <c r="L2297" s="169">
        <v>45386</v>
      </c>
      <c r="M2297" s="116">
        <v>250.375</v>
      </c>
      <c r="N2297" s="116">
        <v>257</v>
      </c>
      <c r="O2297" s="116">
        <v>248.375</v>
      </c>
      <c r="P2297" s="116">
        <v>252.3</v>
      </c>
      <c r="Q2297" s="116">
        <v>500.75</v>
      </c>
      <c r="R2297">
        <v>1022160</v>
      </c>
    </row>
    <row r="2298" spans="1:18" x14ac:dyDescent="0.25">
      <c r="A2298" s="169">
        <v>45387</v>
      </c>
      <c r="B2298" s="116">
        <v>253.57499999999999</v>
      </c>
      <c r="C2298" s="116">
        <v>248.67500000000001</v>
      </c>
      <c r="D2298" s="116">
        <v>246</v>
      </c>
      <c r="E2298" s="116">
        <v>249.65</v>
      </c>
      <c r="F2298" s="116">
        <v>497.35</v>
      </c>
      <c r="G2298">
        <v>22063</v>
      </c>
      <c r="H2298" s="116"/>
      <c r="I2298" s="116"/>
      <c r="L2298" s="169">
        <v>45387</v>
      </c>
      <c r="M2298" s="116">
        <v>248.45</v>
      </c>
      <c r="N2298" s="116">
        <v>253.95</v>
      </c>
      <c r="O2298" s="116">
        <v>245.95</v>
      </c>
      <c r="P2298" s="116">
        <v>249</v>
      </c>
      <c r="Q2298" s="116">
        <v>496.9</v>
      </c>
      <c r="R2298">
        <v>470623</v>
      </c>
    </row>
    <row r="2299" spans="1:18" x14ac:dyDescent="0.25">
      <c r="A2299" s="169">
        <v>45390</v>
      </c>
      <c r="B2299" s="116">
        <v>256.5</v>
      </c>
      <c r="C2299" s="116">
        <v>248.02500000000001</v>
      </c>
      <c r="D2299" s="116">
        <v>246.3</v>
      </c>
      <c r="E2299" s="116">
        <v>250.9</v>
      </c>
      <c r="F2299" s="116">
        <v>496.05</v>
      </c>
      <c r="G2299">
        <v>82500</v>
      </c>
      <c r="H2299" s="116"/>
      <c r="I2299" s="116"/>
      <c r="L2299" s="169">
        <v>45390</v>
      </c>
      <c r="M2299" s="116">
        <v>247.7</v>
      </c>
      <c r="N2299" s="116">
        <v>256.5</v>
      </c>
      <c r="O2299" s="116">
        <v>246.52500000000001</v>
      </c>
      <c r="P2299" s="116">
        <v>251</v>
      </c>
      <c r="Q2299" s="116">
        <v>495.4</v>
      </c>
      <c r="R2299">
        <v>617237</v>
      </c>
    </row>
    <row r="2300" spans="1:18" x14ac:dyDescent="0.25">
      <c r="A2300" s="169">
        <v>45391</v>
      </c>
      <c r="B2300" s="116">
        <v>252.35</v>
      </c>
      <c r="C2300" s="116">
        <v>245.07499999999999</v>
      </c>
      <c r="D2300" s="116">
        <v>240.5</v>
      </c>
      <c r="E2300" s="116">
        <v>247.25</v>
      </c>
      <c r="F2300" s="116">
        <v>490.15</v>
      </c>
      <c r="G2300">
        <v>48931</v>
      </c>
      <c r="H2300" s="116"/>
      <c r="I2300" s="116"/>
      <c r="L2300" s="169">
        <v>45391</v>
      </c>
      <c r="M2300" s="116">
        <v>245.1</v>
      </c>
      <c r="N2300" s="116">
        <v>252.25</v>
      </c>
      <c r="O2300" s="116">
        <v>240.52500000000001</v>
      </c>
      <c r="P2300" s="116">
        <v>248.47499999999999</v>
      </c>
      <c r="Q2300" s="116">
        <v>490.2</v>
      </c>
      <c r="R2300">
        <v>502620</v>
      </c>
    </row>
    <row r="2301" spans="1:18" x14ac:dyDescent="0.25">
      <c r="A2301" s="169">
        <v>45392</v>
      </c>
      <c r="B2301" s="116">
        <v>252</v>
      </c>
      <c r="C2301" s="116">
        <v>246.45</v>
      </c>
      <c r="D2301" s="116">
        <v>245.32499999999999</v>
      </c>
      <c r="E2301" s="116">
        <v>246.57499999999999</v>
      </c>
      <c r="F2301" s="116">
        <v>492.9</v>
      </c>
      <c r="G2301">
        <v>19185</v>
      </c>
      <c r="H2301" s="116"/>
      <c r="I2301" s="116"/>
      <c r="L2301" s="169">
        <v>45392</v>
      </c>
      <c r="M2301" s="116">
        <v>246.4</v>
      </c>
      <c r="N2301" s="116">
        <v>252</v>
      </c>
      <c r="O2301" s="116">
        <v>244.97499999999999</v>
      </c>
      <c r="P2301" s="116">
        <v>246</v>
      </c>
      <c r="Q2301" s="116">
        <v>492.8</v>
      </c>
      <c r="R2301">
        <v>449968</v>
      </c>
    </row>
    <row r="2302" spans="1:18" x14ac:dyDescent="0.25">
      <c r="A2302" s="169">
        <v>45394</v>
      </c>
      <c r="B2302" s="116">
        <v>259</v>
      </c>
      <c r="C2302" s="116">
        <v>256.2</v>
      </c>
      <c r="D2302" s="116">
        <v>243.55</v>
      </c>
      <c r="E2302" s="116">
        <v>246.2</v>
      </c>
      <c r="F2302" s="116">
        <v>512.4</v>
      </c>
      <c r="G2302">
        <v>193456</v>
      </c>
      <c r="H2302" s="116"/>
      <c r="I2302" s="116"/>
      <c r="L2302" s="169">
        <v>45394</v>
      </c>
      <c r="M2302" s="116">
        <v>256.27499999999998</v>
      </c>
      <c r="N2302" s="116">
        <v>259.125</v>
      </c>
      <c r="O2302" s="116">
        <v>243.8</v>
      </c>
      <c r="P2302" s="116">
        <v>246</v>
      </c>
      <c r="Q2302" s="116">
        <v>512.54999999999995</v>
      </c>
      <c r="R2302">
        <v>1869108</v>
      </c>
    </row>
    <row r="2303" spans="1:18" x14ac:dyDescent="0.25">
      <c r="A2303" s="169">
        <v>45397</v>
      </c>
      <c r="B2303" s="116">
        <v>254.2</v>
      </c>
      <c r="C2303" s="116">
        <v>248.22499999999999</v>
      </c>
      <c r="D2303" s="116">
        <v>241.32499999999999</v>
      </c>
      <c r="E2303" s="116">
        <v>251.05</v>
      </c>
      <c r="F2303" s="116">
        <v>496.45</v>
      </c>
      <c r="G2303">
        <v>156697</v>
      </c>
      <c r="H2303" s="116"/>
      <c r="I2303" s="116"/>
      <c r="L2303" s="169">
        <v>45397</v>
      </c>
      <c r="M2303" s="116">
        <v>248.02500000000001</v>
      </c>
      <c r="N2303" s="116">
        <v>254.47499999999999</v>
      </c>
      <c r="O2303" s="116">
        <v>241.1</v>
      </c>
      <c r="P2303" s="116">
        <v>245.05</v>
      </c>
      <c r="Q2303" s="116">
        <v>496.05</v>
      </c>
      <c r="R2303">
        <v>1067252</v>
      </c>
    </row>
    <row r="2304" spans="1:18" x14ac:dyDescent="0.25">
      <c r="A2304" s="169">
        <v>45398</v>
      </c>
      <c r="B2304" s="116">
        <v>249.25</v>
      </c>
      <c r="C2304" s="116">
        <v>240.22499999999999</v>
      </c>
      <c r="D2304" s="116">
        <v>238</v>
      </c>
      <c r="E2304" s="116">
        <v>246</v>
      </c>
      <c r="F2304" s="116">
        <v>480.45</v>
      </c>
      <c r="G2304">
        <v>64142</v>
      </c>
      <c r="H2304" s="116"/>
      <c r="I2304" s="116"/>
      <c r="L2304" s="169">
        <v>45398</v>
      </c>
      <c r="M2304" s="116">
        <v>239.82499999999999</v>
      </c>
      <c r="N2304" s="116">
        <v>249.45</v>
      </c>
      <c r="O2304" s="116">
        <v>238</v>
      </c>
      <c r="P2304" s="116">
        <v>246</v>
      </c>
      <c r="Q2304" s="116">
        <v>479.65</v>
      </c>
      <c r="R2304">
        <v>1005136</v>
      </c>
    </row>
    <row r="2305" spans="1:18" x14ac:dyDescent="0.25">
      <c r="A2305" s="169">
        <v>45400</v>
      </c>
      <c r="B2305" s="116">
        <v>247.8</v>
      </c>
      <c r="C2305" s="116">
        <v>241.92500000000001</v>
      </c>
      <c r="D2305" s="116">
        <v>239</v>
      </c>
      <c r="E2305" s="116">
        <v>241.52500000000001</v>
      </c>
      <c r="F2305" s="116">
        <v>483.85</v>
      </c>
      <c r="G2305">
        <v>50226</v>
      </c>
      <c r="H2305" s="116"/>
      <c r="I2305" s="116"/>
      <c r="L2305" s="169">
        <v>45400</v>
      </c>
      <c r="M2305" s="116">
        <v>241.72499999999999</v>
      </c>
      <c r="N2305" s="116">
        <v>248</v>
      </c>
      <c r="O2305" s="116">
        <v>238.95</v>
      </c>
      <c r="P2305" s="116">
        <v>242.5</v>
      </c>
      <c r="Q2305" s="116">
        <v>483.45</v>
      </c>
      <c r="R2305">
        <v>636398</v>
      </c>
    </row>
    <row r="2306" spans="1:18" x14ac:dyDescent="0.25">
      <c r="A2306" s="169">
        <v>45401</v>
      </c>
      <c r="B2306" s="116">
        <v>244.97499999999999</v>
      </c>
      <c r="C2306" s="116">
        <v>240.05</v>
      </c>
      <c r="D2306" s="116">
        <v>231.875</v>
      </c>
      <c r="E2306" s="116">
        <v>238.22499999999999</v>
      </c>
      <c r="F2306" s="116">
        <v>480.1</v>
      </c>
      <c r="G2306">
        <v>79018</v>
      </c>
      <c r="H2306" s="116"/>
      <c r="I2306" s="116"/>
      <c r="L2306" s="169">
        <v>45401</v>
      </c>
      <c r="M2306" s="116">
        <v>240.22499999999999</v>
      </c>
      <c r="N2306" s="116">
        <v>245</v>
      </c>
      <c r="O2306" s="116">
        <v>232.3</v>
      </c>
      <c r="P2306" s="116">
        <v>238.5</v>
      </c>
      <c r="Q2306" s="116">
        <v>480.45</v>
      </c>
      <c r="R2306">
        <v>803124</v>
      </c>
    </row>
    <row r="2307" spans="1:18" x14ac:dyDescent="0.25">
      <c r="A2307" s="169">
        <v>45404</v>
      </c>
      <c r="B2307" s="116">
        <v>247.35</v>
      </c>
      <c r="C2307" s="116">
        <v>245.97499999999999</v>
      </c>
      <c r="D2307" s="116">
        <v>240.47499999999999</v>
      </c>
      <c r="E2307" s="116">
        <v>242.4</v>
      </c>
      <c r="F2307" s="116">
        <v>491.95</v>
      </c>
      <c r="G2307">
        <v>18557</v>
      </c>
      <c r="H2307" s="116"/>
      <c r="I2307" s="116"/>
      <c r="L2307" s="169">
        <v>45404</v>
      </c>
      <c r="M2307" s="116">
        <v>246.2</v>
      </c>
      <c r="N2307" s="116">
        <v>247.5</v>
      </c>
      <c r="O2307" s="116">
        <v>240.07499999999999</v>
      </c>
      <c r="P2307" s="116">
        <v>242.45</v>
      </c>
      <c r="Q2307" s="116">
        <v>492.4</v>
      </c>
      <c r="R2307">
        <v>641835</v>
      </c>
    </row>
    <row r="2308" spans="1:18" x14ac:dyDescent="0.25">
      <c r="A2308" s="169">
        <v>45405</v>
      </c>
      <c r="B2308" s="116">
        <v>252.25</v>
      </c>
      <c r="C2308" s="116">
        <v>248.22499999999999</v>
      </c>
      <c r="D2308" s="116">
        <v>247.25</v>
      </c>
      <c r="E2308" s="116">
        <v>247.5</v>
      </c>
      <c r="F2308" s="116">
        <v>496.45</v>
      </c>
      <c r="G2308">
        <v>21841</v>
      </c>
      <c r="H2308" s="116"/>
      <c r="I2308" s="116"/>
      <c r="L2308" s="169">
        <v>45405</v>
      </c>
      <c r="M2308" s="116">
        <v>248.3</v>
      </c>
      <c r="N2308" s="116">
        <v>252</v>
      </c>
      <c r="O2308" s="116">
        <v>247.25</v>
      </c>
      <c r="P2308" s="116">
        <v>248.47499999999999</v>
      </c>
      <c r="Q2308" s="116">
        <v>496.6</v>
      </c>
      <c r="R2308">
        <v>563990</v>
      </c>
    </row>
    <row r="2309" spans="1:18" x14ac:dyDescent="0.25">
      <c r="A2309" s="169">
        <v>45406</v>
      </c>
      <c r="B2309" s="116">
        <v>268.45</v>
      </c>
      <c r="C2309" s="116">
        <v>266.82499999999999</v>
      </c>
      <c r="D2309" s="116">
        <v>250.1</v>
      </c>
      <c r="E2309" s="116">
        <v>251.45</v>
      </c>
      <c r="F2309" s="116">
        <v>533.65</v>
      </c>
      <c r="G2309">
        <v>108392</v>
      </c>
      <c r="H2309" s="116"/>
      <c r="I2309" s="116"/>
      <c r="L2309" s="169">
        <v>45406</v>
      </c>
      <c r="M2309" s="116">
        <v>266.89999999999998</v>
      </c>
      <c r="N2309" s="116">
        <v>268.5</v>
      </c>
      <c r="O2309" s="116">
        <v>249.47499999999999</v>
      </c>
      <c r="P2309" s="116">
        <v>249.75</v>
      </c>
      <c r="Q2309" s="116">
        <v>533.79999999999995</v>
      </c>
      <c r="R2309">
        <v>3003658</v>
      </c>
    </row>
    <row r="2310" spans="1:18" x14ac:dyDescent="0.25">
      <c r="A2310" s="169">
        <v>45407</v>
      </c>
      <c r="B2310" s="116">
        <v>276.25</v>
      </c>
      <c r="C2310" s="116">
        <v>273.75</v>
      </c>
      <c r="D2310" s="116">
        <v>263.82499999999999</v>
      </c>
      <c r="E2310" s="116">
        <v>270.64999999999998</v>
      </c>
      <c r="F2310" s="116">
        <v>547.5</v>
      </c>
      <c r="G2310">
        <v>67903</v>
      </c>
      <c r="H2310" s="116"/>
      <c r="I2310" s="116"/>
      <c r="L2310" s="169">
        <v>45407</v>
      </c>
      <c r="M2310" s="116">
        <v>273.89999999999998</v>
      </c>
      <c r="N2310" s="116">
        <v>276.5</v>
      </c>
      <c r="O2310" s="116">
        <v>264</v>
      </c>
      <c r="P2310" s="116">
        <v>269.375</v>
      </c>
      <c r="Q2310" s="116">
        <v>547.79999999999995</v>
      </c>
      <c r="R2310">
        <v>1854403</v>
      </c>
    </row>
    <row r="2311" spans="1:18" x14ac:dyDescent="0.25">
      <c r="A2311" s="169">
        <v>45408</v>
      </c>
      <c r="B2311" s="116">
        <v>282.2</v>
      </c>
      <c r="C2311" s="116">
        <v>279.5</v>
      </c>
      <c r="D2311" s="116">
        <v>274.5</v>
      </c>
      <c r="E2311" s="116">
        <v>275.10000000000002</v>
      </c>
      <c r="F2311" s="116">
        <v>559</v>
      </c>
      <c r="G2311">
        <v>53158</v>
      </c>
      <c r="H2311" s="116"/>
      <c r="I2311" s="116"/>
      <c r="L2311" s="169">
        <v>45408</v>
      </c>
      <c r="M2311" s="116">
        <v>279.7</v>
      </c>
      <c r="N2311" s="116">
        <v>282</v>
      </c>
      <c r="O2311" s="116">
        <v>274.14999999999998</v>
      </c>
      <c r="P2311" s="116">
        <v>275.42500000000001</v>
      </c>
      <c r="Q2311" s="116">
        <v>559.4</v>
      </c>
      <c r="R2311">
        <v>1556993</v>
      </c>
    </row>
    <row r="2312" spans="1:18" x14ac:dyDescent="0.25">
      <c r="A2312" s="169">
        <v>45411</v>
      </c>
      <c r="B2312" s="116">
        <v>287.57499999999999</v>
      </c>
      <c r="C2312" s="116">
        <v>278.5</v>
      </c>
      <c r="D2312" s="116">
        <v>276.52499999999998</v>
      </c>
      <c r="E2312" s="116">
        <v>284.45</v>
      </c>
      <c r="F2312" s="116">
        <v>557</v>
      </c>
      <c r="G2312">
        <v>58248</v>
      </c>
      <c r="H2312" s="116"/>
      <c r="I2312" s="116"/>
      <c r="L2312" s="169">
        <v>45411</v>
      </c>
      <c r="M2312" s="116">
        <v>279.67500000000001</v>
      </c>
      <c r="N2312" s="116">
        <v>287.92500000000001</v>
      </c>
      <c r="O2312" s="116">
        <v>276.75</v>
      </c>
      <c r="P2312" s="116">
        <v>282.5</v>
      </c>
      <c r="Q2312" s="116">
        <v>559.35</v>
      </c>
      <c r="R2312">
        <v>1198384</v>
      </c>
    </row>
    <row r="2313" spans="1:18" x14ac:dyDescent="0.25">
      <c r="A2313" s="169">
        <v>45412</v>
      </c>
      <c r="B2313" s="116">
        <v>281.17500000000001</v>
      </c>
      <c r="C2313" s="116">
        <v>277.5</v>
      </c>
      <c r="D2313" s="116">
        <v>273</v>
      </c>
      <c r="E2313" s="116">
        <v>280.625</v>
      </c>
      <c r="F2313" s="116">
        <v>555</v>
      </c>
      <c r="G2313">
        <v>28350</v>
      </c>
      <c r="H2313" s="116"/>
      <c r="I2313" s="116"/>
      <c r="L2313" s="169">
        <v>45412</v>
      </c>
      <c r="M2313" s="116">
        <v>277.5</v>
      </c>
      <c r="N2313" s="116">
        <v>281.14999999999998</v>
      </c>
      <c r="O2313" s="116">
        <v>272.25</v>
      </c>
      <c r="P2313" s="116">
        <v>280.89999999999998</v>
      </c>
      <c r="Q2313" s="116">
        <v>555</v>
      </c>
      <c r="R2313">
        <v>831169</v>
      </c>
    </row>
    <row r="2314" spans="1:18" x14ac:dyDescent="0.25">
      <c r="A2314" s="169">
        <v>45414</v>
      </c>
      <c r="B2314" s="116">
        <v>282.42500000000001</v>
      </c>
      <c r="C2314" s="116">
        <v>277.82499999999999</v>
      </c>
      <c r="D2314" s="116">
        <v>275.45</v>
      </c>
      <c r="E2314" s="116">
        <v>275.45</v>
      </c>
      <c r="F2314" s="116">
        <v>555.65</v>
      </c>
      <c r="G2314">
        <v>57273</v>
      </c>
      <c r="H2314" s="116"/>
      <c r="I2314" s="116"/>
      <c r="L2314" s="169">
        <v>45414</v>
      </c>
      <c r="M2314" s="116">
        <v>277.8</v>
      </c>
      <c r="N2314" s="116">
        <v>282.47500000000002</v>
      </c>
      <c r="O2314" s="116">
        <v>276.27499999999998</v>
      </c>
      <c r="P2314" s="116">
        <v>277.7</v>
      </c>
      <c r="Q2314" s="116">
        <v>555.6</v>
      </c>
      <c r="R2314">
        <v>825233</v>
      </c>
    </row>
    <row r="2315" spans="1:18" x14ac:dyDescent="0.25">
      <c r="A2315" s="169">
        <v>45415</v>
      </c>
      <c r="B2315" s="116">
        <v>290</v>
      </c>
      <c r="C2315" s="116">
        <v>287.60000000000002</v>
      </c>
      <c r="D2315" s="116">
        <v>274.5</v>
      </c>
      <c r="E2315" s="116">
        <v>280.125</v>
      </c>
      <c r="F2315" s="116">
        <v>575.20000000000005</v>
      </c>
      <c r="G2315">
        <v>144379</v>
      </c>
      <c r="H2315" s="116"/>
      <c r="I2315" s="116"/>
      <c r="L2315" s="169">
        <v>45415</v>
      </c>
      <c r="M2315" s="116">
        <v>287.5</v>
      </c>
      <c r="N2315" s="116">
        <v>290</v>
      </c>
      <c r="O2315" s="116">
        <v>274.45</v>
      </c>
      <c r="P2315" s="116">
        <v>279</v>
      </c>
      <c r="Q2315" s="116">
        <v>575</v>
      </c>
      <c r="R2315">
        <v>1303909</v>
      </c>
    </row>
    <row r="2316" spans="1:18" x14ac:dyDescent="0.25">
      <c r="A2316" s="169">
        <v>45418</v>
      </c>
      <c r="B2316" s="116">
        <v>299.02499999999998</v>
      </c>
      <c r="C2316" s="116">
        <v>294.45</v>
      </c>
      <c r="D2316" s="116">
        <v>281.77499999999998</v>
      </c>
      <c r="E2316" s="116">
        <v>290.02499999999998</v>
      </c>
      <c r="F2316" s="116">
        <v>588.9</v>
      </c>
      <c r="G2316">
        <v>257532</v>
      </c>
      <c r="H2316" s="116"/>
      <c r="I2316" s="116"/>
      <c r="L2316" s="169">
        <v>45418</v>
      </c>
      <c r="M2316" s="116">
        <v>294.39999999999998</v>
      </c>
      <c r="N2316" s="116">
        <v>299</v>
      </c>
      <c r="O2316" s="116">
        <v>282</v>
      </c>
      <c r="P2316" s="116">
        <v>290.35000000000002</v>
      </c>
      <c r="Q2316" s="116">
        <v>588.79999999999995</v>
      </c>
      <c r="R2316">
        <v>3571154</v>
      </c>
    </row>
    <row r="2317" spans="1:18" x14ac:dyDescent="0.25">
      <c r="A2317" s="169">
        <v>45419</v>
      </c>
      <c r="B2317" s="116">
        <v>299.02499999999998</v>
      </c>
      <c r="C2317" s="116">
        <v>284.10000000000002</v>
      </c>
      <c r="D2317" s="116">
        <v>277.52499999999998</v>
      </c>
      <c r="E2317" s="116">
        <v>295.05</v>
      </c>
      <c r="F2317" s="116">
        <v>568.20000000000005</v>
      </c>
      <c r="G2317">
        <v>223483</v>
      </c>
      <c r="H2317" s="116"/>
      <c r="I2317" s="116"/>
      <c r="L2317" s="169">
        <v>45419</v>
      </c>
      <c r="M2317" s="116">
        <v>283.97500000000002</v>
      </c>
      <c r="N2317" s="116">
        <v>298.89999999999998</v>
      </c>
      <c r="O2317" s="116">
        <v>277.5</v>
      </c>
      <c r="P2317" s="116">
        <v>294.95</v>
      </c>
      <c r="Q2317" s="116">
        <v>567.95000000000005</v>
      </c>
      <c r="R2317">
        <v>2222584</v>
      </c>
    </row>
    <row r="2318" spans="1:18" x14ac:dyDescent="0.25">
      <c r="A2318" s="169">
        <v>45420</v>
      </c>
      <c r="B2318" s="116">
        <v>285.45</v>
      </c>
      <c r="C2318" s="116">
        <v>265.85000000000002</v>
      </c>
      <c r="D2318" s="116">
        <v>260.55</v>
      </c>
      <c r="E2318" s="116">
        <v>285.45</v>
      </c>
      <c r="F2318" s="116">
        <v>531.70000000000005</v>
      </c>
      <c r="G2318">
        <v>483315</v>
      </c>
      <c r="H2318" s="116"/>
      <c r="I2318" s="116"/>
      <c r="L2318" s="169">
        <v>45420</v>
      </c>
      <c r="M2318" s="116">
        <v>266.02499999999998</v>
      </c>
      <c r="N2318" s="116">
        <v>284.5</v>
      </c>
      <c r="O2318" s="116">
        <v>260.85000000000002</v>
      </c>
      <c r="P2318" s="116">
        <v>284.02499999999998</v>
      </c>
      <c r="Q2318" s="116">
        <v>532.04999999999995</v>
      </c>
      <c r="R2318">
        <v>5147681</v>
      </c>
    </row>
    <row r="2319" spans="1:18" x14ac:dyDescent="0.25">
      <c r="A2319" s="169">
        <v>45421</v>
      </c>
      <c r="B2319" s="116">
        <v>273.45</v>
      </c>
      <c r="C2319" s="116">
        <v>260.875</v>
      </c>
      <c r="D2319" s="116">
        <v>260</v>
      </c>
      <c r="E2319" s="116">
        <v>268.55</v>
      </c>
      <c r="F2319" s="116">
        <v>521.75</v>
      </c>
      <c r="G2319">
        <v>74146</v>
      </c>
      <c r="H2319" s="116"/>
      <c r="I2319" s="116"/>
      <c r="L2319" s="169">
        <v>45421</v>
      </c>
      <c r="M2319" s="116">
        <v>261.07499999999999</v>
      </c>
      <c r="N2319" s="116">
        <v>273.42500000000001</v>
      </c>
      <c r="O2319" s="116">
        <v>259.60000000000002</v>
      </c>
      <c r="P2319" s="116">
        <v>271</v>
      </c>
      <c r="Q2319" s="116">
        <v>522.15</v>
      </c>
      <c r="R2319">
        <v>1683199</v>
      </c>
    </row>
    <row r="2320" spans="1:18" x14ac:dyDescent="0.25">
      <c r="A2320" s="169">
        <v>45422</v>
      </c>
      <c r="B2320" s="116">
        <v>269</v>
      </c>
      <c r="C2320" s="116">
        <v>266.27499999999998</v>
      </c>
      <c r="D2320" s="116">
        <v>262.375</v>
      </c>
      <c r="E2320" s="116">
        <v>264.17500000000001</v>
      </c>
      <c r="F2320" s="116">
        <v>532.54999999999995</v>
      </c>
      <c r="G2320">
        <v>44250</v>
      </c>
      <c r="H2320" s="116"/>
      <c r="I2320" s="116"/>
      <c r="L2320" s="169">
        <v>45422</v>
      </c>
      <c r="M2320" s="116">
        <v>265.95</v>
      </c>
      <c r="N2320" s="116">
        <v>269.25</v>
      </c>
      <c r="O2320" s="116">
        <v>261.52499999999998</v>
      </c>
      <c r="P2320" s="116">
        <v>265</v>
      </c>
      <c r="Q2320" s="116">
        <v>531.9</v>
      </c>
      <c r="R2320">
        <v>1057486</v>
      </c>
    </row>
    <row r="2321" spans="1:18" x14ac:dyDescent="0.25">
      <c r="A2321" s="169">
        <v>45425</v>
      </c>
      <c r="B2321" s="116">
        <v>269.47500000000002</v>
      </c>
      <c r="C2321" s="116">
        <v>261.95</v>
      </c>
      <c r="D2321" s="116">
        <v>258</v>
      </c>
      <c r="E2321" s="116">
        <v>269.47500000000002</v>
      </c>
      <c r="F2321" s="116">
        <v>523.9</v>
      </c>
      <c r="G2321">
        <v>91267</v>
      </c>
      <c r="H2321" s="116"/>
      <c r="I2321" s="116"/>
      <c r="L2321" s="169">
        <v>45425</v>
      </c>
      <c r="M2321" s="116">
        <v>262.05</v>
      </c>
      <c r="N2321" s="116">
        <v>267.45</v>
      </c>
      <c r="O2321" s="116">
        <v>257.7</v>
      </c>
      <c r="P2321" s="116">
        <v>266.47500000000002</v>
      </c>
      <c r="Q2321" s="116">
        <v>524.1</v>
      </c>
      <c r="R2321">
        <v>1097963</v>
      </c>
    </row>
    <row r="2322" spans="1:18" x14ac:dyDescent="0.25">
      <c r="A2322" s="169">
        <v>45426</v>
      </c>
      <c r="B2322" s="116">
        <v>275</v>
      </c>
      <c r="C2322" s="116">
        <v>273.27499999999998</v>
      </c>
      <c r="D2322" s="116">
        <v>264.8</v>
      </c>
      <c r="E2322" s="116">
        <v>266.97500000000002</v>
      </c>
      <c r="F2322" s="116">
        <v>546.54999999999995</v>
      </c>
      <c r="G2322">
        <v>56629</v>
      </c>
      <c r="H2322" s="116"/>
      <c r="I2322" s="116"/>
      <c r="L2322" s="169">
        <v>45426</v>
      </c>
      <c r="M2322" s="116">
        <v>273.375</v>
      </c>
      <c r="N2322" s="116">
        <v>274.95</v>
      </c>
      <c r="O2322" s="116">
        <v>263.625</v>
      </c>
      <c r="P2322" s="116">
        <v>264.14999999999998</v>
      </c>
      <c r="Q2322" s="116">
        <v>546.75</v>
      </c>
      <c r="R2322">
        <v>1264301</v>
      </c>
    </row>
    <row r="2323" spans="1:18" x14ac:dyDescent="0.25">
      <c r="A2323" s="169">
        <v>45427</v>
      </c>
      <c r="B2323" s="116">
        <v>276.45</v>
      </c>
      <c r="C2323" s="116">
        <v>273.75</v>
      </c>
      <c r="D2323" s="116">
        <v>270.77499999999998</v>
      </c>
      <c r="E2323" s="116">
        <v>276.22500000000002</v>
      </c>
      <c r="F2323" s="116">
        <v>547.5</v>
      </c>
      <c r="G2323">
        <v>27071</v>
      </c>
      <c r="H2323" s="116"/>
      <c r="I2323" s="116"/>
      <c r="L2323" s="169">
        <v>45427</v>
      </c>
      <c r="M2323" s="116">
        <v>273.89999999999998</v>
      </c>
      <c r="N2323" s="116">
        <v>276.5</v>
      </c>
      <c r="O2323" s="116">
        <v>270.57499999999999</v>
      </c>
      <c r="P2323" s="116">
        <v>275.85000000000002</v>
      </c>
      <c r="Q2323" s="116">
        <v>547.79999999999995</v>
      </c>
      <c r="R2323">
        <v>782391</v>
      </c>
    </row>
    <row r="2324" spans="1:18" x14ac:dyDescent="0.25">
      <c r="A2324" s="169">
        <v>45428</v>
      </c>
      <c r="B2324" s="116">
        <v>280.3</v>
      </c>
      <c r="C2324" s="116">
        <v>269.97500000000002</v>
      </c>
      <c r="D2324" s="116">
        <v>268.64999999999998</v>
      </c>
      <c r="E2324" s="116">
        <v>279.2</v>
      </c>
      <c r="F2324" s="116">
        <v>539.95000000000005</v>
      </c>
      <c r="G2324">
        <v>29649</v>
      </c>
      <c r="H2324" s="116"/>
      <c r="I2324" s="116"/>
      <c r="L2324" s="169">
        <v>45428</v>
      </c>
      <c r="M2324" s="116">
        <v>270.02499999999998</v>
      </c>
      <c r="N2324" s="116">
        <v>280.25</v>
      </c>
      <c r="O2324" s="116">
        <v>268.89999999999998</v>
      </c>
      <c r="P2324" s="116">
        <v>276.75</v>
      </c>
      <c r="Q2324" s="116">
        <v>540.04999999999995</v>
      </c>
      <c r="R2324">
        <v>1230603</v>
      </c>
    </row>
    <row r="2325" spans="1:18" x14ac:dyDescent="0.25">
      <c r="A2325" s="169">
        <v>45429</v>
      </c>
      <c r="B2325" s="116">
        <v>280.5</v>
      </c>
      <c r="C2325" s="116">
        <v>275.17500000000001</v>
      </c>
      <c r="D2325" s="116">
        <v>273.39999999999998</v>
      </c>
      <c r="E2325" s="116">
        <v>276.02499999999998</v>
      </c>
      <c r="F2325" s="116">
        <v>550.35</v>
      </c>
      <c r="G2325">
        <v>41063</v>
      </c>
      <c r="H2325" s="116"/>
      <c r="I2325" s="116"/>
      <c r="L2325" s="169">
        <v>45429</v>
      </c>
      <c r="M2325" s="116">
        <v>275.07499999999999</v>
      </c>
      <c r="N2325" s="116">
        <v>281</v>
      </c>
      <c r="O2325" s="116">
        <v>273.02499999999998</v>
      </c>
      <c r="P2325" s="116">
        <v>274.8</v>
      </c>
      <c r="Q2325" s="116">
        <v>550.15</v>
      </c>
      <c r="R2325">
        <v>921406</v>
      </c>
    </row>
    <row r="2326" spans="1:18" x14ac:dyDescent="0.25">
      <c r="A2326" s="169">
        <v>45430</v>
      </c>
      <c r="B2326" s="116">
        <v>278.95</v>
      </c>
      <c r="C2326" s="116">
        <v>276.27499999999998</v>
      </c>
      <c r="D2326" s="116">
        <v>273.57499999999999</v>
      </c>
      <c r="E2326" s="116">
        <v>277</v>
      </c>
      <c r="F2326" s="116">
        <v>552.54999999999995</v>
      </c>
      <c r="G2326">
        <v>25513</v>
      </c>
      <c r="H2326" s="116"/>
      <c r="I2326" s="116"/>
      <c r="L2326" s="169">
        <v>45430</v>
      </c>
      <c r="M2326" s="116">
        <v>276.35000000000002</v>
      </c>
      <c r="N2326" s="116">
        <v>278.52499999999998</v>
      </c>
      <c r="O2326" s="116">
        <v>273.77499999999998</v>
      </c>
      <c r="P2326" s="116">
        <v>277.5</v>
      </c>
      <c r="Q2326" s="116">
        <v>552.70000000000005</v>
      </c>
      <c r="R2326">
        <v>109986</v>
      </c>
    </row>
    <row r="2327" spans="1:18" x14ac:dyDescent="0.25">
      <c r="A2327" s="169">
        <v>45433</v>
      </c>
      <c r="B2327" s="116">
        <v>278.89999999999998</v>
      </c>
      <c r="C2327" s="116">
        <v>272.72500000000002</v>
      </c>
      <c r="D2327" s="116">
        <v>270.07499999999999</v>
      </c>
      <c r="E2327" s="116">
        <v>278.89999999999998</v>
      </c>
      <c r="F2327" s="116">
        <v>545.45000000000005</v>
      </c>
      <c r="G2327">
        <v>24859</v>
      </c>
      <c r="H2327" s="116"/>
      <c r="I2327" s="116"/>
      <c r="L2327" s="169">
        <v>45433</v>
      </c>
      <c r="M2327" s="116">
        <v>272.875</v>
      </c>
      <c r="N2327" s="116">
        <v>277.57499999999999</v>
      </c>
      <c r="O2327" s="116">
        <v>270</v>
      </c>
      <c r="P2327" s="116">
        <v>276.5</v>
      </c>
      <c r="Q2327" s="116">
        <v>545.75</v>
      </c>
      <c r="R2327">
        <v>805685</v>
      </c>
    </row>
    <row r="2328" spans="1:18" x14ac:dyDescent="0.25">
      <c r="A2328" s="169">
        <v>45434</v>
      </c>
      <c r="B2328" s="116">
        <v>282.375</v>
      </c>
      <c r="C2328" s="116">
        <v>276.625</v>
      </c>
      <c r="D2328" s="116">
        <v>265.89999999999998</v>
      </c>
      <c r="E2328" s="116">
        <v>271.97500000000002</v>
      </c>
      <c r="F2328" s="116">
        <v>553.25</v>
      </c>
      <c r="G2328">
        <v>40778</v>
      </c>
      <c r="H2328" s="116"/>
      <c r="I2328" s="116"/>
      <c r="L2328" s="169">
        <v>45434</v>
      </c>
      <c r="M2328" s="116">
        <v>276.27499999999998</v>
      </c>
      <c r="N2328" s="116">
        <v>282.5</v>
      </c>
      <c r="O2328" s="116">
        <v>265.45</v>
      </c>
      <c r="P2328" s="116">
        <v>269.5</v>
      </c>
      <c r="Q2328" s="116">
        <v>552.54999999999995</v>
      </c>
      <c r="R2328">
        <v>1360449</v>
      </c>
    </row>
    <row r="2329" spans="1:18" x14ac:dyDescent="0.25">
      <c r="A2329" s="169">
        <v>45435</v>
      </c>
      <c r="B2329" s="116">
        <v>277</v>
      </c>
      <c r="C2329" s="116">
        <v>272</v>
      </c>
      <c r="D2329" s="116">
        <v>270.5</v>
      </c>
      <c r="E2329" s="116">
        <v>277</v>
      </c>
      <c r="F2329" s="116">
        <v>544</v>
      </c>
      <c r="G2329">
        <v>52005</v>
      </c>
      <c r="H2329" s="116"/>
      <c r="I2329" s="116"/>
      <c r="L2329" s="169">
        <v>45435</v>
      </c>
      <c r="M2329" s="116">
        <v>272.10000000000002</v>
      </c>
      <c r="N2329" s="116">
        <v>276.97500000000002</v>
      </c>
      <c r="O2329" s="116">
        <v>270.07499999999999</v>
      </c>
      <c r="P2329" s="116">
        <v>276.27499999999998</v>
      </c>
      <c r="Q2329" s="116">
        <v>544.20000000000005</v>
      </c>
      <c r="R2329">
        <v>562100</v>
      </c>
    </row>
    <row r="2330" spans="1:18" x14ac:dyDescent="0.25">
      <c r="A2330" s="169">
        <v>45436</v>
      </c>
      <c r="B2330" s="116">
        <v>274</v>
      </c>
      <c r="C2330" s="116">
        <v>271</v>
      </c>
      <c r="D2330" s="116">
        <v>267.64999999999998</v>
      </c>
      <c r="E2330" s="116">
        <v>267.64999999999998</v>
      </c>
      <c r="F2330" s="116">
        <v>542</v>
      </c>
      <c r="G2330">
        <v>26152</v>
      </c>
      <c r="H2330" s="116"/>
      <c r="I2330" s="116"/>
      <c r="L2330" s="169">
        <v>45436</v>
      </c>
      <c r="M2330" s="116">
        <v>271.25</v>
      </c>
      <c r="N2330" s="116">
        <v>274.05</v>
      </c>
      <c r="O2330" s="116">
        <v>269</v>
      </c>
      <c r="P2330" s="116">
        <v>272.5</v>
      </c>
      <c r="Q2330" s="116">
        <v>542.5</v>
      </c>
      <c r="R2330">
        <v>563809</v>
      </c>
    </row>
    <row r="2331" spans="1:18" x14ac:dyDescent="0.25">
      <c r="A2331" s="169">
        <v>45439</v>
      </c>
      <c r="B2331" s="116">
        <v>284.97500000000002</v>
      </c>
      <c r="C2331" s="116">
        <v>283.05</v>
      </c>
      <c r="D2331" s="116">
        <v>270.55</v>
      </c>
      <c r="E2331" s="116">
        <v>274.32499999999999</v>
      </c>
      <c r="F2331" s="116">
        <v>566.1</v>
      </c>
      <c r="G2331">
        <v>53518</v>
      </c>
      <c r="H2331" s="116"/>
      <c r="I2331" s="116"/>
      <c r="L2331" s="169">
        <v>45439</v>
      </c>
      <c r="M2331" s="116">
        <v>282.875</v>
      </c>
      <c r="N2331" s="116">
        <v>285</v>
      </c>
      <c r="O2331" s="116">
        <v>270</v>
      </c>
      <c r="P2331" s="116">
        <v>273.97500000000002</v>
      </c>
      <c r="Q2331" s="116">
        <v>565.75</v>
      </c>
      <c r="R2331">
        <v>2284503</v>
      </c>
    </row>
    <row r="2332" spans="1:18" x14ac:dyDescent="0.25">
      <c r="A2332" s="169">
        <v>45440</v>
      </c>
      <c r="B2332" s="116">
        <v>286</v>
      </c>
      <c r="C2332" s="116">
        <v>277.22500000000002</v>
      </c>
      <c r="D2332" s="116">
        <v>274.5</v>
      </c>
      <c r="E2332" s="116">
        <v>285.95</v>
      </c>
      <c r="F2332" s="116">
        <v>554.45000000000005</v>
      </c>
      <c r="G2332">
        <v>83635</v>
      </c>
      <c r="H2332" s="116"/>
      <c r="I2332" s="116"/>
      <c r="L2332" s="169">
        <v>45440</v>
      </c>
      <c r="M2332" s="116">
        <v>277.52499999999998</v>
      </c>
      <c r="N2332" s="116">
        <v>284</v>
      </c>
      <c r="O2332" s="116">
        <v>274.32499999999999</v>
      </c>
      <c r="P2332" s="116">
        <v>284</v>
      </c>
      <c r="Q2332" s="116">
        <v>555.04999999999995</v>
      </c>
      <c r="R2332">
        <v>677027</v>
      </c>
    </row>
    <row r="2333" spans="1:18" x14ac:dyDescent="0.25">
      <c r="A2333" s="169">
        <v>45441</v>
      </c>
      <c r="B2333" s="116">
        <v>278.72500000000002</v>
      </c>
      <c r="C2333" s="116">
        <v>275.10000000000002</v>
      </c>
      <c r="D2333" s="116">
        <v>271.625</v>
      </c>
      <c r="E2333" s="116">
        <v>274.52499999999998</v>
      </c>
      <c r="F2333" s="116">
        <v>550.20000000000005</v>
      </c>
      <c r="G2333">
        <v>15873</v>
      </c>
      <c r="H2333" s="116"/>
      <c r="I2333" s="116"/>
      <c r="L2333" s="169">
        <v>45441</v>
      </c>
      <c r="M2333" s="116">
        <v>274.89999999999998</v>
      </c>
      <c r="N2333" s="116">
        <v>279.17500000000001</v>
      </c>
      <c r="O2333" s="116">
        <v>271.55</v>
      </c>
      <c r="P2333" s="116">
        <v>276.5</v>
      </c>
      <c r="Q2333" s="116">
        <v>549.79999999999995</v>
      </c>
      <c r="R2333">
        <v>616263</v>
      </c>
    </row>
    <row r="2334" spans="1:18" x14ac:dyDescent="0.25">
      <c r="A2334" s="169">
        <v>45442</v>
      </c>
      <c r="B2334" s="116">
        <v>278.7</v>
      </c>
      <c r="C2334" s="116">
        <v>273.60000000000002</v>
      </c>
      <c r="D2334" s="116">
        <v>272.10000000000002</v>
      </c>
      <c r="E2334" s="116">
        <v>273</v>
      </c>
      <c r="F2334" s="116">
        <v>547.20000000000005</v>
      </c>
      <c r="G2334">
        <v>54915</v>
      </c>
      <c r="H2334" s="116"/>
      <c r="I2334" s="116"/>
      <c r="L2334" s="169">
        <v>45442</v>
      </c>
      <c r="M2334" s="116">
        <v>273.64999999999998</v>
      </c>
      <c r="N2334" s="116">
        <v>279</v>
      </c>
      <c r="O2334" s="116">
        <v>272.14999999999998</v>
      </c>
      <c r="P2334" s="116">
        <v>274.85000000000002</v>
      </c>
      <c r="Q2334" s="116">
        <v>547.29999999999995</v>
      </c>
      <c r="R2334">
        <v>580029</v>
      </c>
    </row>
    <row r="2335" spans="1:18" x14ac:dyDescent="0.25">
      <c r="A2335" s="169">
        <v>45443</v>
      </c>
      <c r="B2335" s="116">
        <v>277.97500000000002</v>
      </c>
      <c r="C2335" s="116">
        <v>268.77499999999998</v>
      </c>
      <c r="D2335" s="116">
        <v>266.42500000000001</v>
      </c>
      <c r="E2335" s="116">
        <v>277.97500000000002</v>
      </c>
      <c r="F2335" s="116">
        <v>537.54999999999995</v>
      </c>
      <c r="G2335">
        <v>32497</v>
      </c>
      <c r="H2335" s="116"/>
      <c r="I2335" s="116"/>
      <c r="L2335" s="169">
        <v>45443</v>
      </c>
      <c r="M2335" s="116">
        <v>268.89999999999998</v>
      </c>
      <c r="N2335" s="116">
        <v>274.5</v>
      </c>
      <c r="O2335" s="116">
        <v>266.5</v>
      </c>
      <c r="P2335" s="116">
        <v>274.5</v>
      </c>
      <c r="Q2335" s="116">
        <v>537.79999999999995</v>
      </c>
      <c r="R2335">
        <v>972557</v>
      </c>
    </row>
    <row r="2336" spans="1:18" x14ac:dyDescent="0.25">
      <c r="A2336" s="169">
        <v>45446</v>
      </c>
      <c r="B2336" s="116">
        <v>283.77499999999998</v>
      </c>
      <c r="C2336" s="116">
        <v>275.60000000000002</v>
      </c>
      <c r="D2336" s="116">
        <v>272.14999999999998</v>
      </c>
      <c r="E2336" s="116">
        <v>280.85000000000002</v>
      </c>
      <c r="F2336" s="116">
        <v>551.20000000000005</v>
      </c>
      <c r="G2336">
        <v>55617</v>
      </c>
      <c r="H2336" s="116"/>
      <c r="I2336" s="116"/>
      <c r="L2336" s="169">
        <v>45446</v>
      </c>
      <c r="M2336" s="116">
        <v>275.3</v>
      </c>
      <c r="N2336" s="116">
        <v>284</v>
      </c>
      <c r="O2336" s="116">
        <v>272.39999999999998</v>
      </c>
      <c r="P2336" s="116">
        <v>278.5</v>
      </c>
      <c r="Q2336" s="116">
        <v>550.6</v>
      </c>
      <c r="R2336">
        <v>1375602</v>
      </c>
    </row>
    <row r="2337" spans="1:18" x14ac:dyDescent="0.25">
      <c r="A2337" s="169">
        <v>45447</v>
      </c>
      <c r="B2337" s="116">
        <v>277.5</v>
      </c>
      <c r="C2337" s="116">
        <v>240.32499999999999</v>
      </c>
      <c r="D2337" s="116">
        <v>236.1</v>
      </c>
      <c r="E2337" s="116">
        <v>277.5</v>
      </c>
      <c r="F2337" s="116">
        <v>480.65</v>
      </c>
      <c r="G2337">
        <v>256262</v>
      </c>
      <c r="H2337" s="116"/>
      <c r="I2337" s="116"/>
      <c r="L2337" s="169">
        <v>45447</v>
      </c>
      <c r="M2337" s="116">
        <v>240.52500000000001</v>
      </c>
      <c r="N2337" s="116">
        <v>275</v>
      </c>
      <c r="O2337" s="116">
        <v>236.47499999999999</v>
      </c>
      <c r="P2337" s="116">
        <v>275</v>
      </c>
      <c r="Q2337" s="116">
        <v>481.05</v>
      </c>
      <c r="R2337">
        <v>2622916</v>
      </c>
    </row>
    <row r="2338" spans="1:18" x14ac:dyDescent="0.25">
      <c r="A2338" s="169">
        <v>45448</v>
      </c>
      <c r="B2338" s="116">
        <v>256.57499999999999</v>
      </c>
      <c r="C2338" s="116">
        <v>255.17500000000001</v>
      </c>
      <c r="D2338" s="116">
        <v>240.625</v>
      </c>
      <c r="E2338" s="116">
        <v>243.05</v>
      </c>
      <c r="F2338" s="116">
        <v>510.35</v>
      </c>
      <c r="G2338">
        <v>56028</v>
      </c>
      <c r="H2338" s="116"/>
      <c r="I2338" s="116"/>
      <c r="L2338" s="169">
        <v>45448</v>
      </c>
      <c r="M2338" s="116">
        <v>254.2</v>
      </c>
      <c r="N2338" s="116">
        <v>256.45</v>
      </c>
      <c r="O2338" s="116">
        <v>240.6</v>
      </c>
      <c r="P2338" s="116">
        <v>247.5</v>
      </c>
      <c r="Q2338" s="116">
        <v>508.4</v>
      </c>
      <c r="R2338">
        <v>1348276</v>
      </c>
    </row>
    <row r="2339" spans="1:18" x14ac:dyDescent="0.25">
      <c r="A2339" s="169">
        <v>45449</v>
      </c>
      <c r="B2339" s="116">
        <v>268.625</v>
      </c>
      <c r="C2339" s="116">
        <v>262.75</v>
      </c>
      <c r="D2339" s="116">
        <v>253.17500000000001</v>
      </c>
      <c r="E2339" s="116">
        <v>268.625</v>
      </c>
      <c r="F2339" s="116">
        <v>525.5</v>
      </c>
      <c r="G2339">
        <v>99652</v>
      </c>
      <c r="H2339" s="116"/>
      <c r="I2339" s="116"/>
      <c r="L2339" s="169">
        <v>45449</v>
      </c>
      <c r="M2339" s="116">
        <v>262.85000000000002</v>
      </c>
      <c r="N2339" s="116">
        <v>268</v>
      </c>
      <c r="O2339" s="116">
        <v>257</v>
      </c>
      <c r="P2339" s="116">
        <v>257.5</v>
      </c>
      <c r="Q2339" s="116">
        <v>525.70000000000005</v>
      </c>
      <c r="R2339">
        <v>752722</v>
      </c>
    </row>
    <row r="2340" spans="1:18" x14ac:dyDescent="0.25">
      <c r="A2340" s="169">
        <v>45450</v>
      </c>
      <c r="B2340" s="116">
        <v>284</v>
      </c>
      <c r="C2340" s="116">
        <v>277.57499999999999</v>
      </c>
      <c r="D2340" s="116">
        <v>261.8</v>
      </c>
      <c r="E2340" s="116">
        <v>267</v>
      </c>
      <c r="F2340" s="116">
        <v>555.15</v>
      </c>
      <c r="G2340">
        <v>80634</v>
      </c>
      <c r="H2340" s="116"/>
      <c r="I2340" s="116"/>
      <c r="L2340" s="169">
        <v>45450</v>
      </c>
      <c r="M2340" s="116">
        <v>277.57499999999999</v>
      </c>
      <c r="N2340" s="116">
        <v>284</v>
      </c>
      <c r="O2340" s="116">
        <v>261.17500000000001</v>
      </c>
      <c r="P2340" s="116">
        <v>263.5</v>
      </c>
      <c r="Q2340" s="116">
        <v>555.15</v>
      </c>
      <c r="R2340">
        <v>1686304</v>
      </c>
    </row>
    <row r="2341" spans="1:18" x14ac:dyDescent="0.25">
      <c r="A2341" s="169">
        <v>45453</v>
      </c>
      <c r="B2341" s="116">
        <v>291.3</v>
      </c>
      <c r="C2341" s="116">
        <v>278.89999999999998</v>
      </c>
      <c r="D2341" s="116">
        <v>277.57499999999999</v>
      </c>
      <c r="E2341" s="116">
        <v>282.60000000000002</v>
      </c>
      <c r="F2341" s="116">
        <v>557.79999999999995</v>
      </c>
      <c r="G2341">
        <v>109362</v>
      </c>
      <c r="H2341" s="116"/>
      <c r="I2341" s="116"/>
      <c r="L2341" s="169">
        <v>45453</v>
      </c>
      <c r="M2341" s="116">
        <v>279.07499999999999</v>
      </c>
      <c r="N2341" s="116">
        <v>291.47500000000002</v>
      </c>
      <c r="O2341" s="116">
        <v>277.625</v>
      </c>
      <c r="P2341" s="116">
        <v>280.89999999999998</v>
      </c>
      <c r="Q2341" s="116">
        <v>558.15</v>
      </c>
      <c r="R2341">
        <v>1358030</v>
      </c>
    </row>
    <row r="2342" spans="1:18" x14ac:dyDescent="0.25">
      <c r="A2342" s="169">
        <v>45454</v>
      </c>
      <c r="B2342" s="116">
        <v>281.95</v>
      </c>
      <c r="C2342" s="116">
        <v>276.64999999999998</v>
      </c>
      <c r="D2342" s="116">
        <v>274.39999999999998</v>
      </c>
      <c r="E2342" s="116">
        <v>278.85000000000002</v>
      </c>
      <c r="F2342" s="116">
        <v>553.29999999999995</v>
      </c>
      <c r="G2342">
        <v>20991</v>
      </c>
      <c r="H2342" s="116"/>
      <c r="I2342" s="116"/>
      <c r="L2342" s="169">
        <v>45454</v>
      </c>
      <c r="M2342" s="116">
        <v>276.47500000000002</v>
      </c>
      <c r="N2342" s="116">
        <v>281.875</v>
      </c>
      <c r="O2342" s="116">
        <v>273.52499999999998</v>
      </c>
      <c r="P2342" s="116">
        <v>278.85000000000002</v>
      </c>
      <c r="Q2342" s="116">
        <v>552.95000000000005</v>
      </c>
      <c r="R2342">
        <v>719557</v>
      </c>
    </row>
    <row r="2343" spans="1:18" x14ac:dyDescent="0.25">
      <c r="A2343" s="169">
        <v>45455</v>
      </c>
      <c r="B2343" s="116">
        <v>281.75</v>
      </c>
      <c r="C2343" s="116">
        <v>276.95</v>
      </c>
      <c r="D2343" s="116">
        <v>275.55</v>
      </c>
      <c r="E2343" s="116">
        <v>275.77499999999998</v>
      </c>
      <c r="F2343" s="116">
        <v>553.9</v>
      </c>
      <c r="G2343">
        <v>45464</v>
      </c>
      <c r="H2343" s="116"/>
      <c r="I2343" s="116"/>
      <c r="L2343" s="169">
        <v>45455</v>
      </c>
      <c r="M2343" s="116">
        <v>276.95</v>
      </c>
      <c r="N2343" s="116">
        <v>281.5</v>
      </c>
      <c r="O2343" s="116">
        <v>275.45</v>
      </c>
      <c r="P2343" s="116">
        <v>276.75</v>
      </c>
      <c r="Q2343" s="116">
        <v>553.9</v>
      </c>
      <c r="R2343">
        <v>537793</v>
      </c>
    </row>
    <row r="2344" spans="1:18" x14ac:dyDescent="0.25">
      <c r="A2344" s="169">
        <v>45456</v>
      </c>
      <c r="B2344" s="116">
        <v>283.45</v>
      </c>
      <c r="C2344" s="116">
        <v>282.25</v>
      </c>
      <c r="D2344" s="116">
        <v>274.42500000000001</v>
      </c>
      <c r="E2344" s="116">
        <v>277.82499999999999</v>
      </c>
      <c r="F2344" s="116">
        <v>564.5</v>
      </c>
      <c r="G2344">
        <v>86014</v>
      </c>
      <c r="H2344" s="116"/>
      <c r="I2344" s="116"/>
      <c r="L2344" s="169">
        <v>45456</v>
      </c>
      <c r="M2344" s="116">
        <v>282.2</v>
      </c>
      <c r="N2344" s="116">
        <v>283.5</v>
      </c>
      <c r="O2344" s="116">
        <v>274.57499999999999</v>
      </c>
      <c r="P2344" s="116">
        <v>277.07499999999999</v>
      </c>
      <c r="Q2344" s="116">
        <v>564.4</v>
      </c>
      <c r="R2344">
        <v>606514</v>
      </c>
    </row>
    <row r="2345" spans="1:18" x14ac:dyDescent="0.25">
      <c r="A2345" s="169">
        <v>45457</v>
      </c>
      <c r="B2345" s="116">
        <v>287.47500000000002</v>
      </c>
      <c r="C2345" s="116">
        <v>280.25</v>
      </c>
      <c r="D2345" s="116">
        <v>277.8</v>
      </c>
      <c r="E2345" s="116">
        <v>279.10000000000002</v>
      </c>
      <c r="F2345" s="116">
        <v>560.5</v>
      </c>
      <c r="G2345">
        <v>105028</v>
      </c>
      <c r="H2345" s="116"/>
      <c r="I2345" s="116"/>
      <c r="L2345" s="169">
        <v>45457</v>
      </c>
      <c r="M2345" s="116">
        <v>280.375</v>
      </c>
      <c r="N2345" s="116">
        <v>287.35000000000002</v>
      </c>
      <c r="O2345" s="116">
        <v>277.57499999999999</v>
      </c>
      <c r="P2345" s="116">
        <v>282</v>
      </c>
      <c r="Q2345" s="116">
        <v>560.75</v>
      </c>
      <c r="R2345">
        <v>1252049</v>
      </c>
    </row>
    <row r="2346" spans="1:18" x14ac:dyDescent="0.25">
      <c r="A2346" s="169">
        <v>45461</v>
      </c>
      <c r="B2346" s="116">
        <v>284.8</v>
      </c>
      <c r="C2346" s="116">
        <v>279.35000000000002</v>
      </c>
      <c r="D2346" s="116">
        <v>278</v>
      </c>
      <c r="E2346" s="116">
        <v>284.8</v>
      </c>
      <c r="F2346" s="116">
        <v>558.70000000000005</v>
      </c>
      <c r="G2346">
        <v>25415</v>
      </c>
      <c r="H2346" s="116"/>
      <c r="I2346" s="116"/>
      <c r="L2346" s="169">
        <v>45461</v>
      </c>
      <c r="M2346" s="116">
        <v>279.10000000000002</v>
      </c>
      <c r="N2346" s="116">
        <v>284</v>
      </c>
      <c r="O2346" s="116">
        <v>278.05</v>
      </c>
      <c r="P2346" s="116">
        <v>283</v>
      </c>
      <c r="Q2346" s="116">
        <v>558.20000000000005</v>
      </c>
      <c r="R2346">
        <v>462754</v>
      </c>
    </row>
    <row r="2347" spans="1:18" x14ac:dyDescent="0.25">
      <c r="A2347" s="169">
        <v>45462</v>
      </c>
      <c r="B2347" s="116">
        <v>284.72500000000002</v>
      </c>
      <c r="C2347" s="116">
        <v>280.39999999999998</v>
      </c>
      <c r="D2347" s="116">
        <v>271.55</v>
      </c>
      <c r="E2347" s="116">
        <v>279.2</v>
      </c>
      <c r="F2347" s="116">
        <v>560.79999999999995</v>
      </c>
      <c r="G2347">
        <v>105899</v>
      </c>
      <c r="H2347" s="116"/>
      <c r="I2347" s="116"/>
      <c r="L2347" s="169">
        <v>45462</v>
      </c>
      <c r="M2347" s="116">
        <v>280.7</v>
      </c>
      <c r="N2347" s="116">
        <v>285</v>
      </c>
      <c r="O2347" s="116">
        <v>271.875</v>
      </c>
      <c r="P2347" s="116">
        <v>279</v>
      </c>
      <c r="Q2347" s="116">
        <v>561.4</v>
      </c>
      <c r="R2347">
        <v>1009904</v>
      </c>
    </row>
    <row r="2348" spans="1:18" x14ac:dyDescent="0.25">
      <c r="A2348" s="169">
        <v>45463</v>
      </c>
      <c r="B2348" s="116">
        <v>287.07499999999999</v>
      </c>
      <c r="C2348" s="116">
        <v>281.625</v>
      </c>
      <c r="D2348" s="116">
        <v>277.82499999999999</v>
      </c>
      <c r="E2348" s="116">
        <v>282.47500000000002</v>
      </c>
      <c r="F2348" s="116">
        <v>563.25</v>
      </c>
      <c r="G2348">
        <v>44452</v>
      </c>
      <c r="H2348" s="116"/>
      <c r="I2348" s="116"/>
      <c r="L2348" s="169">
        <v>45463</v>
      </c>
      <c r="M2348" s="116">
        <v>282.5</v>
      </c>
      <c r="N2348" s="116">
        <v>287</v>
      </c>
      <c r="O2348" s="116">
        <v>278.3</v>
      </c>
      <c r="P2348" s="116">
        <v>280.5</v>
      </c>
      <c r="Q2348" s="116">
        <v>565</v>
      </c>
      <c r="R2348">
        <v>724364</v>
      </c>
    </row>
    <row r="2349" spans="1:18" x14ac:dyDescent="0.25">
      <c r="A2349" s="169">
        <v>45464</v>
      </c>
      <c r="B2349" s="116">
        <v>290.125</v>
      </c>
      <c r="C2349" s="116">
        <v>285.95</v>
      </c>
      <c r="D2349" s="116">
        <v>282.5</v>
      </c>
      <c r="E2349" s="116">
        <v>287.27499999999998</v>
      </c>
      <c r="F2349" s="116">
        <v>571.9</v>
      </c>
      <c r="G2349">
        <v>42713</v>
      </c>
      <c r="H2349" s="116"/>
      <c r="I2349" s="116"/>
      <c r="L2349" s="169">
        <v>45464</v>
      </c>
      <c r="M2349" s="116">
        <v>285.82499999999999</v>
      </c>
      <c r="N2349" s="116">
        <v>290.375</v>
      </c>
      <c r="O2349" s="116">
        <v>281.7</v>
      </c>
      <c r="P2349" s="116">
        <v>282.5</v>
      </c>
      <c r="Q2349" s="116">
        <v>571.65</v>
      </c>
      <c r="R2349">
        <v>963570</v>
      </c>
    </row>
    <row r="2350" spans="1:18" x14ac:dyDescent="0.25">
      <c r="A2350" s="169">
        <v>45467</v>
      </c>
      <c r="B2350" s="116">
        <v>291.42500000000001</v>
      </c>
      <c r="C2350" s="116">
        <v>282.92500000000001</v>
      </c>
      <c r="D2350" s="116">
        <v>280</v>
      </c>
      <c r="E2350" s="116">
        <v>285.82499999999999</v>
      </c>
      <c r="F2350" s="116">
        <v>565.85</v>
      </c>
      <c r="G2350">
        <v>105633</v>
      </c>
      <c r="H2350" s="116"/>
      <c r="I2350" s="116"/>
      <c r="L2350" s="169">
        <v>45467</v>
      </c>
      <c r="M2350" s="116">
        <v>282.92500000000001</v>
      </c>
      <c r="N2350" s="116">
        <v>291.35000000000002</v>
      </c>
      <c r="O2350" s="116">
        <v>279.42500000000001</v>
      </c>
      <c r="P2350" s="116">
        <v>285.82499999999999</v>
      </c>
      <c r="Q2350" s="116">
        <v>565.85</v>
      </c>
      <c r="R2350">
        <v>976347</v>
      </c>
    </row>
    <row r="2351" spans="1:18" x14ac:dyDescent="0.25">
      <c r="A2351" s="169">
        <v>45468</v>
      </c>
      <c r="B2351" s="116">
        <v>295.5</v>
      </c>
      <c r="C2351" s="116">
        <v>279.07499999999999</v>
      </c>
      <c r="D2351" s="116">
        <v>278</v>
      </c>
      <c r="E2351" s="116">
        <v>282.92500000000001</v>
      </c>
      <c r="F2351" s="116">
        <v>558.15</v>
      </c>
      <c r="G2351">
        <v>143527</v>
      </c>
      <c r="H2351" s="116"/>
      <c r="I2351" s="116"/>
      <c r="L2351" s="169">
        <v>45468</v>
      </c>
      <c r="M2351" s="116">
        <v>279.2</v>
      </c>
      <c r="N2351" s="116">
        <v>295.5</v>
      </c>
      <c r="O2351" s="116">
        <v>277.5</v>
      </c>
      <c r="P2351" s="116">
        <v>286.3</v>
      </c>
      <c r="Q2351" s="116">
        <v>558.4</v>
      </c>
      <c r="R2351">
        <v>1638550</v>
      </c>
    </row>
    <row r="2352" spans="1:18" x14ac:dyDescent="0.25">
      <c r="A2352" s="169">
        <v>45469</v>
      </c>
      <c r="B2352" s="116">
        <v>280.375</v>
      </c>
      <c r="C2352" s="116">
        <v>275.77499999999998</v>
      </c>
      <c r="D2352" s="116">
        <v>274.625</v>
      </c>
      <c r="E2352" s="116">
        <v>279.5</v>
      </c>
      <c r="F2352" s="116">
        <v>551.54999999999995</v>
      </c>
      <c r="G2352">
        <v>21837</v>
      </c>
      <c r="H2352" s="116"/>
      <c r="I2352" s="116"/>
      <c r="L2352" s="169">
        <v>45469</v>
      </c>
      <c r="M2352" s="116">
        <v>275.7</v>
      </c>
      <c r="N2352" s="116">
        <v>280.875</v>
      </c>
      <c r="O2352" s="116">
        <v>274.17500000000001</v>
      </c>
      <c r="P2352" s="116">
        <v>280</v>
      </c>
      <c r="Q2352" s="116">
        <v>551.4</v>
      </c>
      <c r="R2352">
        <v>606419</v>
      </c>
    </row>
    <row r="2353" spans="1:18" x14ac:dyDescent="0.25">
      <c r="A2353" s="169">
        <v>45470</v>
      </c>
      <c r="B2353" s="116">
        <v>279.10000000000002</v>
      </c>
      <c r="C2353" s="116">
        <v>269.35000000000002</v>
      </c>
      <c r="D2353" s="116">
        <v>266</v>
      </c>
      <c r="E2353" s="116">
        <v>274.25</v>
      </c>
      <c r="F2353" s="116">
        <v>538.70000000000005</v>
      </c>
      <c r="G2353">
        <v>85770</v>
      </c>
      <c r="H2353" s="116"/>
      <c r="I2353" s="116"/>
      <c r="L2353" s="169">
        <v>45470</v>
      </c>
      <c r="M2353" s="116">
        <v>269.25</v>
      </c>
      <c r="N2353" s="116">
        <v>279.22500000000002</v>
      </c>
      <c r="O2353" s="116">
        <v>266</v>
      </c>
      <c r="P2353" s="116">
        <v>275.05</v>
      </c>
      <c r="Q2353" s="116">
        <v>538.5</v>
      </c>
      <c r="R2353">
        <v>787979</v>
      </c>
    </row>
    <row r="2354" spans="1:18" x14ac:dyDescent="0.25">
      <c r="A2354" s="169">
        <v>45471</v>
      </c>
      <c r="B2354" s="116">
        <v>276.85000000000002</v>
      </c>
      <c r="C2354" s="116">
        <v>271.72500000000002</v>
      </c>
      <c r="D2354" s="116">
        <v>269.375</v>
      </c>
      <c r="E2354" s="116">
        <v>269.375</v>
      </c>
      <c r="F2354" s="116">
        <v>543.45000000000005</v>
      </c>
      <c r="G2354">
        <v>45978</v>
      </c>
      <c r="H2354" s="116"/>
      <c r="I2354" s="116"/>
      <c r="L2354" s="169">
        <v>45471</v>
      </c>
      <c r="M2354" s="116">
        <v>271.92500000000001</v>
      </c>
      <c r="N2354" s="116">
        <v>276.97500000000002</v>
      </c>
      <c r="O2354" s="116">
        <v>270.25</v>
      </c>
      <c r="P2354" s="116">
        <v>271</v>
      </c>
      <c r="Q2354" s="116">
        <v>543.85</v>
      </c>
      <c r="R2354">
        <v>425197</v>
      </c>
    </row>
    <row r="2355" spans="1:18" x14ac:dyDescent="0.25">
      <c r="A2355" s="169">
        <v>45474</v>
      </c>
      <c r="B2355" s="116">
        <v>275.75</v>
      </c>
      <c r="C2355" s="116">
        <v>272.5</v>
      </c>
      <c r="D2355" s="116">
        <v>269.17500000000001</v>
      </c>
      <c r="E2355" s="116">
        <v>275</v>
      </c>
      <c r="F2355" s="116">
        <v>545</v>
      </c>
      <c r="G2355">
        <v>20806</v>
      </c>
      <c r="H2355" s="116"/>
      <c r="I2355" s="116"/>
      <c r="L2355" s="169">
        <v>45474</v>
      </c>
      <c r="M2355" s="116">
        <v>272.85000000000002</v>
      </c>
      <c r="N2355" s="116">
        <v>275.97500000000002</v>
      </c>
      <c r="O2355" s="116">
        <v>268.97500000000002</v>
      </c>
      <c r="P2355" s="116">
        <v>271.92500000000001</v>
      </c>
      <c r="Q2355" s="116">
        <v>545.70000000000005</v>
      </c>
      <c r="R2355">
        <v>630722</v>
      </c>
    </row>
    <row r="2356" spans="1:18" x14ac:dyDescent="0.25">
      <c r="A2356" s="169">
        <v>45475</v>
      </c>
      <c r="B2356" s="116">
        <v>275.95</v>
      </c>
      <c r="C2356" s="116">
        <v>271.89999999999998</v>
      </c>
      <c r="D2356" s="116">
        <v>269.05</v>
      </c>
      <c r="E2356" s="116">
        <v>275.95</v>
      </c>
      <c r="F2356" s="116">
        <v>543.79999999999995</v>
      </c>
      <c r="G2356">
        <v>25624</v>
      </c>
      <c r="H2356" s="116"/>
      <c r="I2356" s="116"/>
      <c r="L2356" s="169">
        <v>45475</v>
      </c>
      <c r="M2356" s="116">
        <v>271.7</v>
      </c>
      <c r="N2356" s="116">
        <v>275.3</v>
      </c>
      <c r="O2356" s="116">
        <v>269.125</v>
      </c>
      <c r="P2356" s="116">
        <v>272.85000000000002</v>
      </c>
      <c r="Q2356" s="116">
        <v>543.4</v>
      </c>
      <c r="R2356">
        <v>649044</v>
      </c>
    </row>
    <row r="2357" spans="1:18" x14ac:dyDescent="0.25">
      <c r="A2357" s="169">
        <v>45476</v>
      </c>
      <c r="B2357" s="116">
        <v>281.10000000000002</v>
      </c>
      <c r="C2357" s="116">
        <v>276.95</v>
      </c>
      <c r="D2357" s="116">
        <v>272.5</v>
      </c>
      <c r="E2357" s="116">
        <v>272.5</v>
      </c>
      <c r="F2357" s="116">
        <v>553.9</v>
      </c>
      <c r="G2357">
        <v>78769</v>
      </c>
      <c r="H2357" s="116"/>
      <c r="I2357" s="116"/>
      <c r="L2357" s="169">
        <v>45476</v>
      </c>
      <c r="M2357" s="116">
        <v>276.97500000000002</v>
      </c>
      <c r="N2357" s="116">
        <v>281.35000000000002</v>
      </c>
      <c r="O2357" s="116">
        <v>272.47500000000002</v>
      </c>
      <c r="P2357" s="116">
        <v>272.5</v>
      </c>
      <c r="Q2357" s="116">
        <v>553.95000000000005</v>
      </c>
      <c r="R2357">
        <v>687697</v>
      </c>
    </row>
    <row r="2358" spans="1:18" x14ac:dyDescent="0.25">
      <c r="A2358" s="169">
        <v>45477</v>
      </c>
      <c r="B2358" s="116">
        <v>282</v>
      </c>
      <c r="C2358" s="116">
        <v>276.39999999999998</v>
      </c>
      <c r="D2358" s="116">
        <v>275.27499999999998</v>
      </c>
      <c r="E2358" s="116">
        <v>279.5</v>
      </c>
      <c r="F2358" s="116">
        <v>552.79999999999995</v>
      </c>
      <c r="G2358">
        <v>26639</v>
      </c>
      <c r="H2358" s="116"/>
      <c r="I2358" s="116"/>
      <c r="L2358" s="169">
        <v>45477</v>
      </c>
      <c r="M2358" s="116">
        <v>276.45</v>
      </c>
      <c r="N2358" s="116">
        <v>282.25</v>
      </c>
      <c r="O2358" s="116">
        <v>275.22500000000002</v>
      </c>
      <c r="P2358" s="116">
        <v>279</v>
      </c>
      <c r="Q2358" s="116">
        <v>552.9</v>
      </c>
      <c r="R2358">
        <v>544355</v>
      </c>
    </row>
    <row r="2359" spans="1:18" x14ac:dyDescent="0.25">
      <c r="A2359" s="169">
        <v>45478</v>
      </c>
      <c r="B2359" s="116">
        <v>280.375</v>
      </c>
      <c r="C2359" s="116">
        <v>276.02499999999998</v>
      </c>
      <c r="D2359" s="116">
        <v>273.72500000000002</v>
      </c>
      <c r="E2359" s="116">
        <v>275.27499999999998</v>
      </c>
      <c r="F2359" s="116">
        <v>552.04999999999995</v>
      </c>
      <c r="G2359">
        <v>22614</v>
      </c>
      <c r="H2359" s="116"/>
      <c r="I2359" s="116"/>
      <c r="L2359" s="169">
        <v>45478</v>
      </c>
      <c r="M2359" s="116">
        <v>276</v>
      </c>
      <c r="N2359" s="116">
        <v>280.47500000000002</v>
      </c>
      <c r="O2359" s="116">
        <v>273.5</v>
      </c>
      <c r="P2359" s="116">
        <v>277.5</v>
      </c>
      <c r="Q2359" s="116">
        <v>552</v>
      </c>
      <c r="R2359">
        <v>713133</v>
      </c>
    </row>
    <row r="2360" spans="1:18" x14ac:dyDescent="0.25">
      <c r="A2360" s="169">
        <v>45481</v>
      </c>
      <c r="B2360" s="116">
        <v>288.25</v>
      </c>
      <c r="C2360" s="116">
        <v>284.77499999999998</v>
      </c>
      <c r="D2360" s="116">
        <v>275</v>
      </c>
      <c r="E2360" s="116">
        <v>275.02499999999998</v>
      </c>
      <c r="F2360" s="116">
        <v>569.54999999999995</v>
      </c>
      <c r="G2360">
        <v>136326</v>
      </c>
      <c r="H2360" s="116"/>
      <c r="I2360" s="116"/>
      <c r="L2360" s="169">
        <v>45481</v>
      </c>
      <c r="M2360" s="116">
        <v>284.82499999999999</v>
      </c>
      <c r="N2360" s="116">
        <v>288.5</v>
      </c>
      <c r="O2360" s="116">
        <v>274.57499999999999</v>
      </c>
      <c r="P2360" s="116">
        <v>276</v>
      </c>
      <c r="Q2360" s="116">
        <v>569.65</v>
      </c>
      <c r="R2360">
        <v>1645857</v>
      </c>
    </row>
    <row r="2361" spans="1:18" x14ac:dyDescent="0.25">
      <c r="A2361" s="169">
        <v>45482</v>
      </c>
      <c r="B2361" s="116">
        <v>291.5</v>
      </c>
      <c r="C2361" s="116">
        <v>280.02499999999998</v>
      </c>
      <c r="D2361" s="116">
        <v>278.8</v>
      </c>
      <c r="E2361" s="116">
        <v>287.47500000000002</v>
      </c>
      <c r="F2361" s="116">
        <v>560.04999999999995</v>
      </c>
      <c r="G2361">
        <v>36513</v>
      </c>
      <c r="H2361" s="116"/>
      <c r="I2361" s="116"/>
      <c r="L2361" s="169">
        <v>45482</v>
      </c>
      <c r="M2361" s="116">
        <v>279.82499999999999</v>
      </c>
      <c r="N2361" s="116">
        <v>291.625</v>
      </c>
      <c r="O2361" s="116">
        <v>278.60000000000002</v>
      </c>
      <c r="P2361" s="116">
        <v>285.07499999999999</v>
      </c>
      <c r="Q2361" s="116">
        <v>559.65</v>
      </c>
      <c r="R2361">
        <v>1322379</v>
      </c>
    </row>
    <row r="2362" spans="1:18" x14ac:dyDescent="0.25">
      <c r="A2362" s="169">
        <v>45483</v>
      </c>
      <c r="B2362" s="116">
        <v>287.14999999999998</v>
      </c>
      <c r="C2362" s="116">
        <v>279.5</v>
      </c>
      <c r="D2362" s="116">
        <v>272.25</v>
      </c>
      <c r="E2362" s="116">
        <v>280.02499999999998</v>
      </c>
      <c r="F2362" s="116">
        <v>559</v>
      </c>
      <c r="G2362">
        <v>90727</v>
      </c>
      <c r="H2362" s="116"/>
      <c r="I2362" s="116"/>
      <c r="L2362" s="169">
        <v>45483</v>
      </c>
      <c r="M2362" s="116">
        <v>279.625</v>
      </c>
      <c r="N2362" s="116">
        <v>287.22500000000002</v>
      </c>
      <c r="O2362" s="116">
        <v>272.5</v>
      </c>
      <c r="P2362" s="116">
        <v>280.5</v>
      </c>
      <c r="Q2362" s="116">
        <v>559.25</v>
      </c>
      <c r="R2362">
        <v>1096401</v>
      </c>
    </row>
    <row r="2363" spans="1:18" x14ac:dyDescent="0.25">
      <c r="A2363" s="169">
        <v>45484</v>
      </c>
      <c r="B2363" s="116">
        <v>284.5</v>
      </c>
      <c r="C2363" s="116">
        <v>282.05</v>
      </c>
      <c r="D2363" s="116">
        <v>278.57499999999999</v>
      </c>
      <c r="E2363" s="116">
        <v>279</v>
      </c>
      <c r="F2363" s="116">
        <v>564.1</v>
      </c>
      <c r="G2363">
        <v>17856</v>
      </c>
      <c r="H2363" s="116"/>
      <c r="I2363" s="116"/>
      <c r="L2363" s="169">
        <v>45484</v>
      </c>
      <c r="M2363" s="116">
        <v>281.77499999999998</v>
      </c>
      <c r="N2363" s="116">
        <v>284.82499999999999</v>
      </c>
      <c r="O2363" s="116">
        <v>277.52499999999998</v>
      </c>
      <c r="P2363" s="116">
        <v>277.52499999999998</v>
      </c>
      <c r="Q2363" s="116">
        <v>563.54999999999995</v>
      </c>
      <c r="R2363">
        <v>471054</v>
      </c>
    </row>
    <row r="2364" spans="1:18" x14ac:dyDescent="0.25">
      <c r="A2364" s="169">
        <v>45485</v>
      </c>
      <c r="B2364" s="116">
        <v>287</v>
      </c>
      <c r="C2364" s="116">
        <v>281.77499999999998</v>
      </c>
      <c r="D2364" s="116">
        <v>280.05</v>
      </c>
      <c r="E2364" s="116">
        <v>281.14999999999998</v>
      </c>
      <c r="F2364" s="116">
        <v>563.54999999999995</v>
      </c>
      <c r="G2364">
        <v>59556</v>
      </c>
      <c r="H2364" s="116"/>
      <c r="I2364" s="116"/>
      <c r="L2364" s="169">
        <v>45485</v>
      </c>
      <c r="M2364" s="116">
        <v>281.89999999999998</v>
      </c>
      <c r="N2364" s="116">
        <v>287.2</v>
      </c>
      <c r="O2364" s="116">
        <v>280.05</v>
      </c>
      <c r="P2364" s="116">
        <v>282.5</v>
      </c>
      <c r="Q2364" s="116">
        <v>563.79999999999995</v>
      </c>
      <c r="R2364">
        <v>624836</v>
      </c>
    </row>
    <row r="2365" spans="1:18" x14ac:dyDescent="0.25">
      <c r="A2365" s="169">
        <v>45488</v>
      </c>
      <c r="B2365" s="116">
        <v>286.47500000000002</v>
      </c>
      <c r="C2365" s="116">
        <v>278.22500000000002</v>
      </c>
      <c r="D2365" s="116">
        <v>278</v>
      </c>
      <c r="E2365" s="116">
        <v>286.47500000000002</v>
      </c>
      <c r="F2365" s="116">
        <v>556.45000000000005</v>
      </c>
      <c r="G2365">
        <v>18192</v>
      </c>
      <c r="H2365" s="116"/>
      <c r="I2365" s="116"/>
      <c r="L2365" s="169">
        <v>45488</v>
      </c>
      <c r="M2365" s="116">
        <v>278.35000000000002</v>
      </c>
      <c r="N2365" s="116">
        <v>284.35000000000002</v>
      </c>
      <c r="O2365" s="116">
        <v>277.5</v>
      </c>
      <c r="P2365" s="116">
        <v>283.5</v>
      </c>
      <c r="Q2365" s="116">
        <v>556.70000000000005</v>
      </c>
      <c r="R2365">
        <v>553215</v>
      </c>
    </row>
    <row r="2366" spans="1:18" x14ac:dyDescent="0.25">
      <c r="A2366" s="169">
        <v>45489</v>
      </c>
      <c r="B2366" s="116">
        <v>287</v>
      </c>
      <c r="C2366" s="116">
        <v>281.875</v>
      </c>
      <c r="D2366" s="116">
        <v>276.07499999999999</v>
      </c>
      <c r="E2366" s="116">
        <v>276.07499999999999</v>
      </c>
      <c r="F2366" s="116">
        <v>563.75</v>
      </c>
      <c r="G2366">
        <v>21861</v>
      </c>
      <c r="H2366" s="116"/>
      <c r="I2366" s="116"/>
      <c r="L2366" s="169">
        <v>45489</v>
      </c>
      <c r="M2366" s="116">
        <v>282.10000000000002</v>
      </c>
      <c r="N2366" s="116">
        <v>286.92500000000001</v>
      </c>
      <c r="O2366" s="116">
        <v>276.8</v>
      </c>
      <c r="P2366" s="116">
        <v>277.47500000000002</v>
      </c>
      <c r="Q2366" s="116">
        <v>564.20000000000005</v>
      </c>
      <c r="R2366">
        <v>779872</v>
      </c>
    </row>
    <row r="2367" spans="1:18" x14ac:dyDescent="0.25">
      <c r="A2367" s="169">
        <v>45491</v>
      </c>
      <c r="B2367" s="116">
        <v>292.22500000000002</v>
      </c>
      <c r="C2367" s="116">
        <v>282.3</v>
      </c>
      <c r="D2367" s="116">
        <v>280.42500000000001</v>
      </c>
      <c r="E2367" s="116">
        <v>286.5</v>
      </c>
      <c r="F2367" s="116">
        <v>564.6</v>
      </c>
      <c r="G2367">
        <v>95527</v>
      </c>
      <c r="H2367" s="116"/>
      <c r="I2367" s="116"/>
      <c r="L2367" s="169">
        <v>45491</v>
      </c>
      <c r="M2367" s="116">
        <v>282.95</v>
      </c>
      <c r="N2367" s="116">
        <v>292.35000000000002</v>
      </c>
      <c r="O2367" s="116">
        <v>280.35000000000002</v>
      </c>
      <c r="P2367" s="116">
        <v>282.3</v>
      </c>
      <c r="Q2367" s="116">
        <v>565.9</v>
      </c>
      <c r="R2367">
        <v>3040283</v>
      </c>
    </row>
    <row r="2368" spans="1:18" x14ac:dyDescent="0.25">
      <c r="A2368" s="169">
        <v>45492</v>
      </c>
      <c r="B2368" s="116">
        <v>281.72500000000002</v>
      </c>
      <c r="C2368" s="116">
        <v>274.10000000000002</v>
      </c>
      <c r="D2368" s="116">
        <v>264.42500000000001</v>
      </c>
      <c r="E2368" s="116">
        <v>281.7</v>
      </c>
      <c r="F2368" s="116">
        <v>548.20000000000005</v>
      </c>
      <c r="G2368">
        <v>44443</v>
      </c>
      <c r="H2368" s="116"/>
      <c r="I2368" s="116"/>
      <c r="L2368" s="169">
        <v>45492</v>
      </c>
      <c r="M2368" s="116">
        <v>274.14999999999998</v>
      </c>
      <c r="N2368" s="116">
        <v>282.95</v>
      </c>
      <c r="O2368" s="116">
        <v>264.55</v>
      </c>
      <c r="P2368" s="116">
        <v>282.95</v>
      </c>
      <c r="Q2368" s="116">
        <v>548.29999999999995</v>
      </c>
      <c r="R2368">
        <v>1646915</v>
      </c>
    </row>
    <row r="2369" spans="1:18" x14ac:dyDescent="0.25">
      <c r="A2369" s="169">
        <v>45495</v>
      </c>
      <c r="B2369" s="116">
        <v>278</v>
      </c>
      <c r="C2369" s="116">
        <v>275.85000000000002</v>
      </c>
      <c r="D2369" s="116">
        <v>267.35000000000002</v>
      </c>
      <c r="E2369" s="116">
        <v>274</v>
      </c>
      <c r="F2369" s="116">
        <v>551.70000000000005</v>
      </c>
      <c r="G2369">
        <v>22822</v>
      </c>
      <c r="H2369" s="116"/>
      <c r="I2369" s="116"/>
      <c r="L2369" s="169">
        <v>45495</v>
      </c>
      <c r="M2369" s="116">
        <v>275.82499999999999</v>
      </c>
      <c r="N2369" s="116">
        <v>278.25</v>
      </c>
      <c r="O2369" s="116">
        <v>267.375</v>
      </c>
      <c r="P2369" s="116">
        <v>272.5</v>
      </c>
      <c r="Q2369" s="116">
        <v>551.65</v>
      </c>
      <c r="R2369">
        <v>887161</v>
      </c>
    </row>
    <row r="2370" spans="1:18" x14ac:dyDescent="0.25">
      <c r="A2370" s="169">
        <v>45496</v>
      </c>
      <c r="B2370" s="116">
        <v>276.35000000000002</v>
      </c>
      <c r="C2370" s="116">
        <v>272.64999999999998</v>
      </c>
      <c r="D2370" s="116">
        <v>263</v>
      </c>
      <c r="E2370" s="116">
        <v>274</v>
      </c>
      <c r="F2370" s="116">
        <v>545.29999999999995</v>
      </c>
      <c r="G2370">
        <v>67126</v>
      </c>
      <c r="H2370" s="116"/>
      <c r="I2370" s="116"/>
      <c r="L2370" s="169">
        <v>45496</v>
      </c>
      <c r="M2370" s="116">
        <v>272.67500000000001</v>
      </c>
      <c r="N2370" s="116">
        <v>276.42500000000001</v>
      </c>
      <c r="O2370" s="116">
        <v>263.42500000000001</v>
      </c>
      <c r="P2370" s="116">
        <v>274.77499999999998</v>
      </c>
      <c r="Q2370" s="116">
        <v>545.35</v>
      </c>
      <c r="R2370">
        <v>601624</v>
      </c>
    </row>
    <row r="2371" spans="1:18" x14ac:dyDescent="0.25">
      <c r="A2371" s="169">
        <v>45497</v>
      </c>
      <c r="B2371" s="116">
        <v>279.75</v>
      </c>
      <c r="C2371" s="116">
        <v>276.625</v>
      </c>
      <c r="D2371" s="116">
        <v>271.52499999999998</v>
      </c>
      <c r="E2371" s="116">
        <v>272.64999999999998</v>
      </c>
      <c r="F2371" s="116">
        <v>553.25</v>
      </c>
      <c r="G2371">
        <v>19407</v>
      </c>
      <c r="H2371" s="116"/>
      <c r="I2371" s="116"/>
      <c r="L2371" s="169">
        <v>45497</v>
      </c>
      <c r="M2371" s="116">
        <v>277.25</v>
      </c>
      <c r="N2371" s="116">
        <v>280</v>
      </c>
      <c r="O2371" s="116">
        <v>270.375</v>
      </c>
      <c r="P2371" s="116">
        <v>270.375</v>
      </c>
      <c r="Q2371" s="116">
        <v>554.5</v>
      </c>
      <c r="R2371">
        <v>421133</v>
      </c>
    </row>
    <row r="2372" spans="1:18" x14ac:dyDescent="0.25">
      <c r="A2372" s="169">
        <v>45498</v>
      </c>
      <c r="B2372" s="116">
        <v>280.75</v>
      </c>
      <c r="C2372" s="116">
        <v>278.625</v>
      </c>
      <c r="D2372" s="116">
        <v>272.05</v>
      </c>
      <c r="E2372" s="116">
        <v>274.39999999999998</v>
      </c>
      <c r="F2372" s="116">
        <v>557.25</v>
      </c>
      <c r="G2372">
        <v>15888</v>
      </c>
      <c r="H2372" s="116"/>
      <c r="I2372" s="116"/>
      <c r="L2372" s="169">
        <v>45498</v>
      </c>
      <c r="M2372" s="116">
        <v>278.35000000000002</v>
      </c>
      <c r="N2372" s="116">
        <v>280.85000000000002</v>
      </c>
      <c r="O2372" s="116">
        <v>272</v>
      </c>
      <c r="P2372" s="116">
        <v>273.75</v>
      </c>
      <c r="Q2372" s="116">
        <v>556.70000000000005</v>
      </c>
      <c r="R2372">
        <v>746414</v>
      </c>
    </row>
    <row r="2373" spans="1:18" x14ac:dyDescent="0.25">
      <c r="A2373" s="169">
        <v>45499</v>
      </c>
      <c r="B2373" s="116">
        <v>291</v>
      </c>
      <c r="C2373" s="116">
        <v>289.22500000000002</v>
      </c>
      <c r="D2373" s="116">
        <v>277.5</v>
      </c>
      <c r="E2373" s="116">
        <v>278.52499999999998</v>
      </c>
      <c r="F2373" s="116">
        <v>578.45000000000005</v>
      </c>
      <c r="G2373">
        <v>145514</v>
      </c>
      <c r="H2373" s="116"/>
      <c r="I2373" s="116"/>
      <c r="L2373" s="169">
        <v>45499</v>
      </c>
      <c r="M2373" s="116">
        <v>289.375</v>
      </c>
      <c r="N2373" s="116">
        <v>291.3</v>
      </c>
      <c r="O2373" s="116">
        <v>277.5</v>
      </c>
      <c r="P2373" s="116">
        <v>279.5</v>
      </c>
      <c r="Q2373" s="116">
        <v>578.75</v>
      </c>
      <c r="R2373">
        <v>1456566</v>
      </c>
    </row>
    <row r="2374" spans="1:18" x14ac:dyDescent="0.25">
      <c r="A2374" s="169">
        <v>45502</v>
      </c>
      <c r="B2374" s="116">
        <v>308.5</v>
      </c>
      <c r="C2374" s="116">
        <v>301.22500000000002</v>
      </c>
      <c r="D2374" s="116">
        <v>290.92500000000001</v>
      </c>
      <c r="E2374" s="116">
        <v>290.92500000000001</v>
      </c>
      <c r="F2374" s="116">
        <v>602.45000000000005</v>
      </c>
      <c r="G2374">
        <v>152200</v>
      </c>
      <c r="H2374" s="116"/>
      <c r="I2374" s="116"/>
      <c r="L2374" s="169">
        <v>45502</v>
      </c>
      <c r="M2374" s="116">
        <v>300.875</v>
      </c>
      <c r="N2374" s="116">
        <v>308.60000000000002</v>
      </c>
      <c r="O2374" s="116">
        <v>290.5</v>
      </c>
      <c r="P2374" s="116">
        <v>290.5</v>
      </c>
      <c r="Q2374" s="116">
        <v>601.75</v>
      </c>
      <c r="R2374">
        <v>3921520</v>
      </c>
    </row>
    <row r="2375" spans="1:18" x14ac:dyDescent="0.25">
      <c r="A2375" s="169">
        <v>45503</v>
      </c>
      <c r="B2375" s="116">
        <v>327.17500000000001</v>
      </c>
      <c r="C2375" s="116">
        <v>318</v>
      </c>
      <c r="D2375" s="116">
        <v>306.32499999999999</v>
      </c>
      <c r="E2375" s="116">
        <v>310.3</v>
      </c>
      <c r="F2375" s="116">
        <v>636</v>
      </c>
      <c r="G2375">
        <v>561843</v>
      </c>
      <c r="H2375" s="116"/>
      <c r="I2375" s="116"/>
      <c r="L2375" s="169">
        <v>45503</v>
      </c>
      <c r="M2375" s="116">
        <v>317.82499999999999</v>
      </c>
      <c r="N2375" s="116">
        <v>327.27499999999998</v>
      </c>
      <c r="O2375" s="116">
        <v>306.375</v>
      </c>
      <c r="P2375" s="116">
        <v>311.5</v>
      </c>
      <c r="Q2375" s="116">
        <v>635.65</v>
      </c>
      <c r="R2375">
        <v>8930507</v>
      </c>
    </row>
    <row r="2376" spans="1:18" x14ac:dyDescent="0.25">
      <c r="A2376" s="169">
        <v>45504</v>
      </c>
      <c r="B2376" s="116">
        <v>326</v>
      </c>
      <c r="C2376" s="116">
        <v>323.89999999999998</v>
      </c>
      <c r="D2376" s="116">
        <v>313.39999999999998</v>
      </c>
      <c r="E2376" s="116">
        <v>320.89999999999998</v>
      </c>
      <c r="F2376" s="116">
        <v>647.79999999999995</v>
      </c>
      <c r="G2376">
        <v>172912</v>
      </c>
      <c r="H2376" s="116"/>
      <c r="I2376" s="116"/>
      <c r="L2376" s="169">
        <v>45504</v>
      </c>
      <c r="M2376" s="116">
        <v>324.17500000000001</v>
      </c>
      <c r="N2376" s="116">
        <v>326</v>
      </c>
      <c r="O2376" s="116">
        <v>313.32499999999999</v>
      </c>
      <c r="P2376" s="116">
        <v>320.5</v>
      </c>
      <c r="Q2376" s="116">
        <v>648.35</v>
      </c>
      <c r="R2376">
        <v>2199882</v>
      </c>
    </row>
    <row r="2377" spans="1:18" x14ac:dyDescent="0.25">
      <c r="A2377" s="169">
        <v>45505</v>
      </c>
      <c r="B2377" s="116">
        <v>325.85000000000002</v>
      </c>
      <c r="C2377" s="116">
        <v>323.17500000000001</v>
      </c>
      <c r="D2377" s="116">
        <v>319.77499999999998</v>
      </c>
      <c r="E2377" s="116">
        <v>323.32499999999999</v>
      </c>
      <c r="F2377" s="116">
        <v>646.35</v>
      </c>
      <c r="G2377">
        <v>51742</v>
      </c>
      <c r="H2377" s="116"/>
      <c r="I2377" s="116"/>
      <c r="L2377" s="169">
        <v>45505</v>
      </c>
      <c r="M2377" s="116">
        <v>323.625</v>
      </c>
      <c r="N2377" s="116">
        <v>326</v>
      </c>
      <c r="O2377" s="116">
        <v>319.02499999999998</v>
      </c>
      <c r="P2377" s="116">
        <v>321.67500000000001</v>
      </c>
      <c r="Q2377" s="116">
        <v>647.25</v>
      </c>
      <c r="R2377">
        <v>2053760</v>
      </c>
    </row>
    <row r="2378" spans="1:18" x14ac:dyDescent="0.25">
      <c r="A2378" s="169">
        <v>45506</v>
      </c>
      <c r="B2378" s="116">
        <v>331.72500000000002</v>
      </c>
      <c r="C2378" s="116">
        <v>325.05</v>
      </c>
      <c r="D2378" s="116">
        <v>318.2</v>
      </c>
      <c r="E2378" s="116">
        <v>322.39999999999998</v>
      </c>
      <c r="F2378" s="116">
        <v>650.1</v>
      </c>
      <c r="G2378">
        <v>70595</v>
      </c>
      <c r="H2378" s="116"/>
      <c r="I2378" s="116"/>
      <c r="L2378" s="169">
        <v>45506</v>
      </c>
      <c r="M2378" s="116">
        <v>325.2</v>
      </c>
      <c r="N2378" s="116">
        <v>332</v>
      </c>
      <c r="O2378" s="116">
        <v>318.35000000000002</v>
      </c>
      <c r="P2378" s="116">
        <v>320.25</v>
      </c>
      <c r="Q2378" s="116">
        <v>650.4</v>
      </c>
      <c r="R2378">
        <v>1907068</v>
      </c>
    </row>
    <row r="2379" spans="1:18" x14ac:dyDescent="0.25">
      <c r="A2379" s="169">
        <v>45509</v>
      </c>
      <c r="B2379" s="116">
        <v>327.27499999999998</v>
      </c>
      <c r="C2379" s="116">
        <v>311.85000000000002</v>
      </c>
      <c r="D2379" s="116">
        <v>307.625</v>
      </c>
      <c r="E2379" s="116">
        <v>315.5</v>
      </c>
      <c r="F2379" s="116">
        <v>623.70000000000005</v>
      </c>
      <c r="G2379">
        <v>214373</v>
      </c>
      <c r="H2379" s="116"/>
      <c r="I2379" s="116"/>
      <c r="L2379" s="169">
        <v>45509</v>
      </c>
      <c r="M2379" s="116">
        <v>312.02499999999998</v>
      </c>
      <c r="N2379" s="116">
        <v>327.2</v>
      </c>
      <c r="O2379" s="116">
        <v>307.42500000000001</v>
      </c>
      <c r="P2379" s="116">
        <v>315</v>
      </c>
      <c r="Q2379" s="116">
        <v>624.04999999999995</v>
      </c>
      <c r="R2379">
        <v>2736137</v>
      </c>
    </row>
    <row r="2380" spans="1:18" x14ac:dyDescent="0.25">
      <c r="A2380" s="169">
        <v>45510</v>
      </c>
      <c r="B2380" s="116">
        <v>320.125</v>
      </c>
      <c r="C2380" s="116">
        <v>300.52499999999998</v>
      </c>
      <c r="D2380" s="116">
        <v>297.60000000000002</v>
      </c>
      <c r="E2380" s="116">
        <v>312.57499999999999</v>
      </c>
      <c r="F2380" s="116">
        <v>601.04999999999995</v>
      </c>
      <c r="G2380">
        <v>57354</v>
      </c>
      <c r="H2380" s="116"/>
      <c r="I2380" s="116"/>
      <c r="L2380" s="169">
        <v>45510</v>
      </c>
      <c r="M2380" s="116">
        <v>301.10000000000002</v>
      </c>
      <c r="N2380" s="116">
        <v>320.42500000000001</v>
      </c>
      <c r="O2380" s="116">
        <v>299.32499999999999</v>
      </c>
      <c r="P2380" s="116">
        <v>314.97500000000002</v>
      </c>
      <c r="Q2380" s="116">
        <v>602.20000000000005</v>
      </c>
      <c r="R2380">
        <v>1311867</v>
      </c>
    </row>
    <row r="2381" spans="1:18" x14ac:dyDescent="0.25">
      <c r="A2381" s="169">
        <v>45511</v>
      </c>
      <c r="B2381" s="116">
        <v>325.72500000000002</v>
      </c>
      <c r="C2381" s="116">
        <v>319.47500000000002</v>
      </c>
      <c r="D2381" s="116">
        <v>298.82499999999999</v>
      </c>
      <c r="E2381" s="116">
        <v>309.95</v>
      </c>
      <c r="F2381" s="116">
        <v>638.95000000000005</v>
      </c>
      <c r="G2381">
        <v>95727</v>
      </c>
      <c r="H2381" s="116"/>
      <c r="I2381" s="116"/>
      <c r="L2381" s="169">
        <v>45511</v>
      </c>
      <c r="M2381" s="116">
        <v>319.17500000000001</v>
      </c>
      <c r="N2381" s="116">
        <v>325.67500000000001</v>
      </c>
      <c r="O2381" s="116">
        <v>298.75</v>
      </c>
      <c r="P2381" s="116">
        <v>307.47500000000002</v>
      </c>
      <c r="Q2381" s="116">
        <v>638.35</v>
      </c>
      <c r="R2381">
        <v>2262163</v>
      </c>
    </row>
    <row r="2382" spans="1:18" x14ac:dyDescent="0.25">
      <c r="A2382" s="169">
        <v>45512</v>
      </c>
      <c r="B2382" s="116">
        <v>324.5</v>
      </c>
      <c r="C2382" s="116">
        <v>317.17500000000001</v>
      </c>
      <c r="D2382" s="116">
        <v>311.60000000000002</v>
      </c>
      <c r="E2382" s="116">
        <v>320.55</v>
      </c>
      <c r="F2382" s="116">
        <v>634.35</v>
      </c>
      <c r="G2382">
        <v>71394</v>
      </c>
      <c r="H2382" s="116"/>
      <c r="I2382" s="116"/>
      <c r="L2382" s="169">
        <v>45512</v>
      </c>
      <c r="M2382" s="116">
        <v>317.375</v>
      </c>
      <c r="N2382" s="116">
        <v>325</v>
      </c>
      <c r="O2382" s="116">
        <v>311.625</v>
      </c>
      <c r="P2382" s="116">
        <v>322.5</v>
      </c>
      <c r="Q2382" s="116">
        <v>634.75</v>
      </c>
      <c r="R2382">
        <v>1716682</v>
      </c>
    </row>
    <row r="2383" spans="1:18" x14ac:dyDescent="0.25">
      <c r="A2383" s="169">
        <v>45513</v>
      </c>
      <c r="B2383" s="116">
        <v>334.97500000000002</v>
      </c>
      <c r="C2383" s="116">
        <v>326.625</v>
      </c>
      <c r="D2383" s="116">
        <v>316.77499999999998</v>
      </c>
      <c r="E2383" s="116">
        <v>323.52499999999998</v>
      </c>
      <c r="F2383" s="116">
        <v>653.25</v>
      </c>
      <c r="G2383">
        <v>54910</v>
      </c>
      <c r="H2383" s="116"/>
      <c r="I2383" s="116"/>
      <c r="L2383" s="169">
        <v>45513</v>
      </c>
      <c r="M2383" s="116">
        <v>326.60000000000002</v>
      </c>
      <c r="N2383" s="116">
        <v>335</v>
      </c>
      <c r="O2383" s="116">
        <v>316.45</v>
      </c>
      <c r="P2383" s="116">
        <v>320.2</v>
      </c>
      <c r="Q2383" s="116">
        <v>653.20000000000005</v>
      </c>
      <c r="R2383">
        <v>2086727</v>
      </c>
    </row>
    <row r="2384" spans="1:18" x14ac:dyDescent="0.25">
      <c r="A2384" s="169">
        <v>45516</v>
      </c>
      <c r="B2384" s="116">
        <v>328.4</v>
      </c>
      <c r="C2384" s="116">
        <v>319.05</v>
      </c>
      <c r="D2384" s="116">
        <v>317.85000000000002</v>
      </c>
      <c r="E2384" s="116">
        <v>320.22500000000002</v>
      </c>
      <c r="F2384" s="116">
        <v>638.1</v>
      </c>
      <c r="G2384">
        <v>62679</v>
      </c>
      <c r="H2384" s="116"/>
      <c r="I2384" s="116"/>
      <c r="L2384" s="169">
        <v>45516</v>
      </c>
      <c r="M2384" s="116">
        <v>319.07499999999999</v>
      </c>
      <c r="N2384" s="116">
        <v>328.47500000000002</v>
      </c>
      <c r="O2384" s="116">
        <v>318.02499999999998</v>
      </c>
      <c r="P2384" s="116">
        <v>327</v>
      </c>
      <c r="Q2384" s="116">
        <v>638.15</v>
      </c>
      <c r="R2384">
        <v>856435</v>
      </c>
    </row>
    <row r="2385" spans="1:18" x14ac:dyDescent="0.25">
      <c r="A2385" s="169">
        <v>45517</v>
      </c>
      <c r="B2385" s="116">
        <v>321.35000000000002</v>
      </c>
      <c r="C2385" s="116">
        <v>308.375</v>
      </c>
      <c r="D2385" s="116">
        <v>307.5</v>
      </c>
      <c r="E2385" s="116">
        <v>319</v>
      </c>
      <c r="F2385" s="116">
        <v>616.75</v>
      </c>
      <c r="G2385">
        <v>33118</v>
      </c>
      <c r="H2385" s="116"/>
      <c r="I2385" s="116"/>
      <c r="L2385" s="169">
        <v>45517</v>
      </c>
      <c r="M2385" s="116">
        <v>308.375</v>
      </c>
      <c r="N2385" s="116">
        <v>321.45</v>
      </c>
      <c r="O2385" s="116">
        <v>306.5</v>
      </c>
      <c r="P2385" s="116">
        <v>319.05</v>
      </c>
      <c r="Q2385" s="116">
        <v>616.75</v>
      </c>
      <c r="R2385">
        <v>610985</v>
      </c>
    </row>
    <row r="2386" spans="1:18" x14ac:dyDescent="0.25">
      <c r="A2386" s="169">
        <v>45518</v>
      </c>
      <c r="B2386" s="116">
        <v>311.5</v>
      </c>
      <c r="C2386" s="116">
        <v>310.17500000000001</v>
      </c>
      <c r="D2386" s="116">
        <v>300.52499999999998</v>
      </c>
      <c r="E2386" s="116">
        <v>311.5</v>
      </c>
      <c r="F2386" s="116">
        <v>620.35</v>
      </c>
      <c r="G2386">
        <v>50608</v>
      </c>
      <c r="H2386" s="116"/>
      <c r="I2386" s="116"/>
      <c r="L2386" s="169">
        <v>45518</v>
      </c>
      <c r="M2386" s="116">
        <v>309.97500000000002</v>
      </c>
      <c r="N2386" s="116">
        <v>311.85000000000002</v>
      </c>
      <c r="O2386" s="116">
        <v>300.55</v>
      </c>
      <c r="P2386" s="116">
        <v>311.45</v>
      </c>
      <c r="Q2386" s="116">
        <v>619.95000000000005</v>
      </c>
      <c r="R2386">
        <v>822918</v>
      </c>
    </row>
    <row r="2387" spans="1:18" x14ac:dyDescent="0.25">
      <c r="A2387" s="169">
        <v>45520</v>
      </c>
      <c r="B2387" s="116">
        <v>315.125</v>
      </c>
      <c r="C2387" s="116">
        <v>314.25</v>
      </c>
      <c r="D2387" s="116">
        <v>309.17500000000001</v>
      </c>
      <c r="E2387" s="116">
        <v>310.89999999999998</v>
      </c>
      <c r="F2387" s="116">
        <v>628.5</v>
      </c>
      <c r="G2387">
        <v>32430</v>
      </c>
      <c r="H2387" s="116"/>
      <c r="I2387" s="116"/>
      <c r="L2387" s="169">
        <v>45520</v>
      </c>
      <c r="M2387" s="116">
        <v>314.42500000000001</v>
      </c>
      <c r="N2387" s="116">
        <v>315.25</v>
      </c>
      <c r="O2387" s="116">
        <v>309.25</v>
      </c>
      <c r="P2387" s="116">
        <v>311.7</v>
      </c>
      <c r="Q2387" s="116">
        <v>628.85</v>
      </c>
      <c r="R2387">
        <v>607223</v>
      </c>
    </row>
    <row r="2388" spans="1:18" x14ac:dyDescent="0.25">
      <c r="A2388" s="169">
        <v>45523</v>
      </c>
      <c r="B2388" s="116">
        <v>330.47500000000002</v>
      </c>
      <c r="C2388" s="116">
        <v>323.95</v>
      </c>
      <c r="D2388" s="116">
        <v>314.22500000000002</v>
      </c>
      <c r="E2388" s="116">
        <v>315.42500000000001</v>
      </c>
      <c r="F2388" s="116">
        <v>647.9</v>
      </c>
      <c r="G2388">
        <v>29174</v>
      </c>
      <c r="H2388" s="116"/>
      <c r="I2388" s="116"/>
      <c r="L2388" s="169">
        <v>45523</v>
      </c>
      <c r="M2388" s="116">
        <v>323.5</v>
      </c>
      <c r="N2388" s="116">
        <v>330.45</v>
      </c>
      <c r="O2388" s="116">
        <v>314.17500000000001</v>
      </c>
      <c r="P2388" s="116">
        <v>318</v>
      </c>
      <c r="Q2388" s="116">
        <v>647</v>
      </c>
      <c r="R2388">
        <v>1062918</v>
      </c>
    </row>
    <row r="2389" spans="1:18" x14ac:dyDescent="0.25">
      <c r="A2389" s="169">
        <v>45524</v>
      </c>
      <c r="B2389" s="116">
        <v>328.02499999999998</v>
      </c>
      <c r="C2389" s="116">
        <v>322.22500000000002</v>
      </c>
      <c r="D2389" s="116">
        <v>321</v>
      </c>
      <c r="E2389" s="116">
        <v>328.02499999999998</v>
      </c>
      <c r="F2389" s="116">
        <v>644.45000000000005</v>
      </c>
      <c r="G2389">
        <v>47348</v>
      </c>
      <c r="H2389" s="116"/>
      <c r="I2389" s="116"/>
      <c r="L2389" s="169">
        <v>45524</v>
      </c>
      <c r="M2389" s="116">
        <v>322.35000000000002</v>
      </c>
      <c r="N2389" s="116">
        <v>327.92500000000001</v>
      </c>
      <c r="O2389" s="116">
        <v>321</v>
      </c>
      <c r="P2389" s="116">
        <v>327</v>
      </c>
      <c r="Q2389" s="116">
        <v>644.70000000000005</v>
      </c>
      <c r="R2389">
        <v>488632</v>
      </c>
    </row>
    <row r="2390" spans="1:18" x14ac:dyDescent="0.25">
      <c r="A2390" s="169">
        <v>45525</v>
      </c>
      <c r="B2390" s="116">
        <v>331.55</v>
      </c>
      <c r="C2390" s="116">
        <v>328.02499999999998</v>
      </c>
      <c r="D2390" s="116">
        <v>322.22500000000002</v>
      </c>
      <c r="E2390" s="116">
        <v>322.22500000000002</v>
      </c>
      <c r="F2390" s="116">
        <v>656.05</v>
      </c>
      <c r="G2390">
        <v>31054</v>
      </c>
      <c r="H2390" s="116"/>
      <c r="I2390" s="116"/>
      <c r="L2390" s="169">
        <v>45525</v>
      </c>
      <c r="M2390" s="116">
        <v>328.125</v>
      </c>
      <c r="N2390" s="116">
        <v>331.5</v>
      </c>
      <c r="O2390" s="116">
        <v>322.5</v>
      </c>
      <c r="P2390" s="116">
        <v>323.92500000000001</v>
      </c>
      <c r="Q2390" s="116">
        <v>656.25</v>
      </c>
      <c r="R2390">
        <v>776099</v>
      </c>
    </row>
    <row r="2391" spans="1:18" x14ac:dyDescent="0.25">
      <c r="A2391" s="169">
        <v>45526</v>
      </c>
      <c r="B2391" s="116">
        <v>347.5</v>
      </c>
      <c r="C2391" s="116">
        <v>343.875</v>
      </c>
      <c r="D2391" s="116">
        <v>329.65</v>
      </c>
      <c r="E2391" s="116">
        <v>332.47500000000002</v>
      </c>
      <c r="F2391" s="116">
        <v>687.75</v>
      </c>
      <c r="G2391">
        <v>149956</v>
      </c>
      <c r="H2391" s="116"/>
      <c r="I2391" s="116"/>
      <c r="L2391" s="169">
        <v>45526</v>
      </c>
      <c r="M2391" s="116">
        <v>344</v>
      </c>
      <c r="N2391" s="116">
        <v>347.5</v>
      </c>
      <c r="O2391" s="116">
        <v>329.27499999999998</v>
      </c>
      <c r="P2391" s="116">
        <v>331.72500000000002</v>
      </c>
      <c r="Q2391" s="116">
        <v>688</v>
      </c>
      <c r="R2391">
        <v>3727943</v>
      </c>
    </row>
    <row r="2392" spans="1:18" x14ac:dyDescent="0.25">
      <c r="A2392" s="169">
        <v>45527</v>
      </c>
      <c r="B2392" s="116">
        <v>355.32499999999999</v>
      </c>
      <c r="C2392" s="116">
        <v>344.92500000000001</v>
      </c>
      <c r="D2392" s="116">
        <v>338.3</v>
      </c>
      <c r="E2392" s="116">
        <v>345.375</v>
      </c>
      <c r="F2392" s="116">
        <v>689.85</v>
      </c>
      <c r="G2392">
        <v>135557</v>
      </c>
      <c r="H2392" s="116"/>
      <c r="I2392" s="116"/>
      <c r="L2392" s="169">
        <v>45527</v>
      </c>
      <c r="M2392" s="116">
        <v>344.4</v>
      </c>
      <c r="N2392" s="116">
        <v>355</v>
      </c>
      <c r="O2392" s="116">
        <v>338</v>
      </c>
      <c r="P2392" s="116">
        <v>344.95</v>
      </c>
      <c r="Q2392" s="116">
        <v>688.8</v>
      </c>
      <c r="R2392">
        <v>3621747</v>
      </c>
    </row>
    <row r="2393" spans="1:18" x14ac:dyDescent="0.25">
      <c r="A2393" s="169">
        <v>45530</v>
      </c>
      <c r="B2393" s="116">
        <v>352.35</v>
      </c>
      <c r="C2393" s="116">
        <v>351.1</v>
      </c>
      <c r="D2393" s="116">
        <v>339.95</v>
      </c>
      <c r="E2393" s="116">
        <v>346.17500000000001</v>
      </c>
      <c r="F2393" s="116">
        <v>702.2</v>
      </c>
      <c r="G2393">
        <v>75432</v>
      </c>
      <c r="H2393" s="116"/>
      <c r="I2393" s="116"/>
      <c r="L2393" s="169">
        <v>45530</v>
      </c>
      <c r="M2393" s="116">
        <v>351.55</v>
      </c>
      <c r="N2393" s="116">
        <v>352.25</v>
      </c>
      <c r="O2393" s="116">
        <v>340.07499999999999</v>
      </c>
      <c r="P2393" s="116">
        <v>347.85</v>
      </c>
      <c r="Q2393" s="116">
        <v>703.1</v>
      </c>
      <c r="R2393">
        <v>1505470</v>
      </c>
    </row>
    <row r="2394" spans="1:18" x14ac:dyDescent="0.25">
      <c r="A2394" s="169">
        <v>45531</v>
      </c>
      <c r="B2394" s="116">
        <v>354.2</v>
      </c>
      <c r="C2394" s="116">
        <v>347.77499999999998</v>
      </c>
      <c r="D2394" s="116">
        <v>345.97500000000002</v>
      </c>
      <c r="E2394" s="116">
        <v>352.5</v>
      </c>
      <c r="F2394" s="116">
        <v>695.55</v>
      </c>
      <c r="G2394">
        <v>19963</v>
      </c>
      <c r="H2394" s="116"/>
      <c r="I2394" s="116"/>
      <c r="L2394" s="169">
        <v>45531</v>
      </c>
      <c r="M2394" s="116">
        <v>347.625</v>
      </c>
      <c r="N2394" s="116">
        <v>354</v>
      </c>
      <c r="O2394" s="116">
        <v>345.5</v>
      </c>
      <c r="P2394" s="116">
        <v>353.42500000000001</v>
      </c>
      <c r="Q2394" s="116">
        <v>695.25</v>
      </c>
      <c r="R2394">
        <v>663092</v>
      </c>
    </row>
    <row r="2395" spans="1:18" x14ac:dyDescent="0.25">
      <c r="A2395" s="169">
        <v>45532</v>
      </c>
      <c r="B2395" s="116">
        <v>349.65</v>
      </c>
      <c r="C2395" s="116">
        <v>342.32499999999999</v>
      </c>
      <c r="D2395" s="116">
        <v>340.8</v>
      </c>
      <c r="E2395" s="116">
        <v>349.65</v>
      </c>
      <c r="F2395" s="116">
        <v>684.65</v>
      </c>
      <c r="G2395">
        <v>57990</v>
      </c>
      <c r="H2395" s="116"/>
      <c r="I2395" s="116"/>
      <c r="L2395" s="169">
        <v>45532</v>
      </c>
      <c r="M2395" s="116">
        <v>342.45</v>
      </c>
      <c r="N2395" s="116">
        <v>348.45</v>
      </c>
      <c r="O2395" s="116">
        <v>340.52499999999998</v>
      </c>
      <c r="P2395" s="116">
        <v>347.42500000000001</v>
      </c>
      <c r="Q2395" s="116">
        <v>684.9</v>
      </c>
      <c r="R2395">
        <v>962568</v>
      </c>
    </row>
    <row r="2396" spans="1:18" x14ac:dyDescent="0.25">
      <c r="A2396" s="169">
        <v>45533</v>
      </c>
      <c r="B2396" s="116">
        <v>348.72500000000002</v>
      </c>
      <c r="C2396" s="116">
        <v>337.17500000000001</v>
      </c>
      <c r="D2396" s="116">
        <v>332.05</v>
      </c>
      <c r="E2396" s="116">
        <v>342.5</v>
      </c>
      <c r="F2396" s="116">
        <v>674.35</v>
      </c>
      <c r="G2396">
        <v>38465</v>
      </c>
      <c r="H2396" s="116"/>
      <c r="I2396" s="116"/>
      <c r="L2396" s="169">
        <v>45533</v>
      </c>
      <c r="M2396" s="116">
        <v>336.85</v>
      </c>
      <c r="N2396" s="116">
        <v>348.9</v>
      </c>
      <c r="O2396" s="116">
        <v>331.625</v>
      </c>
      <c r="P2396" s="116">
        <v>341.95</v>
      </c>
      <c r="Q2396" s="116">
        <v>673.7</v>
      </c>
      <c r="R2396">
        <v>1506226</v>
      </c>
    </row>
    <row r="2397" spans="1:18" x14ac:dyDescent="0.25">
      <c r="A2397" s="169">
        <v>45534</v>
      </c>
      <c r="B2397" s="116">
        <v>343.9</v>
      </c>
      <c r="C2397" s="116">
        <v>339.125</v>
      </c>
      <c r="D2397" s="116">
        <v>337</v>
      </c>
      <c r="E2397" s="116">
        <v>342.375</v>
      </c>
      <c r="F2397" s="116">
        <v>678.25</v>
      </c>
      <c r="G2397">
        <v>50963</v>
      </c>
      <c r="H2397" s="116"/>
      <c r="I2397" s="116"/>
      <c r="L2397" s="169">
        <v>45534</v>
      </c>
      <c r="M2397" s="116">
        <v>340.32499999999999</v>
      </c>
      <c r="N2397" s="116">
        <v>344</v>
      </c>
      <c r="O2397" s="116">
        <v>336.4</v>
      </c>
      <c r="P2397" s="116">
        <v>338.05</v>
      </c>
      <c r="Q2397" s="116">
        <v>680.65</v>
      </c>
      <c r="R2397">
        <v>839074</v>
      </c>
    </row>
    <row r="2398" spans="1:18" x14ac:dyDescent="0.25">
      <c r="A2398" s="169">
        <v>45537</v>
      </c>
      <c r="B2398" s="116">
        <v>346.72500000000002</v>
      </c>
      <c r="C2398" s="116">
        <v>342.95</v>
      </c>
      <c r="D2398" s="116">
        <v>339.5</v>
      </c>
      <c r="E2398" s="116">
        <v>345.5</v>
      </c>
      <c r="F2398" s="116">
        <v>685.9</v>
      </c>
      <c r="G2398">
        <v>29758</v>
      </c>
      <c r="H2398" s="116"/>
      <c r="I2398" s="116"/>
      <c r="L2398" s="169">
        <v>45537</v>
      </c>
      <c r="M2398" s="116">
        <v>342.75</v>
      </c>
      <c r="N2398" s="116">
        <v>347.125</v>
      </c>
      <c r="O2398" s="116">
        <v>339.05</v>
      </c>
      <c r="P2398" s="116">
        <v>342.5</v>
      </c>
      <c r="Q2398" s="116">
        <v>685.5</v>
      </c>
      <c r="R2398">
        <v>834561</v>
      </c>
    </row>
    <row r="2399" spans="1:18" x14ac:dyDescent="0.25">
      <c r="A2399" s="169">
        <v>45538</v>
      </c>
      <c r="B2399" s="116">
        <v>359.05</v>
      </c>
      <c r="C2399" s="116">
        <v>356.82499999999999</v>
      </c>
      <c r="D2399" s="116">
        <v>343.02499999999998</v>
      </c>
      <c r="E2399" s="116">
        <v>343.02499999999998</v>
      </c>
      <c r="F2399" s="116">
        <v>713.65</v>
      </c>
      <c r="G2399">
        <v>135630</v>
      </c>
      <c r="H2399" s="116"/>
      <c r="I2399" s="116"/>
      <c r="L2399" s="169">
        <v>45538</v>
      </c>
      <c r="M2399" s="116">
        <v>357.27499999999998</v>
      </c>
      <c r="N2399" s="116">
        <v>359.25</v>
      </c>
      <c r="O2399" s="116">
        <v>344.22500000000002</v>
      </c>
      <c r="P2399" s="116">
        <v>345.5</v>
      </c>
      <c r="Q2399" s="116">
        <v>714.55</v>
      </c>
      <c r="R2399">
        <v>1676185</v>
      </c>
    </row>
    <row r="2400" spans="1:18" x14ac:dyDescent="0.25">
      <c r="A2400" s="169">
        <v>45539</v>
      </c>
      <c r="B2400" s="116">
        <v>359.5</v>
      </c>
      <c r="C2400" s="116">
        <v>357.375</v>
      </c>
      <c r="D2400" s="116">
        <v>352.5</v>
      </c>
      <c r="E2400" s="116">
        <v>357</v>
      </c>
      <c r="F2400" s="116">
        <v>714.75</v>
      </c>
      <c r="G2400">
        <v>29097</v>
      </c>
      <c r="H2400" s="116"/>
      <c r="I2400" s="116"/>
      <c r="L2400" s="169">
        <v>45539</v>
      </c>
      <c r="M2400" s="116">
        <v>357.4</v>
      </c>
      <c r="N2400" s="116">
        <v>359.47500000000002</v>
      </c>
      <c r="O2400" s="116">
        <v>351.8</v>
      </c>
      <c r="P2400" s="116">
        <v>357</v>
      </c>
      <c r="Q2400" s="116">
        <v>714.8</v>
      </c>
      <c r="R2400">
        <v>1186644</v>
      </c>
    </row>
    <row r="2401" spans="1:18" x14ac:dyDescent="0.25">
      <c r="A2401" s="169">
        <v>45540</v>
      </c>
      <c r="B2401" s="116">
        <v>362.22500000000002</v>
      </c>
      <c r="C2401" s="116">
        <v>357.125</v>
      </c>
      <c r="D2401" s="116">
        <v>355.82499999999999</v>
      </c>
      <c r="E2401" s="116">
        <v>359.3</v>
      </c>
      <c r="F2401" s="116">
        <v>714.25</v>
      </c>
      <c r="G2401">
        <v>31147</v>
      </c>
      <c r="H2401" s="116"/>
      <c r="I2401" s="116"/>
      <c r="L2401" s="169">
        <v>45540</v>
      </c>
      <c r="M2401" s="116">
        <v>356.875</v>
      </c>
      <c r="N2401" s="116">
        <v>362</v>
      </c>
      <c r="O2401" s="116">
        <v>355.55</v>
      </c>
      <c r="P2401" s="116">
        <v>359.625</v>
      </c>
      <c r="Q2401" s="116">
        <v>713.75</v>
      </c>
      <c r="R2401">
        <v>777472</v>
      </c>
    </row>
    <row r="2402" spans="1:18" x14ac:dyDescent="0.25">
      <c r="A2402" s="169">
        <v>45541</v>
      </c>
      <c r="B2402" s="116">
        <v>359.67500000000001</v>
      </c>
      <c r="C2402" s="116">
        <v>345.72500000000002</v>
      </c>
      <c r="D2402" s="116">
        <v>343.875</v>
      </c>
      <c r="E2402" s="116">
        <v>359.67500000000001</v>
      </c>
      <c r="F2402" s="116">
        <v>691.45</v>
      </c>
      <c r="G2402">
        <v>92164</v>
      </c>
      <c r="H2402" s="116"/>
      <c r="I2402" s="116"/>
      <c r="L2402" s="169">
        <v>45541</v>
      </c>
      <c r="M2402" s="116">
        <v>345.67500000000001</v>
      </c>
      <c r="N2402" s="116">
        <v>357.25</v>
      </c>
      <c r="O2402" s="116">
        <v>343.82499999999999</v>
      </c>
      <c r="P2402" s="116">
        <v>357</v>
      </c>
      <c r="Q2402" s="116">
        <v>691.35</v>
      </c>
      <c r="R2402">
        <v>1652289</v>
      </c>
    </row>
    <row r="2403" spans="1:18" x14ac:dyDescent="0.25">
      <c r="A2403" s="169">
        <v>45544</v>
      </c>
      <c r="B2403" s="116">
        <v>350</v>
      </c>
      <c r="C2403" s="116">
        <v>341.92500000000001</v>
      </c>
      <c r="D2403" s="116">
        <v>332.25</v>
      </c>
      <c r="E2403" s="116">
        <v>342.52499999999998</v>
      </c>
      <c r="F2403" s="116">
        <v>683.85</v>
      </c>
      <c r="G2403">
        <v>107001</v>
      </c>
      <c r="H2403" s="116"/>
      <c r="I2403" s="116"/>
      <c r="L2403" s="169">
        <v>45544</v>
      </c>
      <c r="M2403" s="116">
        <v>341.875</v>
      </c>
      <c r="N2403" s="116">
        <v>350.1</v>
      </c>
      <c r="O2403" s="116">
        <v>331.82499999999999</v>
      </c>
      <c r="P2403" s="116">
        <v>345.95</v>
      </c>
      <c r="Q2403" s="116">
        <v>683.75</v>
      </c>
      <c r="R2403">
        <v>1563198</v>
      </c>
    </row>
    <row r="2404" spans="1:18" x14ac:dyDescent="0.25">
      <c r="A2404" s="169">
        <v>45545</v>
      </c>
      <c r="B2404" s="116">
        <v>354.5</v>
      </c>
      <c r="C2404" s="116">
        <v>353.1</v>
      </c>
      <c r="D2404" s="116">
        <v>343</v>
      </c>
      <c r="E2404" s="116">
        <v>344.5</v>
      </c>
      <c r="F2404" s="116">
        <v>706.2</v>
      </c>
      <c r="G2404">
        <v>53469</v>
      </c>
      <c r="H2404" s="116"/>
      <c r="I2404" s="116"/>
      <c r="L2404" s="169">
        <v>45545</v>
      </c>
      <c r="M2404" s="116">
        <v>353.4</v>
      </c>
      <c r="N2404" s="116">
        <v>355</v>
      </c>
      <c r="O2404" s="116">
        <v>342.82499999999999</v>
      </c>
      <c r="P2404" s="116">
        <v>344.9</v>
      </c>
      <c r="Q2404" s="116">
        <v>706.8</v>
      </c>
      <c r="R2404">
        <v>720375</v>
      </c>
    </row>
    <row r="2405" spans="1:18" x14ac:dyDescent="0.25">
      <c r="A2405" s="169">
        <v>45546</v>
      </c>
      <c r="B2405" s="116">
        <v>353.55</v>
      </c>
      <c r="C2405" s="116">
        <v>340.42500000000001</v>
      </c>
      <c r="D2405" s="116">
        <v>337.95</v>
      </c>
      <c r="E2405" s="116">
        <v>353.55</v>
      </c>
      <c r="F2405" s="116">
        <v>680.85</v>
      </c>
      <c r="G2405">
        <v>26279</v>
      </c>
      <c r="H2405" s="116"/>
      <c r="I2405" s="116"/>
      <c r="L2405" s="169">
        <v>45546</v>
      </c>
      <c r="M2405" s="116">
        <v>340.22500000000002</v>
      </c>
      <c r="N2405" s="116">
        <v>353.85</v>
      </c>
      <c r="O2405" s="116">
        <v>338.27499999999998</v>
      </c>
      <c r="P2405" s="116">
        <v>353.4</v>
      </c>
      <c r="Q2405" s="116">
        <v>680.45</v>
      </c>
      <c r="R2405">
        <v>935248</v>
      </c>
    </row>
    <row r="2406" spans="1:18" x14ac:dyDescent="0.25">
      <c r="A2406" s="169">
        <v>45547</v>
      </c>
      <c r="B2406" s="116">
        <v>354.17500000000001</v>
      </c>
      <c r="C2406" s="116">
        <v>352.75</v>
      </c>
      <c r="D2406" s="116">
        <v>342.67500000000001</v>
      </c>
      <c r="E2406" s="116">
        <v>345</v>
      </c>
      <c r="F2406" s="116">
        <v>705.5</v>
      </c>
      <c r="G2406">
        <v>69228</v>
      </c>
      <c r="H2406" s="116"/>
      <c r="I2406" s="116"/>
      <c r="L2406" s="169">
        <v>45547</v>
      </c>
      <c r="M2406" s="116">
        <v>352.42500000000001</v>
      </c>
      <c r="N2406" s="116">
        <v>354.5</v>
      </c>
      <c r="O2406" s="116">
        <v>342.625</v>
      </c>
      <c r="P2406" s="116">
        <v>345.02499999999998</v>
      </c>
      <c r="Q2406" s="116">
        <v>704.85</v>
      </c>
      <c r="R2406">
        <v>854646</v>
      </c>
    </row>
    <row r="2407" spans="1:18" x14ac:dyDescent="0.25">
      <c r="A2407" s="169">
        <v>45548</v>
      </c>
      <c r="B2407" s="116">
        <v>359.25</v>
      </c>
      <c r="C2407" s="116">
        <v>354.625</v>
      </c>
      <c r="D2407" s="116">
        <v>351</v>
      </c>
      <c r="E2407" s="116">
        <v>352.8</v>
      </c>
      <c r="F2407" s="116">
        <v>709.25</v>
      </c>
      <c r="G2407">
        <v>52514</v>
      </c>
      <c r="H2407" s="116"/>
      <c r="I2407" s="116"/>
      <c r="L2407" s="169">
        <v>45548</v>
      </c>
      <c r="M2407" s="116">
        <v>354.6</v>
      </c>
      <c r="N2407" s="116">
        <v>359.22500000000002</v>
      </c>
      <c r="O2407" s="116">
        <v>350.7</v>
      </c>
      <c r="P2407" s="116">
        <v>356.07499999999999</v>
      </c>
      <c r="Q2407" s="116">
        <v>709.2</v>
      </c>
      <c r="R2407">
        <v>845930</v>
      </c>
    </row>
    <row r="2408" spans="1:18" x14ac:dyDescent="0.25">
      <c r="A2408" s="169">
        <v>45551</v>
      </c>
      <c r="B2408" s="116">
        <v>366</v>
      </c>
      <c r="C2408" s="116">
        <v>359.77499999999998</v>
      </c>
      <c r="D2408" s="116">
        <v>353.45</v>
      </c>
      <c r="E2408" s="116">
        <v>353.45</v>
      </c>
      <c r="F2408" s="116">
        <v>719.55</v>
      </c>
      <c r="G2408">
        <v>58261</v>
      </c>
      <c r="H2408" s="116"/>
      <c r="I2408" s="116"/>
      <c r="L2408" s="169">
        <v>45551</v>
      </c>
      <c r="M2408" s="116">
        <v>360.65</v>
      </c>
      <c r="N2408" s="116">
        <v>366.05</v>
      </c>
      <c r="O2408" s="116">
        <v>355.625</v>
      </c>
      <c r="P2408" s="116">
        <v>356.82499999999999</v>
      </c>
      <c r="Q2408" s="116">
        <v>721.3</v>
      </c>
      <c r="R2408">
        <v>810934</v>
      </c>
    </row>
    <row r="2409" spans="1:18" x14ac:dyDescent="0.25">
      <c r="A2409" s="169">
        <v>45552</v>
      </c>
      <c r="B2409" s="116">
        <v>363.375</v>
      </c>
      <c r="C2409" s="116">
        <v>356.35</v>
      </c>
      <c r="D2409" s="116">
        <v>355</v>
      </c>
      <c r="E2409" s="116">
        <v>360.5</v>
      </c>
      <c r="F2409" s="116">
        <v>712.7</v>
      </c>
      <c r="G2409">
        <v>18395</v>
      </c>
      <c r="H2409" s="116"/>
      <c r="I2409" s="116"/>
      <c r="L2409" s="169">
        <v>45552</v>
      </c>
      <c r="M2409" s="116">
        <v>356.25</v>
      </c>
      <c r="N2409" s="116">
        <v>362.82499999999999</v>
      </c>
      <c r="O2409" s="116">
        <v>355</v>
      </c>
      <c r="P2409" s="116">
        <v>362</v>
      </c>
      <c r="Q2409" s="116">
        <v>712.5</v>
      </c>
      <c r="R2409">
        <v>412347</v>
      </c>
    </row>
    <row r="2410" spans="1:18" x14ac:dyDescent="0.25">
      <c r="A2410" s="169">
        <v>45553</v>
      </c>
      <c r="B2410" s="116">
        <v>360.7</v>
      </c>
      <c r="C2410" s="116">
        <v>357.6</v>
      </c>
      <c r="D2410" s="116">
        <v>354.125</v>
      </c>
      <c r="E2410" s="116">
        <v>355.97500000000002</v>
      </c>
      <c r="F2410" s="116">
        <v>715.2</v>
      </c>
      <c r="G2410">
        <v>33013</v>
      </c>
      <c r="H2410" s="116"/>
      <c r="I2410" s="116"/>
      <c r="L2410" s="169">
        <v>45553</v>
      </c>
      <c r="M2410" s="116">
        <v>357.6</v>
      </c>
      <c r="N2410" s="116">
        <v>360.7</v>
      </c>
      <c r="O2410" s="116">
        <v>353.72500000000002</v>
      </c>
      <c r="P2410" s="116">
        <v>353.95</v>
      </c>
      <c r="Q2410" s="116">
        <v>715.2</v>
      </c>
      <c r="R2410">
        <v>364406</v>
      </c>
    </row>
    <row r="2411" spans="1:18" x14ac:dyDescent="0.25">
      <c r="A2411" s="169">
        <v>45554</v>
      </c>
      <c r="B2411" s="116">
        <v>358.75</v>
      </c>
      <c r="C2411" s="116">
        <v>348.77499999999998</v>
      </c>
      <c r="D2411" s="116">
        <v>343.27499999999998</v>
      </c>
      <c r="E2411" s="116">
        <v>357.625</v>
      </c>
      <c r="F2411" s="116">
        <v>697.55</v>
      </c>
      <c r="G2411">
        <v>109484</v>
      </c>
      <c r="H2411" s="116"/>
      <c r="I2411" s="116"/>
      <c r="L2411" s="169">
        <v>45554</v>
      </c>
      <c r="M2411" s="116">
        <v>348.9</v>
      </c>
      <c r="N2411" s="116">
        <v>359.92500000000001</v>
      </c>
      <c r="O2411" s="116">
        <v>344.5</v>
      </c>
      <c r="P2411" s="116">
        <v>359</v>
      </c>
      <c r="Q2411" s="116">
        <v>697.8</v>
      </c>
      <c r="R2411">
        <v>1124818</v>
      </c>
    </row>
    <row r="2412" spans="1:18" x14ac:dyDescent="0.25">
      <c r="A2412" s="169">
        <v>45555</v>
      </c>
      <c r="B2412" s="116">
        <v>359.27499999999998</v>
      </c>
      <c r="C2412" s="116">
        <v>354.7</v>
      </c>
      <c r="D2412" s="116">
        <v>351</v>
      </c>
      <c r="E2412" s="116">
        <v>352.72500000000002</v>
      </c>
      <c r="F2412" s="116">
        <v>709.4</v>
      </c>
      <c r="G2412">
        <v>19032</v>
      </c>
      <c r="H2412" s="116"/>
      <c r="I2412" s="116"/>
      <c r="L2412" s="169">
        <v>45555</v>
      </c>
      <c r="M2412" s="116">
        <v>355.125</v>
      </c>
      <c r="N2412" s="116">
        <v>359.17500000000001</v>
      </c>
      <c r="O2412" s="116">
        <v>350.6</v>
      </c>
      <c r="P2412" s="116">
        <v>353.3</v>
      </c>
      <c r="Q2412" s="116">
        <v>710.25</v>
      </c>
      <c r="R2412">
        <v>775548</v>
      </c>
    </row>
    <row r="2413" spans="1:18" x14ac:dyDescent="0.25">
      <c r="A2413" s="169">
        <v>45558</v>
      </c>
      <c r="B2413" s="116">
        <v>364.47500000000002</v>
      </c>
      <c r="C2413" s="116">
        <v>361.1</v>
      </c>
      <c r="D2413" s="116">
        <v>352</v>
      </c>
      <c r="E2413" s="116">
        <v>358</v>
      </c>
      <c r="F2413" s="116">
        <v>722.2</v>
      </c>
      <c r="G2413">
        <v>24034</v>
      </c>
      <c r="H2413" s="116"/>
      <c r="I2413" s="116"/>
      <c r="L2413" s="169">
        <v>45558</v>
      </c>
      <c r="M2413" s="116">
        <v>360.6</v>
      </c>
      <c r="N2413" s="116">
        <v>364.5</v>
      </c>
      <c r="O2413" s="116">
        <v>351.25</v>
      </c>
      <c r="P2413" s="116">
        <v>357</v>
      </c>
      <c r="Q2413" s="116">
        <v>721.2</v>
      </c>
      <c r="R2413">
        <v>1025671</v>
      </c>
    </row>
    <row r="2414" spans="1:18" x14ac:dyDescent="0.25">
      <c r="A2414" s="169">
        <v>45559</v>
      </c>
      <c r="B2414" s="116">
        <v>377.375</v>
      </c>
      <c r="C2414" s="116">
        <v>373.65</v>
      </c>
      <c r="D2414" s="116">
        <v>359.77499999999998</v>
      </c>
      <c r="E2414" s="116">
        <v>363.72500000000002</v>
      </c>
      <c r="F2414" s="116">
        <v>747.3</v>
      </c>
      <c r="G2414">
        <v>101961</v>
      </c>
      <c r="H2414" s="116"/>
      <c r="I2414" s="116"/>
      <c r="L2414" s="169">
        <v>45559</v>
      </c>
      <c r="M2414" s="116">
        <v>373.875</v>
      </c>
      <c r="N2414" s="116">
        <v>377.375</v>
      </c>
      <c r="O2414" s="116">
        <v>360.1</v>
      </c>
      <c r="P2414" s="116">
        <v>362.42500000000001</v>
      </c>
      <c r="Q2414" s="116">
        <v>747.75</v>
      </c>
      <c r="R2414">
        <v>2051682</v>
      </c>
    </row>
    <row r="2415" spans="1:18" x14ac:dyDescent="0.25">
      <c r="A2415" s="169">
        <v>45560</v>
      </c>
      <c r="B2415" s="116">
        <v>376.77499999999998</v>
      </c>
      <c r="C2415" s="116">
        <v>361.35</v>
      </c>
      <c r="D2415" s="116">
        <v>358.4</v>
      </c>
      <c r="E2415" s="116">
        <v>375</v>
      </c>
      <c r="F2415" s="116">
        <v>722.7</v>
      </c>
      <c r="G2415">
        <v>27574</v>
      </c>
      <c r="H2415" s="116"/>
      <c r="I2415" s="116"/>
      <c r="L2415" s="169">
        <v>45560</v>
      </c>
      <c r="M2415" s="116">
        <v>361.35</v>
      </c>
      <c r="N2415" s="116">
        <v>377</v>
      </c>
      <c r="O2415" s="116">
        <v>358.52499999999998</v>
      </c>
      <c r="P2415" s="116">
        <v>377</v>
      </c>
      <c r="Q2415" s="116">
        <v>722.7</v>
      </c>
      <c r="R2415">
        <v>886366</v>
      </c>
    </row>
    <row r="2416" spans="1:18" x14ac:dyDescent="0.25">
      <c r="A2416" s="169">
        <v>45561</v>
      </c>
      <c r="B2416" s="116">
        <v>370.92500000000001</v>
      </c>
      <c r="C2416" s="116">
        <v>367.8</v>
      </c>
      <c r="D2416" s="116">
        <v>360.375</v>
      </c>
      <c r="E2416" s="116">
        <v>362</v>
      </c>
      <c r="F2416" s="116">
        <v>735.6</v>
      </c>
      <c r="G2416">
        <v>50615</v>
      </c>
      <c r="H2416" s="116"/>
      <c r="I2416" s="116"/>
      <c r="L2416" s="169">
        <v>45561</v>
      </c>
      <c r="M2416" s="116">
        <v>367.92500000000001</v>
      </c>
      <c r="N2416" s="116">
        <v>370.97500000000002</v>
      </c>
      <c r="O2416" s="116">
        <v>360.27499999999998</v>
      </c>
      <c r="P2416" s="116">
        <v>363.25</v>
      </c>
      <c r="Q2416" s="116">
        <v>735.85</v>
      </c>
      <c r="R2416">
        <v>690248</v>
      </c>
    </row>
    <row r="2417" spans="1:18" x14ac:dyDescent="0.25">
      <c r="A2417" s="169">
        <v>45562</v>
      </c>
      <c r="B2417" s="116">
        <v>379.65</v>
      </c>
      <c r="C2417" s="116">
        <v>373.125</v>
      </c>
      <c r="D2417" s="116">
        <v>368.5</v>
      </c>
      <c r="E2417" s="116">
        <v>372.82499999999999</v>
      </c>
      <c r="F2417" s="116">
        <v>746.25</v>
      </c>
      <c r="G2417">
        <v>32975</v>
      </c>
      <c r="H2417" s="116"/>
      <c r="I2417" s="116"/>
      <c r="L2417" s="169">
        <v>45562</v>
      </c>
      <c r="M2417" s="116">
        <v>372.75</v>
      </c>
      <c r="N2417" s="116">
        <v>379.9</v>
      </c>
      <c r="O2417" s="116">
        <v>368.25</v>
      </c>
      <c r="P2417" s="116">
        <v>372.5</v>
      </c>
      <c r="Q2417" s="116">
        <v>745.5</v>
      </c>
      <c r="R2417">
        <v>941192</v>
      </c>
    </row>
    <row r="2418" spans="1:18" x14ac:dyDescent="0.25">
      <c r="A2418" s="169">
        <v>45565</v>
      </c>
      <c r="B2418" s="116">
        <v>380</v>
      </c>
      <c r="C2418" s="116">
        <v>371.75</v>
      </c>
      <c r="D2418" s="116">
        <v>370.6</v>
      </c>
      <c r="E2418" s="116">
        <v>374.5</v>
      </c>
      <c r="F2418" s="116">
        <v>743.5</v>
      </c>
      <c r="G2418">
        <v>52002</v>
      </c>
      <c r="H2418" s="116"/>
      <c r="I2418" s="116"/>
      <c r="L2418" s="169">
        <v>45565</v>
      </c>
      <c r="M2418" s="116">
        <v>371.65</v>
      </c>
      <c r="N2418" s="116">
        <v>379.95</v>
      </c>
      <c r="O2418" s="116">
        <v>370.95</v>
      </c>
      <c r="P2418" s="116">
        <v>375.875</v>
      </c>
      <c r="Q2418" s="116">
        <v>743.3</v>
      </c>
      <c r="R2418">
        <v>627127</v>
      </c>
    </row>
    <row r="2419" spans="1:18" x14ac:dyDescent="0.25">
      <c r="A2419" s="169">
        <v>45566</v>
      </c>
      <c r="B2419" s="116">
        <v>373.67500000000001</v>
      </c>
      <c r="C2419" s="116">
        <v>367.52499999999998</v>
      </c>
      <c r="D2419" s="116">
        <v>366.125</v>
      </c>
      <c r="E2419" s="116">
        <v>372</v>
      </c>
      <c r="F2419" s="116">
        <v>735.05</v>
      </c>
      <c r="G2419">
        <v>41292</v>
      </c>
      <c r="H2419" s="116"/>
      <c r="I2419" s="116"/>
      <c r="L2419" s="169">
        <v>45566</v>
      </c>
      <c r="M2419" s="116">
        <v>367.625</v>
      </c>
      <c r="N2419" s="116">
        <v>374.32499999999999</v>
      </c>
      <c r="O2419" s="116">
        <v>366.42500000000001</v>
      </c>
      <c r="P2419" s="116">
        <v>372.2</v>
      </c>
      <c r="Q2419" s="116">
        <v>735.25</v>
      </c>
      <c r="R2419">
        <v>633896</v>
      </c>
    </row>
    <row r="2420" spans="1:18" x14ac:dyDescent="0.25">
      <c r="A2420" s="169">
        <v>45568</v>
      </c>
      <c r="B2420" s="116">
        <v>373.27499999999998</v>
      </c>
      <c r="C2420" s="116">
        <v>353.77499999999998</v>
      </c>
      <c r="D2420" s="116">
        <v>350</v>
      </c>
      <c r="E2420" s="116">
        <v>364</v>
      </c>
      <c r="F2420" s="116">
        <v>707.55</v>
      </c>
      <c r="G2420">
        <v>66275</v>
      </c>
      <c r="H2420" s="116"/>
      <c r="I2420" s="116"/>
      <c r="L2420" s="169">
        <v>45568</v>
      </c>
      <c r="M2420" s="116">
        <v>353.75</v>
      </c>
      <c r="N2420" s="116">
        <v>373.5</v>
      </c>
      <c r="O2420" s="116">
        <v>349.72500000000002</v>
      </c>
      <c r="P2420" s="116">
        <v>361.5</v>
      </c>
      <c r="Q2420" s="116">
        <v>707.5</v>
      </c>
      <c r="R2420">
        <v>2233506</v>
      </c>
    </row>
    <row r="2421" spans="1:18" x14ac:dyDescent="0.25">
      <c r="A2421" s="169">
        <v>45569</v>
      </c>
      <c r="B2421" s="116">
        <v>368.875</v>
      </c>
      <c r="C2421" s="116">
        <v>363.02499999999998</v>
      </c>
      <c r="D2421" s="116">
        <v>349.4</v>
      </c>
      <c r="E2421" s="116">
        <v>354.07499999999999</v>
      </c>
      <c r="F2421" s="116">
        <v>726.05</v>
      </c>
      <c r="G2421">
        <v>97932</v>
      </c>
      <c r="H2421" s="116"/>
      <c r="I2421" s="116"/>
      <c r="L2421" s="169">
        <v>45569</v>
      </c>
      <c r="M2421" s="116">
        <v>363.07499999999999</v>
      </c>
      <c r="N2421" s="116">
        <v>368.9</v>
      </c>
      <c r="O2421" s="116">
        <v>349</v>
      </c>
      <c r="P2421" s="116">
        <v>356.5</v>
      </c>
      <c r="Q2421" s="116">
        <v>726.15</v>
      </c>
      <c r="R2421">
        <v>914427</v>
      </c>
    </row>
    <row r="2422" spans="1:18" x14ac:dyDescent="0.25">
      <c r="A2422" s="169">
        <v>45572</v>
      </c>
      <c r="B2422" s="116">
        <v>370.3</v>
      </c>
      <c r="C2422" s="116">
        <v>352.7</v>
      </c>
      <c r="D2422" s="116">
        <v>344.27499999999998</v>
      </c>
      <c r="E2422" s="116">
        <v>370.3</v>
      </c>
      <c r="F2422" s="116">
        <v>705.4</v>
      </c>
      <c r="G2422">
        <v>43611</v>
      </c>
      <c r="H2422" s="116"/>
      <c r="I2422" s="116"/>
      <c r="L2422" s="169">
        <v>45572</v>
      </c>
      <c r="M2422" s="116">
        <v>352.55</v>
      </c>
      <c r="N2422" s="116">
        <v>369.5</v>
      </c>
      <c r="O2422" s="116">
        <v>342.72500000000002</v>
      </c>
      <c r="P2422" s="116">
        <v>365.92500000000001</v>
      </c>
      <c r="Q2422" s="116">
        <v>705.1</v>
      </c>
      <c r="R2422">
        <v>1515107</v>
      </c>
    </row>
    <row r="2423" spans="1:18" x14ac:dyDescent="0.25">
      <c r="A2423" s="169">
        <v>45573</v>
      </c>
      <c r="B2423" s="116">
        <v>375</v>
      </c>
      <c r="C2423" s="116">
        <v>373.375</v>
      </c>
      <c r="D2423" s="116">
        <v>347.6</v>
      </c>
      <c r="E2423" s="116">
        <v>351.125</v>
      </c>
      <c r="F2423" s="116">
        <v>746.75</v>
      </c>
      <c r="G2423">
        <v>75606</v>
      </c>
      <c r="H2423" s="116"/>
      <c r="I2423" s="116"/>
      <c r="L2423" s="169">
        <v>45573</v>
      </c>
      <c r="M2423" s="116">
        <v>373.82499999999999</v>
      </c>
      <c r="N2423" s="116">
        <v>375</v>
      </c>
      <c r="O2423" s="116">
        <v>347.52499999999998</v>
      </c>
      <c r="P2423" s="116">
        <v>352.55</v>
      </c>
      <c r="Q2423" s="116">
        <v>747.65</v>
      </c>
      <c r="R2423">
        <v>1155113</v>
      </c>
    </row>
    <row r="2424" spans="1:18" x14ac:dyDescent="0.25">
      <c r="A2424" s="169">
        <v>45574</v>
      </c>
      <c r="B2424" s="116">
        <v>383.85</v>
      </c>
      <c r="C2424" s="116">
        <v>368.05</v>
      </c>
      <c r="D2424" s="116">
        <v>367</v>
      </c>
      <c r="E2424" s="116">
        <v>373.95</v>
      </c>
      <c r="F2424" s="116">
        <v>368.05</v>
      </c>
      <c r="G2424">
        <v>45091</v>
      </c>
      <c r="H2424" s="116"/>
      <c r="I2424" s="116"/>
      <c r="L2424" s="169">
        <v>45574</v>
      </c>
      <c r="M2424" s="116">
        <v>369.25</v>
      </c>
      <c r="N2424" s="116">
        <v>383.85</v>
      </c>
      <c r="O2424" s="116">
        <v>366.3</v>
      </c>
      <c r="P2424" s="116">
        <v>372</v>
      </c>
      <c r="Q2424" s="116">
        <v>369.25</v>
      </c>
      <c r="R2424">
        <v>1286973</v>
      </c>
    </row>
    <row r="2425" spans="1:18" x14ac:dyDescent="0.25">
      <c r="A2425" s="169">
        <v>45575</v>
      </c>
      <c r="B2425" s="116">
        <v>371.45</v>
      </c>
      <c r="C2425" s="116">
        <v>360.85</v>
      </c>
      <c r="D2425" s="116">
        <v>360</v>
      </c>
      <c r="E2425" s="116">
        <v>370.5</v>
      </c>
      <c r="F2425" s="116">
        <v>360.85</v>
      </c>
      <c r="G2425">
        <v>102088</v>
      </c>
      <c r="H2425" s="116"/>
      <c r="I2425" s="116"/>
      <c r="L2425" s="169">
        <v>45575</v>
      </c>
      <c r="M2425" s="116">
        <v>361</v>
      </c>
      <c r="N2425" s="116">
        <v>371.7</v>
      </c>
      <c r="O2425" s="116">
        <v>360</v>
      </c>
      <c r="P2425" s="116">
        <v>369.25</v>
      </c>
      <c r="Q2425" s="116">
        <v>361</v>
      </c>
      <c r="R2425">
        <v>750458</v>
      </c>
    </row>
    <row r="2426" spans="1:18" x14ac:dyDescent="0.25">
      <c r="A2426" s="169">
        <v>45576</v>
      </c>
      <c r="B2426" s="116">
        <v>364.35</v>
      </c>
      <c r="C2426" s="116">
        <v>353.95</v>
      </c>
      <c r="D2426" s="116">
        <v>348.9</v>
      </c>
      <c r="E2426" s="116">
        <v>361.95</v>
      </c>
      <c r="F2426" s="116">
        <v>353.95</v>
      </c>
      <c r="G2426">
        <v>59336</v>
      </c>
      <c r="H2426" s="116"/>
      <c r="I2426" s="116"/>
      <c r="L2426" s="169">
        <v>45576</v>
      </c>
      <c r="M2426" s="116">
        <v>353.6</v>
      </c>
      <c r="N2426" s="116">
        <v>364.45</v>
      </c>
      <c r="O2426" s="116">
        <v>348.65</v>
      </c>
      <c r="P2426" s="116">
        <v>360.9</v>
      </c>
      <c r="Q2426" s="116">
        <v>353.6</v>
      </c>
      <c r="R2426">
        <v>1392269</v>
      </c>
    </row>
    <row r="2427" spans="1:18" x14ac:dyDescent="0.25">
      <c r="A2427" s="169">
        <v>45579</v>
      </c>
      <c r="B2427" s="116">
        <v>363</v>
      </c>
      <c r="C2427" s="116">
        <v>360.6</v>
      </c>
      <c r="D2427" s="116">
        <v>352</v>
      </c>
      <c r="E2427" s="116">
        <v>354</v>
      </c>
      <c r="F2427" s="116">
        <v>360.6</v>
      </c>
      <c r="G2427">
        <v>47378</v>
      </c>
      <c r="H2427" s="116"/>
      <c r="I2427" s="116"/>
      <c r="L2427" s="169">
        <v>45579</v>
      </c>
      <c r="M2427" s="116">
        <v>360.75</v>
      </c>
      <c r="N2427" s="116">
        <v>363.7</v>
      </c>
      <c r="O2427" s="116">
        <v>352.4</v>
      </c>
      <c r="P2427" s="116">
        <v>355.5</v>
      </c>
      <c r="Q2427" s="116">
        <v>360.75</v>
      </c>
      <c r="R2427">
        <v>1000242</v>
      </c>
    </row>
    <row r="2428" spans="1:18" x14ac:dyDescent="0.25">
      <c r="A2428" s="169">
        <v>45580</v>
      </c>
      <c r="B2428" s="116">
        <v>368</v>
      </c>
      <c r="C2428" s="116">
        <v>365</v>
      </c>
      <c r="D2428" s="116">
        <v>355.95</v>
      </c>
      <c r="E2428" s="116">
        <v>368</v>
      </c>
      <c r="F2428" s="116">
        <v>365</v>
      </c>
      <c r="G2428">
        <v>23974</v>
      </c>
      <c r="H2428" s="116"/>
      <c r="I2428" s="116"/>
      <c r="L2428" s="169">
        <v>45580</v>
      </c>
      <c r="M2428" s="116">
        <v>365.35</v>
      </c>
      <c r="N2428" s="116">
        <v>367.85</v>
      </c>
      <c r="O2428" s="116">
        <v>355.6</v>
      </c>
      <c r="P2428" s="116">
        <v>360.95</v>
      </c>
      <c r="Q2428" s="116">
        <v>365.35</v>
      </c>
      <c r="R2428">
        <v>988670</v>
      </c>
    </row>
    <row r="2429" spans="1:18" x14ac:dyDescent="0.25">
      <c r="A2429" s="169">
        <v>45581</v>
      </c>
      <c r="B2429" s="116">
        <v>369</v>
      </c>
      <c r="C2429" s="116">
        <v>366.5</v>
      </c>
      <c r="D2429" s="116">
        <v>360.8</v>
      </c>
      <c r="E2429" s="116">
        <v>367</v>
      </c>
      <c r="F2429" s="116">
        <v>366.5</v>
      </c>
      <c r="G2429">
        <v>23645</v>
      </c>
      <c r="H2429" s="116"/>
      <c r="I2429" s="116"/>
      <c r="L2429" s="169">
        <v>45581</v>
      </c>
      <c r="M2429" s="116">
        <v>366.4</v>
      </c>
      <c r="N2429" s="116">
        <v>369</v>
      </c>
      <c r="O2429" s="116">
        <v>360.2</v>
      </c>
      <c r="P2429" s="116">
        <v>365</v>
      </c>
      <c r="Q2429" s="116">
        <v>366.4</v>
      </c>
      <c r="R2429">
        <v>789476</v>
      </c>
    </row>
    <row r="2430" spans="1:18" x14ac:dyDescent="0.25">
      <c r="A2430" s="169">
        <v>45582</v>
      </c>
      <c r="B2430" s="116">
        <v>375</v>
      </c>
      <c r="C2430" s="116">
        <v>365.8</v>
      </c>
      <c r="D2430" s="116">
        <v>361.65</v>
      </c>
      <c r="E2430" s="116">
        <v>369</v>
      </c>
      <c r="F2430" s="116">
        <v>365.8</v>
      </c>
      <c r="G2430">
        <v>76443</v>
      </c>
      <c r="H2430" s="116"/>
      <c r="I2430" s="116"/>
      <c r="L2430" s="169">
        <v>45582</v>
      </c>
      <c r="M2430" s="116">
        <v>366.3</v>
      </c>
      <c r="N2430" s="116">
        <v>375.6</v>
      </c>
      <c r="O2430" s="116">
        <v>361.9</v>
      </c>
      <c r="P2430" s="116">
        <v>368.9</v>
      </c>
      <c r="Q2430" s="116">
        <v>366.3</v>
      </c>
      <c r="R2430">
        <v>1535277</v>
      </c>
    </row>
    <row r="2431" spans="1:18" x14ac:dyDescent="0.25">
      <c r="A2431" s="169">
        <v>45583</v>
      </c>
      <c r="B2431" s="116">
        <v>370.3</v>
      </c>
      <c r="C2431" s="116">
        <v>365.35</v>
      </c>
      <c r="D2431" s="116">
        <v>354.9</v>
      </c>
      <c r="E2431" s="116">
        <v>366</v>
      </c>
      <c r="F2431" s="116">
        <v>365.35</v>
      </c>
      <c r="G2431">
        <v>45301</v>
      </c>
      <c r="H2431" s="116"/>
      <c r="I2431" s="116"/>
      <c r="L2431" s="169">
        <v>45583</v>
      </c>
      <c r="M2431" s="116">
        <v>365.25</v>
      </c>
      <c r="N2431" s="116">
        <v>370.45</v>
      </c>
      <c r="O2431" s="116">
        <v>355</v>
      </c>
      <c r="P2431" s="116">
        <v>364.95</v>
      </c>
      <c r="Q2431" s="116">
        <v>365.25</v>
      </c>
      <c r="R2431">
        <v>1119626</v>
      </c>
    </row>
    <row r="2432" spans="1:18" x14ac:dyDescent="0.25">
      <c r="A2432" s="169">
        <v>45586</v>
      </c>
      <c r="B2432" s="116">
        <v>377.4</v>
      </c>
      <c r="C2432" s="116">
        <v>343.5</v>
      </c>
      <c r="D2432" s="116">
        <v>326.7</v>
      </c>
      <c r="E2432" s="116">
        <v>377.4</v>
      </c>
      <c r="F2432" s="116">
        <v>343.5</v>
      </c>
      <c r="G2432">
        <v>451414</v>
      </c>
      <c r="H2432" s="116"/>
      <c r="I2432" s="116"/>
      <c r="L2432" s="169">
        <v>45586</v>
      </c>
      <c r="M2432" s="116">
        <v>343.6</v>
      </c>
      <c r="N2432" s="116">
        <v>378.15</v>
      </c>
      <c r="O2432" s="116">
        <v>326.85000000000002</v>
      </c>
      <c r="P2432" s="116">
        <v>376</v>
      </c>
      <c r="Q2432" s="116">
        <v>343.6</v>
      </c>
      <c r="R2432">
        <v>6327201</v>
      </c>
    </row>
    <row r="2433" spans="1:18" x14ac:dyDescent="0.25">
      <c r="A2433" s="169">
        <v>45587</v>
      </c>
      <c r="B2433" s="116">
        <v>347.55</v>
      </c>
      <c r="C2433" s="116">
        <v>332.55</v>
      </c>
      <c r="D2433" s="116">
        <v>330.05</v>
      </c>
      <c r="E2433" s="116">
        <v>344.15</v>
      </c>
      <c r="F2433" s="116">
        <v>332.55</v>
      </c>
      <c r="G2433">
        <v>119320</v>
      </c>
      <c r="H2433" s="116"/>
      <c r="I2433" s="116"/>
      <c r="L2433" s="169">
        <v>45587</v>
      </c>
      <c r="M2433" s="116">
        <v>333</v>
      </c>
      <c r="N2433" s="116">
        <v>347.65</v>
      </c>
      <c r="O2433" s="116">
        <v>330.2</v>
      </c>
      <c r="P2433" s="116">
        <v>347.65</v>
      </c>
      <c r="Q2433" s="116">
        <v>333</v>
      </c>
      <c r="R2433">
        <v>3082131</v>
      </c>
    </row>
    <row r="2434" spans="1:18" x14ac:dyDescent="0.25">
      <c r="A2434" s="169">
        <v>45588</v>
      </c>
      <c r="B2434" s="116">
        <v>342.4</v>
      </c>
      <c r="C2434" s="116">
        <v>329.55</v>
      </c>
      <c r="D2434" s="116">
        <v>325.64999999999998</v>
      </c>
      <c r="E2434" s="116">
        <v>333</v>
      </c>
      <c r="F2434" s="116">
        <v>329.55</v>
      </c>
      <c r="G2434">
        <v>55152</v>
      </c>
      <c r="H2434" s="116"/>
      <c r="I2434" s="116"/>
      <c r="L2434" s="169">
        <v>45588</v>
      </c>
      <c r="M2434" s="116">
        <v>329.3</v>
      </c>
      <c r="N2434" s="116">
        <v>342.7</v>
      </c>
      <c r="O2434" s="116">
        <v>325.10000000000002</v>
      </c>
      <c r="P2434" s="116">
        <v>330.05</v>
      </c>
      <c r="Q2434" s="116">
        <v>329.3</v>
      </c>
      <c r="R2434">
        <v>1633534</v>
      </c>
    </row>
    <row r="2435" spans="1:18" x14ac:dyDescent="0.25">
      <c r="A2435" s="169">
        <v>45589</v>
      </c>
      <c r="B2435" s="116">
        <v>333.95</v>
      </c>
      <c r="C2435" s="116">
        <v>318.35000000000002</v>
      </c>
      <c r="D2435" s="116">
        <v>316.60000000000002</v>
      </c>
      <c r="E2435" s="116">
        <v>333.95</v>
      </c>
      <c r="F2435" s="116">
        <v>318.35000000000002</v>
      </c>
      <c r="G2435">
        <v>86124</v>
      </c>
      <c r="H2435" s="116"/>
      <c r="I2435" s="116"/>
      <c r="L2435" s="169">
        <v>45589</v>
      </c>
      <c r="M2435" s="116">
        <v>318.3</v>
      </c>
      <c r="N2435" s="116">
        <v>333.65</v>
      </c>
      <c r="O2435" s="116">
        <v>315.05</v>
      </c>
      <c r="P2435" s="116">
        <v>330</v>
      </c>
      <c r="Q2435" s="116">
        <v>318.3</v>
      </c>
      <c r="R2435">
        <v>1149627</v>
      </c>
    </row>
    <row r="2436" spans="1:18" x14ac:dyDescent="0.25">
      <c r="A2436" s="169">
        <v>45590</v>
      </c>
      <c r="B2436" s="116">
        <v>321.64999999999998</v>
      </c>
      <c r="C2436" s="116">
        <v>301.89999999999998</v>
      </c>
      <c r="D2436" s="116">
        <v>296.75</v>
      </c>
      <c r="E2436" s="116">
        <v>318.39999999999998</v>
      </c>
      <c r="F2436" s="116">
        <v>301.89999999999998</v>
      </c>
      <c r="G2436">
        <v>221677</v>
      </c>
      <c r="H2436" s="116"/>
      <c r="I2436" s="116"/>
      <c r="L2436" s="169">
        <v>45590</v>
      </c>
      <c r="M2436" s="116">
        <v>301.85000000000002</v>
      </c>
      <c r="N2436" s="116">
        <v>321.89999999999998</v>
      </c>
      <c r="O2436" s="116">
        <v>293.55</v>
      </c>
      <c r="P2436" s="116">
        <v>318.95</v>
      </c>
      <c r="Q2436" s="116">
        <v>301.85000000000002</v>
      </c>
      <c r="R2436">
        <v>2833783</v>
      </c>
    </row>
    <row r="2437" spans="1:18" x14ac:dyDescent="0.25">
      <c r="A2437" s="169">
        <v>45593</v>
      </c>
      <c r="B2437" s="116">
        <v>309</v>
      </c>
      <c r="C2437" s="116">
        <v>304.85000000000002</v>
      </c>
      <c r="D2437" s="116">
        <v>280.14999999999998</v>
      </c>
      <c r="E2437" s="116">
        <v>280.14999999999998</v>
      </c>
      <c r="F2437" s="116">
        <v>304.85000000000002</v>
      </c>
      <c r="G2437">
        <v>109853</v>
      </c>
      <c r="H2437" s="116"/>
      <c r="I2437" s="116"/>
      <c r="L2437" s="169">
        <v>45593</v>
      </c>
      <c r="M2437" s="116">
        <v>304.35000000000002</v>
      </c>
      <c r="N2437" s="116">
        <v>309</v>
      </c>
      <c r="O2437" s="116">
        <v>299.45</v>
      </c>
      <c r="P2437" s="116">
        <v>301.85000000000002</v>
      </c>
      <c r="Q2437" s="116">
        <v>304.35000000000002</v>
      </c>
      <c r="R2437">
        <v>1421032</v>
      </c>
    </row>
    <row r="2438" spans="1:18" x14ac:dyDescent="0.25">
      <c r="A2438" s="169">
        <v>45594</v>
      </c>
      <c r="B2438" s="116">
        <v>308.55</v>
      </c>
      <c r="C2438" s="116">
        <v>304.45</v>
      </c>
      <c r="D2438" s="116">
        <v>298.3</v>
      </c>
      <c r="E2438" s="116">
        <v>307.45</v>
      </c>
      <c r="F2438" s="116">
        <v>304.45</v>
      </c>
      <c r="G2438">
        <v>67394</v>
      </c>
      <c r="H2438" s="116"/>
      <c r="I2438" s="116"/>
      <c r="L2438" s="169">
        <v>45594</v>
      </c>
      <c r="M2438" s="116">
        <v>304.7</v>
      </c>
      <c r="N2438" s="116">
        <v>308.75</v>
      </c>
      <c r="O2438" s="116">
        <v>298.2</v>
      </c>
      <c r="P2438" s="116">
        <v>306.14999999999998</v>
      </c>
      <c r="Q2438" s="116">
        <v>304.7</v>
      </c>
      <c r="R2438">
        <v>792072</v>
      </c>
    </row>
    <row r="2439" spans="1:18" x14ac:dyDescent="0.25">
      <c r="A2439" s="169">
        <v>45595</v>
      </c>
      <c r="B2439" s="116">
        <v>320</v>
      </c>
      <c r="C2439" s="116">
        <v>314.8</v>
      </c>
      <c r="D2439" s="116">
        <v>304.5</v>
      </c>
      <c r="E2439" s="116">
        <v>304.5</v>
      </c>
      <c r="F2439" s="116">
        <v>314.8</v>
      </c>
      <c r="G2439">
        <v>38556</v>
      </c>
      <c r="H2439" s="116"/>
      <c r="I2439" s="116"/>
      <c r="L2439" s="169">
        <v>45595</v>
      </c>
      <c r="M2439" s="116">
        <v>313.8</v>
      </c>
      <c r="N2439" s="116">
        <v>320.5</v>
      </c>
      <c r="O2439" s="116">
        <v>307</v>
      </c>
      <c r="P2439" s="116">
        <v>307</v>
      </c>
      <c r="Q2439" s="116">
        <v>313.8</v>
      </c>
      <c r="R2439">
        <v>1579383</v>
      </c>
    </row>
    <row r="2440" spans="1:18" x14ac:dyDescent="0.25">
      <c r="A2440" s="169">
        <v>45596</v>
      </c>
      <c r="B2440" s="116">
        <v>317.35000000000002</v>
      </c>
      <c r="C2440" s="116">
        <v>316.45</v>
      </c>
      <c r="D2440" s="116">
        <v>310.45</v>
      </c>
      <c r="E2440" s="116">
        <v>313.8</v>
      </c>
      <c r="F2440" s="116">
        <v>316.45</v>
      </c>
      <c r="G2440">
        <v>45289</v>
      </c>
      <c r="H2440" s="116"/>
      <c r="I2440" s="116"/>
      <c r="L2440" s="169">
        <v>45596</v>
      </c>
      <c r="M2440" s="116">
        <v>316.5</v>
      </c>
      <c r="N2440" s="116">
        <v>317.8</v>
      </c>
      <c r="O2440" s="116">
        <v>310.3</v>
      </c>
      <c r="P2440" s="116">
        <v>315.39999999999998</v>
      </c>
      <c r="Q2440" s="116">
        <v>316.5</v>
      </c>
      <c r="R2440">
        <v>1076244</v>
      </c>
    </row>
    <row r="2441" spans="1:18" x14ac:dyDescent="0.25">
      <c r="A2441" s="169">
        <v>45597</v>
      </c>
      <c r="B2441" s="116">
        <v>327.39999999999998</v>
      </c>
      <c r="C2441" s="116">
        <v>315</v>
      </c>
      <c r="D2441" s="116">
        <v>309.60000000000002</v>
      </c>
      <c r="E2441" s="116">
        <v>322.89999999999998</v>
      </c>
      <c r="F2441" s="116">
        <v>315</v>
      </c>
      <c r="G2441">
        <v>18570</v>
      </c>
      <c r="H2441" s="116"/>
      <c r="I2441" s="116"/>
      <c r="L2441" s="169">
        <v>45597</v>
      </c>
      <c r="M2441" s="116">
        <v>314.45</v>
      </c>
      <c r="N2441" s="116">
        <v>328.3</v>
      </c>
      <c r="O2441" s="116">
        <v>309.14999999999998</v>
      </c>
      <c r="P2441" s="116">
        <v>328</v>
      </c>
      <c r="Q2441" s="116">
        <v>314.45</v>
      </c>
      <c r="R2441">
        <v>571551</v>
      </c>
    </row>
    <row r="2442" spans="1:18" x14ac:dyDescent="0.25">
      <c r="A2442" s="169">
        <v>45600</v>
      </c>
      <c r="B2442" s="116">
        <v>322</v>
      </c>
      <c r="C2442" s="116">
        <v>309.95</v>
      </c>
      <c r="D2442" s="116">
        <v>307</v>
      </c>
      <c r="E2442" s="116">
        <v>316.3</v>
      </c>
      <c r="F2442" s="116">
        <v>309.95</v>
      </c>
      <c r="G2442">
        <v>64120</v>
      </c>
      <c r="H2442" s="116"/>
      <c r="I2442" s="116"/>
      <c r="L2442" s="169">
        <v>45600</v>
      </c>
      <c r="M2442" s="116">
        <v>309.89999999999998</v>
      </c>
      <c r="N2442" s="116">
        <v>322.5</v>
      </c>
      <c r="O2442" s="116">
        <v>306.95</v>
      </c>
      <c r="P2442" s="116">
        <v>316.89999999999998</v>
      </c>
      <c r="Q2442" s="116">
        <v>309.89999999999998</v>
      </c>
      <c r="R2442">
        <v>1460766</v>
      </c>
    </row>
    <row r="2443" spans="1:18" x14ac:dyDescent="0.25">
      <c r="A2443" s="169">
        <v>45601</v>
      </c>
      <c r="B2443" s="116">
        <v>327</v>
      </c>
      <c r="C2443" s="116">
        <v>325.3</v>
      </c>
      <c r="D2443" s="116">
        <v>310.05</v>
      </c>
      <c r="E2443" s="116">
        <v>312.95</v>
      </c>
      <c r="F2443" s="116">
        <v>325.3</v>
      </c>
      <c r="G2443">
        <v>104934</v>
      </c>
      <c r="H2443" s="116"/>
      <c r="I2443" s="116"/>
      <c r="L2443" s="169">
        <v>45601</v>
      </c>
      <c r="M2443" s="116">
        <v>325.3</v>
      </c>
      <c r="N2443" s="116">
        <v>326.85000000000002</v>
      </c>
      <c r="O2443" s="116">
        <v>309.14999999999998</v>
      </c>
      <c r="P2443" s="116">
        <v>311.89999999999998</v>
      </c>
      <c r="Q2443" s="116">
        <v>325.3</v>
      </c>
      <c r="R2443">
        <v>2154626</v>
      </c>
    </row>
    <row r="2444" spans="1:18" x14ac:dyDescent="0.25">
      <c r="A2444" s="169">
        <v>45602</v>
      </c>
      <c r="B2444" s="116">
        <v>329.6</v>
      </c>
      <c r="C2444" s="116">
        <v>328.55</v>
      </c>
      <c r="D2444" s="116">
        <v>314</v>
      </c>
      <c r="E2444" s="116">
        <v>329.4</v>
      </c>
      <c r="F2444" s="116">
        <v>328.55</v>
      </c>
      <c r="G2444">
        <v>82434</v>
      </c>
      <c r="H2444" s="116"/>
      <c r="I2444" s="116"/>
      <c r="L2444" s="169">
        <v>45602</v>
      </c>
      <c r="M2444" s="116">
        <v>328.4</v>
      </c>
      <c r="N2444" s="116">
        <v>329.8</v>
      </c>
      <c r="O2444" s="116">
        <v>313.35000000000002</v>
      </c>
      <c r="P2444" s="116">
        <v>327</v>
      </c>
      <c r="Q2444" s="116">
        <v>328.4</v>
      </c>
      <c r="R2444">
        <v>1592464</v>
      </c>
    </row>
    <row r="2445" spans="1:18" x14ac:dyDescent="0.25">
      <c r="A2445" s="169">
        <v>45603</v>
      </c>
      <c r="B2445" s="116">
        <v>337.2</v>
      </c>
      <c r="C2445" s="116">
        <v>318.35000000000002</v>
      </c>
      <c r="D2445" s="116">
        <v>317.64999999999998</v>
      </c>
      <c r="E2445" s="116">
        <v>328</v>
      </c>
      <c r="F2445" s="116">
        <v>318.35000000000002</v>
      </c>
      <c r="G2445">
        <v>63978</v>
      </c>
      <c r="H2445" s="116"/>
      <c r="I2445" s="116"/>
      <c r="L2445" s="169">
        <v>45603</v>
      </c>
      <c r="M2445" s="116">
        <v>318.60000000000002</v>
      </c>
      <c r="N2445" s="116">
        <v>337.8</v>
      </c>
      <c r="O2445" s="116">
        <v>317.7</v>
      </c>
      <c r="P2445" s="116">
        <v>328.4</v>
      </c>
      <c r="Q2445" s="116">
        <v>318.60000000000002</v>
      </c>
      <c r="R2445">
        <v>1499391</v>
      </c>
    </row>
    <row r="2446" spans="1:18" x14ac:dyDescent="0.25">
      <c r="A2446" s="169">
        <v>45604</v>
      </c>
      <c r="B2446" s="116">
        <v>319.85000000000002</v>
      </c>
      <c r="C2446" s="116">
        <v>307.14999999999998</v>
      </c>
      <c r="D2446" s="116">
        <v>306.10000000000002</v>
      </c>
      <c r="E2446" s="116">
        <v>319.85000000000002</v>
      </c>
      <c r="F2446" s="116">
        <v>307.14999999999998</v>
      </c>
      <c r="G2446">
        <v>25957</v>
      </c>
      <c r="H2446" s="116"/>
      <c r="I2446" s="116"/>
      <c r="L2446" s="169">
        <v>45604</v>
      </c>
      <c r="M2446" s="116">
        <v>307</v>
      </c>
      <c r="N2446" s="116">
        <v>318.89999999999998</v>
      </c>
      <c r="O2446" s="116">
        <v>306</v>
      </c>
      <c r="P2446" s="116">
        <v>317.10000000000002</v>
      </c>
      <c r="Q2446" s="116">
        <v>307</v>
      </c>
      <c r="R2446">
        <v>889468</v>
      </c>
    </row>
    <row r="2447" spans="1:18" x14ac:dyDescent="0.25">
      <c r="A2447" s="169">
        <v>45607</v>
      </c>
      <c r="B2447" s="116">
        <v>308.75</v>
      </c>
      <c r="C2447" s="116">
        <v>304.3</v>
      </c>
      <c r="D2447" s="116">
        <v>301.35000000000002</v>
      </c>
      <c r="E2447" s="116">
        <v>306.05</v>
      </c>
      <c r="F2447" s="116">
        <v>304.3</v>
      </c>
      <c r="G2447">
        <v>77161</v>
      </c>
      <c r="H2447" s="116"/>
      <c r="I2447" s="116"/>
      <c r="L2447" s="169">
        <v>45607</v>
      </c>
      <c r="M2447" s="116">
        <v>304.39999999999998</v>
      </c>
      <c r="N2447" s="116">
        <v>309</v>
      </c>
      <c r="O2447" s="116">
        <v>302.05</v>
      </c>
      <c r="P2447" s="116">
        <v>307</v>
      </c>
      <c r="Q2447" s="116">
        <v>304.39999999999998</v>
      </c>
      <c r="R2447">
        <v>627736</v>
      </c>
    </row>
    <row r="2448" spans="1:18" x14ac:dyDescent="0.25">
      <c r="A2448" s="169">
        <v>45608</v>
      </c>
      <c r="B2448" s="116">
        <v>311.95</v>
      </c>
      <c r="C2448" s="116">
        <v>302.64999999999998</v>
      </c>
      <c r="D2448" s="116">
        <v>300.25</v>
      </c>
      <c r="E2448" s="116">
        <v>309.8</v>
      </c>
      <c r="F2448" s="116">
        <v>302.64999999999998</v>
      </c>
      <c r="G2448">
        <v>25786</v>
      </c>
      <c r="H2448" s="116"/>
      <c r="I2448" s="116"/>
      <c r="L2448" s="169">
        <v>45608</v>
      </c>
      <c r="M2448" s="116">
        <v>302.85000000000002</v>
      </c>
      <c r="N2448" s="116">
        <v>312</v>
      </c>
      <c r="O2448" s="116">
        <v>301.5</v>
      </c>
      <c r="P2448" s="116">
        <v>307</v>
      </c>
      <c r="Q2448" s="116">
        <v>302.85000000000002</v>
      </c>
      <c r="R2448">
        <v>758565</v>
      </c>
    </row>
    <row r="2449" spans="1:18" x14ac:dyDescent="0.25">
      <c r="A2449" s="169">
        <v>45609</v>
      </c>
      <c r="B2449" s="116">
        <v>303.10000000000002</v>
      </c>
      <c r="C2449" s="116">
        <v>288.5</v>
      </c>
      <c r="D2449" s="116">
        <v>287.45</v>
      </c>
      <c r="E2449" s="116">
        <v>300.25</v>
      </c>
      <c r="F2449" s="116">
        <v>288.5</v>
      </c>
      <c r="G2449">
        <v>40132</v>
      </c>
      <c r="H2449" s="116"/>
      <c r="I2449" s="116"/>
      <c r="L2449" s="169">
        <v>45609</v>
      </c>
      <c r="M2449" s="116">
        <v>288.55</v>
      </c>
      <c r="N2449" s="116">
        <v>303.85000000000002</v>
      </c>
      <c r="O2449" s="116">
        <v>287.5</v>
      </c>
      <c r="P2449" s="116">
        <v>300.25</v>
      </c>
      <c r="Q2449" s="116">
        <v>288.55</v>
      </c>
      <c r="R2449">
        <v>1179382</v>
      </c>
    </row>
    <row r="2450" spans="1:18" x14ac:dyDescent="0.25">
      <c r="A2450" s="169">
        <v>45610</v>
      </c>
      <c r="B2450" s="116">
        <v>298.8</v>
      </c>
      <c r="C2450" s="116">
        <v>294.85000000000002</v>
      </c>
      <c r="D2450" s="116">
        <v>287.3</v>
      </c>
      <c r="E2450" s="116">
        <v>288.55</v>
      </c>
      <c r="F2450" s="116">
        <v>294.85000000000002</v>
      </c>
      <c r="G2450">
        <v>24285</v>
      </c>
      <c r="H2450" s="116"/>
      <c r="I2450" s="116"/>
      <c r="L2450" s="169">
        <v>45610</v>
      </c>
      <c r="M2450" s="116">
        <v>295</v>
      </c>
      <c r="N2450" s="116">
        <v>298.89999999999998</v>
      </c>
      <c r="O2450" s="116">
        <v>287.55</v>
      </c>
      <c r="P2450" s="116">
        <v>292.05</v>
      </c>
      <c r="Q2450" s="116">
        <v>295</v>
      </c>
      <c r="R2450">
        <v>939362</v>
      </c>
    </row>
    <row r="2451" spans="1:18" x14ac:dyDescent="0.25">
      <c r="A2451" s="169">
        <v>45614</v>
      </c>
      <c r="B2451" s="116">
        <v>308.25</v>
      </c>
      <c r="C2451" s="116">
        <v>303.60000000000002</v>
      </c>
      <c r="D2451" s="116">
        <v>295.60000000000002</v>
      </c>
      <c r="E2451" s="116">
        <v>300.35000000000002</v>
      </c>
      <c r="F2451" s="116">
        <v>303.60000000000002</v>
      </c>
      <c r="G2451">
        <v>51079</v>
      </c>
      <c r="H2451" s="116"/>
      <c r="I2451" s="116"/>
      <c r="L2451" s="169">
        <v>45614</v>
      </c>
      <c r="M2451" s="116">
        <v>303.64999999999998</v>
      </c>
      <c r="N2451" s="116">
        <v>308.45</v>
      </c>
      <c r="O2451" s="116">
        <v>295.25</v>
      </c>
      <c r="P2451" s="116">
        <v>299</v>
      </c>
      <c r="Q2451" s="116">
        <v>303.64999999999998</v>
      </c>
      <c r="R2451">
        <v>1418077</v>
      </c>
    </row>
    <row r="2452" spans="1:18" x14ac:dyDescent="0.25">
      <c r="A2452" s="169">
        <v>45615</v>
      </c>
      <c r="B2452" s="116">
        <v>309.64999999999998</v>
      </c>
      <c r="C2452" s="116">
        <v>300.25</v>
      </c>
      <c r="D2452" s="116">
        <v>298</v>
      </c>
      <c r="E2452" s="116">
        <v>306.55</v>
      </c>
      <c r="F2452" s="116">
        <v>300.25</v>
      </c>
      <c r="G2452">
        <v>27737</v>
      </c>
      <c r="H2452" s="116"/>
      <c r="I2452" s="116"/>
      <c r="L2452" s="169">
        <v>45615</v>
      </c>
      <c r="M2452" s="116">
        <v>300.95</v>
      </c>
      <c r="N2452" s="116">
        <v>309.7</v>
      </c>
      <c r="O2452" s="116">
        <v>298.14999999999998</v>
      </c>
      <c r="P2452" s="116">
        <v>305.10000000000002</v>
      </c>
      <c r="Q2452" s="116">
        <v>300.95</v>
      </c>
      <c r="R2452">
        <v>546196</v>
      </c>
    </row>
    <row r="2453" spans="1:18" x14ac:dyDescent="0.25">
      <c r="A2453" s="169">
        <v>45617</v>
      </c>
      <c r="B2453" s="116">
        <v>304</v>
      </c>
      <c r="C2453" s="116">
        <v>300.05</v>
      </c>
      <c r="D2453" s="116">
        <v>295.05</v>
      </c>
      <c r="E2453" s="116">
        <v>301.95</v>
      </c>
      <c r="F2453" s="116">
        <v>300.05</v>
      </c>
      <c r="G2453">
        <v>20577</v>
      </c>
      <c r="H2453" s="116"/>
      <c r="I2453" s="116"/>
      <c r="L2453" s="169">
        <v>45617</v>
      </c>
      <c r="M2453" s="116">
        <v>299.89999999999998</v>
      </c>
      <c r="N2453" s="116">
        <v>304</v>
      </c>
      <c r="O2453" s="116">
        <v>294.5</v>
      </c>
      <c r="P2453" s="116">
        <v>300.85000000000002</v>
      </c>
      <c r="Q2453" s="116">
        <v>299.89999999999998</v>
      </c>
      <c r="R2453">
        <v>795272</v>
      </c>
    </row>
    <row r="2454" spans="1:18" x14ac:dyDescent="0.25">
      <c r="A2454" s="169">
        <v>45618</v>
      </c>
      <c r="B2454" s="116">
        <v>305</v>
      </c>
      <c r="C2454" s="116">
        <v>296.7</v>
      </c>
      <c r="D2454" s="116">
        <v>294.75</v>
      </c>
      <c r="E2454" s="116">
        <v>300.8</v>
      </c>
      <c r="F2454" s="116">
        <v>296.7</v>
      </c>
      <c r="G2454">
        <v>57443</v>
      </c>
      <c r="H2454" s="116"/>
      <c r="I2454" s="116"/>
      <c r="L2454" s="169">
        <v>45618</v>
      </c>
      <c r="M2454" s="116">
        <v>297</v>
      </c>
      <c r="N2454" s="116">
        <v>305.55</v>
      </c>
      <c r="O2454" s="116">
        <v>294.5</v>
      </c>
      <c r="P2454" s="116">
        <v>300</v>
      </c>
      <c r="Q2454" s="116">
        <v>297</v>
      </c>
      <c r="R2454">
        <v>747653</v>
      </c>
    </row>
    <row r="2455" spans="1:18" x14ac:dyDescent="0.25">
      <c r="A2455" s="169">
        <v>45621</v>
      </c>
      <c r="B2455" s="116">
        <v>308.5</v>
      </c>
      <c r="C2455" s="116">
        <v>305.64999999999998</v>
      </c>
      <c r="D2455" s="116">
        <v>301.64999999999998</v>
      </c>
      <c r="E2455" s="116">
        <v>302.60000000000002</v>
      </c>
      <c r="F2455" s="116">
        <v>305.64999999999998</v>
      </c>
      <c r="G2455">
        <v>30429</v>
      </c>
      <c r="H2455" s="116"/>
      <c r="I2455" s="116"/>
      <c r="L2455" s="169">
        <v>45621</v>
      </c>
      <c r="M2455" s="116">
        <v>305.39999999999998</v>
      </c>
      <c r="N2455" s="116">
        <v>308.89999999999998</v>
      </c>
      <c r="O2455" s="116">
        <v>300.8</v>
      </c>
      <c r="P2455" s="116">
        <v>300.8</v>
      </c>
      <c r="Q2455" s="116">
        <v>305.39999999999998</v>
      </c>
      <c r="R2455">
        <v>1133411</v>
      </c>
    </row>
    <row r="2456" spans="1:18" x14ac:dyDescent="0.25">
      <c r="A2456" s="169">
        <v>45622</v>
      </c>
      <c r="B2456" s="116">
        <v>314.8</v>
      </c>
      <c r="C2456" s="116">
        <v>306.60000000000002</v>
      </c>
      <c r="D2456" s="116">
        <v>303.55</v>
      </c>
      <c r="E2456" s="116">
        <v>307.10000000000002</v>
      </c>
      <c r="F2456" s="116">
        <v>306.60000000000002</v>
      </c>
      <c r="G2456">
        <v>69218</v>
      </c>
      <c r="H2456" s="116"/>
      <c r="I2456" s="116"/>
      <c r="L2456" s="169">
        <v>45622</v>
      </c>
      <c r="M2456" s="116">
        <v>306.5</v>
      </c>
      <c r="N2456" s="116">
        <v>314.89999999999998</v>
      </c>
      <c r="O2456" s="116">
        <v>303.75</v>
      </c>
      <c r="P2456" s="116">
        <v>306.3</v>
      </c>
      <c r="Q2456" s="116">
        <v>306.5</v>
      </c>
      <c r="R2456">
        <v>1026025</v>
      </c>
    </row>
    <row r="2457" spans="1:18" x14ac:dyDescent="0.25">
      <c r="A2457" s="169">
        <v>45623</v>
      </c>
      <c r="B2457" s="116">
        <v>310.5</v>
      </c>
      <c r="C2457" s="116">
        <v>305.7</v>
      </c>
      <c r="D2457" s="116">
        <v>303.85000000000002</v>
      </c>
      <c r="E2457" s="116">
        <v>308</v>
      </c>
      <c r="F2457" s="116">
        <v>305.7</v>
      </c>
      <c r="G2457">
        <v>49857</v>
      </c>
      <c r="H2457" s="116"/>
      <c r="I2457" s="116"/>
      <c r="L2457" s="169">
        <v>45623</v>
      </c>
      <c r="M2457" s="116">
        <v>306.60000000000002</v>
      </c>
      <c r="N2457" s="116">
        <v>310.95</v>
      </c>
      <c r="O2457" s="116">
        <v>303.7</v>
      </c>
      <c r="P2457" s="116">
        <v>308.89999999999998</v>
      </c>
      <c r="Q2457" s="116">
        <v>306.60000000000002</v>
      </c>
      <c r="R2457">
        <v>588017</v>
      </c>
    </row>
    <row r="2458" spans="1:18" x14ac:dyDescent="0.25">
      <c r="A2458" s="169">
        <v>45624</v>
      </c>
      <c r="B2458" s="116">
        <v>313.95</v>
      </c>
      <c r="C2458" s="116">
        <v>311.89999999999998</v>
      </c>
      <c r="D2458" s="116">
        <v>305.89999999999998</v>
      </c>
      <c r="E2458" s="116">
        <v>305.89999999999998</v>
      </c>
      <c r="F2458" s="116">
        <v>311.89999999999998</v>
      </c>
      <c r="G2458">
        <v>24976</v>
      </c>
      <c r="H2458" s="116"/>
      <c r="I2458" s="116"/>
      <c r="L2458" s="169">
        <v>45624</v>
      </c>
      <c r="M2458" s="116">
        <v>312.25</v>
      </c>
      <c r="N2458" s="116">
        <v>314</v>
      </c>
      <c r="O2458" s="116">
        <v>307</v>
      </c>
      <c r="P2458" s="116">
        <v>308.8</v>
      </c>
      <c r="Q2458" s="116">
        <v>312.25</v>
      </c>
      <c r="R2458">
        <v>1059409</v>
      </c>
    </row>
    <row r="2459" spans="1:18" x14ac:dyDescent="0.25">
      <c r="A2459" s="169">
        <v>45625</v>
      </c>
      <c r="B2459" s="116">
        <v>316.7</v>
      </c>
      <c r="C2459" s="116">
        <v>308.14999999999998</v>
      </c>
      <c r="D2459" s="116">
        <v>303.10000000000002</v>
      </c>
      <c r="E2459" s="116">
        <v>316.7</v>
      </c>
      <c r="F2459" s="116">
        <v>308.14999999999998</v>
      </c>
      <c r="G2459">
        <v>21135</v>
      </c>
      <c r="H2459" s="116"/>
      <c r="I2459" s="116"/>
      <c r="L2459" s="169">
        <v>45625</v>
      </c>
      <c r="M2459" s="116">
        <v>308.05</v>
      </c>
      <c r="N2459" s="116">
        <v>314.3</v>
      </c>
      <c r="O2459" s="116">
        <v>303.05</v>
      </c>
      <c r="P2459" s="116">
        <v>313.89999999999998</v>
      </c>
      <c r="Q2459" s="116">
        <v>308.05</v>
      </c>
      <c r="R2459">
        <v>857633</v>
      </c>
    </row>
    <row r="2460" spans="1:18" x14ac:dyDescent="0.25">
      <c r="A2460" s="169">
        <v>45628</v>
      </c>
      <c r="B2460" s="116">
        <v>315.95</v>
      </c>
      <c r="C2460" s="116">
        <v>311.5</v>
      </c>
      <c r="D2460" s="116">
        <v>307.05</v>
      </c>
      <c r="E2460" s="116">
        <v>307.05</v>
      </c>
      <c r="F2460" s="116">
        <v>311.5</v>
      </c>
      <c r="G2460">
        <v>53468</v>
      </c>
      <c r="H2460" s="116"/>
      <c r="I2460" s="116"/>
      <c r="L2460" s="169">
        <v>45628</v>
      </c>
      <c r="M2460" s="116">
        <v>310.89999999999998</v>
      </c>
      <c r="N2460" s="116">
        <v>316</v>
      </c>
      <c r="O2460" s="116">
        <v>307.39999999999998</v>
      </c>
      <c r="P2460" s="116">
        <v>308.60000000000002</v>
      </c>
      <c r="Q2460" s="116">
        <v>310.89999999999998</v>
      </c>
      <c r="R2460">
        <v>859002</v>
      </c>
    </row>
    <row r="2461" spans="1:18" x14ac:dyDescent="0.25">
      <c r="A2461" s="169">
        <v>45629</v>
      </c>
      <c r="B2461" s="116">
        <v>318.7</v>
      </c>
      <c r="C2461" s="116">
        <v>316.95</v>
      </c>
      <c r="D2461" s="116">
        <v>311.8</v>
      </c>
      <c r="E2461" s="116">
        <v>312.95</v>
      </c>
      <c r="F2461" s="116">
        <v>316.95</v>
      </c>
      <c r="G2461">
        <v>58110</v>
      </c>
      <c r="H2461" s="116"/>
      <c r="I2461" s="116"/>
      <c r="L2461" s="169">
        <v>45629</v>
      </c>
      <c r="M2461" s="116">
        <v>316.95</v>
      </c>
      <c r="N2461" s="116">
        <v>318.89999999999998</v>
      </c>
      <c r="O2461" s="116">
        <v>312</v>
      </c>
      <c r="P2461" s="116">
        <v>312</v>
      </c>
      <c r="Q2461" s="116">
        <v>316.95</v>
      </c>
      <c r="R2461">
        <v>914671</v>
      </c>
    </row>
    <row r="2462" spans="1:18" x14ac:dyDescent="0.25">
      <c r="A2462" s="169">
        <v>45630</v>
      </c>
      <c r="B2462" s="116">
        <v>319.64999999999998</v>
      </c>
      <c r="C2462" s="116">
        <v>317.60000000000002</v>
      </c>
      <c r="D2462" s="116">
        <v>311</v>
      </c>
      <c r="E2462" s="116">
        <v>315</v>
      </c>
      <c r="F2462" s="116">
        <v>317.60000000000002</v>
      </c>
      <c r="G2462">
        <v>60697</v>
      </c>
      <c r="H2462" s="116"/>
      <c r="I2462" s="116"/>
      <c r="L2462" s="169">
        <v>45630</v>
      </c>
      <c r="M2462" s="116">
        <v>317.7</v>
      </c>
      <c r="N2462" s="116">
        <v>319.89999999999998</v>
      </c>
      <c r="O2462" s="116">
        <v>310.75</v>
      </c>
      <c r="P2462" s="116">
        <v>315</v>
      </c>
      <c r="Q2462" s="116">
        <v>317.7</v>
      </c>
      <c r="R2462">
        <v>1235860</v>
      </c>
    </row>
    <row r="2463" spans="1:18" x14ac:dyDescent="0.25">
      <c r="A2463" s="169">
        <v>45631</v>
      </c>
      <c r="B2463" s="116">
        <v>323.05</v>
      </c>
      <c r="C2463" s="116">
        <v>319.5</v>
      </c>
      <c r="D2463" s="116">
        <v>312.14999999999998</v>
      </c>
      <c r="E2463" s="116">
        <v>312.14999999999998</v>
      </c>
      <c r="F2463" s="116">
        <v>319.5</v>
      </c>
      <c r="G2463">
        <v>29690</v>
      </c>
      <c r="H2463" s="116"/>
      <c r="I2463" s="116"/>
      <c r="L2463" s="169">
        <v>45631</v>
      </c>
      <c r="M2463" s="116">
        <v>319.45</v>
      </c>
      <c r="N2463" s="116">
        <v>323.25</v>
      </c>
      <c r="O2463" s="116">
        <v>314.64999999999998</v>
      </c>
      <c r="P2463" s="116">
        <v>319</v>
      </c>
      <c r="Q2463" s="116">
        <v>319.45</v>
      </c>
      <c r="R2463">
        <v>1191530</v>
      </c>
    </row>
    <row r="2464" spans="1:18" x14ac:dyDescent="0.25">
      <c r="A2464" s="169">
        <v>45632</v>
      </c>
      <c r="B2464" s="116">
        <v>339.85</v>
      </c>
      <c r="C2464" s="116">
        <v>336.1</v>
      </c>
      <c r="D2464" s="116">
        <v>320.25</v>
      </c>
      <c r="E2464" s="116">
        <v>320.25</v>
      </c>
      <c r="F2464" s="116">
        <v>336.1</v>
      </c>
      <c r="G2464">
        <v>117561</v>
      </c>
      <c r="H2464" s="116"/>
      <c r="I2464" s="116"/>
      <c r="L2464" s="169">
        <v>45632</v>
      </c>
      <c r="M2464" s="116">
        <v>336</v>
      </c>
      <c r="N2464" s="116">
        <v>339.8</v>
      </c>
      <c r="O2464" s="116">
        <v>320</v>
      </c>
      <c r="P2464" s="116">
        <v>320.85000000000002</v>
      </c>
      <c r="Q2464" s="116">
        <v>336</v>
      </c>
      <c r="R2464">
        <v>2412384</v>
      </c>
    </row>
    <row r="2465" spans="1:18" x14ac:dyDescent="0.25">
      <c r="A2465" s="169">
        <v>45635</v>
      </c>
      <c r="B2465" s="116">
        <v>341.25</v>
      </c>
      <c r="C2465" s="116">
        <v>336.8</v>
      </c>
      <c r="D2465" s="116">
        <v>333</v>
      </c>
      <c r="E2465" s="116">
        <v>335.95</v>
      </c>
      <c r="F2465" s="116">
        <v>336.8</v>
      </c>
      <c r="G2465">
        <v>95048</v>
      </c>
      <c r="H2465" s="116"/>
      <c r="I2465" s="116"/>
      <c r="L2465" s="169">
        <v>45635</v>
      </c>
      <c r="M2465" s="116">
        <v>337.35</v>
      </c>
      <c r="N2465" s="116">
        <v>341.65</v>
      </c>
      <c r="O2465" s="116">
        <v>333.15</v>
      </c>
      <c r="P2465" s="116">
        <v>334.75</v>
      </c>
      <c r="Q2465" s="116">
        <v>337.35</v>
      </c>
      <c r="R2465">
        <v>842895</v>
      </c>
    </row>
    <row r="2466" spans="1:18" x14ac:dyDescent="0.25">
      <c r="A2466" s="169">
        <v>45636</v>
      </c>
      <c r="B2466" s="116">
        <v>342.65</v>
      </c>
      <c r="C2466" s="116">
        <v>335.05</v>
      </c>
      <c r="D2466" s="116">
        <v>331.55</v>
      </c>
      <c r="E2466" s="116">
        <v>339.5</v>
      </c>
      <c r="F2466" s="116">
        <v>335.05</v>
      </c>
      <c r="G2466">
        <v>38147</v>
      </c>
      <c r="H2466" s="116"/>
      <c r="I2466" s="116"/>
      <c r="L2466" s="169">
        <v>45636</v>
      </c>
      <c r="M2466" s="116">
        <v>335.05</v>
      </c>
      <c r="N2466" s="116">
        <v>342.8</v>
      </c>
      <c r="O2466" s="116">
        <v>331.45</v>
      </c>
      <c r="P2466" s="116">
        <v>338.4</v>
      </c>
      <c r="Q2466" s="116">
        <v>335.05</v>
      </c>
      <c r="R2466">
        <v>887331</v>
      </c>
    </row>
    <row r="2467" spans="1:18" x14ac:dyDescent="0.25">
      <c r="A2467" s="169">
        <v>45637</v>
      </c>
      <c r="B2467" s="116">
        <v>336.2</v>
      </c>
      <c r="C2467" s="116">
        <v>327.8</v>
      </c>
      <c r="D2467" s="116">
        <v>326.75</v>
      </c>
      <c r="E2467" s="116">
        <v>332.35</v>
      </c>
      <c r="F2467" s="116">
        <v>327.8</v>
      </c>
      <c r="G2467">
        <v>46708</v>
      </c>
      <c r="H2467" s="116"/>
      <c r="I2467" s="116"/>
      <c r="L2467" s="169">
        <v>45637</v>
      </c>
      <c r="M2467" s="116">
        <v>328</v>
      </c>
      <c r="N2467" s="116">
        <v>336.25</v>
      </c>
      <c r="O2467" s="116">
        <v>326.64999999999998</v>
      </c>
      <c r="P2467" s="116">
        <v>335</v>
      </c>
      <c r="Q2467" s="116">
        <v>328</v>
      </c>
      <c r="R2467">
        <v>664825</v>
      </c>
    </row>
    <row r="2468" spans="1:18" x14ac:dyDescent="0.25">
      <c r="A2468" s="169">
        <v>45638</v>
      </c>
      <c r="B2468" s="116">
        <v>332.3</v>
      </c>
      <c r="C2468" s="116">
        <v>325.7</v>
      </c>
      <c r="D2468" s="116">
        <v>323.64999999999998</v>
      </c>
      <c r="E2468" s="116">
        <v>328.75</v>
      </c>
      <c r="F2468" s="116">
        <v>325.7</v>
      </c>
      <c r="G2468">
        <v>34461</v>
      </c>
      <c r="H2468" s="116"/>
      <c r="I2468" s="116"/>
      <c r="L2468" s="169">
        <v>45638</v>
      </c>
      <c r="M2468" s="116">
        <v>325.5</v>
      </c>
      <c r="N2468" s="116">
        <v>332.45</v>
      </c>
      <c r="O2468" s="116">
        <v>323.45</v>
      </c>
      <c r="P2468" s="116">
        <v>328</v>
      </c>
      <c r="Q2468" s="116">
        <v>325.5</v>
      </c>
      <c r="R2468">
        <v>1051206</v>
      </c>
    </row>
    <row r="2469" spans="1:18" x14ac:dyDescent="0.25">
      <c r="A2469" s="169">
        <v>45639</v>
      </c>
      <c r="B2469" s="116">
        <v>325.5</v>
      </c>
      <c r="C2469" s="116">
        <v>321.85000000000002</v>
      </c>
      <c r="D2469" s="116">
        <v>314</v>
      </c>
      <c r="E2469" s="116">
        <v>324</v>
      </c>
      <c r="F2469" s="116">
        <v>321.85000000000002</v>
      </c>
      <c r="G2469">
        <v>72337</v>
      </c>
      <c r="H2469" s="116"/>
      <c r="I2469" s="116"/>
      <c r="L2469" s="169">
        <v>45639</v>
      </c>
      <c r="M2469" s="116">
        <v>321.75</v>
      </c>
      <c r="N2469" s="116">
        <v>325.39999999999998</v>
      </c>
      <c r="O2469" s="116">
        <v>314.39999999999998</v>
      </c>
      <c r="P2469" s="116">
        <v>324.5</v>
      </c>
      <c r="Q2469" s="116">
        <v>321.75</v>
      </c>
      <c r="R2469">
        <v>768740</v>
      </c>
    </row>
    <row r="2470" spans="1:18" x14ac:dyDescent="0.25">
      <c r="A2470" s="169">
        <v>45642</v>
      </c>
      <c r="B2470" s="116">
        <v>325.35000000000002</v>
      </c>
      <c r="C2470" s="116">
        <v>317.05</v>
      </c>
      <c r="D2470" s="116">
        <v>316</v>
      </c>
      <c r="E2470" s="116">
        <v>322.25</v>
      </c>
      <c r="F2470" s="116">
        <v>317.05</v>
      </c>
      <c r="G2470">
        <v>57016</v>
      </c>
      <c r="H2470" s="116"/>
      <c r="I2470" s="116"/>
      <c r="L2470" s="169">
        <v>45642</v>
      </c>
      <c r="M2470" s="116">
        <v>317.10000000000002</v>
      </c>
      <c r="N2470" s="116">
        <v>326</v>
      </c>
      <c r="O2470" s="116">
        <v>316</v>
      </c>
      <c r="P2470" s="116">
        <v>322.64999999999998</v>
      </c>
      <c r="Q2470" s="116">
        <v>317.10000000000002</v>
      </c>
      <c r="R2470">
        <v>525946</v>
      </c>
    </row>
    <row r="2471" spans="1:18" x14ac:dyDescent="0.25">
      <c r="A2471" s="169">
        <v>45643</v>
      </c>
      <c r="B2471" s="116">
        <v>319.14999999999998</v>
      </c>
      <c r="C2471" s="116">
        <v>309.14999999999998</v>
      </c>
      <c r="D2471" s="116">
        <v>306.7</v>
      </c>
      <c r="E2471" s="116">
        <v>316.75</v>
      </c>
      <c r="F2471" s="116">
        <v>309.14999999999998</v>
      </c>
      <c r="G2471">
        <v>26580</v>
      </c>
      <c r="H2471" s="116"/>
      <c r="I2471" s="116"/>
      <c r="L2471" s="169">
        <v>45643</v>
      </c>
      <c r="M2471" s="116">
        <v>309.2</v>
      </c>
      <c r="N2471" s="116">
        <v>319.45</v>
      </c>
      <c r="O2471" s="116">
        <v>306.5</v>
      </c>
      <c r="P2471" s="116">
        <v>316.95</v>
      </c>
      <c r="Q2471" s="116">
        <v>309.2</v>
      </c>
      <c r="R2471">
        <v>1243089</v>
      </c>
    </row>
    <row r="2472" spans="1:18" x14ac:dyDescent="0.25">
      <c r="A2472" s="169">
        <v>45644</v>
      </c>
      <c r="B2472" s="116">
        <v>333.05</v>
      </c>
      <c r="C2472" s="116">
        <v>304.85000000000002</v>
      </c>
      <c r="D2472" s="116">
        <v>302.35000000000002</v>
      </c>
      <c r="E2472" s="116">
        <v>311</v>
      </c>
      <c r="F2472" s="116">
        <v>304.85000000000002</v>
      </c>
      <c r="G2472">
        <v>204255</v>
      </c>
      <c r="H2472" s="116"/>
      <c r="I2472" s="116"/>
      <c r="L2472" s="169">
        <v>45644</v>
      </c>
      <c r="M2472" s="116">
        <v>304.75</v>
      </c>
      <c r="N2472" s="116">
        <v>333</v>
      </c>
      <c r="O2472" s="116">
        <v>302</v>
      </c>
      <c r="P2472" s="116">
        <v>310.64999999999998</v>
      </c>
      <c r="Q2472" s="116">
        <v>304.75</v>
      </c>
      <c r="R2472">
        <v>6569326</v>
      </c>
    </row>
    <row r="2473" spans="1:18" x14ac:dyDescent="0.25">
      <c r="A2473" s="169">
        <v>45645</v>
      </c>
      <c r="B2473" s="116">
        <v>315.55</v>
      </c>
      <c r="C2473" s="116">
        <v>313.64999999999998</v>
      </c>
      <c r="D2473" s="116">
        <v>300</v>
      </c>
      <c r="E2473" s="116">
        <v>300.25</v>
      </c>
      <c r="F2473" s="116">
        <v>313.64999999999998</v>
      </c>
      <c r="G2473">
        <v>103345</v>
      </c>
      <c r="H2473" s="116"/>
      <c r="I2473" s="116"/>
      <c r="L2473" s="169">
        <v>45645</v>
      </c>
      <c r="M2473" s="116">
        <v>313.25</v>
      </c>
      <c r="N2473" s="116">
        <v>315.85000000000002</v>
      </c>
      <c r="O2473" s="116">
        <v>299.89999999999998</v>
      </c>
      <c r="P2473" s="116">
        <v>303.45</v>
      </c>
      <c r="Q2473" s="116">
        <v>313.25</v>
      </c>
      <c r="R2473">
        <v>1367434</v>
      </c>
    </row>
    <row r="2474" spans="1:18" x14ac:dyDescent="0.25">
      <c r="A2474" s="169">
        <v>45646</v>
      </c>
      <c r="B2474" s="116">
        <v>314.14999999999998</v>
      </c>
      <c r="C2474" s="116">
        <v>300.39999999999998</v>
      </c>
      <c r="D2474" s="116">
        <v>297.85000000000002</v>
      </c>
      <c r="E2474" s="116">
        <v>313.89999999999998</v>
      </c>
      <c r="F2474" s="116">
        <v>300.39999999999998</v>
      </c>
      <c r="G2474">
        <v>92146</v>
      </c>
      <c r="H2474" s="116"/>
      <c r="I2474" s="116"/>
      <c r="L2474" s="169">
        <v>45646</v>
      </c>
      <c r="M2474" s="116">
        <v>300.05</v>
      </c>
      <c r="N2474" s="116">
        <v>314.95</v>
      </c>
      <c r="O2474" s="116">
        <v>297.7</v>
      </c>
      <c r="P2474" s="116">
        <v>314.35000000000002</v>
      </c>
      <c r="Q2474" s="116">
        <v>300.05</v>
      </c>
      <c r="R2474">
        <v>953453</v>
      </c>
    </row>
    <row r="2475" spans="1:18" x14ac:dyDescent="0.25">
      <c r="A2475" s="169">
        <v>45649</v>
      </c>
      <c r="B2475" s="116">
        <v>307.45</v>
      </c>
      <c r="C2475" s="116">
        <v>301.95</v>
      </c>
      <c r="D2475" s="116">
        <v>300</v>
      </c>
      <c r="E2475" s="116">
        <v>302</v>
      </c>
      <c r="F2475" s="116">
        <v>301.95</v>
      </c>
      <c r="G2475">
        <v>56166</v>
      </c>
      <c r="H2475" s="116"/>
      <c r="I2475" s="116"/>
      <c r="L2475" s="169">
        <v>45649</v>
      </c>
      <c r="M2475" s="116">
        <v>302</v>
      </c>
      <c r="N2475" s="116">
        <v>307.5</v>
      </c>
      <c r="O2475" s="116">
        <v>300</v>
      </c>
      <c r="P2475" s="116">
        <v>305</v>
      </c>
      <c r="Q2475" s="116">
        <v>302</v>
      </c>
      <c r="R2475">
        <v>720178</v>
      </c>
    </row>
    <row r="2476" spans="1:18" x14ac:dyDescent="0.25">
      <c r="A2476" s="169">
        <v>45650</v>
      </c>
      <c r="B2476" s="116">
        <v>306.5</v>
      </c>
      <c r="C2476" s="116">
        <v>302.95</v>
      </c>
      <c r="D2476" s="116">
        <v>300.8</v>
      </c>
      <c r="E2476" s="116">
        <v>306.5</v>
      </c>
      <c r="F2476" s="116">
        <v>302.95</v>
      </c>
      <c r="G2476">
        <v>32886</v>
      </c>
      <c r="H2476" s="116"/>
      <c r="I2476" s="116"/>
      <c r="L2476" s="169">
        <v>45650</v>
      </c>
      <c r="M2476" s="116">
        <v>303</v>
      </c>
      <c r="N2476" s="116">
        <v>305.35000000000002</v>
      </c>
      <c r="O2476" s="116">
        <v>300.60000000000002</v>
      </c>
      <c r="P2476" s="116">
        <v>304</v>
      </c>
      <c r="Q2476" s="116">
        <v>303</v>
      </c>
      <c r="R2476">
        <v>428248</v>
      </c>
    </row>
    <row r="2477" spans="1:18" x14ac:dyDescent="0.25">
      <c r="A2477" s="169">
        <v>45652</v>
      </c>
      <c r="B2477" s="116">
        <v>305.05</v>
      </c>
      <c r="C2477" s="116">
        <v>296.8</v>
      </c>
      <c r="D2477" s="116">
        <v>295.64999999999998</v>
      </c>
      <c r="E2477" s="116">
        <v>302.95</v>
      </c>
      <c r="F2477" s="116">
        <v>296.8</v>
      </c>
      <c r="G2477">
        <v>20971</v>
      </c>
      <c r="H2477" s="116"/>
      <c r="I2477" s="116"/>
      <c r="L2477" s="169">
        <v>45652</v>
      </c>
      <c r="M2477" s="116">
        <v>296.60000000000002</v>
      </c>
      <c r="N2477" s="116">
        <v>305.25</v>
      </c>
      <c r="O2477" s="116">
        <v>295.25</v>
      </c>
      <c r="P2477" s="116">
        <v>302.05</v>
      </c>
      <c r="Q2477" s="116">
        <v>296.60000000000002</v>
      </c>
      <c r="R2477">
        <v>730792</v>
      </c>
    </row>
    <row r="2478" spans="1:18" x14ac:dyDescent="0.25">
      <c r="A2478" s="169">
        <v>45653</v>
      </c>
      <c r="B2478" s="116">
        <v>303.39999999999998</v>
      </c>
      <c r="C2478" s="116">
        <v>299.55</v>
      </c>
      <c r="D2478" s="116">
        <v>296.7</v>
      </c>
      <c r="E2478" s="116">
        <v>298.95</v>
      </c>
      <c r="F2478" s="116">
        <v>299.55</v>
      </c>
      <c r="G2478">
        <v>36093</v>
      </c>
      <c r="H2478" s="116"/>
      <c r="I2478" s="116"/>
      <c r="L2478" s="169">
        <v>45653</v>
      </c>
      <c r="M2478" s="116">
        <v>299.5</v>
      </c>
      <c r="N2478" s="116">
        <v>304</v>
      </c>
      <c r="O2478" s="116">
        <v>296.60000000000002</v>
      </c>
      <c r="P2478" s="116">
        <v>298</v>
      </c>
      <c r="Q2478" s="116">
        <v>299.5</v>
      </c>
      <c r="R2478">
        <v>705703</v>
      </c>
    </row>
    <row r="2479" spans="1:18" x14ac:dyDescent="0.25">
      <c r="A2479" s="169">
        <v>45656</v>
      </c>
      <c r="B2479" s="116">
        <v>301.60000000000002</v>
      </c>
      <c r="C2479" s="116">
        <v>288.7</v>
      </c>
      <c r="D2479" s="116">
        <v>288</v>
      </c>
      <c r="E2479" s="116">
        <v>296.3</v>
      </c>
      <c r="F2479" s="116">
        <v>288.7</v>
      </c>
      <c r="G2479">
        <v>86409</v>
      </c>
      <c r="H2479" s="116"/>
      <c r="I2479" s="116"/>
      <c r="L2479" s="169">
        <v>45656</v>
      </c>
      <c r="M2479" s="116">
        <v>288.5</v>
      </c>
      <c r="N2479" s="116">
        <v>301.95</v>
      </c>
      <c r="O2479" s="116">
        <v>287.89999999999998</v>
      </c>
      <c r="P2479" s="116">
        <v>299.89999999999998</v>
      </c>
      <c r="Q2479" s="116">
        <v>288.5</v>
      </c>
      <c r="R2479">
        <v>1467788</v>
      </c>
    </row>
    <row r="2480" spans="1:18" x14ac:dyDescent="0.25">
      <c r="A2480" s="169">
        <v>45657</v>
      </c>
      <c r="B2480" s="116">
        <v>293.45</v>
      </c>
      <c r="C2480" s="116">
        <v>291.25</v>
      </c>
      <c r="D2480" s="116">
        <v>287.45</v>
      </c>
      <c r="E2480" s="116">
        <v>288.7</v>
      </c>
      <c r="F2480" s="116">
        <v>291.25</v>
      </c>
      <c r="G2480">
        <v>71323</v>
      </c>
      <c r="H2480" s="116"/>
      <c r="I2480" s="116"/>
      <c r="L2480" s="169">
        <v>45657</v>
      </c>
      <c r="M2480" s="116">
        <v>291.39999999999998</v>
      </c>
      <c r="N2480" s="116">
        <v>293.35000000000002</v>
      </c>
      <c r="O2480" s="116">
        <v>287.7</v>
      </c>
      <c r="P2480" s="116">
        <v>288</v>
      </c>
      <c r="Q2480" s="116">
        <v>291.39999999999998</v>
      </c>
      <c r="R2480">
        <v>568914</v>
      </c>
    </row>
    <row r="2481" spans="1:18" x14ac:dyDescent="0.25">
      <c r="A2481" s="169">
        <v>45658</v>
      </c>
      <c r="B2481" s="116">
        <v>288.05</v>
      </c>
      <c r="C2481" s="116">
        <v>281.10000000000002</v>
      </c>
      <c r="D2481" s="116">
        <v>279.55</v>
      </c>
      <c r="E2481" s="116">
        <v>288.05</v>
      </c>
      <c r="F2481" s="116">
        <v>281.10000000000002</v>
      </c>
      <c r="G2481">
        <v>109661</v>
      </c>
      <c r="H2481" s="116"/>
      <c r="I2481" s="116"/>
      <c r="L2481" s="169">
        <v>45658</v>
      </c>
      <c r="M2481" s="116">
        <v>281.45</v>
      </c>
      <c r="N2481" s="116">
        <v>289.3</v>
      </c>
      <c r="O2481" s="116">
        <v>279.25</v>
      </c>
      <c r="P2481" s="116">
        <v>289.3</v>
      </c>
      <c r="Q2481" s="116">
        <v>281.45</v>
      </c>
      <c r="R2481">
        <v>1971430</v>
      </c>
    </row>
    <row r="2482" spans="1:18" x14ac:dyDescent="0.25">
      <c r="A2482" s="169">
        <v>45659</v>
      </c>
      <c r="B2482" s="116">
        <v>287.8</v>
      </c>
      <c r="C2482" s="116">
        <v>284.2</v>
      </c>
      <c r="D2482" s="116">
        <v>278.64999999999998</v>
      </c>
      <c r="E2482" s="116">
        <v>287.10000000000002</v>
      </c>
      <c r="F2482" s="116">
        <v>284.2</v>
      </c>
      <c r="G2482">
        <v>89592</v>
      </c>
      <c r="H2482" s="116"/>
      <c r="I2482" s="116"/>
      <c r="L2482" s="169">
        <v>45659</v>
      </c>
      <c r="M2482" s="116">
        <v>284.3</v>
      </c>
      <c r="N2482" s="116">
        <v>287.89999999999998</v>
      </c>
      <c r="O2482" s="116">
        <v>278.39999999999998</v>
      </c>
      <c r="P2482" s="116">
        <v>283.39999999999998</v>
      </c>
      <c r="Q2482" s="116">
        <v>284.3</v>
      </c>
      <c r="R2482">
        <v>1714554</v>
      </c>
    </row>
    <row r="2483" spans="1:18" x14ac:dyDescent="0.25">
      <c r="A2483" s="169">
        <v>45660</v>
      </c>
      <c r="B2483" s="116">
        <v>287.45</v>
      </c>
      <c r="C2483" s="116">
        <v>284.60000000000002</v>
      </c>
      <c r="D2483" s="116">
        <v>283.7</v>
      </c>
      <c r="E2483" s="116">
        <v>285</v>
      </c>
      <c r="F2483" s="116">
        <v>284.60000000000002</v>
      </c>
      <c r="G2483">
        <v>39062</v>
      </c>
      <c r="H2483" s="116"/>
      <c r="I2483" s="116"/>
      <c r="L2483" s="169">
        <v>45660</v>
      </c>
      <c r="M2483" s="116">
        <v>284.60000000000002</v>
      </c>
      <c r="N2483" s="116">
        <v>287.5</v>
      </c>
      <c r="O2483" s="116">
        <v>283.5</v>
      </c>
      <c r="P2483" s="116">
        <v>284.5</v>
      </c>
      <c r="Q2483" s="116">
        <v>284.60000000000002</v>
      </c>
      <c r="R2483">
        <v>757930</v>
      </c>
    </row>
    <row r="2484" spans="1:18" x14ac:dyDescent="0.25">
      <c r="A2484" s="169">
        <v>45663</v>
      </c>
      <c r="B2484" s="116">
        <v>288.35000000000002</v>
      </c>
      <c r="C2484" s="116">
        <v>268.8</v>
      </c>
      <c r="D2484" s="116">
        <v>265</v>
      </c>
      <c r="E2484" s="116">
        <v>286</v>
      </c>
      <c r="F2484" s="116">
        <v>268.8</v>
      </c>
      <c r="G2484">
        <v>143647</v>
      </c>
      <c r="H2484" s="116"/>
      <c r="I2484" s="116"/>
      <c r="L2484" s="169">
        <v>45663</v>
      </c>
      <c r="M2484" s="116">
        <v>267.39999999999998</v>
      </c>
      <c r="N2484" s="116">
        <v>288.60000000000002</v>
      </c>
      <c r="O2484" s="116">
        <v>264.5</v>
      </c>
      <c r="P2484" s="116">
        <v>286</v>
      </c>
      <c r="Q2484" s="116">
        <v>267.39999999999998</v>
      </c>
      <c r="R2484">
        <v>1602801</v>
      </c>
    </row>
    <row r="2485" spans="1:18" x14ac:dyDescent="0.25">
      <c r="A2485" s="169">
        <v>45664</v>
      </c>
      <c r="B2485" s="116">
        <v>275</v>
      </c>
      <c r="C2485" s="116">
        <v>271.85000000000002</v>
      </c>
      <c r="D2485" s="116">
        <v>267.10000000000002</v>
      </c>
      <c r="E2485" s="116">
        <v>267.10000000000002</v>
      </c>
      <c r="F2485" s="116">
        <v>271.85000000000002</v>
      </c>
      <c r="G2485">
        <v>78947</v>
      </c>
      <c r="H2485" s="116"/>
      <c r="I2485" s="116"/>
      <c r="L2485" s="169">
        <v>45664</v>
      </c>
      <c r="M2485" s="116">
        <v>271.45</v>
      </c>
      <c r="N2485" s="116">
        <v>275</v>
      </c>
      <c r="O2485" s="116">
        <v>268</v>
      </c>
      <c r="P2485" s="116">
        <v>268.45</v>
      </c>
      <c r="Q2485" s="116">
        <v>271.45</v>
      </c>
      <c r="R2485">
        <v>1541644</v>
      </c>
    </row>
    <row r="2486" spans="1:18" x14ac:dyDescent="0.25">
      <c r="A2486" s="169">
        <v>45665</v>
      </c>
      <c r="B2486" s="116">
        <v>275</v>
      </c>
      <c r="C2486" s="116">
        <v>268.25</v>
      </c>
      <c r="D2486" s="116">
        <v>266.95</v>
      </c>
      <c r="E2486" s="116">
        <v>274.95</v>
      </c>
      <c r="F2486" s="116">
        <v>268.25</v>
      </c>
      <c r="G2486">
        <v>89317</v>
      </c>
      <c r="H2486" s="116"/>
      <c r="I2486" s="116"/>
      <c r="L2486" s="169">
        <v>45665</v>
      </c>
      <c r="M2486" s="116">
        <v>268.39999999999998</v>
      </c>
      <c r="N2486" s="116">
        <v>275.35000000000002</v>
      </c>
      <c r="O2486" s="116">
        <v>266.75</v>
      </c>
      <c r="P2486" s="116">
        <v>273.89999999999998</v>
      </c>
      <c r="Q2486" s="116">
        <v>268.39999999999998</v>
      </c>
      <c r="R2486">
        <v>940824</v>
      </c>
    </row>
    <row r="2487" spans="1:18" x14ac:dyDescent="0.25">
      <c r="A2487" s="169">
        <v>45666</v>
      </c>
      <c r="B2487" s="116">
        <v>269.89999999999998</v>
      </c>
      <c r="C2487" s="116">
        <v>258.55</v>
      </c>
      <c r="D2487" s="116">
        <v>257.85000000000002</v>
      </c>
      <c r="E2487" s="116">
        <v>268</v>
      </c>
      <c r="F2487" s="116">
        <v>258.55</v>
      </c>
      <c r="G2487">
        <v>61826</v>
      </c>
      <c r="H2487" s="116"/>
      <c r="I2487" s="116"/>
      <c r="L2487" s="169">
        <v>45666</v>
      </c>
      <c r="M2487" s="116">
        <v>258.64999999999998</v>
      </c>
      <c r="N2487" s="116">
        <v>269.8</v>
      </c>
      <c r="O2487" s="116">
        <v>257.95</v>
      </c>
      <c r="P2487" s="116">
        <v>267.5</v>
      </c>
      <c r="Q2487" s="116">
        <v>258.64999999999998</v>
      </c>
      <c r="R2487">
        <v>704479</v>
      </c>
    </row>
    <row r="2488" spans="1:18" x14ac:dyDescent="0.25">
      <c r="A2488" s="169">
        <v>45667</v>
      </c>
      <c r="B2488" s="116">
        <v>262</v>
      </c>
      <c r="C2488" s="116">
        <v>256.25</v>
      </c>
      <c r="D2488" s="116">
        <v>248.1</v>
      </c>
      <c r="E2488" s="116">
        <v>259</v>
      </c>
      <c r="F2488" s="116">
        <v>256.25</v>
      </c>
      <c r="G2488">
        <v>50402</v>
      </c>
      <c r="H2488" s="116"/>
      <c r="I2488" s="116"/>
      <c r="L2488" s="169">
        <v>45667</v>
      </c>
      <c r="M2488" s="116">
        <v>255.8</v>
      </c>
      <c r="N2488" s="116">
        <v>259.5</v>
      </c>
      <c r="O2488" s="116">
        <v>247.3</v>
      </c>
      <c r="P2488" s="116">
        <v>256.64999999999998</v>
      </c>
      <c r="Q2488" s="116">
        <v>255.8</v>
      </c>
      <c r="R2488">
        <v>1123162</v>
      </c>
    </row>
    <row r="2489" spans="1:18" x14ac:dyDescent="0.25">
      <c r="A2489" s="169">
        <v>45670</v>
      </c>
      <c r="B2489" s="116">
        <v>253.85</v>
      </c>
      <c r="C2489" s="116">
        <v>240.75</v>
      </c>
      <c r="D2489" s="116">
        <v>238.3</v>
      </c>
      <c r="E2489" s="116">
        <v>250.35</v>
      </c>
      <c r="F2489" s="116">
        <v>240.75</v>
      </c>
      <c r="G2489">
        <v>143210</v>
      </c>
      <c r="H2489" s="116"/>
      <c r="I2489" s="116"/>
      <c r="L2489" s="169">
        <v>45670</v>
      </c>
      <c r="M2489" s="116">
        <v>240.4</v>
      </c>
      <c r="N2489" s="116">
        <v>253.95</v>
      </c>
      <c r="O2489" s="116">
        <v>237.55</v>
      </c>
      <c r="P2489" s="116">
        <v>253.8</v>
      </c>
      <c r="Q2489" s="116">
        <v>240.4</v>
      </c>
      <c r="R2489">
        <v>1038019</v>
      </c>
    </row>
    <row r="2490" spans="1:18" x14ac:dyDescent="0.25">
      <c r="A2490" s="169">
        <v>45671</v>
      </c>
      <c r="B2490" s="116">
        <v>248.7</v>
      </c>
      <c r="C2490" s="116">
        <v>245.05</v>
      </c>
      <c r="D2490" s="116">
        <v>242.55</v>
      </c>
      <c r="E2490" s="116">
        <v>245.6</v>
      </c>
      <c r="F2490" s="116">
        <v>245.05</v>
      </c>
      <c r="G2490">
        <v>78423</v>
      </c>
      <c r="H2490" s="116"/>
      <c r="I2490" s="116"/>
      <c r="L2490" s="169">
        <v>45671</v>
      </c>
      <c r="M2490" s="116">
        <v>244.95</v>
      </c>
      <c r="N2490" s="116">
        <v>248.55</v>
      </c>
      <c r="O2490" s="116">
        <v>242.65</v>
      </c>
      <c r="P2490" s="116">
        <v>244</v>
      </c>
      <c r="Q2490" s="116">
        <v>244.95</v>
      </c>
      <c r="R2490">
        <v>1224251</v>
      </c>
    </row>
    <row r="2491" spans="1:18" x14ac:dyDescent="0.25">
      <c r="A2491" s="169">
        <v>45672</v>
      </c>
      <c r="B2491" s="116">
        <v>261.75</v>
      </c>
      <c r="C2491" s="116">
        <v>251.5</v>
      </c>
      <c r="D2491" s="116">
        <v>247.3</v>
      </c>
      <c r="E2491" s="116">
        <v>247.3</v>
      </c>
      <c r="F2491" s="116">
        <v>251.5</v>
      </c>
      <c r="G2491">
        <v>113861</v>
      </c>
      <c r="H2491" s="116"/>
      <c r="I2491" s="116"/>
      <c r="L2491" s="169">
        <v>45672</v>
      </c>
      <c r="M2491" s="116">
        <v>251.35</v>
      </c>
      <c r="N2491" s="116">
        <v>262</v>
      </c>
      <c r="O2491" s="116">
        <v>244.95</v>
      </c>
      <c r="P2491" s="116">
        <v>244.95</v>
      </c>
      <c r="Q2491" s="116">
        <v>251.35</v>
      </c>
      <c r="R2491">
        <v>2501036</v>
      </c>
    </row>
    <row r="2492" spans="1:18" x14ac:dyDescent="0.25">
      <c r="A2492" s="169">
        <v>45673</v>
      </c>
      <c r="B2492" s="116">
        <v>262.5</v>
      </c>
      <c r="C2492" s="116">
        <v>258.14999999999998</v>
      </c>
      <c r="D2492" s="116">
        <v>253.4</v>
      </c>
      <c r="E2492" s="116">
        <v>254.85</v>
      </c>
      <c r="F2492" s="116">
        <v>258.14999999999998</v>
      </c>
      <c r="G2492">
        <v>80582</v>
      </c>
      <c r="H2492" s="116"/>
      <c r="I2492" s="116"/>
      <c r="L2492" s="169">
        <v>45673</v>
      </c>
      <c r="M2492" s="116">
        <v>258.3</v>
      </c>
      <c r="N2492" s="116">
        <v>262.5</v>
      </c>
      <c r="O2492" s="116">
        <v>252.9</v>
      </c>
      <c r="P2492" s="116">
        <v>253.05</v>
      </c>
      <c r="Q2492" s="116">
        <v>258.3</v>
      </c>
      <c r="R2492">
        <v>1154141</v>
      </c>
    </row>
    <row r="2493" spans="1:18" x14ac:dyDescent="0.25">
      <c r="A2493" s="169">
        <v>45674</v>
      </c>
      <c r="B2493" s="116">
        <v>260.60000000000002</v>
      </c>
      <c r="C2493" s="116">
        <v>258.2</v>
      </c>
      <c r="D2493" s="116">
        <v>255</v>
      </c>
      <c r="E2493" s="116">
        <v>259.05</v>
      </c>
      <c r="F2493" s="116">
        <v>258.2</v>
      </c>
      <c r="G2493">
        <v>47897</v>
      </c>
      <c r="H2493" s="116"/>
      <c r="I2493" s="116"/>
      <c r="L2493" s="169">
        <v>45674</v>
      </c>
      <c r="M2493" s="116">
        <v>258.2</v>
      </c>
      <c r="N2493" s="116">
        <v>261</v>
      </c>
      <c r="O2493" s="116">
        <v>254.5</v>
      </c>
      <c r="P2493" s="116">
        <v>259.39999999999998</v>
      </c>
      <c r="Q2493" s="116">
        <v>258.2</v>
      </c>
      <c r="R2493">
        <v>910751</v>
      </c>
    </row>
    <row r="2494" spans="1:18" x14ac:dyDescent="0.25">
      <c r="A2494" s="169">
        <v>45677</v>
      </c>
      <c r="B2494" s="116">
        <v>265.25</v>
      </c>
      <c r="C2494" s="116">
        <v>263.3</v>
      </c>
      <c r="D2494" s="116">
        <v>257.25</v>
      </c>
      <c r="E2494" s="116">
        <v>262.55</v>
      </c>
      <c r="F2494" s="116">
        <v>263.3</v>
      </c>
      <c r="G2494">
        <v>65690</v>
      </c>
      <c r="H2494" s="116"/>
      <c r="I2494" s="116"/>
      <c r="L2494" s="169">
        <v>45677</v>
      </c>
      <c r="M2494" s="116">
        <v>263.55</v>
      </c>
      <c r="N2494" s="116">
        <v>265.39999999999998</v>
      </c>
      <c r="O2494" s="116">
        <v>257.25</v>
      </c>
      <c r="P2494" s="116">
        <v>260</v>
      </c>
      <c r="Q2494" s="116">
        <v>263.55</v>
      </c>
      <c r="R2494">
        <v>873075</v>
      </c>
    </row>
    <row r="2495" spans="1:18" x14ac:dyDescent="0.25">
      <c r="A2495" s="169">
        <v>45678</v>
      </c>
      <c r="B2495" s="116">
        <v>266.64999999999998</v>
      </c>
      <c r="C2495" s="116">
        <v>257.89999999999998</v>
      </c>
      <c r="D2495" s="116">
        <v>256.3</v>
      </c>
      <c r="E2495" s="116">
        <v>265</v>
      </c>
      <c r="F2495" s="116">
        <v>257.89999999999998</v>
      </c>
      <c r="G2495">
        <v>31764</v>
      </c>
      <c r="H2495" s="116"/>
      <c r="I2495" s="116"/>
      <c r="L2495" s="169">
        <v>45678</v>
      </c>
      <c r="M2495" s="116">
        <v>257.7</v>
      </c>
      <c r="N2495" s="116">
        <v>266.5</v>
      </c>
      <c r="O2495" s="116">
        <v>256.05</v>
      </c>
      <c r="P2495" s="116">
        <v>265.14999999999998</v>
      </c>
      <c r="Q2495" s="116">
        <v>257.7</v>
      </c>
      <c r="R2495">
        <v>922966</v>
      </c>
    </row>
    <row r="2496" spans="1:18" x14ac:dyDescent="0.25">
      <c r="A2496" s="169">
        <v>45679</v>
      </c>
      <c r="B2496" s="116">
        <v>259.5</v>
      </c>
      <c r="C2496" s="116">
        <v>252.8</v>
      </c>
      <c r="D2496" s="116">
        <v>248.2</v>
      </c>
      <c r="E2496" s="116">
        <v>257.64999999999998</v>
      </c>
      <c r="F2496" s="116">
        <v>252.8</v>
      </c>
      <c r="G2496">
        <v>84665</v>
      </c>
      <c r="H2496" s="116"/>
      <c r="I2496" s="116"/>
      <c r="L2496" s="169">
        <v>45679</v>
      </c>
      <c r="M2496" s="116">
        <v>252.5</v>
      </c>
      <c r="N2496" s="116">
        <v>259.8</v>
      </c>
      <c r="O2496" s="116">
        <v>248.3</v>
      </c>
      <c r="P2496" s="116">
        <v>259</v>
      </c>
      <c r="Q2496" s="116">
        <v>252.5</v>
      </c>
      <c r="R2496">
        <v>1030825</v>
      </c>
    </row>
    <row r="2497" spans="1:18" x14ac:dyDescent="0.25">
      <c r="A2497" s="169">
        <v>45680</v>
      </c>
      <c r="B2497" s="116">
        <v>257.14999999999998</v>
      </c>
      <c r="C2497" s="116">
        <v>255.1</v>
      </c>
      <c r="D2497" s="116">
        <v>248.7</v>
      </c>
      <c r="E2497" s="116">
        <v>252.65</v>
      </c>
      <c r="F2497" s="116">
        <v>255.1</v>
      </c>
      <c r="G2497">
        <v>36555</v>
      </c>
      <c r="H2497" s="116"/>
      <c r="I2497" s="116"/>
      <c r="L2497" s="169">
        <v>45680</v>
      </c>
      <c r="M2497" s="116">
        <v>255.1</v>
      </c>
      <c r="N2497" s="116">
        <v>257.3</v>
      </c>
      <c r="O2497" s="116">
        <v>249.6</v>
      </c>
      <c r="P2497" s="116">
        <v>250.05</v>
      </c>
      <c r="Q2497" s="116">
        <v>255.1</v>
      </c>
      <c r="R2497">
        <v>601440</v>
      </c>
    </row>
    <row r="2498" spans="1:18" x14ac:dyDescent="0.25">
      <c r="A2498" s="169">
        <v>45681</v>
      </c>
      <c r="B2498" s="116">
        <v>259.55</v>
      </c>
      <c r="C2498" s="116">
        <v>245.8</v>
      </c>
      <c r="D2498" s="116">
        <v>244.6</v>
      </c>
      <c r="E2498" s="116">
        <v>255.15</v>
      </c>
      <c r="F2498" s="116">
        <v>245.8</v>
      </c>
      <c r="G2498">
        <v>88452</v>
      </c>
      <c r="H2498" s="116"/>
      <c r="I2498" s="116"/>
      <c r="L2498" s="169">
        <v>45681</v>
      </c>
      <c r="M2498" s="116">
        <v>245.9</v>
      </c>
      <c r="N2498" s="116">
        <v>259.89999999999998</v>
      </c>
      <c r="O2498" s="116">
        <v>244.5</v>
      </c>
      <c r="P2498" s="116">
        <v>256.7</v>
      </c>
      <c r="Q2498" s="116">
        <v>245.9</v>
      </c>
      <c r="R2498">
        <v>1104759</v>
      </c>
    </row>
    <row r="2499" spans="1:18" x14ac:dyDescent="0.25">
      <c r="A2499" s="169">
        <v>45684</v>
      </c>
      <c r="B2499" s="116">
        <v>242.95</v>
      </c>
      <c r="C2499" s="116">
        <v>230.2</v>
      </c>
      <c r="D2499" s="116">
        <v>228.7</v>
      </c>
      <c r="E2499" s="116">
        <v>241.45</v>
      </c>
      <c r="F2499" s="116">
        <v>230.2</v>
      </c>
      <c r="G2499">
        <v>84572</v>
      </c>
      <c r="H2499" s="116"/>
      <c r="I2499" s="116"/>
      <c r="L2499" s="169">
        <v>45684</v>
      </c>
      <c r="M2499" s="116">
        <v>230.05</v>
      </c>
      <c r="N2499" s="116">
        <v>244.95</v>
      </c>
      <c r="O2499" s="116">
        <v>227.5</v>
      </c>
      <c r="P2499" s="116">
        <v>244.95</v>
      </c>
      <c r="Q2499" s="116">
        <v>230.05</v>
      </c>
      <c r="R2499">
        <v>2190279</v>
      </c>
    </row>
    <row r="2500" spans="1:18" x14ac:dyDescent="0.25">
      <c r="A2500" s="169">
        <v>45685</v>
      </c>
      <c r="B2500" s="116">
        <v>234</v>
      </c>
      <c r="C2500" s="116">
        <v>225.95</v>
      </c>
      <c r="D2500" s="116">
        <v>217.65</v>
      </c>
      <c r="E2500" s="116">
        <v>234</v>
      </c>
      <c r="F2500" s="116">
        <v>225.95</v>
      </c>
      <c r="G2500">
        <v>139894</v>
      </c>
      <c r="H2500" s="116"/>
      <c r="I2500" s="116"/>
      <c r="L2500" s="169">
        <v>45685</v>
      </c>
      <c r="M2500" s="116">
        <v>226.05</v>
      </c>
      <c r="N2500" s="116">
        <v>233.55</v>
      </c>
      <c r="O2500" s="116">
        <v>217.65</v>
      </c>
      <c r="P2500" s="116">
        <v>231</v>
      </c>
      <c r="Q2500" s="116">
        <v>226.05</v>
      </c>
      <c r="R2500">
        <v>2690180</v>
      </c>
    </row>
    <row r="2501" spans="1:18" x14ac:dyDescent="0.25">
      <c r="A2501" s="169">
        <v>45686</v>
      </c>
      <c r="B2501" s="116">
        <v>248.65</v>
      </c>
      <c r="C2501" s="116">
        <v>246.75</v>
      </c>
      <c r="D2501" s="116">
        <v>225.6</v>
      </c>
      <c r="E2501" s="116">
        <v>225.6</v>
      </c>
      <c r="F2501" s="116">
        <v>246.75</v>
      </c>
      <c r="G2501">
        <v>99990</v>
      </c>
      <c r="H2501" s="116"/>
      <c r="I2501" s="116"/>
      <c r="L2501" s="169">
        <v>45686</v>
      </c>
      <c r="M2501" s="116">
        <v>246.8</v>
      </c>
      <c r="N2501" s="116">
        <v>248.6</v>
      </c>
      <c r="O2501" s="116">
        <v>225</v>
      </c>
      <c r="P2501" s="116">
        <v>226.25</v>
      </c>
      <c r="Q2501" s="116">
        <v>246.8</v>
      </c>
      <c r="R2501">
        <v>2988439</v>
      </c>
    </row>
    <row r="2502" spans="1:18" x14ac:dyDescent="0.25">
      <c r="A2502" s="169">
        <v>45687</v>
      </c>
      <c r="B2502" s="116">
        <v>255.4</v>
      </c>
      <c r="C2502" s="116">
        <v>243.7</v>
      </c>
      <c r="D2502" s="116">
        <v>240.95</v>
      </c>
      <c r="E2502" s="116">
        <v>248.25</v>
      </c>
      <c r="F2502" s="116">
        <v>243.7</v>
      </c>
      <c r="G2502">
        <v>52627</v>
      </c>
      <c r="H2502" s="116"/>
      <c r="I2502" s="116"/>
      <c r="L2502" s="169">
        <v>45687</v>
      </c>
      <c r="M2502" s="116">
        <v>243.55</v>
      </c>
      <c r="N2502" s="116">
        <v>257</v>
      </c>
      <c r="O2502" s="116">
        <v>241</v>
      </c>
      <c r="P2502" s="116">
        <v>257</v>
      </c>
      <c r="Q2502" s="116">
        <v>243.55</v>
      </c>
      <c r="R2502">
        <v>1720454</v>
      </c>
    </row>
    <row r="2503" spans="1:18" x14ac:dyDescent="0.25">
      <c r="A2503" s="169">
        <v>45688</v>
      </c>
      <c r="B2503" s="116">
        <v>252.45</v>
      </c>
      <c r="C2503" s="116">
        <v>250.1</v>
      </c>
      <c r="D2503" s="116">
        <v>241.3</v>
      </c>
      <c r="E2503" s="116">
        <v>243.3</v>
      </c>
      <c r="F2503" s="116">
        <v>250.1</v>
      </c>
      <c r="G2503">
        <v>76352</v>
      </c>
      <c r="H2503" s="116"/>
      <c r="I2503" s="116"/>
      <c r="L2503" s="169">
        <v>45688</v>
      </c>
      <c r="M2503" s="116">
        <v>250.05</v>
      </c>
      <c r="N2503" s="116">
        <v>251.7</v>
      </c>
      <c r="O2503" s="116">
        <v>240.7</v>
      </c>
      <c r="P2503" s="116">
        <v>242.5</v>
      </c>
      <c r="Q2503" s="116">
        <v>250.05</v>
      </c>
      <c r="R2503">
        <v>771726</v>
      </c>
    </row>
    <row r="2504" spans="1:18" x14ac:dyDescent="0.25">
      <c r="A2504" s="169">
        <v>45689</v>
      </c>
      <c r="B2504" s="116">
        <v>250.85</v>
      </c>
      <c r="C2504" s="116">
        <v>241.6</v>
      </c>
      <c r="D2504" s="116">
        <v>239.85</v>
      </c>
      <c r="E2504" s="116">
        <v>250.85</v>
      </c>
      <c r="F2504" s="116">
        <v>241.6</v>
      </c>
      <c r="G2504">
        <v>82876</v>
      </c>
      <c r="H2504" s="116"/>
      <c r="I2504" s="116"/>
      <c r="L2504" s="169">
        <v>45689</v>
      </c>
      <c r="M2504" s="116">
        <v>241.4</v>
      </c>
      <c r="N2504" s="116">
        <v>250.7</v>
      </c>
      <c r="O2504" s="116">
        <v>239</v>
      </c>
      <c r="P2504" s="116">
        <v>249.05</v>
      </c>
      <c r="Q2504" s="116">
        <v>241.4</v>
      </c>
      <c r="R2504">
        <v>794772</v>
      </c>
    </row>
    <row r="2505" spans="1:18" x14ac:dyDescent="0.25">
      <c r="A2505" s="169">
        <v>45691</v>
      </c>
      <c r="B2505" s="116">
        <v>241.1</v>
      </c>
      <c r="C2505" s="116">
        <v>233.85</v>
      </c>
      <c r="D2505" s="116">
        <v>229.25</v>
      </c>
      <c r="E2505" s="116">
        <v>236</v>
      </c>
      <c r="F2505" s="116">
        <v>233.85</v>
      </c>
      <c r="G2505">
        <v>174317</v>
      </c>
      <c r="H2505" s="116"/>
      <c r="I2505" s="116"/>
      <c r="L2505" s="169">
        <v>45691</v>
      </c>
      <c r="M2505" s="116">
        <v>233.8</v>
      </c>
      <c r="N2505" s="116">
        <v>241.2</v>
      </c>
      <c r="O2505" s="116">
        <v>229.1</v>
      </c>
      <c r="P2505" s="116">
        <v>235.8</v>
      </c>
      <c r="Q2505" s="116">
        <v>233.8</v>
      </c>
      <c r="R2505">
        <v>1267676</v>
      </c>
    </row>
    <row r="2506" spans="1:18" x14ac:dyDescent="0.25">
      <c r="A2506" s="169">
        <v>45692</v>
      </c>
      <c r="B2506" s="116">
        <v>255.7</v>
      </c>
      <c r="C2506" s="116">
        <v>254.55</v>
      </c>
      <c r="D2506" s="116">
        <v>236.15</v>
      </c>
      <c r="E2506" s="116">
        <v>236.15</v>
      </c>
      <c r="F2506" s="116">
        <v>254.55</v>
      </c>
      <c r="G2506">
        <v>217114</v>
      </c>
      <c r="H2506" s="116"/>
      <c r="I2506" s="116"/>
      <c r="L2506" s="169">
        <v>45692</v>
      </c>
      <c r="M2506" s="116">
        <v>254.65</v>
      </c>
      <c r="N2506" s="116">
        <v>255.8</v>
      </c>
      <c r="O2506" s="116">
        <v>236.05</v>
      </c>
      <c r="P2506" s="116">
        <v>236.05</v>
      </c>
      <c r="Q2506" s="116">
        <v>254.65</v>
      </c>
      <c r="R2506">
        <v>3715707</v>
      </c>
    </row>
    <row r="2507" spans="1:18" x14ac:dyDescent="0.25">
      <c r="A2507" s="169">
        <v>45693</v>
      </c>
      <c r="B2507" s="116">
        <v>265.3</v>
      </c>
      <c r="C2507" s="116">
        <v>258.8</v>
      </c>
      <c r="D2507" s="116">
        <v>254.45</v>
      </c>
      <c r="E2507" s="116">
        <v>256.89999999999998</v>
      </c>
      <c r="F2507" s="116">
        <v>258.8</v>
      </c>
      <c r="G2507">
        <v>83873</v>
      </c>
      <c r="H2507" s="116"/>
      <c r="I2507" s="116"/>
      <c r="L2507" s="169">
        <v>45693</v>
      </c>
      <c r="M2507" s="116">
        <v>258.60000000000002</v>
      </c>
      <c r="N2507" s="116">
        <v>265.2</v>
      </c>
      <c r="O2507" s="116">
        <v>254.3</v>
      </c>
      <c r="P2507" s="116">
        <v>255.8</v>
      </c>
      <c r="Q2507" s="116">
        <v>258.60000000000002</v>
      </c>
      <c r="R2507">
        <v>1601661</v>
      </c>
    </row>
    <row r="2508" spans="1:18" x14ac:dyDescent="0.25">
      <c r="A2508" s="169">
        <v>45694</v>
      </c>
      <c r="B2508" s="116">
        <v>268.10000000000002</v>
      </c>
      <c r="C2508" s="116">
        <v>267.45</v>
      </c>
      <c r="D2508" s="116">
        <v>258.39999999999998</v>
      </c>
      <c r="E2508" s="116">
        <v>259.95</v>
      </c>
      <c r="F2508" s="116">
        <v>267.45</v>
      </c>
      <c r="G2508">
        <v>108355</v>
      </c>
      <c r="H2508" s="116"/>
      <c r="I2508" s="116"/>
      <c r="L2508" s="169">
        <v>45694</v>
      </c>
      <c r="M2508" s="116">
        <v>267.55</v>
      </c>
      <c r="N2508" s="116">
        <v>268.3</v>
      </c>
      <c r="O2508" s="116">
        <v>258.2</v>
      </c>
      <c r="P2508" s="116">
        <v>259.2</v>
      </c>
      <c r="Q2508" s="116">
        <v>267.55</v>
      </c>
      <c r="R2508">
        <v>1651673</v>
      </c>
    </row>
    <row r="2509" spans="1:18" x14ac:dyDescent="0.25">
      <c r="A2509" s="169">
        <v>45695</v>
      </c>
      <c r="B2509" s="116">
        <v>269.75</v>
      </c>
      <c r="C2509" s="116">
        <v>254.5</v>
      </c>
      <c r="D2509" s="116">
        <v>252.55</v>
      </c>
      <c r="E2509" s="116">
        <v>268.95</v>
      </c>
      <c r="F2509" s="116">
        <v>254.5</v>
      </c>
      <c r="G2509">
        <v>94652</v>
      </c>
      <c r="H2509" s="116"/>
      <c r="I2509" s="116"/>
      <c r="L2509" s="169">
        <v>45695</v>
      </c>
      <c r="M2509" s="116">
        <v>254.4</v>
      </c>
      <c r="N2509" s="116">
        <v>269.45</v>
      </c>
      <c r="O2509" s="116">
        <v>251.5</v>
      </c>
      <c r="P2509" s="116">
        <v>268.5</v>
      </c>
      <c r="Q2509" s="116">
        <v>254.4</v>
      </c>
      <c r="R2509">
        <v>1262793</v>
      </c>
    </row>
    <row r="2510" spans="1:18" x14ac:dyDescent="0.25">
      <c r="A2510" s="169">
        <v>45698</v>
      </c>
      <c r="B2510" s="116">
        <v>251.95</v>
      </c>
      <c r="C2510" s="116">
        <v>245.7</v>
      </c>
      <c r="D2510" s="116">
        <v>242.4</v>
      </c>
      <c r="E2510" s="116">
        <v>246.95</v>
      </c>
      <c r="F2510" s="116">
        <v>245.7</v>
      </c>
      <c r="G2510">
        <v>100277</v>
      </c>
      <c r="H2510" s="116"/>
      <c r="I2510" s="116"/>
      <c r="L2510" s="169">
        <v>45698</v>
      </c>
      <c r="M2510" s="116">
        <v>246.35</v>
      </c>
      <c r="N2510" s="116">
        <v>252.1</v>
      </c>
      <c r="O2510" s="116">
        <v>242.25</v>
      </c>
      <c r="P2510" s="116">
        <v>247.55</v>
      </c>
      <c r="Q2510" s="116">
        <v>246.35</v>
      </c>
      <c r="R2510">
        <v>880767</v>
      </c>
    </row>
    <row r="2511" spans="1:18" x14ac:dyDescent="0.25">
      <c r="A2511" s="169">
        <v>45699</v>
      </c>
      <c r="B2511" s="116">
        <v>246</v>
      </c>
      <c r="C2511" s="116">
        <v>238.55</v>
      </c>
      <c r="D2511" s="116">
        <v>236.45</v>
      </c>
      <c r="E2511" s="116">
        <v>240.3</v>
      </c>
      <c r="F2511" s="116">
        <v>238.55</v>
      </c>
      <c r="G2511">
        <v>53262</v>
      </c>
      <c r="H2511" s="116"/>
      <c r="I2511" s="116"/>
      <c r="L2511" s="169">
        <v>45699</v>
      </c>
      <c r="M2511" s="116">
        <v>239.1</v>
      </c>
      <c r="N2511" s="116">
        <v>246.2</v>
      </c>
      <c r="O2511" s="116">
        <v>236.25</v>
      </c>
      <c r="P2511" s="116">
        <v>244.8</v>
      </c>
      <c r="Q2511" s="116">
        <v>239.1</v>
      </c>
      <c r="R2511">
        <v>1967044</v>
      </c>
    </row>
    <row r="2512" spans="1:18" x14ac:dyDescent="0.25">
      <c r="A2512" s="169">
        <v>45700</v>
      </c>
      <c r="B2512" s="116">
        <v>239.05</v>
      </c>
      <c r="C2512" s="116">
        <v>235.45</v>
      </c>
      <c r="D2512" s="116">
        <v>227.3</v>
      </c>
      <c r="E2512" s="116">
        <v>239</v>
      </c>
      <c r="F2512" s="116">
        <v>235.45</v>
      </c>
      <c r="G2512">
        <v>80048</v>
      </c>
      <c r="H2512" s="116"/>
      <c r="I2512" s="116"/>
      <c r="L2512" s="169">
        <v>45700</v>
      </c>
      <c r="M2512" s="116">
        <v>235.35</v>
      </c>
      <c r="N2512" s="116">
        <v>240</v>
      </c>
      <c r="O2512" s="116">
        <v>227.25</v>
      </c>
      <c r="P2512" s="116">
        <v>240</v>
      </c>
      <c r="Q2512" s="116">
        <v>235.35</v>
      </c>
      <c r="R2512">
        <v>1883202</v>
      </c>
    </row>
    <row r="2513" spans="1:18" x14ac:dyDescent="0.25">
      <c r="A2513" s="169">
        <v>45701</v>
      </c>
      <c r="B2513" s="116">
        <v>248.55</v>
      </c>
      <c r="C2513" s="116">
        <v>245.2</v>
      </c>
      <c r="D2513" s="116">
        <v>237.95</v>
      </c>
      <c r="E2513" s="116">
        <v>238</v>
      </c>
      <c r="F2513" s="116">
        <v>245.2</v>
      </c>
      <c r="G2513">
        <v>114360</v>
      </c>
      <c r="H2513" s="116"/>
      <c r="I2513" s="116"/>
      <c r="L2513" s="169">
        <v>45701</v>
      </c>
      <c r="M2513" s="116">
        <v>245.5</v>
      </c>
      <c r="N2513" s="116">
        <v>248.75</v>
      </c>
      <c r="O2513" s="116">
        <v>236</v>
      </c>
      <c r="P2513" s="116">
        <v>236.95</v>
      </c>
      <c r="Q2513" s="116">
        <v>245.5</v>
      </c>
      <c r="R2513">
        <v>1837377</v>
      </c>
    </row>
    <row r="2514" spans="1:18" x14ac:dyDescent="0.25">
      <c r="A2514" s="169">
        <v>45702</v>
      </c>
      <c r="B2514" s="116">
        <v>245.65</v>
      </c>
      <c r="C2514" s="116">
        <v>232.3</v>
      </c>
      <c r="D2514" s="116">
        <v>229.2</v>
      </c>
      <c r="E2514" s="116">
        <v>245.45</v>
      </c>
      <c r="F2514" s="116">
        <v>232.3</v>
      </c>
      <c r="G2514">
        <v>71363</v>
      </c>
      <c r="H2514" s="116"/>
      <c r="I2514" s="116"/>
      <c r="L2514" s="169">
        <v>45702</v>
      </c>
      <c r="M2514" s="116">
        <v>232.45</v>
      </c>
      <c r="N2514" s="116">
        <v>245.85</v>
      </c>
      <c r="O2514" s="116">
        <v>229.1</v>
      </c>
      <c r="P2514" s="116">
        <v>245.1</v>
      </c>
      <c r="Q2514" s="116">
        <v>232.45</v>
      </c>
      <c r="R2514">
        <v>1006572</v>
      </c>
    </row>
    <row r="2515" spans="1:18" x14ac:dyDescent="0.25">
      <c r="A2515" s="169">
        <v>45705</v>
      </c>
      <c r="B2515" s="116">
        <v>235.1</v>
      </c>
      <c r="C2515" s="116">
        <v>234.25</v>
      </c>
      <c r="D2515" s="116">
        <v>225</v>
      </c>
      <c r="E2515" s="116">
        <v>232</v>
      </c>
      <c r="F2515" s="116">
        <v>234.25</v>
      </c>
      <c r="G2515">
        <v>66309</v>
      </c>
      <c r="H2515" s="116"/>
      <c r="I2515" s="116"/>
      <c r="L2515" s="169">
        <v>45705</v>
      </c>
      <c r="M2515" s="116">
        <v>234.35</v>
      </c>
      <c r="N2515" s="116">
        <v>234.95</v>
      </c>
      <c r="O2515" s="116">
        <v>224.6</v>
      </c>
      <c r="P2515" s="116">
        <v>228.05</v>
      </c>
      <c r="Q2515" s="116">
        <v>234.35</v>
      </c>
      <c r="R2515">
        <v>1103257</v>
      </c>
    </row>
    <row r="2516" spans="1:18" x14ac:dyDescent="0.25">
      <c r="A2516" s="169">
        <v>45706</v>
      </c>
      <c r="B2516" s="116">
        <v>238.9</v>
      </c>
      <c r="C2516" s="116">
        <v>232.95</v>
      </c>
      <c r="D2516" s="116">
        <v>227.9</v>
      </c>
      <c r="E2516" s="116">
        <v>238</v>
      </c>
      <c r="F2516" s="116">
        <v>232.95</v>
      </c>
      <c r="G2516">
        <v>49599</v>
      </c>
      <c r="H2516" s="116"/>
      <c r="I2516" s="116"/>
      <c r="L2516" s="169">
        <v>45706</v>
      </c>
      <c r="M2516" s="116">
        <v>232.95</v>
      </c>
      <c r="N2516" s="116">
        <v>239</v>
      </c>
      <c r="O2516" s="116">
        <v>228</v>
      </c>
      <c r="P2516" s="116">
        <v>234.35</v>
      </c>
      <c r="Q2516" s="116">
        <v>232.95</v>
      </c>
      <c r="R2516">
        <v>1128377</v>
      </c>
    </row>
    <row r="2517" spans="1:18" x14ac:dyDescent="0.25">
      <c r="A2517" s="169">
        <v>45707</v>
      </c>
      <c r="B2517" s="116">
        <v>243.5</v>
      </c>
      <c r="C2517" s="116">
        <v>242.4</v>
      </c>
      <c r="D2517" s="116">
        <v>229.8</v>
      </c>
      <c r="E2517" s="116">
        <v>233.05</v>
      </c>
      <c r="F2517" s="116">
        <v>242.4</v>
      </c>
      <c r="G2517">
        <v>65182</v>
      </c>
      <c r="H2517" s="116"/>
      <c r="I2517" s="116"/>
      <c r="L2517" s="169">
        <v>45707</v>
      </c>
      <c r="M2517" s="116">
        <v>242.4</v>
      </c>
      <c r="N2517" s="116">
        <v>243.5</v>
      </c>
      <c r="O2517" s="116">
        <v>229.6</v>
      </c>
      <c r="P2517" s="116">
        <v>233.25</v>
      </c>
      <c r="Q2517" s="116">
        <v>242.4</v>
      </c>
      <c r="R2517">
        <v>1362295</v>
      </c>
    </row>
    <row r="2518" spans="1:18" x14ac:dyDescent="0.25">
      <c r="A2518" s="169">
        <v>45708</v>
      </c>
      <c r="B2518" s="116">
        <v>253.4</v>
      </c>
      <c r="C2518" s="116">
        <v>251.25</v>
      </c>
      <c r="D2518" s="116">
        <v>240.05</v>
      </c>
      <c r="E2518" s="116">
        <v>241.75</v>
      </c>
      <c r="F2518" s="116">
        <v>251.25</v>
      </c>
      <c r="G2518">
        <v>122786</v>
      </c>
      <c r="H2518" s="116"/>
      <c r="I2518" s="116"/>
      <c r="L2518" s="169">
        <v>45708</v>
      </c>
      <c r="M2518" s="116">
        <v>251.8</v>
      </c>
      <c r="N2518" s="116">
        <v>253.3</v>
      </c>
      <c r="O2518" s="116">
        <v>240.8</v>
      </c>
      <c r="P2518" s="116">
        <v>241.5</v>
      </c>
      <c r="Q2518" s="116">
        <v>251.8</v>
      </c>
      <c r="R2518">
        <v>1487810</v>
      </c>
    </row>
    <row r="2519" spans="1:18" x14ac:dyDescent="0.25">
      <c r="A2519" s="169">
        <v>45709</v>
      </c>
      <c r="B2519" s="116">
        <v>260.60000000000002</v>
      </c>
      <c r="C2519" s="116">
        <v>256.5</v>
      </c>
      <c r="D2519" s="116">
        <v>249.35</v>
      </c>
      <c r="E2519" s="116">
        <v>249.35</v>
      </c>
      <c r="F2519" s="116">
        <v>256.5</v>
      </c>
      <c r="G2519">
        <v>36962</v>
      </c>
      <c r="H2519" s="116"/>
      <c r="I2519" s="116"/>
      <c r="L2519" s="169">
        <v>45709</v>
      </c>
      <c r="M2519" s="116">
        <v>256.5</v>
      </c>
      <c r="N2519" s="116">
        <v>260.64999999999998</v>
      </c>
      <c r="O2519" s="116">
        <v>248.45</v>
      </c>
      <c r="P2519" s="116">
        <v>249</v>
      </c>
      <c r="Q2519" s="116">
        <v>256.5</v>
      </c>
      <c r="R2519">
        <v>1225981</v>
      </c>
    </row>
    <row r="2520" spans="1:18" x14ac:dyDescent="0.25">
      <c r="A2520" s="169">
        <v>45712</v>
      </c>
      <c r="B2520" s="116">
        <v>256.3</v>
      </c>
      <c r="C2520" s="116">
        <v>247.15</v>
      </c>
      <c r="D2520" s="116">
        <v>246.05</v>
      </c>
      <c r="E2520" s="116">
        <v>253</v>
      </c>
      <c r="F2520" s="116">
        <v>247.15</v>
      </c>
      <c r="G2520">
        <v>45683</v>
      </c>
      <c r="H2520" s="116"/>
      <c r="I2520" s="116"/>
      <c r="L2520" s="169">
        <v>45712</v>
      </c>
      <c r="M2520" s="116">
        <v>247</v>
      </c>
      <c r="N2520" s="116">
        <v>256.25</v>
      </c>
      <c r="O2520" s="116">
        <v>245.8</v>
      </c>
      <c r="P2520" s="116">
        <v>254.6</v>
      </c>
      <c r="Q2520" s="116">
        <v>247</v>
      </c>
      <c r="R2520">
        <v>787435</v>
      </c>
    </row>
    <row r="2521" spans="1:18" x14ac:dyDescent="0.25">
      <c r="A2521" s="169">
        <v>45713</v>
      </c>
      <c r="B2521" s="116">
        <v>254.1</v>
      </c>
      <c r="C2521" s="116">
        <v>240.7</v>
      </c>
      <c r="D2521" s="116">
        <v>239.25</v>
      </c>
      <c r="E2521" s="116">
        <v>249.95</v>
      </c>
      <c r="F2521" s="116">
        <v>240.7</v>
      </c>
      <c r="G2521">
        <v>81573</v>
      </c>
      <c r="H2521" s="116"/>
      <c r="I2521" s="116"/>
      <c r="L2521" s="169">
        <v>45713</v>
      </c>
      <c r="M2521" s="116">
        <v>240.75</v>
      </c>
      <c r="N2521" s="116">
        <v>254.35</v>
      </c>
      <c r="O2521" s="116">
        <v>239.1</v>
      </c>
      <c r="P2521" s="116">
        <v>248.3</v>
      </c>
      <c r="Q2521" s="116">
        <v>240.75</v>
      </c>
      <c r="R2521">
        <v>1423375</v>
      </c>
    </row>
    <row r="2522" spans="1:18" x14ac:dyDescent="0.25">
      <c r="A2522" s="169">
        <v>45715</v>
      </c>
      <c r="B2522" s="116">
        <v>246.2</v>
      </c>
      <c r="C2522" s="116">
        <v>239.6</v>
      </c>
      <c r="D2522" s="116">
        <v>237.45</v>
      </c>
      <c r="E2522" s="116">
        <v>239.65</v>
      </c>
      <c r="F2522" s="116">
        <v>239.6</v>
      </c>
      <c r="G2522">
        <v>52173</v>
      </c>
      <c r="H2522" s="116"/>
      <c r="I2522" s="116"/>
      <c r="L2522" s="169">
        <v>45715</v>
      </c>
      <c r="M2522" s="116">
        <v>239.75</v>
      </c>
      <c r="N2522" s="116">
        <v>246</v>
      </c>
      <c r="O2522" s="116">
        <v>237.45</v>
      </c>
      <c r="P2522" s="116">
        <v>240</v>
      </c>
      <c r="Q2522" s="116">
        <v>239.75</v>
      </c>
      <c r="R2522">
        <v>1421715</v>
      </c>
    </row>
    <row r="2523" spans="1:18" x14ac:dyDescent="0.25">
      <c r="A2523" s="169">
        <v>45716</v>
      </c>
      <c r="B2523" s="116">
        <v>250.3</v>
      </c>
      <c r="C2523" s="116">
        <v>246.2</v>
      </c>
      <c r="D2523" s="116">
        <v>236.65</v>
      </c>
      <c r="E2523" s="116">
        <v>238.9</v>
      </c>
      <c r="F2523" s="116">
        <v>246.2</v>
      </c>
      <c r="G2523">
        <v>91679</v>
      </c>
      <c r="H2523" s="116"/>
      <c r="I2523" s="116"/>
      <c r="L2523" s="169">
        <v>45716</v>
      </c>
      <c r="M2523" s="116">
        <v>246.45</v>
      </c>
      <c r="N2523" s="116">
        <v>250.75</v>
      </c>
      <c r="O2523" s="116">
        <v>236.5</v>
      </c>
      <c r="P2523" s="116">
        <v>238.85</v>
      </c>
      <c r="Q2523" s="116">
        <v>246.45</v>
      </c>
      <c r="R2523">
        <v>3320471</v>
      </c>
    </row>
    <row r="2524" spans="1:18" x14ac:dyDescent="0.25">
      <c r="A2524" s="169">
        <v>45719</v>
      </c>
      <c r="B2524" s="116">
        <v>252.5</v>
      </c>
      <c r="C2524" s="116">
        <v>234.25</v>
      </c>
      <c r="D2524" s="116">
        <v>231.6</v>
      </c>
      <c r="E2524" s="116">
        <v>249.6</v>
      </c>
      <c r="F2524" s="116">
        <v>234.25</v>
      </c>
      <c r="G2524">
        <v>56309</v>
      </c>
      <c r="H2524" s="116"/>
      <c r="I2524" s="116"/>
      <c r="L2524" s="169">
        <v>45719</v>
      </c>
      <c r="M2524" s="116">
        <v>234.48</v>
      </c>
      <c r="N2524" s="116">
        <v>252.92</v>
      </c>
      <c r="O2524" s="116">
        <v>231.55</v>
      </c>
      <c r="P2524" s="116">
        <v>246.66</v>
      </c>
      <c r="Q2524" s="116">
        <v>234.48</v>
      </c>
      <c r="R2524">
        <v>1281328</v>
      </c>
    </row>
    <row r="2525" spans="1:18" x14ac:dyDescent="0.25">
      <c r="A2525" s="169">
        <v>45720</v>
      </c>
      <c r="B2525" s="116">
        <v>240.25</v>
      </c>
      <c r="C2525" s="116">
        <v>234.4</v>
      </c>
      <c r="D2525" s="116">
        <v>230.65</v>
      </c>
      <c r="E2525" s="116">
        <v>232.95</v>
      </c>
      <c r="F2525" s="116">
        <v>234.4</v>
      </c>
      <c r="G2525">
        <v>79930</v>
      </c>
      <c r="H2525" s="116"/>
      <c r="I2525" s="116"/>
      <c r="L2525" s="169">
        <v>45720</v>
      </c>
      <c r="M2525" s="116">
        <v>234.35</v>
      </c>
      <c r="N2525" s="116">
        <v>240.34</v>
      </c>
      <c r="O2525" s="116">
        <v>230.41</v>
      </c>
      <c r="P2525" s="116">
        <v>231.15</v>
      </c>
      <c r="Q2525" s="116">
        <v>234.35</v>
      </c>
      <c r="R2525">
        <v>2203249</v>
      </c>
    </row>
    <row r="2526" spans="1:18" x14ac:dyDescent="0.25">
      <c r="A2526" s="169">
        <v>45721</v>
      </c>
      <c r="B2526" s="116">
        <v>251.9</v>
      </c>
      <c r="C2526" s="116">
        <v>250.5</v>
      </c>
      <c r="D2526" s="116">
        <v>234.4</v>
      </c>
      <c r="E2526" s="116">
        <v>234.4</v>
      </c>
      <c r="F2526" s="116">
        <v>250.5</v>
      </c>
      <c r="G2526">
        <v>83415</v>
      </c>
      <c r="H2526" s="116"/>
      <c r="I2526" s="116"/>
      <c r="L2526" s="169">
        <v>45721</v>
      </c>
      <c r="M2526" s="116">
        <v>250.36</v>
      </c>
      <c r="N2526" s="116">
        <v>251.6</v>
      </c>
      <c r="O2526" s="116">
        <v>235.85</v>
      </c>
      <c r="P2526" s="116">
        <v>235.88</v>
      </c>
      <c r="Q2526" s="116">
        <v>250.36</v>
      </c>
      <c r="R2526">
        <v>2020206</v>
      </c>
    </row>
    <row r="2527" spans="1:18" x14ac:dyDescent="0.25">
      <c r="A2527" s="169">
        <v>45722</v>
      </c>
      <c r="B2527" s="116">
        <v>275.2</v>
      </c>
      <c r="C2527" s="116">
        <v>273.45</v>
      </c>
      <c r="D2527" s="116">
        <v>251.9</v>
      </c>
      <c r="E2527" s="116">
        <v>251.9</v>
      </c>
      <c r="F2527" s="116">
        <v>273.45</v>
      </c>
      <c r="G2527">
        <v>234102</v>
      </c>
      <c r="H2527" s="116"/>
      <c r="I2527" s="116"/>
      <c r="L2527" s="169">
        <v>45722</v>
      </c>
      <c r="M2527" s="116">
        <v>272.7</v>
      </c>
      <c r="N2527" s="116">
        <v>275</v>
      </c>
      <c r="O2527" s="116">
        <v>252</v>
      </c>
      <c r="P2527" s="116">
        <v>252</v>
      </c>
      <c r="Q2527" s="116">
        <v>272.7</v>
      </c>
      <c r="R2527">
        <v>4077744</v>
      </c>
    </row>
    <row r="2528" spans="1:18" x14ac:dyDescent="0.25">
      <c r="A2528" s="169">
        <v>45723</v>
      </c>
      <c r="B2528" s="116">
        <v>276.7</v>
      </c>
      <c r="C2528" s="116">
        <v>267.5</v>
      </c>
      <c r="D2528" s="116">
        <v>266.3</v>
      </c>
      <c r="E2528" s="116">
        <v>273</v>
      </c>
      <c r="F2528" s="116">
        <v>267.5</v>
      </c>
      <c r="G2528">
        <v>153771</v>
      </c>
      <c r="H2528" s="116"/>
      <c r="I2528" s="116"/>
      <c r="L2528" s="169">
        <v>45723</v>
      </c>
      <c r="M2528" s="116">
        <v>267.25</v>
      </c>
      <c r="N2528" s="116">
        <v>276.38</v>
      </c>
      <c r="O2528" s="116">
        <v>266.2</v>
      </c>
      <c r="P2528" s="116">
        <v>273</v>
      </c>
      <c r="Q2528" s="116">
        <v>267.25</v>
      </c>
      <c r="R2528">
        <v>1803732</v>
      </c>
    </row>
    <row r="2529" spans="1:18" x14ac:dyDescent="0.25">
      <c r="A2529" s="169">
        <v>45726</v>
      </c>
      <c r="B2529" s="116">
        <v>273.35000000000002</v>
      </c>
      <c r="C2529" s="116">
        <v>254.95</v>
      </c>
      <c r="D2529" s="116">
        <v>253</v>
      </c>
      <c r="E2529" s="116">
        <v>267.89999999999998</v>
      </c>
      <c r="F2529" s="116">
        <v>254.95</v>
      </c>
      <c r="G2529">
        <v>102367</v>
      </c>
      <c r="H2529" s="116"/>
      <c r="I2529" s="116"/>
      <c r="L2529" s="169">
        <v>45726</v>
      </c>
      <c r="M2529" s="116">
        <v>255.1</v>
      </c>
      <c r="N2529" s="116">
        <v>272.83999999999997</v>
      </c>
      <c r="O2529" s="116">
        <v>252.5</v>
      </c>
      <c r="P2529" s="116">
        <v>266.60000000000002</v>
      </c>
      <c r="Q2529" s="116">
        <v>255.1</v>
      </c>
      <c r="R2529">
        <v>1673809</v>
      </c>
    </row>
    <row r="2530" spans="1:18" x14ac:dyDescent="0.25">
      <c r="A2530" s="169">
        <v>45727</v>
      </c>
      <c r="B2530" s="116">
        <v>264.55</v>
      </c>
      <c r="C2530" s="116">
        <v>260.39999999999998</v>
      </c>
      <c r="D2530" s="116">
        <v>250</v>
      </c>
      <c r="E2530" s="116">
        <v>252.25</v>
      </c>
      <c r="F2530" s="116">
        <v>260.39999999999998</v>
      </c>
      <c r="G2530">
        <v>90176</v>
      </c>
      <c r="H2530" s="116"/>
      <c r="I2530" s="116"/>
      <c r="L2530" s="169">
        <v>45727</v>
      </c>
      <c r="M2530" s="116">
        <v>260.45999999999998</v>
      </c>
      <c r="N2530" s="116">
        <v>264.60000000000002</v>
      </c>
      <c r="O2530" s="116">
        <v>250</v>
      </c>
      <c r="P2530" s="116">
        <v>252.94</v>
      </c>
      <c r="Q2530" s="116">
        <v>260.45999999999998</v>
      </c>
      <c r="R2530">
        <v>2245922</v>
      </c>
    </row>
    <row r="2531" spans="1:18" x14ac:dyDescent="0.25">
      <c r="A2531" s="169">
        <v>45728</v>
      </c>
      <c r="B2531" s="116">
        <v>263.8</v>
      </c>
      <c r="C2531" s="116">
        <v>256.5</v>
      </c>
      <c r="D2531" s="116">
        <v>254.2</v>
      </c>
      <c r="E2531" s="116">
        <v>262.64999999999998</v>
      </c>
      <c r="F2531" s="116">
        <v>256.5</v>
      </c>
      <c r="G2531">
        <v>27682</v>
      </c>
      <c r="H2531" s="116"/>
      <c r="I2531" s="116"/>
      <c r="L2531" s="169">
        <v>45728</v>
      </c>
      <c r="M2531" s="116">
        <v>256.64</v>
      </c>
      <c r="N2531" s="116">
        <v>264.10000000000002</v>
      </c>
      <c r="O2531" s="116">
        <v>253.99</v>
      </c>
      <c r="P2531" s="116">
        <v>262.35000000000002</v>
      </c>
      <c r="Q2531" s="116">
        <v>256.64</v>
      </c>
      <c r="R2531">
        <v>919780</v>
      </c>
    </row>
    <row r="2532" spans="1:18" x14ac:dyDescent="0.25">
      <c r="A2532" s="169">
        <v>45729</v>
      </c>
      <c r="B2532" s="116">
        <v>263.05</v>
      </c>
      <c r="C2532" s="116">
        <v>260.3</v>
      </c>
      <c r="D2532" s="116">
        <v>251.1</v>
      </c>
      <c r="E2532" s="116">
        <v>258.64999999999998</v>
      </c>
      <c r="F2532" s="116">
        <v>260.3</v>
      </c>
      <c r="G2532">
        <v>48335</v>
      </c>
      <c r="H2532" s="116"/>
      <c r="I2532" s="116"/>
      <c r="L2532" s="169">
        <v>45729</v>
      </c>
      <c r="M2532" s="116">
        <v>260.61</v>
      </c>
      <c r="N2532" s="116">
        <v>263</v>
      </c>
      <c r="O2532" s="116">
        <v>250.63</v>
      </c>
      <c r="P2532" s="116">
        <v>256.95</v>
      </c>
      <c r="Q2532" s="116">
        <v>260.61</v>
      </c>
      <c r="R2532">
        <v>1554142</v>
      </c>
    </row>
    <row r="2533" spans="1:18" x14ac:dyDescent="0.25">
      <c r="A2533" s="169">
        <v>45733</v>
      </c>
      <c r="B2533" s="116">
        <v>264.55</v>
      </c>
      <c r="C2533" s="116">
        <v>251.7</v>
      </c>
      <c r="D2533" s="116">
        <v>251</v>
      </c>
      <c r="E2533" s="116">
        <v>262.8</v>
      </c>
      <c r="F2533" s="116">
        <v>251.7</v>
      </c>
      <c r="G2533">
        <v>35562</v>
      </c>
      <c r="H2533" s="116"/>
      <c r="I2533" s="116"/>
      <c r="L2533" s="169">
        <v>45733</v>
      </c>
      <c r="M2533" s="116">
        <v>252.48</v>
      </c>
      <c r="N2533" s="116">
        <v>264.5</v>
      </c>
      <c r="O2533" s="116">
        <v>251</v>
      </c>
      <c r="P2533" s="116">
        <v>262.5</v>
      </c>
      <c r="Q2533" s="116">
        <v>252.48</v>
      </c>
      <c r="R2533">
        <v>904665</v>
      </c>
    </row>
    <row r="2534" spans="1:18" x14ac:dyDescent="0.25">
      <c r="A2534" s="169">
        <v>45734</v>
      </c>
      <c r="B2534" s="116">
        <v>267.64999999999998</v>
      </c>
      <c r="C2534" s="116">
        <v>265.8</v>
      </c>
      <c r="D2534" s="116">
        <v>253.8</v>
      </c>
      <c r="E2534" s="116">
        <v>254.7</v>
      </c>
      <c r="F2534" s="116">
        <v>265.8</v>
      </c>
      <c r="G2534">
        <v>44557</v>
      </c>
      <c r="H2534" s="116"/>
      <c r="I2534" s="116"/>
      <c r="L2534" s="169">
        <v>45734</v>
      </c>
      <c r="M2534" s="116">
        <v>266.02</v>
      </c>
      <c r="N2534" s="116">
        <v>267.5</v>
      </c>
      <c r="O2534" s="116">
        <v>253.74</v>
      </c>
      <c r="P2534" s="116">
        <v>254.99</v>
      </c>
      <c r="Q2534" s="116">
        <v>266.02</v>
      </c>
      <c r="R2534">
        <v>1306032</v>
      </c>
    </row>
    <row r="2535" spans="1:18" x14ac:dyDescent="0.25">
      <c r="A2535" s="169">
        <v>45735</v>
      </c>
      <c r="B2535" s="116">
        <v>271.10000000000002</v>
      </c>
      <c r="C2535" s="116">
        <v>266.39999999999998</v>
      </c>
      <c r="D2535" s="116">
        <v>263.64999999999998</v>
      </c>
      <c r="E2535" s="116">
        <v>265.05</v>
      </c>
      <c r="F2535" s="116">
        <v>266.39999999999998</v>
      </c>
      <c r="G2535">
        <v>55671</v>
      </c>
      <c r="H2535" s="116"/>
      <c r="I2535" s="116"/>
      <c r="L2535" s="169">
        <v>45735</v>
      </c>
      <c r="M2535" s="116">
        <v>266.60000000000002</v>
      </c>
      <c r="N2535" s="116">
        <v>271.2</v>
      </c>
      <c r="O2535" s="116">
        <v>263.57</v>
      </c>
      <c r="P2535" s="116">
        <v>267.60000000000002</v>
      </c>
      <c r="Q2535" s="116">
        <v>266.60000000000002</v>
      </c>
      <c r="R2535">
        <v>1187234</v>
      </c>
    </row>
    <row r="2536" spans="1:18" x14ac:dyDescent="0.25">
      <c r="A2536" s="169">
        <v>45736</v>
      </c>
      <c r="B2536" s="116">
        <v>286.5</v>
      </c>
      <c r="C2536" s="116">
        <v>283.60000000000002</v>
      </c>
      <c r="D2536" s="116">
        <v>268.45</v>
      </c>
      <c r="E2536" s="116">
        <v>268.45</v>
      </c>
      <c r="F2536" s="116">
        <v>283.60000000000002</v>
      </c>
      <c r="G2536">
        <v>164806</v>
      </c>
      <c r="H2536" s="116"/>
      <c r="I2536" s="116"/>
      <c r="L2536" s="169">
        <v>45736</v>
      </c>
      <c r="M2536" s="116">
        <v>283.33</v>
      </c>
      <c r="N2536" s="116">
        <v>286.39999999999998</v>
      </c>
      <c r="O2536" s="116">
        <v>267.67</v>
      </c>
      <c r="P2536" s="116">
        <v>267.67</v>
      </c>
      <c r="Q2536" s="116">
        <v>283.33</v>
      </c>
      <c r="R2536">
        <v>3471424</v>
      </c>
    </row>
    <row r="2537" spans="1:18" x14ac:dyDescent="0.25">
      <c r="A2537" s="169">
        <v>45737</v>
      </c>
      <c r="B2537" s="116">
        <v>285.95</v>
      </c>
      <c r="C2537" s="116">
        <v>274.55</v>
      </c>
      <c r="D2537" s="116">
        <v>272.55</v>
      </c>
      <c r="E2537" s="116">
        <v>285.95</v>
      </c>
      <c r="F2537" s="116">
        <v>274.55</v>
      </c>
      <c r="G2537">
        <v>155530</v>
      </c>
      <c r="H2537" s="116"/>
      <c r="I2537" s="116"/>
      <c r="L2537" s="169">
        <v>45737</v>
      </c>
      <c r="M2537" s="116">
        <v>275.02</v>
      </c>
      <c r="N2537" s="116">
        <v>285.08999999999997</v>
      </c>
      <c r="O2537" s="116">
        <v>273.7</v>
      </c>
      <c r="P2537" s="116">
        <v>284</v>
      </c>
      <c r="Q2537" s="116">
        <v>275.02</v>
      </c>
      <c r="R2537">
        <v>2107331</v>
      </c>
    </row>
    <row r="2538" spans="1:18" x14ac:dyDescent="0.25">
      <c r="A2538" s="169">
        <v>45740</v>
      </c>
      <c r="B2538" s="116">
        <v>285</v>
      </c>
      <c r="C2538" s="116">
        <v>280.60000000000002</v>
      </c>
      <c r="D2538" s="116">
        <v>277.95</v>
      </c>
      <c r="E2538" s="116">
        <v>280.95</v>
      </c>
      <c r="F2538" s="116">
        <v>280.60000000000002</v>
      </c>
      <c r="G2538">
        <v>87370</v>
      </c>
      <c r="H2538" s="116"/>
      <c r="I2538" s="116"/>
      <c r="L2538" s="169">
        <v>45740</v>
      </c>
      <c r="M2538" s="116">
        <v>280.89</v>
      </c>
      <c r="N2538" s="116">
        <v>283.58999999999997</v>
      </c>
      <c r="O2538" s="116">
        <v>277.42</v>
      </c>
      <c r="P2538" s="116">
        <v>279.5</v>
      </c>
      <c r="Q2538" s="116">
        <v>280.89</v>
      </c>
      <c r="R2538">
        <v>1189634</v>
      </c>
    </row>
    <row r="2539" spans="1:18" x14ac:dyDescent="0.25">
      <c r="A2539" s="169">
        <v>45741</v>
      </c>
      <c r="B2539" s="116">
        <v>283.95</v>
      </c>
      <c r="C2539" s="116">
        <v>266.14999999999998</v>
      </c>
      <c r="D2539" s="116">
        <v>265</v>
      </c>
      <c r="E2539" s="116">
        <v>283.95</v>
      </c>
      <c r="F2539" s="116">
        <v>266.14999999999998</v>
      </c>
      <c r="G2539">
        <v>53194</v>
      </c>
      <c r="H2539" s="116"/>
      <c r="I2539" s="116"/>
      <c r="L2539" s="169">
        <v>45741</v>
      </c>
      <c r="M2539" s="116">
        <v>266.79000000000002</v>
      </c>
      <c r="N2539" s="116">
        <v>283.39999999999998</v>
      </c>
      <c r="O2539" s="116">
        <v>266</v>
      </c>
      <c r="P2539" s="116">
        <v>282.45</v>
      </c>
      <c r="Q2539" s="116">
        <v>266.79000000000002</v>
      </c>
      <c r="R2539">
        <v>1556309</v>
      </c>
    </row>
    <row r="2540" spans="1:18" x14ac:dyDescent="0.25">
      <c r="A2540" s="169">
        <v>45742</v>
      </c>
      <c r="B2540" s="116">
        <v>269.45</v>
      </c>
      <c r="C2540" s="116">
        <v>266.7</v>
      </c>
      <c r="D2540" s="116">
        <v>262.60000000000002</v>
      </c>
      <c r="E2540" s="116">
        <v>268</v>
      </c>
      <c r="F2540" s="116">
        <v>266.7</v>
      </c>
      <c r="G2540">
        <v>47170</v>
      </c>
      <c r="H2540" s="116"/>
      <c r="I2540" s="116"/>
      <c r="L2540" s="169">
        <v>45742</v>
      </c>
      <c r="M2540" s="116">
        <v>266.58999999999997</v>
      </c>
      <c r="N2540" s="116">
        <v>269.49</v>
      </c>
      <c r="O2540" s="116">
        <v>262.39</v>
      </c>
      <c r="P2540" s="116">
        <v>268.79000000000002</v>
      </c>
      <c r="Q2540" s="116">
        <v>266.58999999999997</v>
      </c>
      <c r="R2540">
        <v>928923</v>
      </c>
    </row>
    <row r="2541" spans="1:18" x14ac:dyDescent="0.25">
      <c r="A2541" s="169">
        <v>45743</v>
      </c>
      <c r="B2541" s="116">
        <v>275.3</v>
      </c>
      <c r="C2541" s="116">
        <v>272.64999999999998</v>
      </c>
      <c r="D2541" s="116">
        <v>264.35000000000002</v>
      </c>
      <c r="E2541" s="116">
        <v>266.75</v>
      </c>
      <c r="F2541" s="116">
        <v>272.64999999999998</v>
      </c>
      <c r="G2541">
        <v>96631</v>
      </c>
      <c r="H2541" s="116"/>
      <c r="I2541" s="116"/>
      <c r="L2541" s="169">
        <v>45743</v>
      </c>
      <c r="M2541" s="116">
        <v>272.66000000000003</v>
      </c>
      <c r="N2541" s="116">
        <v>275.87</v>
      </c>
      <c r="O2541" s="116">
        <v>264.5</v>
      </c>
      <c r="P2541" s="116">
        <v>267</v>
      </c>
      <c r="Q2541" s="116">
        <v>272.66000000000003</v>
      </c>
      <c r="R2541">
        <v>1566337</v>
      </c>
    </row>
    <row r="2542" spans="1:18" x14ac:dyDescent="0.25">
      <c r="A2542" s="169">
        <v>45744</v>
      </c>
      <c r="B2542" s="116">
        <v>274.14999999999998</v>
      </c>
      <c r="C2542" s="116">
        <v>270.10000000000002</v>
      </c>
      <c r="D2542" s="116">
        <v>267.35000000000002</v>
      </c>
      <c r="E2542" s="116">
        <v>272.95</v>
      </c>
      <c r="F2542" s="116">
        <v>270.10000000000002</v>
      </c>
      <c r="G2542">
        <v>38834</v>
      </c>
      <c r="H2542" s="116"/>
      <c r="I2542" s="116"/>
      <c r="L2542" s="169">
        <v>45744</v>
      </c>
      <c r="M2542" s="116">
        <v>270.08999999999997</v>
      </c>
      <c r="N2542" s="116">
        <v>274.85000000000002</v>
      </c>
      <c r="O2542" s="116">
        <v>267.01</v>
      </c>
      <c r="P2542" s="116">
        <v>272.66000000000003</v>
      </c>
      <c r="Q2542" s="116">
        <v>270.08999999999997</v>
      </c>
      <c r="R2542">
        <v>907197</v>
      </c>
    </row>
    <row r="2543" spans="1:18" x14ac:dyDescent="0.25">
      <c r="A2543" s="169">
        <v>45748</v>
      </c>
      <c r="B2543" s="116">
        <v>272.55</v>
      </c>
      <c r="C2543" s="116">
        <v>271.75</v>
      </c>
      <c r="D2543" s="116">
        <v>265.8</v>
      </c>
      <c r="E2543" s="116">
        <v>271</v>
      </c>
      <c r="F2543" s="116">
        <v>271.75</v>
      </c>
      <c r="G2543">
        <v>60919</v>
      </c>
      <c r="H2543" s="116"/>
      <c r="I2543" s="116"/>
      <c r="L2543" s="169">
        <v>45748</v>
      </c>
      <c r="M2543" s="116">
        <v>271.8</v>
      </c>
      <c r="N2543" s="116">
        <v>272.39999999999998</v>
      </c>
      <c r="O2543" s="116">
        <v>265.60000000000002</v>
      </c>
      <c r="P2543" s="116">
        <v>271</v>
      </c>
      <c r="Q2543" s="116">
        <v>271.8</v>
      </c>
      <c r="R2543">
        <v>836988</v>
      </c>
    </row>
    <row r="2544" spans="1:18" x14ac:dyDescent="0.25">
      <c r="A2544" s="169">
        <v>45749</v>
      </c>
      <c r="B2544" s="116">
        <v>273.8</v>
      </c>
      <c r="C2544" s="116">
        <v>271.55</v>
      </c>
      <c r="D2544" s="116">
        <v>268.14999999999998</v>
      </c>
      <c r="E2544" s="116">
        <v>272.95</v>
      </c>
      <c r="F2544" s="116">
        <v>271.55</v>
      </c>
      <c r="G2544">
        <v>32944</v>
      </c>
      <c r="H2544" s="116"/>
      <c r="I2544" s="116"/>
      <c r="L2544" s="169">
        <v>45749</v>
      </c>
      <c r="M2544" s="116">
        <v>271.35000000000002</v>
      </c>
      <c r="N2544" s="116">
        <v>274</v>
      </c>
      <c r="O2544" s="116">
        <v>268</v>
      </c>
      <c r="P2544" s="116">
        <v>271.8</v>
      </c>
      <c r="Q2544" s="116">
        <v>271.35000000000002</v>
      </c>
      <c r="R2544">
        <v>615368</v>
      </c>
    </row>
    <row r="2545" spans="1:18" x14ac:dyDescent="0.25">
      <c r="A2545" s="169">
        <v>45750</v>
      </c>
      <c r="B2545" s="116">
        <v>277.39999999999998</v>
      </c>
      <c r="C2545" s="116">
        <v>276.25</v>
      </c>
      <c r="D2545" s="116">
        <v>265</v>
      </c>
      <c r="E2545" s="116">
        <v>265</v>
      </c>
      <c r="F2545" s="116">
        <v>276.25</v>
      </c>
      <c r="G2545">
        <v>82650</v>
      </c>
      <c r="H2545" s="116"/>
      <c r="I2545" s="116"/>
      <c r="L2545" s="169">
        <v>45750</v>
      </c>
      <c r="M2545" s="116">
        <v>276.35000000000002</v>
      </c>
      <c r="N2545" s="116">
        <v>277.45</v>
      </c>
      <c r="O2545" s="116">
        <v>267</v>
      </c>
      <c r="P2545" s="116">
        <v>267.14999999999998</v>
      </c>
      <c r="Q2545" s="116">
        <v>276.35000000000002</v>
      </c>
      <c r="R2545">
        <v>807734</v>
      </c>
    </row>
    <row r="2546" spans="1:18" x14ac:dyDescent="0.25">
      <c r="A2546" s="169">
        <v>45751</v>
      </c>
      <c r="B2546" s="116">
        <v>276</v>
      </c>
      <c r="C2546" s="116">
        <v>261.14999999999998</v>
      </c>
      <c r="D2546" s="116">
        <v>256.3</v>
      </c>
      <c r="E2546" s="116">
        <v>275.64999999999998</v>
      </c>
      <c r="F2546" s="116">
        <v>261.14999999999998</v>
      </c>
      <c r="G2546">
        <v>102634</v>
      </c>
      <c r="H2546" s="116"/>
      <c r="I2546" s="116"/>
      <c r="L2546" s="169">
        <v>45751</v>
      </c>
      <c r="M2546" s="116">
        <v>260.95</v>
      </c>
      <c r="N2546" s="116">
        <v>277.95</v>
      </c>
      <c r="O2546" s="116">
        <v>256.14999999999998</v>
      </c>
      <c r="P2546" s="116">
        <v>277.95</v>
      </c>
      <c r="Q2546" s="116">
        <v>260.95</v>
      </c>
      <c r="R2546">
        <v>1263121</v>
      </c>
    </row>
    <row r="2547" spans="1:18" x14ac:dyDescent="0.25">
      <c r="A2547" s="169">
        <v>45754</v>
      </c>
      <c r="B2547" s="116">
        <v>245</v>
      </c>
      <c r="C2547" s="116">
        <v>233.85</v>
      </c>
      <c r="D2547" s="116">
        <v>210.85</v>
      </c>
      <c r="E2547" s="116">
        <v>210.85</v>
      </c>
      <c r="F2547" s="116">
        <v>233.85</v>
      </c>
      <c r="G2547">
        <v>228449</v>
      </c>
      <c r="H2547" s="116"/>
      <c r="I2547" s="116"/>
      <c r="L2547" s="169">
        <v>45754</v>
      </c>
      <c r="M2547" s="116">
        <v>233.8</v>
      </c>
      <c r="N2547" s="116">
        <v>241.2</v>
      </c>
      <c r="O2547" s="116">
        <v>225.1</v>
      </c>
      <c r="P2547" s="116">
        <v>229.1</v>
      </c>
      <c r="Q2547" s="116">
        <v>233.8</v>
      </c>
      <c r="R2547">
        <v>2132767</v>
      </c>
    </row>
    <row r="2548" spans="1:18" x14ac:dyDescent="0.25">
      <c r="A2548" s="169">
        <v>45755</v>
      </c>
      <c r="B2548" s="116">
        <v>247.5</v>
      </c>
      <c r="C2548" s="116">
        <v>245.5</v>
      </c>
      <c r="D2548" s="116">
        <v>233.55</v>
      </c>
      <c r="E2548" s="116">
        <v>240.25</v>
      </c>
      <c r="F2548" s="116">
        <v>245.5</v>
      </c>
      <c r="G2548">
        <v>126863</v>
      </c>
      <c r="H2548" s="116"/>
      <c r="I2548" s="116"/>
      <c r="L2548" s="169">
        <v>45755</v>
      </c>
      <c r="M2548" s="116">
        <v>245.25</v>
      </c>
      <c r="N2548" s="116">
        <v>247.35</v>
      </c>
      <c r="O2548" s="116">
        <v>233.45</v>
      </c>
      <c r="P2548" s="116">
        <v>240</v>
      </c>
      <c r="Q2548" s="116">
        <v>245.25</v>
      </c>
      <c r="R2548">
        <v>1484539</v>
      </c>
    </row>
    <row r="2549" spans="1:18" x14ac:dyDescent="0.25">
      <c r="A2549" s="169">
        <v>45756</v>
      </c>
      <c r="B2549" s="116">
        <v>247.45</v>
      </c>
      <c r="C2549" s="116">
        <v>244.85</v>
      </c>
      <c r="D2549" s="116">
        <v>236</v>
      </c>
      <c r="E2549" s="116">
        <v>243.95</v>
      </c>
      <c r="F2549" s="116">
        <v>244.85</v>
      </c>
      <c r="G2549">
        <v>67192</v>
      </c>
      <c r="H2549" s="116"/>
      <c r="I2549" s="116"/>
      <c r="L2549" s="169">
        <v>45756</v>
      </c>
      <c r="M2549" s="116">
        <v>245.3</v>
      </c>
      <c r="N2549" s="116">
        <v>247.5</v>
      </c>
      <c r="O2549" s="116">
        <v>235.95</v>
      </c>
      <c r="P2549" s="116">
        <v>241.15</v>
      </c>
      <c r="Q2549" s="116">
        <v>245.3</v>
      </c>
      <c r="R2549">
        <v>850040</v>
      </c>
    </row>
    <row r="2550" spans="1:18" x14ac:dyDescent="0.25">
      <c r="A2550" s="169">
        <v>45758</v>
      </c>
      <c r="B2550" s="116">
        <v>253.35</v>
      </c>
      <c r="C2550" s="116">
        <v>247.15</v>
      </c>
      <c r="D2550" s="116">
        <v>245.3</v>
      </c>
      <c r="E2550" s="116">
        <v>253.35</v>
      </c>
      <c r="F2550" s="116">
        <v>247.15</v>
      </c>
      <c r="G2550">
        <v>58151</v>
      </c>
      <c r="H2550" s="116"/>
      <c r="I2550" s="116"/>
      <c r="L2550" s="169">
        <v>45758</v>
      </c>
      <c r="M2550" s="116">
        <v>247.1</v>
      </c>
      <c r="N2550" s="116">
        <v>254</v>
      </c>
      <c r="O2550" s="116">
        <v>245.3</v>
      </c>
      <c r="P2550" s="116">
        <v>253</v>
      </c>
      <c r="Q2550" s="116">
        <v>247.1</v>
      </c>
      <c r="R2550">
        <v>963031</v>
      </c>
    </row>
    <row r="2551" spans="1:18" x14ac:dyDescent="0.25">
      <c r="A2551" s="169">
        <v>45762</v>
      </c>
      <c r="B2551" s="116">
        <v>258.55</v>
      </c>
      <c r="C2551" s="116">
        <v>257.39999999999998</v>
      </c>
      <c r="D2551" s="116">
        <v>251.15</v>
      </c>
      <c r="E2551" s="116">
        <v>251.4</v>
      </c>
      <c r="F2551" s="116">
        <v>257.39999999999998</v>
      </c>
      <c r="G2551">
        <v>74147</v>
      </c>
      <c r="H2551" s="116"/>
      <c r="I2551" s="116"/>
      <c r="L2551" s="169">
        <v>45762</v>
      </c>
      <c r="M2551" s="116">
        <v>257.45</v>
      </c>
      <c r="N2551" s="116">
        <v>258.3</v>
      </c>
      <c r="O2551" s="116">
        <v>250.55</v>
      </c>
      <c r="P2551" s="116">
        <v>252</v>
      </c>
      <c r="Q2551" s="116">
        <v>257.45</v>
      </c>
      <c r="R2551">
        <v>810296</v>
      </c>
    </row>
    <row r="2552" spans="1:18" x14ac:dyDescent="0.25">
      <c r="A2552" s="169">
        <v>45763</v>
      </c>
      <c r="B2552" s="116">
        <v>259.10000000000002</v>
      </c>
      <c r="C2552" s="116">
        <v>257.95</v>
      </c>
      <c r="D2552" s="116">
        <v>253.9</v>
      </c>
      <c r="E2552" s="116">
        <v>257.95</v>
      </c>
      <c r="F2552" s="116">
        <v>257.95</v>
      </c>
      <c r="G2552">
        <v>32385</v>
      </c>
      <c r="H2552" s="116"/>
      <c r="I2552" s="116"/>
      <c r="L2552" s="169">
        <v>45763</v>
      </c>
      <c r="M2552" s="116">
        <v>257.89999999999998</v>
      </c>
      <c r="N2552" s="116">
        <v>259.14999999999998</v>
      </c>
      <c r="O2552" s="116">
        <v>253.7</v>
      </c>
      <c r="P2552" s="116">
        <v>257.5</v>
      </c>
      <c r="Q2552" s="116">
        <v>257.89999999999998</v>
      </c>
      <c r="R2552">
        <v>594807</v>
      </c>
    </row>
    <row r="2553" spans="1:18" x14ac:dyDescent="0.25">
      <c r="A2553" s="169">
        <v>45764</v>
      </c>
      <c r="B2553" s="116">
        <v>271.3</v>
      </c>
      <c r="C2553" s="116">
        <v>267.95</v>
      </c>
      <c r="D2553" s="116">
        <v>256.95</v>
      </c>
      <c r="E2553" s="116">
        <v>257.55</v>
      </c>
      <c r="F2553" s="116">
        <v>267.95</v>
      </c>
      <c r="G2553">
        <v>131715</v>
      </c>
      <c r="H2553" s="116"/>
      <c r="I2553" s="116"/>
      <c r="L2553" s="169">
        <v>45764</v>
      </c>
      <c r="M2553" s="116">
        <v>268.05</v>
      </c>
      <c r="N2553" s="116">
        <v>271.7</v>
      </c>
      <c r="O2553" s="116">
        <v>255.6</v>
      </c>
      <c r="P2553" s="116">
        <v>257.89999999999998</v>
      </c>
      <c r="Q2553" s="116">
        <v>268.05</v>
      </c>
      <c r="R2553">
        <v>1291814</v>
      </c>
    </row>
    <row r="2554" spans="1:18" x14ac:dyDescent="0.25">
      <c r="A2554" s="169">
        <v>45768</v>
      </c>
      <c r="B2554" s="116">
        <v>272.8</v>
      </c>
      <c r="C2554" s="116">
        <v>271.10000000000002</v>
      </c>
      <c r="D2554" s="116">
        <v>265.3</v>
      </c>
      <c r="E2554" s="116">
        <v>269.3</v>
      </c>
      <c r="F2554" s="116">
        <v>271.10000000000002</v>
      </c>
      <c r="G2554">
        <v>74023</v>
      </c>
      <c r="H2554" s="116"/>
      <c r="I2554" s="116"/>
      <c r="L2554" s="169">
        <v>45768</v>
      </c>
      <c r="M2554" s="116">
        <v>270.89999999999998</v>
      </c>
      <c r="N2554" s="116">
        <v>272.95</v>
      </c>
      <c r="O2554" s="116">
        <v>265.25</v>
      </c>
      <c r="P2554" s="116">
        <v>269.05</v>
      </c>
      <c r="Q2554" s="116">
        <v>270.89999999999998</v>
      </c>
      <c r="R2554">
        <v>891491</v>
      </c>
    </row>
    <row r="2555" spans="1:18" x14ac:dyDescent="0.25">
      <c r="A2555" s="169">
        <v>45769</v>
      </c>
      <c r="B2555" s="116">
        <v>274</v>
      </c>
      <c r="C2555" s="116">
        <v>270.85000000000002</v>
      </c>
      <c r="D2555" s="116">
        <v>267.55</v>
      </c>
      <c r="E2555" s="116">
        <v>272</v>
      </c>
      <c r="F2555" s="116">
        <v>270.85000000000002</v>
      </c>
      <c r="G2555">
        <v>64263</v>
      </c>
      <c r="H2555" s="116"/>
      <c r="I2555" s="116"/>
      <c r="L2555" s="169">
        <v>45769</v>
      </c>
      <c r="M2555" s="116">
        <v>270.95</v>
      </c>
      <c r="N2555" s="116">
        <v>273.89999999999998</v>
      </c>
      <c r="O2555" s="116">
        <v>267.5</v>
      </c>
      <c r="P2555" s="116">
        <v>272.2</v>
      </c>
      <c r="Q2555" s="116">
        <v>270.95</v>
      </c>
      <c r="R2555">
        <v>1066920</v>
      </c>
    </row>
    <row r="2556" spans="1:18" x14ac:dyDescent="0.25">
      <c r="A2556" s="169">
        <v>45770</v>
      </c>
      <c r="B2556" s="116">
        <v>274.14999999999998</v>
      </c>
      <c r="C2556" s="116">
        <v>269.85000000000002</v>
      </c>
      <c r="D2556" s="116">
        <v>266.7</v>
      </c>
      <c r="E2556" s="116">
        <v>270.3</v>
      </c>
      <c r="F2556" s="116">
        <v>269.85000000000002</v>
      </c>
      <c r="G2556">
        <v>30709</v>
      </c>
      <c r="H2556" s="116"/>
      <c r="I2556" s="116"/>
      <c r="L2556" s="169">
        <v>45770</v>
      </c>
      <c r="M2556" s="116">
        <v>269.64999999999998</v>
      </c>
      <c r="N2556" s="116">
        <v>273.8</v>
      </c>
      <c r="O2556" s="116">
        <v>266.60000000000002</v>
      </c>
      <c r="P2556" s="116">
        <v>271.05</v>
      </c>
      <c r="Q2556" s="116">
        <v>269.64999999999998</v>
      </c>
      <c r="R2556">
        <v>966209</v>
      </c>
    </row>
    <row r="2557" spans="1:18" x14ac:dyDescent="0.25">
      <c r="A2557" s="169">
        <v>45771</v>
      </c>
      <c r="B2557" s="116">
        <v>273.45</v>
      </c>
      <c r="C2557" s="116">
        <v>268.05</v>
      </c>
      <c r="D2557" s="116">
        <v>265.5</v>
      </c>
      <c r="E2557" s="116">
        <v>266.39999999999998</v>
      </c>
      <c r="F2557" s="116">
        <v>268.05</v>
      </c>
      <c r="G2557">
        <v>57417</v>
      </c>
      <c r="H2557" s="116"/>
      <c r="I2557" s="116"/>
      <c r="L2557" s="169">
        <v>45771</v>
      </c>
      <c r="M2557" s="116">
        <v>268.10000000000002</v>
      </c>
      <c r="N2557" s="116">
        <v>273.39999999999998</v>
      </c>
      <c r="O2557" s="116">
        <v>264.95</v>
      </c>
      <c r="P2557" s="116">
        <v>269.64999999999998</v>
      </c>
      <c r="Q2557" s="116">
        <v>268.10000000000002</v>
      </c>
      <c r="R2557">
        <v>986813</v>
      </c>
    </row>
    <row r="2558" spans="1:18" x14ac:dyDescent="0.25">
      <c r="A2558" s="169">
        <v>45772</v>
      </c>
      <c r="B2558" s="116">
        <v>268.14999999999998</v>
      </c>
      <c r="C2558" s="116">
        <v>256.5</v>
      </c>
      <c r="D2558" s="116">
        <v>255.1</v>
      </c>
      <c r="E2558" s="116">
        <v>264.05</v>
      </c>
      <c r="F2558" s="116">
        <v>256.5</v>
      </c>
      <c r="G2558">
        <v>89103</v>
      </c>
      <c r="H2558" s="116"/>
      <c r="I2558" s="116"/>
      <c r="L2558" s="169">
        <v>45772</v>
      </c>
      <c r="M2558" s="116">
        <v>256.75</v>
      </c>
      <c r="N2558" s="116">
        <v>270</v>
      </c>
      <c r="O2558" s="116">
        <v>255</v>
      </c>
      <c r="P2558" s="116">
        <v>269.5</v>
      </c>
      <c r="Q2558" s="116">
        <v>256.75</v>
      </c>
      <c r="R2558">
        <v>1398952</v>
      </c>
    </row>
    <row r="2559" spans="1:18" x14ac:dyDescent="0.25">
      <c r="A2559" s="169">
        <v>45775</v>
      </c>
      <c r="B2559" s="116">
        <v>264.55</v>
      </c>
      <c r="C2559" s="116">
        <v>263.55</v>
      </c>
      <c r="D2559" s="116">
        <v>251.65</v>
      </c>
      <c r="E2559" s="116">
        <v>251.65</v>
      </c>
      <c r="F2559" s="116">
        <v>263.55</v>
      </c>
      <c r="G2559">
        <v>35586</v>
      </c>
      <c r="H2559" s="116"/>
      <c r="I2559" s="116"/>
      <c r="L2559" s="169">
        <v>45775</v>
      </c>
      <c r="M2559" s="116">
        <v>263.60000000000002</v>
      </c>
      <c r="N2559" s="116">
        <v>264.7</v>
      </c>
      <c r="O2559" s="116">
        <v>254.85</v>
      </c>
      <c r="P2559" s="116">
        <v>256.75</v>
      </c>
      <c r="Q2559" s="116">
        <v>263.60000000000002</v>
      </c>
      <c r="R2559">
        <v>739405</v>
      </c>
    </row>
    <row r="2560" spans="1:18" x14ac:dyDescent="0.25">
      <c r="A2560" s="169">
        <v>45776</v>
      </c>
      <c r="B2560" s="116">
        <v>267.45</v>
      </c>
      <c r="C2560" s="116">
        <v>255.45</v>
      </c>
      <c r="D2560" s="116">
        <v>255</v>
      </c>
      <c r="E2560" s="116">
        <v>262.95</v>
      </c>
      <c r="F2560" s="116">
        <v>255.45</v>
      </c>
      <c r="G2560">
        <v>47152</v>
      </c>
      <c r="H2560" s="116"/>
      <c r="I2560" s="116"/>
      <c r="L2560" s="169">
        <v>45776</v>
      </c>
      <c r="M2560" s="116">
        <v>255.35</v>
      </c>
      <c r="N2560" s="116">
        <v>267.5</v>
      </c>
      <c r="O2560" s="116">
        <v>254.8</v>
      </c>
      <c r="P2560" s="116">
        <v>260.14999999999998</v>
      </c>
      <c r="Q2560" s="116">
        <v>255.35</v>
      </c>
      <c r="R2560">
        <v>1207593</v>
      </c>
    </row>
    <row r="2561" spans="1:18" x14ac:dyDescent="0.25">
      <c r="A2561" s="169">
        <v>45777</v>
      </c>
      <c r="B2561" s="116">
        <v>257</v>
      </c>
      <c r="C2561" s="116">
        <v>248.1</v>
      </c>
      <c r="D2561" s="116">
        <v>246.55</v>
      </c>
      <c r="E2561" s="116">
        <v>255.55</v>
      </c>
      <c r="F2561" s="116">
        <v>248.1</v>
      </c>
      <c r="G2561">
        <v>66851</v>
      </c>
      <c r="H2561" s="116"/>
      <c r="I2561" s="116"/>
      <c r="L2561" s="169">
        <v>45777</v>
      </c>
      <c r="M2561" s="116">
        <v>248</v>
      </c>
      <c r="N2561" s="116">
        <v>257.5</v>
      </c>
      <c r="O2561" s="116">
        <v>246</v>
      </c>
      <c r="P2561" s="116">
        <v>256.95</v>
      </c>
      <c r="Q2561" s="116">
        <v>248</v>
      </c>
      <c r="R2561">
        <v>953057</v>
      </c>
    </row>
    <row r="2562" spans="1:18" x14ac:dyDescent="0.25">
      <c r="A2562" s="169">
        <v>45779</v>
      </c>
      <c r="B2562" s="116">
        <v>254.05</v>
      </c>
      <c r="C2562" s="116">
        <v>245.2</v>
      </c>
      <c r="D2562" s="116">
        <v>242</v>
      </c>
      <c r="E2562" s="116">
        <v>248.15</v>
      </c>
      <c r="F2562" s="116">
        <v>245.2</v>
      </c>
      <c r="G2562">
        <v>95280</v>
      </c>
      <c r="H2562" s="116"/>
      <c r="I2562" s="116"/>
      <c r="L2562" s="169">
        <v>45779</v>
      </c>
      <c r="M2562" s="116">
        <v>245.43</v>
      </c>
      <c r="N2562" s="116">
        <v>254.24</v>
      </c>
      <c r="O2562" s="116">
        <v>242</v>
      </c>
      <c r="P2562" s="116">
        <v>249.3</v>
      </c>
      <c r="Q2562" s="116">
        <v>245.43</v>
      </c>
      <c r="R2562">
        <v>1682254</v>
      </c>
    </row>
    <row r="2563" spans="1:18" x14ac:dyDescent="0.25">
      <c r="A2563" s="169">
        <v>45782</v>
      </c>
      <c r="B2563" s="116">
        <v>242.9</v>
      </c>
      <c r="C2563" s="116">
        <v>235.5</v>
      </c>
      <c r="D2563" s="116">
        <v>229.6</v>
      </c>
      <c r="E2563" s="116">
        <v>242.9</v>
      </c>
      <c r="F2563" s="116">
        <v>235.5</v>
      </c>
      <c r="G2563">
        <v>160353</v>
      </c>
      <c r="H2563" s="116"/>
      <c r="I2563" s="116"/>
      <c r="L2563" s="169">
        <v>45782</v>
      </c>
      <c r="M2563" s="116">
        <v>235.37</v>
      </c>
      <c r="N2563" s="116">
        <v>243</v>
      </c>
      <c r="O2563" s="116">
        <v>229.4</v>
      </c>
      <c r="P2563" s="116">
        <v>242.5</v>
      </c>
      <c r="Q2563" s="116">
        <v>235.37</v>
      </c>
      <c r="R2563">
        <v>3705171</v>
      </c>
    </row>
    <row r="2564" spans="1:18" x14ac:dyDescent="0.25">
      <c r="A2564" s="169">
        <v>45783</v>
      </c>
      <c r="B2564" s="116">
        <v>238.4</v>
      </c>
      <c r="C2564" s="116">
        <v>227.9</v>
      </c>
      <c r="D2564" s="116">
        <v>225.8</v>
      </c>
      <c r="E2564" s="116">
        <v>238.4</v>
      </c>
      <c r="F2564" s="116">
        <v>227.9</v>
      </c>
      <c r="G2564">
        <v>101660</v>
      </c>
      <c r="H2564" s="116"/>
      <c r="I2564" s="116"/>
      <c r="L2564" s="169">
        <v>45783</v>
      </c>
      <c r="M2564" s="116">
        <v>227.62</v>
      </c>
      <c r="N2564" s="116">
        <v>240</v>
      </c>
      <c r="O2564" s="116">
        <v>226.52</v>
      </c>
      <c r="P2564" s="116">
        <v>238</v>
      </c>
      <c r="Q2564" s="116">
        <v>227.62</v>
      </c>
      <c r="R2564">
        <v>1400254</v>
      </c>
    </row>
    <row r="2565" spans="1:18" x14ac:dyDescent="0.25">
      <c r="A2565" s="169">
        <v>45784</v>
      </c>
      <c r="B2565" s="116">
        <v>226.85</v>
      </c>
      <c r="C2565" s="116">
        <v>219.5</v>
      </c>
      <c r="D2565" s="116">
        <v>218.3</v>
      </c>
      <c r="E2565" s="116">
        <v>223</v>
      </c>
      <c r="F2565" s="116">
        <v>219.5</v>
      </c>
      <c r="G2565">
        <v>197916</v>
      </c>
      <c r="H2565" s="116"/>
      <c r="I2565" s="116"/>
      <c r="L2565" s="169">
        <v>45784</v>
      </c>
      <c r="M2565" s="116">
        <v>219.54</v>
      </c>
      <c r="N2565" s="116">
        <v>226.8</v>
      </c>
      <c r="O2565" s="116">
        <v>218.2</v>
      </c>
      <c r="P2565" s="116">
        <v>223</v>
      </c>
      <c r="Q2565" s="116">
        <v>219.54</v>
      </c>
      <c r="R2565">
        <v>2031462</v>
      </c>
    </row>
    <row r="2566" spans="1:18" x14ac:dyDescent="0.25">
      <c r="A2566" s="169">
        <v>45785</v>
      </c>
      <c r="B2566" s="116">
        <v>224.6</v>
      </c>
      <c r="C2566" s="116">
        <v>209.55</v>
      </c>
      <c r="D2566" s="116">
        <v>207.3</v>
      </c>
      <c r="E2566" s="116">
        <v>220.35</v>
      </c>
      <c r="F2566" s="116">
        <v>209.55</v>
      </c>
      <c r="G2566">
        <v>92571</v>
      </c>
      <c r="H2566" s="116"/>
      <c r="I2566" s="116"/>
      <c r="L2566" s="169">
        <v>45785</v>
      </c>
      <c r="M2566" s="116">
        <v>209.74</v>
      </c>
      <c r="N2566" s="116">
        <v>224.83</v>
      </c>
      <c r="O2566" s="116">
        <v>206.5</v>
      </c>
      <c r="P2566" s="116">
        <v>221</v>
      </c>
      <c r="Q2566" s="116">
        <v>209.74</v>
      </c>
      <c r="R2566">
        <v>2562446</v>
      </c>
    </row>
    <row r="2567" spans="1:18" x14ac:dyDescent="0.25">
      <c r="A2567" s="169">
        <v>45786</v>
      </c>
      <c r="B2567" s="116">
        <v>208.05</v>
      </c>
      <c r="C2567" s="116">
        <v>201.9</v>
      </c>
      <c r="D2567" s="116">
        <v>199.75</v>
      </c>
      <c r="E2567" s="116">
        <v>208.05</v>
      </c>
      <c r="F2567" s="116">
        <v>201.9</v>
      </c>
      <c r="G2567">
        <v>145249</v>
      </c>
      <c r="H2567" s="116"/>
      <c r="I2567" s="116"/>
      <c r="L2567" s="169">
        <v>45786</v>
      </c>
      <c r="M2567" s="116">
        <v>201.68</v>
      </c>
      <c r="N2567" s="116">
        <v>208.45</v>
      </c>
      <c r="O2567" s="116">
        <v>199.62</v>
      </c>
      <c r="P2567" s="116">
        <v>208.27</v>
      </c>
      <c r="Q2567" s="116">
        <v>201.68</v>
      </c>
      <c r="R2567">
        <v>3327371</v>
      </c>
    </row>
    <row r="2568" spans="1:18" x14ac:dyDescent="0.25">
      <c r="A2568" s="169">
        <v>45789</v>
      </c>
      <c r="B2568" s="116">
        <v>219.05</v>
      </c>
      <c r="C2568" s="116">
        <v>218.2</v>
      </c>
      <c r="D2568" s="116">
        <v>210.5</v>
      </c>
      <c r="E2568" s="116">
        <v>213.35</v>
      </c>
      <c r="F2568" s="116">
        <v>218.2</v>
      </c>
      <c r="G2568">
        <v>188781</v>
      </c>
      <c r="H2568" s="116"/>
      <c r="I2568" s="116"/>
      <c r="L2568" s="169">
        <v>45789</v>
      </c>
      <c r="M2568" s="116">
        <v>218.27</v>
      </c>
      <c r="N2568" s="116">
        <v>219.18</v>
      </c>
      <c r="O2568" s="116">
        <v>210.76</v>
      </c>
      <c r="P2568" s="116">
        <v>210.84</v>
      </c>
      <c r="Q2568" s="116">
        <v>218.27</v>
      </c>
      <c r="R2568">
        <v>2080098</v>
      </c>
    </row>
    <row r="2569" spans="1:18" x14ac:dyDescent="0.25">
      <c r="A2569" s="169">
        <v>45790</v>
      </c>
      <c r="B2569" s="116">
        <v>220.25</v>
      </c>
      <c r="C2569" s="116">
        <v>213</v>
      </c>
      <c r="D2569" s="116">
        <v>211.85</v>
      </c>
      <c r="E2569" s="116">
        <v>220</v>
      </c>
      <c r="F2569" s="116">
        <v>213</v>
      </c>
      <c r="G2569">
        <v>56347</v>
      </c>
      <c r="H2569" s="116"/>
      <c r="I2569" s="116"/>
      <c r="L2569" s="169">
        <v>45790</v>
      </c>
      <c r="M2569" s="116">
        <v>213.07</v>
      </c>
      <c r="N2569" s="116">
        <v>220.98</v>
      </c>
      <c r="O2569" s="116">
        <v>211.85</v>
      </c>
      <c r="P2569" s="116">
        <v>220</v>
      </c>
      <c r="Q2569" s="116">
        <v>213.07</v>
      </c>
      <c r="R2569">
        <v>2617040</v>
      </c>
    </row>
    <row r="2570" spans="1:18" x14ac:dyDescent="0.25">
      <c r="A2570" s="169">
        <v>45791</v>
      </c>
      <c r="B2570" s="116">
        <v>219.95</v>
      </c>
      <c r="C2570" s="116">
        <v>219.5</v>
      </c>
      <c r="D2570" s="116">
        <v>212.3</v>
      </c>
      <c r="E2570" s="116">
        <v>214</v>
      </c>
      <c r="F2570" s="116">
        <v>219.5</v>
      </c>
      <c r="G2570">
        <v>72005</v>
      </c>
      <c r="H2570" s="116"/>
      <c r="I2570" s="116"/>
      <c r="L2570" s="169">
        <v>45791</v>
      </c>
      <c r="M2570" s="116">
        <v>219.37</v>
      </c>
      <c r="N2570" s="116">
        <v>220</v>
      </c>
      <c r="O2570" s="116">
        <v>212.15</v>
      </c>
      <c r="P2570" s="116">
        <v>214</v>
      </c>
      <c r="Q2570" s="116">
        <v>219.37</v>
      </c>
      <c r="R2570">
        <v>2186719</v>
      </c>
    </row>
    <row r="2571" spans="1:18" x14ac:dyDescent="0.25">
      <c r="A2571" s="169">
        <v>45792</v>
      </c>
      <c r="B2571" s="116">
        <v>221.2</v>
      </c>
      <c r="C2571" s="116">
        <v>215.65</v>
      </c>
      <c r="D2571" s="116">
        <v>215</v>
      </c>
      <c r="E2571" s="116">
        <v>221.2</v>
      </c>
      <c r="F2571" s="116">
        <v>215.65</v>
      </c>
      <c r="G2571">
        <v>110455</v>
      </c>
      <c r="H2571" s="116"/>
      <c r="I2571" s="116"/>
      <c r="L2571" s="169">
        <v>45792</v>
      </c>
      <c r="M2571" s="116">
        <v>215.61</v>
      </c>
      <c r="N2571" s="116">
        <v>220.95</v>
      </c>
      <c r="O2571" s="116">
        <v>215.1</v>
      </c>
      <c r="P2571" s="116">
        <v>220.1</v>
      </c>
      <c r="Q2571" s="116">
        <v>215.61</v>
      </c>
      <c r="R2571">
        <v>2083883</v>
      </c>
    </row>
    <row r="2572" spans="1:18" x14ac:dyDescent="0.25">
      <c r="A2572" s="169">
        <v>45793</v>
      </c>
      <c r="B2572" s="116">
        <v>219.7</v>
      </c>
      <c r="C2572" s="116">
        <v>217.15</v>
      </c>
      <c r="D2572" s="116">
        <v>216</v>
      </c>
      <c r="E2572" s="116">
        <v>216.25</v>
      </c>
      <c r="F2572" s="116">
        <v>217.15</v>
      </c>
      <c r="G2572">
        <v>132685</v>
      </c>
      <c r="H2572" s="116"/>
      <c r="I2572" s="116"/>
      <c r="L2572" s="169">
        <v>45793</v>
      </c>
      <c r="M2572" s="116">
        <v>217.13</v>
      </c>
      <c r="N2572" s="116">
        <v>219.7</v>
      </c>
      <c r="O2572" s="116">
        <v>215.9</v>
      </c>
      <c r="P2572" s="116">
        <v>217.11</v>
      </c>
      <c r="Q2572" s="116">
        <v>217.13</v>
      </c>
      <c r="R2572">
        <v>1665258</v>
      </c>
    </row>
    <row r="2573" spans="1:18" x14ac:dyDescent="0.25">
      <c r="A2573" s="169">
        <v>45796</v>
      </c>
      <c r="B2573" s="116">
        <v>226.7</v>
      </c>
      <c r="C2573" s="116">
        <v>221.9</v>
      </c>
      <c r="D2573" s="116">
        <v>217.45</v>
      </c>
      <c r="E2573" s="116">
        <v>217.45</v>
      </c>
      <c r="F2573" s="116">
        <v>221.9</v>
      </c>
      <c r="G2573">
        <v>191966</v>
      </c>
      <c r="H2573" s="116"/>
      <c r="I2573" s="116"/>
      <c r="L2573" s="169">
        <v>45796</v>
      </c>
      <c r="M2573" s="116">
        <v>221.83</v>
      </c>
      <c r="N2573" s="116">
        <v>226.54</v>
      </c>
      <c r="O2573" s="116">
        <v>218.99</v>
      </c>
      <c r="P2573" s="116">
        <v>219.8</v>
      </c>
      <c r="Q2573" s="116">
        <v>221.83</v>
      </c>
      <c r="R2573">
        <v>2451992</v>
      </c>
    </row>
    <row r="2574" spans="1:18" x14ac:dyDescent="0.25">
      <c r="A2574" s="169">
        <v>45797</v>
      </c>
      <c r="B2574" s="116">
        <v>224.5</v>
      </c>
      <c r="C2574" s="116">
        <v>215.1</v>
      </c>
      <c r="D2574" s="116">
        <v>213.5</v>
      </c>
      <c r="E2574" s="116">
        <v>223.55</v>
      </c>
      <c r="F2574" s="116">
        <v>215.1</v>
      </c>
      <c r="G2574">
        <v>182148</v>
      </c>
      <c r="H2574" s="116"/>
      <c r="I2574" s="116"/>
      <c r="L2574" s="169">
        <v>45797</v>
      </c>
      <c r="M2574" s="116">
        <v>214.65</v>
      </c>
      <c r="N2574" s="116">
        <v>224.34</v>
      </c>
      <c r="O2574" s="116">
        <v>213.5</v>
      </c>
      <c r="P2574" s="116">
        <v>223.5</v>
      </c>
      <c r="Q2574" s="116">
        <v>214.65</v>
      </c>
      <c r="R2574">
        <v>2289373</v>
      </c>
    </row>
    <row r="2575" spans="1:18" x14ac:dyDescent="0.25">
      <c r="A2575" s="169">
        <v>45798</v>
      </c>
      <c r="B2575" s="116">
        <v>214.75</v>
      </c>
      <c r="C2575" s="116">
        <v>211.4</v>
      </c>
      <c r="D2575" s="116">
        <v>210.05</v>
      </c>
      <c r="E2575" s="116">
        <v>214.75</v>
      </c>
      <c r="F2575" s="116">
        <v>211.4</v>
      </c>
      <c r="G2575">
        <v>232252</v>
      </c>
      <c r="H2575" s="116"/>
      <c r="I2575" s="116"/>
      <c r="L2575" s="169">
        <v>45798</v>
      </c>
      <c r="M2575" s="116">
        <v>211.36</v>
      </c>
      <c r="N2575" s="116">
        <v>214.7</v>
      </c>
      <c r="O2575" s="116">
        <v>210</v>
      </c>
      <c r="P2575" s="116">
        <v>214</v>
      </c>
      <c r="Q2575" s="116">
        <v>211.36</v>
      </c>
      <c r="R2575">
        <v>2896422</v>
      </c>
    </row>
    <row r="2576" spans="1:18" x14ac:dyDescent="0.25">
      <c r="A2576" s="169">
        <v>45799</v>
      </c>
      <c r="B2576" s="116">
        <v>212.2</v>
      </c>
      <c r="C2576" s="116">
        <v>209.2</v>
      </c>
      <c r="D2576" s="116">
        <v>208.2</v>
      </c>
      <c r="E2576" s="116">
        <v>211</v>
      </c>
      <c r="F2576" s="116">
        <v>209.2</v>
      </c>
      <c r="G2576">
        <v>149165</v>
      </c>
      <c r="H2576" s="116"/>
      <c r="I2576" s="116"/>
      <c r="L2576" s="169">
        <v>45799</v>
      </c>
      <c r="M2576" s="116">
        <v>209.08</v>
      </c>
      <c r="N2576" s="116">
        <v>212.14</v>
      </c>
      <c r="O2576" s="116">
        <v>208.1</v>
      </c>
      <c r="P2576" s="116">
        <v>210.5</v>
      </c>
      <c r="Q2576" s="116">
        <v>209.08</v>
      </c>
      <c r="R2576">
        <v>1585557</v>
      </c>
    </row>
    <row r="2577" spans="1:18" x14ac:dyDescent="0.25">
      <c r="A2577" s="169">
        <v>45800</v>
      </c>
      <c r="B2577" s="116">
        <v>216.95</v>
      </c>
      <c r="C2577" s="116">
        <v>215.45</v>
      </c>
      <c r="D2577" s="116">
        <v>208.1</v>
      </c>
      <c r="E2577" s="116">
        <v>208.7</v>
      </c>
      <c r="F2577" s="116">
        <v>215.45</v>
      </c>
      <c r="G2577">
        <v>140755</v>
      </c>
      <c r="H2577" s="116"/>
      <c r="I2577" s="116"/>
      <c r="L2577" s="169">
        <v>45800</v>
      </c>
      <c r="M2577" s="116">
        <v>215.62</v>
      </c>
      <c r="N2577" s="116">
        <v>216.9</v>
      </c>
      <c r="O2577" s="116">
        <v>208.31</v>
      </c>
      <c r="P2577" s="116">
        <v>209.09</v>
      </c>
      <c r="Q2577" s="116">
        <v>215.62</v>
      </c>
      <c r="R2577">
        <v>1521755</v>
      </c>
    </row>
    <row r="2578" spans="1:18" x14ac:dyDescent="0.25">
      <c r="A2578" s="169">
        <v>45803</v>
      </c>
      <c r="B2578" s="116">
        <v>219</v>
      </c>
      <c r="C2578" s="116">
        <v>215.65</v>
      </c>
      <c r="D2578" s="116">
        <v>214.65</v>
      </c>
      <c r="E2578" s="116">
        <v>216.95</v>
      </c>
      <c r="F2578" s="116">
        <v>215.65</v>
      </c>
      <c r="G2578">
        <v>69986</v>
      </c>
      <c r="H2578" s="116"/>
      <c r="I2578" s="116"/>
      <c r="L2578" s="169">
        <v>45803</v>
      </c>
      <c r="M2578" s="116">
        <v>215.86</v>
      </c>
      <c r="N2578" s="116">
        <v>219.3</v>
      </c>
      <c r="O2578" s="116">
        <v>214.56</v>
      </c>
      <c r="P2578" s="116">
        <v>216.6</v>
      </c>
      <c r="Q2578" s="116">
        <v>215.86</v>
      </c>
      <c r="R2578">
        <v>1420493</v>
      </c>
    </row>
    <row r="2579" spans="1:18" x14ac:dyDescent="0.25">
      <c r="A2579" s="169">
        <v>45804</v>
      </c>
      <c r="B2579" s="116">
        <v>217.35</v>
      </c>
      <c r="C2579" s="116">
        <v>214.65</v>
      </c>
      <c r="D2579" s="116">
        <v>213.35</v>
      </c>
      <c r="E2579" s="116">
        <v>215.7</v>
      </c>
      <c r="F2579" s="116">
        <v>214.65</v>
      </c>
      <c r="G2579">
        <v>30232</v>
      </c>
      <c r="H2579" s="116"/>
      <c r="I2579" s="116"/>
      <c r="L2579" s="169">
        <v>45804</v>
      </c>
      <c r="M2579" s="116">
        <v>214.42</v>
      </c>
      <c r="N2579" s="116">
        <v>217.7</v>
      </c>
      <c r="O2579" s="116">
        <v>213.22</v>
      </c>
      <c r="P2579" s="116">
        <v>216</v>
      </c>
      <c r="Q2579" s="116">
        <v>214.42</v>
      </c>
      <c r="R2579">
        <v>1067836</v>
      </c>
    </row>
    <row r="2580" spans="1:18" x14ac:dyDescent="0.25">
      <c r="A2580" s="169">
        <v>45805</v>
      </c>
      <c r="B2580" s="116">
        <v>217.1</v>
      </c>
      <c r="C2580" s="116">
        <v>213.55</v>
      </c>
      <c r="D2580" s="116">
        <v>213</v>
      </c>
      <c r="E2580" s="116">
        <v>213.25</v>
      </c>
      <c r="F2580" s="116">
        <v>213.55</v>
      </c>
      <c r="G2580">
        <v>83427</v>
      </c>
      <c r="H2580" s="116"/>
      <c r="I2580" s="116"/>
      <c r="L2580" s="169">
        <v>45805</v>
      </c>
      <c r="M2580" s="116">
        <v>213.49</v>
      </c>
      <c r="N2580" s="116">
        <v>217.01</v>
      </c>
      <c r="O2580" s="116">
        <v>212.69</v>
      </c>
      <c r="P2580" s="116">
        <v>213.5</v>
      </c>
      <c r="Q2580" s="116">
        <v>213.49</v>
      </c>
      <c r="R2580">
        <v>1199282</v>
      </c>
    </row>
    <row r="2581" spans="1:18" x14ac:dyDescent="0.25">
      <c r="A2581" s="169">
        <v>45806</v>
      </c>
      <c r="B2581" s="116">
        <v>216.7</v>
      </c>
      <c r="C2581" s="116">
        <v>213.6</v>
      </c>
      <c r="D2581" s="116">
        <v>212.55</v>
      </c>
      <c r="E2581" s="116">
        <v>214.5</v>
      </c>
      <c r="F2581" s="116">
        <v>213.6</v>
      </c>
      <c r="G2581">
        <v>82652</v>
      </c>
      <c r="H2581" s="116"/>
      <c r="I2581" s="116"/>
      <c r="L2581" s="169">
        <v>45806</v>
      </c>
      <c r="M2581" s="116">
        <v>213.7</v>
      </c>
      <c r="N2581" s="116">
        <v>216.87</v>
      </c>
      <c r="O2581" s="116">
        <v>212.5</v>
      </c>
      <c r="P2581" s="116">
        <v>215</v>
      </c>
      <c r="Q2581" s="116">
        <v>213.7</v>
      </c>
      <c r="R2581">
        <v>1119117</v>
      </c>
    </row>
    <row r="2582" spans="1:18" x14ac:dyDescent="0.25">
      <c r="A2582" s="169">
        <v>45807</v>
      </c>
      <c r="B2582" s="116">
        <v>214.85</v>
      </c>
      <c r="C2582" s="116">
        <v>211.65</v>
      </c>
      <c r="D2582" s="116">
        <v>210.5</v>
      </c>
      <c r="E2582" s="116">
        <v>214.85</v>
      </c>
      <c r="F2582" s="116">
        <v>211.65</v>
      </c>
      <c r="G2582">
        <v>41943</v>
      </c>
      <c r="H2582" s="116"/>
      <c r="I2582" s="116"/>
      <c r="L2582" s="169">
        <v>45807</v>
      </c>
      <c r="M2582" s="116">
        <v>211.9</v>
      </c>
      <c r="N2582" s="116">
        <v>214.61</v>
      </c>
      <c r="O2582" s="116">
        <v>210.34</v>
      </c>
      <c r="P2582" s="116">
        <v>213.8</v>
      </c>
      <c r="Q2582" s="116">
        <v>211.9</v>
      </c>
      <c r="R2582">
        <v>1757433</v>
      </c>
    </row>
    <row r="2583" spans="1:18" x14ac:dyDescent="0.25">
      <c r="A2583" s="169">
        <v>45810</v>
      </c>
      <c r="B2583" s="116">
        <v>215.5</v>
      </c>
      <c r="C2583" s="116">
        <v>214.45</v>
      </c>
      <c r="D2583" s="116">
        <v>211.25</v>
      </c>
      <c r="E2583" s="116">
        <v>211.6</v>
      </c>
      <c r="F2583" s="116">
        <v>214.45</v>
      </c>
      <c r="G2583">
        <v>42221</v>
      </c>
      <c r="H2583" s="116"/>
      <c r="I2583" s="116"/>
      <c r="L2583" s="169">
        <v>45810</v>
      </c>
      <c r="M2583" s="116">
        <v>214.1</v>
      </c>
      <c r="N2583" s="116">
        <v>215.7</v>
      </c>
      <c r="O2583" s="116">
        <v>210.98</v>
      </c>
      <c r="P2583" s="116">
        <v>211.3</v>
      </c>
      <c r="Q2583" s="116">
        <v>214.1</v>
      </c>
      <c r="R2583">
        <v>1378190</v>
      </c>
    </row>
    <row r="2584" spans="1:18" x14ac:dyDescent="0.25">
      <c r="A2584" s="169">
        <v>45811</v>
      </c>
      <c r="B2584" s="116">
        <v>215</v>
      </c>
      <c r="C2584" s="116">
        <v>210.55</v>
      </c>
      <c r="D2584" s="116">
        <v>210</v>
      </c>
      <c r="E2584" s="116">
        <v>214</v>
      </c>
      <c r="F2584" s="116">
        <v>210.55</v>
      </c>
      <c r="G2584">
        <v>82187</v>
      </c>
      <c r="H2584" s="116"/>
      <c r="I2584" s="116"/>
      <c r="L2584" s="169">
        <v>45811</v>
      </c>
      <c r="M2584" s="116">
        <v>210.39</v>
      </c>
      <c r="N2584" s="116">
        <v>215.32</v>
      </c>
      <c r="O2584" s="116">
        <v>210</v>
      </c>
      <c r="P2584" s="116">
        <v>214.1</v>
      </c>
      <c r="Q2584" s="116">
        <v>210.39</v>
      </c>
      <c r="R2584">
        <v>2180115</v>
      </c>
    </row>
    <row r="2585" spans="1:18" x14ac:dyDescent="0.25">
      <c r="A2585" s="169">
        <v>45812</v>
      </c>
      <c r="B2585" s="116">
        <v>219.45</v>
      </c>
      <c r="C2585" s="116">
        <v>217.3</v>
      </c>
      <c r="D2585" s="116">
        <v>210.3</v>
      </c>
      <c r="E2585" s="116">
        <v>211.45</v>
      </c>
      <c r="F2585" s="116">
        <v>217.3</v>
      </c>
      <c r="G2585">
        <v>241333</v>
      </c>
      <c r="H2585" s="116"/>
      <c r="I2585" s="116"/>
      <c r="L2585" s="169">
        <v>45812</v>
      </c>
      <c r="M2585" s="116">
        <v>217.21</v>
      </c>
      <c r="N2585" s="116">
        <v>219.3</v>
      </c>
      <c r="O2585" s="116">
        <v>210.11</v>
      </c>
      <c r="P2585" s="116">
        <v>210.5</v>
      </c>
      <c r="Q2585" s="116">
        <v>217.21</v>
      </c>
      <c r="R2585">
        <v>2414898</v>
      </c>
    </row>
    <row r="2586" spans="1:18" x14ac:dyDescent="0.25">
      <c r="A2586" s="169">
        <v>45813</v>
      </c>
      <c r="B2586" s="116">
        <v>219.9</v>
      </c>
      <c r="C2586" s="116">
        <v>215.4</v>
      </c>
      <c r="D2586" s="116">
        <v>215</v>
      </c>
      <c r="E2586" s="116">
        <v>217</v>
      </c>
      <c r="F2586" s="116">
        <v>215.4</v>
      </c>
      <c r="G2586">
        <v>142127</v>
      </c>
      <c r="H2586" s="116"/>
      <c r="I2586" s="116"/>
      <c r="L2586" s="169">
        <v>45813</v>
      </c>
      <c r="M2586" s="116">
        <v>215.57</v>
      </c>
      <c r="N2586" s="116">
        <v>219.81</v>
      </c>
      <c r="O2586" s="116">
        <v>215</v>
      </c>
      <c r="P2586" s="116">
        <v>217</v>
      </c>
      <c r="Q2586" s="116">
        <v>215.57</v>
      </c>
      <c r="R2586">
        <v>1984144</v>
      </c>
    </row>
    <row r="2587" spans="1:18" x14ac:dyDescent="0.25">
      <c r="A2587" s="169">
        <v>45814</v>
      </c>
      <c r="B2587" s="116">
        <v>221.9</v>
      </c>
      <c r="C2587" s="116">
        <v>218</v>
      </c>
      <c r="D2587" s="116">
        <v>216.3</v>
      </c>
      <c r="E2587" s="116">
        <v>217.25</v>
      </c>
      <c r="F2587" s="116">
        <v>218</v>
      </c>
      <c r="G2587">
        <v>142422</v>
      </c>
      <c r="H2587" s="116"/>
      <c r="I2587" s="116"/>
      <c r="L2587" s="169">
        <v>45814</v>
      </c>
      <c r="M2587" s="116">
        <v>217.85</v>
      </c>
      <c r="N2587" s="116">
        <v>221.8</v>
      </c>
      <c r="O2587" s="116">
        <v>216</v>
      </c>
      <c r="P2587" s="116">
        <v>217</v>
      </c>
      <c r="Q2587" s="116">
        <v>217.85</v>
      </c>
      <c r="R2587">
        <v>2911037</v>
      </c>
    </row>
    <row r="2588" spans="1:18" x14ac:dyDescent="0.25">
      <c r="A2588" s="169">
        <v>45817</v>
      </c>
      <c r="B2588" s="116">
        <v>233.5</v>
      </c>
      <c r="C2588" s="116">
        <v>231.9</v>
      </c>
      <c r="D2588" s="116">
        <v>218.65</v>
      </c>
      <c r="E2588" s="116">
        <v>219.05</v>
      </c>
      <c r="F2588" s="116">
        <v>231.9</v>
      </c>
      <c r="G2588">
        <v>669647</v>
      </c>
      <c r="H2588" s="116"/>
      <c r="I2588" s="116"/>
      <c r="L2588" s="169">
        <v>45817</v>
      </c>
      <c r="M2588" s="116">
        <v>231.88</v>
      </c>
      <c r="N2588" s="116">
        <v>233.47</v>
      </c>
      <c r="O2588" s="116">
        <v>218.69</v>
      </c>
      <c r="P2588" s="116">
        <v>220</v>
      </c>
      <c r="Q2588" s="116">
        <v>231.88</v>
      </c>
      <c r="R2588">
        <v>7468624</v>
      </c>
    </row>
    <row r="2589" spans="1:18" x14ac:dyDescent="0.25">
      <c r="A2589" s="169">
        <v>45818</v>
      </c>
      <c r="B2589" s="116">
        <v>257.2</v>
      </c>
      <c r="C2589" s="116">
        <v>247.8</v>
      </c>
      <c r="D2589" s="116">
        <v>238.2</v>
      </c>
      <c r="E2589" s="116">
        <v>238.2</v>
      </c>
      <c r="F2589" s="116">
        <v>247.8</v>
      </c>
      <c r="G2589">
        <v>2892530</v>
      </c>
      <c r="H2589" s="116"/>
      <c r="I2589" s="116"/>
      <c r="L2589" s="169">
        <v>45818</v>
      </c>
      <c r="M2589" s="116">
        <v>247.99</v>
      </c>
      <c r="N2589" s="116">
        <v>257</v>
      </c>
      <c r="O2589" s="116">
        <v>238.5</v>
      </c>
      <c r="P2589" s="116">
        <v>238.5</v>
      </c>
      <c r="Q2589" s="116">
        <v>247.99</v>
      </c>
      <c r="R2589">
        <v>52719005</v>
      </c>
    </row>
    <row r="2590" spans="1:18" x14ac:dyDescent="0.25">
      <c r="A2590" s="169">
        <v>45819</v>
      </c>
      <c r="B2590" s="116">
        <v>254.6</v>
      </c>
      <c r="C2590" s="116">
        <v>251.05</v>
      </c>
      <c r="D2590" s="116">
        <v>244.15</v>
      </c>
      <c r="E2590" s="116">
        <v>250.9</v>
      </c>
      <c r="F2590" s="116">
        <v>251.05</v>
      </c>
      <c r="G2590">
        <v>406510</v>
      </c>
      <c r="H2590" s="116"/>
      <c r="I2590" s="116"/>
      <c r="L2590" s="169">
        <v>45819</v>
      </c>
      <c r="M2590" s="116">
        <v>250.84</v>
      </c>
      <c r="N2590" s="116">
        <v>254.65</v>
      </c>
      <c r="O2590" s="116">
        <v>244.2</v>
      </c>
      <c r="P2590" s="116">
        <v>250.31</v>
      </c>
      <c r="Q2590" s="116">
        <v>250.84</v>
      </c>
      <c r="R2590">
        <v>7630120</v>
      </c>
    </row>
    <row r="2591" spans="1:18" x14ac:dyDescent="0.25">
      <c r="A2591" s="169">
        <v>45820</v>
      </c>
      <c r="B2591" s="116">
        <v>260.2</v>
      </c>
      <c r="C2591" s="116">
        <v>246.15</v>
      </c>
      <c r="D2591" s="116">
        <v>245.05</v>
      </c>
      <c r="E2591" s="116">
        <v>251</v>
      </c>
      <c r="F2591" s="116">
        <v>246.15</v>
      </c>
      <c r="G2591">
        <v>577767</v>
      </c>
      <c r="H2591" s="116"/>
      <c r="I2591" s="116"/>
      <c r="L2591" s="169">
        <v>45820</v>
      </c>
      <c r="M2591" s="116">
        <v>245.95</v>
      </c>
      <c r="N2591" s="116">
        <v>260.39999999999998</v>
      </c>
      <c r="O2591" s="116">
        <v>245.16</v>
      </c>
      <c r="P2591" s="116">
        <v>250.4</v>
      </c>
      <c r="Q2591" s="116">
        <v>245.95</v>
      </c>
      <c r="R2591">
        <v>7809410</v>
      </c>
    </row>
    <row r="2592" spans="1:18" x14ac:dyDescent="0.25">
      <c r="A2592" s="169">
        <v>45821</v>
      </c>
      <c r="B2592" s="116">
        <v>246</v>
      </c>
      <c r="C2592" s="116">
        <v>239.5</v>
      </c>
      <c r="D2592" s="116">
        <v>236.1</v>
      </c>
      <c r="E2592" s="116">
        <v>238.35</v>
      </c>
      <c r="F2592" s="116">
        <v>239.5</v>
      </c>
      <c r="G2592">
        <v>394668</v>
      </c>
      <c r="H2592" s="116"/>
      <c r="I2592" s="116"/>
      <c r="L2592" s="169">
        <v>45821</v>
      </c>
      <c r="M2592" s="116">
        <v>239.33</v>
      </c>
      <c r="N2592" s="116">
        <v>246</v>
      </c>
      <c r="O2592" s="116">
        <v>235.99</v>
      </c>
      <c r="P2592" s="116">
        <v>237</v>
      </c>
      <c r="Q2592" s="116">
        <v>239.33</v>
      </c>
      <c r="R2592">
        <v>4342495</v>
      </c>
    </row>
    <row r="2593" spans="1:18" x14ac:dyDescent="0.25">
      <c r="A2593" s="169">
        <v>45824</v>
      </c>
      <c r="B2593" s="116">
        <v>245.8</v>
      </c>
      <c r="C2593" s="116">
        <v>239.35</v>
      </c>
      <c r="D2593" s="116">
        <v>232.6</v>
      </c>
      <c r="E2593" s="116">
        <v>240.05</v>
      </c>
      <c r="F2593" s="116">
        <v>239.35</v>
      </c>
      <c r="G2593">
        <v>240674</v>
      </c>
      <c r="H2593" s="116"/>
      <c r="I2593" s="116"/>
      <c r="L2593" s="169">
        <v>45824</v>
      </c>
      <c r="M2593" s="116">
        <v>239.13</v>
      </c>
      <c r="N2593" s="116">
        <v>245.65</v>
      </c>
      <c r="O2593" s="116">
        <v>232.63</v>
      </c>
      <c r="P2593" s="116">
        <v>241.69</v>
      </c>
      <c r="Q2593" s="116">
        <v>239.13</v>
      </c>
      <c r="R2593">
        <v>3154992</v>
      </c>
    </row>
    <row r="2594" spans="1:18" x14ac:dyDescent="0.25">
      <c r="A2594" s="169">
        <v>45825</v>
      </c>
      <c r="B2594" s="116">
        <v>240.05</v>
      </c>
      <c r="C2594" s="116">
        <v>232.8</v>
      </c>
      <c r="D2594" s="116">
        <v>231.8</v>
      </c>
      <c r="E2594" s="116">
        <v>240</v>
      </c>
      <c r="F2594" s="116">
        <v>232.8</v>
      </c>
      <c r="G2594">
        <v>156677</v>
      </c>
      <c r="H2594" s="116"/>
      <c r="I2594" s="116"/>
      <c r="L2594" s="169">
        <v>45825</v>
      </c>
      <c r="M2594" s="116">
        <v>232.93</v>
      </c>
      <c r="N2594" s="116">
        <v>240.23</v>
      </c>
      <c r="O2594" s="116">
        <v>231.98</v>
      </c>
      <c r="P2594" s="116">
        <v>240</v>
      </c>
      <c r="Q2594" s="116">
        <v>232.93</v>
      </c>
      <c r="R2594">
        <v>2170145</v>
      </c>
    </row>
    <row r="2595" spans="1:18" x14ac:dyDescent="0.25">
      <c r="A2595" s="169">
        <v>45826</v>
      </c>
      <c r="B2595" s="116">
        <v>236.9</v>
      </c>
      <c r="C2595" s="116">
        <v>236.15</v>
      </c>
      <c r="D2595" s="116">
        <v>228.05</v>
      </c>
      <c r="E2595" s="116">
        <v>232.25</v>
      </c>
      <c r="F2595" s="116">
        <v>236.15</v>
      </c>
      <c r="G2595">
        <v>122485</v>
      </c>
      <c r="H2595" s="116"/>
      <c r="I2595" s="116"/>
      <c r="L2595" s="169">
        <v>45826</v>
      </c>
      <c r="M2595" s="116">
        <v>236.04</v>
      </c>
      <c r="N2595" s="116">
        <v>237</v>
      </c>
      <c r="O2595" s="116">
        <v>228.12</v>
      </c>
      <c r="P2595" s="116">
        <v>232.5</v>
      </c>
      <c r="Q2595" s="116">
        <v>236.04</v>
      </c>
      <c r="R2595">
        <v>3051373</v>
      </c>
    </row>
    <row r="2596" spans="1:18" x14ac:dyDescent="0.25">
      <c r="A2596" s="169">
        <v>45827</v>
      </c>
      <c r="B2596" s="116">
        <v>237.8</v>
      </c>
      <c r="C2596" s="116">
        <v>232.35</v>
      </c>
      <c r="D2596" s="116">
        <v>228</v>
      </c>
      <c r="E2596" s="116">
        <v>237.8</v>
      </c>
      <c r="F2596" s="116">
        <v>232.35</v>
      </c>
      <c r="G2596">
        <v>142367</v>
      </c>
      <c r="H2596" s="116"/>
      <c r="I2596" s="116"/>
      <c r="L2596" s="169">
        <v>45827</v>
      </c>
      <c r="M2596" s="116">
        <v>232.11</v>
      </c>
      <c r="N2596" s="116">
        <v>237.5</v>
      </c>
      <c r="O2596" s="116">
        <v>227.88</v>
      </c>
      <c r="P2596" s="116">
        <v>236.5</v>
      </c>
      <c r="Q2596" s="116">
        <v>232.11</v>
      </c>
      <c r="R2596">
        <v>1899738</v>
      </c>
    </row>
    <row r="2597" spans="1:18" x14ac:dyDescent="0.25">
      <c r="A2597" s="169">
        <v>45828</v>
      </c>
      <c r="B2597" s="116">
        <v>241</v>
      </c>
      <c r="C2597" s="116">
        <v>239.75</v>
      </c>
      <c r="D2597" s="116">
        <v>228.8</v>
      </c>
      <c r="E2597" s="116">
        <v>230</v>
      </c>
      <c r="F2597" s="116">
        <v>239.75</v>
      </c>
      <c r="G2597">
        <v>167007</v>
      </c>
      <c r="H2597" s="116"/>
      <c r="I2597" s="116"/>
      <c r="L2597" s="169">
        <v>45828</v>
      </c>
      <c r="M2597" s="116">
        <v>239.52</v>
      </c>
      <c r="N2597" s="116">
        <v>241.5</v>
      </c>
      <c r="O2597" s="116">
        <v>229.01</v>
      </c>
      <c r="P2597" s="116">
        <v>229.9</v>
      </c>
      <c r="Q2597" s="116">
        <v>239.52</v>
      </c>
      <c r="R2597">
        <v>3590905</v>
      </c>
    </row>
    <row r="2598" spans="1:18" x14ac:dyDescent="0.25">
      <c r="A2598" s="169">
        <v>45831</v>
      </c>
      <c r="B2598" s="116">
        <v>238.9</v>
      </c>
      <c r="C2598" s="116">
        <v>235.05</v>
      </c>
      <c r="D2598" s="116">
        <v>234.1</v>
      </c>
      <c r="E2598" s="116">
        <v>236.1</v>
      </c>
      <c r="F2598" s="116">
        <v>235.05</v>
      </c>
      <c r="G2598">
        <v>137408</v>
      </c>
      <c r="H2598" s="116"/>
      <c r="I2598" s="116"/>
      <c r="L2598" s="169">
        <v>45831</v>
      </c>
      <c r="M2598" s="116">
        <v>235</v>
      </c>
      <c r="N2598" s="116">
        <v>238.51</v>
      </c>
      <c r="O2598" s="116">
        <v>234.29</v>
      </c>
      <c r="P2598" s="116">
        <v>236.7</v>
      </c>
      <c r="Q2598" s="116">
        <v>235</v>
      </c>
      <c r="R2598">
        <v>1450920</v>
      </c>
    </row>
    <row r="2599" spans="1:18" x14ac:dyDescent="0.25">
      <c r="A2599" s="169">
        <v>45832</v>
      </c>
      <c r="B2599" s="116">
        <v>241.85</v>
      </c>
      <c r="C2599" s="116">
        <v>235</v>
      </c>
      <c r="D2599" s="116">
        <v>234.2</v>
      </c>
      <c r="E2599" s="116">
        <v>239.3</v>
      </c>
      <c r="F2599" s="116">
        <v>235</v>
      </c>
      <c r="G2599">
        <v>161647</v>
      </c>
      <c r="H2599" s="116"/>
      <c r="I2599" s="116"/>
      <c r="L2599" s="169">
        <v>45832</v>
      </c>
      <c r="M2599" s="116">
        <v>235.11</v>
      </c>
      <c r="N2599" s="116">
        <v>241.78</v>
      </c>
      <c r="O2599" s="116">
        <v>234.12</v>
      </c>
      <c r="P2599" s="116">
        <v>239</v>
      </c>
      <c r="Q2599" s="116">
        <v>235.11</v>
      </c>
      <c r="R2599">
        <v>1642061</v>
      </c>
    </row>
    <row r="2600" spans="1:18" x14ac:dyDescent="0.25">
      <c r="A2600" s="169">
        <v>45833</v>
      </c>
      <c r="B2600" s="116">
        <v>244.3</v>
      </c>
      <c r="C2600" s="116">
        <v>241.6</v>
      </c>
      <c r="D2600" s="116">
        <v>235.85</v>
      </c>
      <c r="E2600" s="116">
        <v>235.85</v>
      </c>
      <c r="F2600" s="116">
        <v>241.6</v>
      </c>
      <c r="G2600">
        <v>150677</v>
      </c>
      <c r="H2600" s="116"/>
      <c r="I2600" s="116"/>
      <c r="L2600" s="169">
        <v>45833</v>
      </c>
      <c r="M2600" s="116">
        <v>240.91</v>
      </c>
      <c r="N2600" s="116">
        <v>243.5</v>
      </c>
      <c r="O2600" s="116">
        <v>235.95</v>
      </c>
      <c r="P2600" s="116">
        <v>236.95</v>
      </c>
      <c r="Q2600" s="116">
        <v>240.91</v>
      </c>
      <c r="R2600">
        <v>2560818</v>
      </c>
    </row>
    <row r="2601" spans="1:18" x14ac:dyDescent="0.25">
      <c r="A2601" s="169">
        <v>45834</v>
      </c>
      <c r="B2601" s="116">
        <v>245.1</v>
      </c>
      <c r="C2601" s="116">
        <v>241.8</v>
      </c>
      <c r="D2601" s="116">
        <v>239.55</v>
      </c>
      <c r="E2601" s="116">
        <v>239.55</v>
      </c>
      <c r="F2601" s="116">
        <v>241.8</v>
      </c>
      <c r="G2601">
        <v>94085</v>
      </c>
      <c r="H2601" s="116"/>
      <c r="I2601" s="116"/>
      <c r="L2601" s="169">
        <v>45834</v>
      </c>
      <c r="M2601" s="116">
        <v>241.96</v>
      </c>
      <c r="N2601" s="116">
        <v>245.48</v>
      </c>
      <c r="O2601" s="116">
        <v>239.91</v>
      </c>
      <c r="P2601" s="116">
        <v>242.4</v>
      </c>
      <c r="Q2601" s="116">
        <v>241.96</v>
      </c>
      <c r="R2601">
        <v>1581331</v>
      </c>
    </row>
    <row r="2602" spans="1:18" x14ac:dyDescent="0.25">
      <c r="A2602" s="169">
        <v>45835</v>
      </c>
      <c r="B2602" s="116">
        <v>247.75</v>
      </c>
      <c r="C2602" s="116">
        <v>244.05</v>
      </c>
      <c r="D2602" s="116">
        <v>239.2</v>
      </c>
      <c r="E2602" s="116">
        <v>243.75</v>
      </c>
      <c r="F2602" s="116">
        <v>244.05</v>
      </c>
      <c r="G2602">
        <v>165293</v>
      </c>
      <c r="H2602" s="116"/>
      <c r="I2602" s="116"/>
      <c r="L2602" s="169">
        <v>45835</v>
      </c>
      <c r="M2602" s="116">
        <v>243.92</v>
      </c>
      <c r="N2602" s="116">
        <v>247.8</v>
      </c>
      <c r="O2602" s="116">
        <v>239.34</v>
      </c>
      <c r="P2602" s="116">
        <v>243.2</v>
      </c>
      <c r="Q2602" s="116">
        <v>243.92</v>
      </c>
      <c r="R2602">
        <v>4057933</v>
      </c>
    </row>
    <row r="2603" spans="1:18" x14ac:dyDescent="0.25">
      <c r="A2603" s="169">
        <v>45838</v>
      </c>
      <c r="B2603" s="116">
        <v>245.2</v>
      </c>
      <c r="C2603" s="116">
        <v>240.75</v>
      </c>
      <c r="D2603" s="116">
        <v>240.15</v>
      </c>
      <c r="E2603" s="116">
        <v>244.95</v>
      </c>
      <c r="F2603" s="116">
        <v>240.75</v>
      </c>
      <c r="G2603">
        <v>62828</v>
      </c>
      <c r="H2603" s="116"/>
      <c r="I2603" s="116"/>
      <c r="L2603" s="169">
        <v>45838</v>
      </c>
      <c r="M2603" s="116">
        <v>240.78</v>
      </c>
      <c r="N2603" s="116">
        <v>245.3</v>
      </c>
      <c r="O2603" s="116">
        <v>240.01</v>
      </c>
      <c r="P2603" s="116">
        <v>243.92</v>
      </c>
      <c r="Q2603" s="116">
        <v>240.78</v>
      </c>
      <c r="R2603">
        <v>1915210</v>
      </c>
    </row>
    <row r="2604" spans="1:18" x14ac:dyDescent="0.25">
      <c r="A2604" s="169">
        <v>45839</v>
      </c>
      <c r="B2604" s="116">
        <v>244.9</v>
      </c>
      <c r="C2604" s="116">
        <v>239.3</v>
      </c>
      <c r="D2604" s="116">
        <v>238.1</v>
      </c>
      <c r="E2604" s="116">
        <v>240.05</v>
      </c>
      <c r="F2604" s="116">
        <v>239.3</v>
      </c>
      <c r="G2604">
        <v>59323</v>
      </c>
      <c r="H2604" s="116"/>
      <c r="I2604" s="116"/>
      <c r="L2604" s="169">
        <v>45839</v>
      </c>
      <c r="M2604" s="116">
        <v>239.03</v>
      </c>
      <c r="N2604" s="116">
        <v>244.91</v>
      </c>
      <c r="O2604" s="116">
        <v>238.1</v>
      </c>
      <c r="P2604" s="116">
        <v>241.1</v>
      </c>
      <c r="Q2604" s="116">
        <v>239.03</v>
      </c>
      <c r="R2604">
        <v>1919691</v>
      </c>
    </row>
    <row r="2605" spans="1:18" x14ac:dyDescent="0.25">
      <c r="A2605" s="169">
        <v>45840</v>
      </c>
      <c r="B2605" s="116">
        <v>240.95</v>
      </c>
      <c r="C2605" s="116">
        <v>235.9</v>
      </c>
      <c r="D2605" s="116">
        <v>232.95</v>
      </c>
      <c r="E2605" s="116">
        <v>240.95</v>
      </c>
      <c r="F2605" s="116">
        <v>235.9</v>
      </c>
      <c r="G2605">
        <v>109919</v>
      </c>
      <c r="H2605" s="116"/>
      <c r="I2605" s="116"/>
      <c r="L2605" s="169">
        <v>45840</v>
      </c>
      <c r="M2605" s="116">
        <v>236.27</v>
      </c>
      <c r="N2605" s="116">
        <v>241</v>
      </c>
      <c r="O2605" s="116">
        <v>232.89</v>
      </c>
      <c r="P2605" s="116">
        <v>240.7</v>
      </c>
      <c r="Q2605" s="116">
        <v>236.27</v>
      </c>
      <c r="R2605">
        <v>2677416</v>
      </c>
    </row>
    <row r="2606" spans="1:18" x14ac:dyDescent="0.25">
      <c r="A2606" s="169">
        <v>45841</v>
      </c>
      <c r="B2606" s="116">
        <v>238.25</v>
      </c>
      <c r="C2606" s="116">
        <v>233.05</v>
      </c>
      <c r="D2606" s="116">
        <v>232.7</v>
      </c>
      <c r="E2606" s="116">
        <v>234.8</v>
      </c>
      <c r="F2606" s="116">
        <v>233.05</v>
      </c>
      <c r="G2606">
        <v>52220</v>
      </c>
      <c r="H2606" s="116"/>
      <c r="I2606" s="116"/>
      <c r="L2606" s="169">
        <v>45841</v>
      </c>
      <c r="M2606" s="116">
        <v>233.03</v>
      </c>
      <c r="N2606" s="116">
        <v>238.4</v>
      </c>
      <c r="O2606" s="116">
        <v>232.5</v>
      </c>
      <c r="P2606" s="116">
        <v>236</v>
      </c>
      <c r="Q2606" s="116">
        <v>233.03</v>
      </c>
      <c r="R2606">
        <v>2039001</v>
      </c>
    </row>
    <row r="2607" spans="1:18" x14ac:dyDescent="0.25">
      <c r="A2607" s="169">
        <v>45842</v>
      </c>
      <c r="B2607" s="116">
        <v>237.8</v>
      </c>
      <c r="C2607" s="116">
        <v>233.05</v>
      </c>
      <c r="D2607" s="116">
        <v>231.5</v>
      </c>
      <c r="E2607" s="116">
        <v>237.8</v>
      </c>
      <c r="F2607" s="116">
        <v>233.05</v>
      </c>
      <c r="G2607">
        <v>100651</v>
      </c>
      <c r="H2607" s="116"/>
      <c r="I2607" s="116"/>
      <c r="L2607" s="169">
        <v>45842</v>
      </c>
      <c r="M2607" s="116">
        <v>232.89</v>
      </c>
      <c r="N2607" s="116">
        <v>236.01</v>
      </c>
      <c r="O2607" s="116">
        <v>231.52</v>
      </c>
      <c r="P2607" s="116">
        <v>233.03</v>
      </c>
      <c r="Q2607" s="116">
        <v>232.89</v>
      </c>
      <c r="R2607">
        <v>1338746</v>
      </c>
    </row>
    <row r="2608" spans="1:18" x14ac:dyDescent="0.25">
      <c r="A2608" s="169">
        <v>45845</v>
      </c>
      <c r="B2608" s="116">
        <v>234.15</v>
      </c>
      <c r="C2608" s="116">
        <v>232.3</v>
      </c>
      <c r="D2608" s="116">
        <v>230.7</v>
      </c>
      <c r="E2608" s="116">
        <v>233.25</v>
      </c>
      <c r="F2608" s="116">
        <v>232.3</v>
      </c>
      <c r="G2608">
        <v>57396</v>
      </c>
      <c r="H2608" s="116"/>
      <c r="I2608" s="116"/>
      <c r="L2608" s="169">
        <v>45845</v>
      </c>
      <c r="M2608" s="116">
        <v>232.37</v>
      </c>
      <c r="N2608" s="116">
        <v>234.14</v>
      </c>
      <c r="O2608" s="116">
        <v>230.75</v>
      </c>
      <c r="P2608" s="116">
        <v>233.5</v>
      </c>
      <c r="Q2608" s="116">
        <v>232.37</v>
      </c>
      <c r="R2608">
        <v>870086</v>
      </c>
    </row>
    <row r="2609" spans="1:18" x14ac:dyDescent="0.25">
      <c r="A2609" s="169">
        <v>45846</v>
      </c>
      <c r="B2609" s="116">
        <v>233.2</v>
      </c>
      <c r="C2609" s="116">
        <v>228.75</v>
      </c>
      <c r="D2609" s="116">
        <v>227.5</v>
      </c>
      <c r="E2609" s="116">
        <v>233.2</v>
      </c>
      <c r="F2609" s="116">
        <v>228.75</v>
      </c>
      <c r="G2609">
        <v>45880</v>
      </c>
      <c r="H2609" s="116"/>
      <c r="I2609" s="116"/>
      <c r="L2609" s="169">
        <v>45846</v>
      </c>
      <c r="M2609" s="116">
        <v>228.6</v>
      </c>
      <c r="N2609" s="116">
        <v>233.24</v>
      </c>
      <c r="O2609" s="116">
        <v>227.13</v>
      </c>
      <c r="P2609" s="116">
        <v>231.4</v>
      </c>
      <c r="Q2609" s="116">
        <v>228.6</v>
      </c>
      <c r="R2609">
        <v>1324823</v>
      </c>
    </row>
    <row r="2610" spans="1:18" x14ac:dyDescent="0.25">
      <c r="A2610" s="169">
        <v>45847</v>
      </c>
      <c r="B2610" s="116">
        <v>232.5</v>
      </c>
      <c r="C2610" s="116">
        <v>230.6</v>
      </c>
      <c r="D2610" s="116">
        <v>228.15</v>
      </c>
      <c r="E2610" s="116">
        <v>228.15</v>
      </c>
      <c r="F2610" s="116">
        <v>230.6</v>
      </c>
      <c r="G2610">
        <v>88662</v>
      </c>
      <c r="H2610" s="116"/>
      <c r="I2610" s="116"/>
      <c r="L2610" s="169">
        <v>45847</v>
      </c>
      <c r="M2610" s="116">
        <v>230.6</v>
      </c>
      <c r="N2610" s="116">
        <v>232.4</v>
      </c>
      <c r="O2610" s="116">
        <v>228.24</v>
      </c>
      <c r="P2610" s="116">
        <v>228.6</v>
      </c>
      <c r="Q2610" s="116">
        <v>230.6</v>
      </c>
      <c r="R2610">
        <v>890652</v>
      </c>
    </row>
    <row r="2611" spans="1:18" x14ac:dyDescent="0.25">
      <c r="A2611" s="169">
        <v>45848</v>
      </c>
      <c r="B2611" s="116">
        <v>234.35</v>
      </c>
      <c r="C2611" s="116">
        <v>229.25</v>
      </c>
      <c r="D2611" s="116">
        <v>227.65</v>
      </c>
      <c r="E2611" s="116">
        <v>231.85</v>
      </c>
      <c r="F2611" s="116">
        <v>229.25</v>
      </c>
      <c r="G2611">
        <v>82471</v>
      </c>
      <c r="H2611" s="116"/>
      <c r="I2611" s="116"/>
      <c r="L2611" s="169">
        <v>45848</v>
      </c>
      <c r="M2611" s="116">
        <v>229.4</v>
      </c>
      <c r="N2611" s="116">
        <v>234.41</v>
      </c>
      <c r="O2611" s="116">
        <v>227.65</v>
      </c>
      <c r="P2611" s="116">
        <v>231</v>
      </c>
      <c r="Q2611" s="116">
        <v>229.4</v>
      </c>
      <c r="R2611">
        <v>1276669</v>
      </c>
    </row>
    <row r="2612" spans="1:18" x14ac:dyDescent="0.25">
      <c r="A2612" s="169">
        <v>45849</v>
      </c>
      <c r="B2612" s="116">
        <v>229.4</v>
      </c>
      <c r="C2612" s="116">
        <v>224.55</v>
      </c>
      <c r="D2612" s="116">
        <v>224</v>
      </c>
      <c r="E2612" s="116">
        <v>229</v>
      </c>
      <c r="F2612" s="116">
        <v>224.55</v>
      </c>
      <c r="G2612">
        <v>32336</v>
      </c>
      <c r="H2612" s="116"/>
      <c r="I2612" s="116"/>
      <c r="L2612" s="169">
        <v>45849</v>
      </c>
      <c r="M2612" s="116">
        <v>224.71</v>
      </c>
      <c r="N2612" s="116">
        <v>229.5</v>
      </c>
      <c r="O2612" s="116">
        <v>224</v>
      </c>
      <c r="P2612" s="116">
        <v>229.4</v>
      </c>
      <c r="Q2612" s="116">
        <v>224.71</v>
      </c>
      <c r="R2612">
        <v>1320536</v>
      </c>
    </row>
    <row r="2613" spans="1:18" x14ac:dyDescent="0.25">
      <c r="A2613" s="169">
        <v>45852</v>
      </c>
      <c r="B2613" s="116">
        <v>225.75</v>
      </c>
      <c r="C2613" s="116">
        <v>224.4</v>
      </c>
      <c r="D2613" s="116">
        <v>221.65</v>
      </c>
      <c r="E2613" s="116">
        <v>225.75</v>
      </c>
      <c r="F2613" s="116">
        <v>224.4</v>
      </c>
      <c r="G2613">
        <v>28147</v>
      </c>
      <c r="H2613" s="116"/>
      <c r="I2613" s="116"/>
      <c r="L2613" s="169">
        <v>45852</v>
      </c>
      <c r="M2613" s="116">
        <v>224.25</v>
      </c>
      <c r="N2613" s="116">
        <v>225.09</v>
      </c>
      <c r="O2613" s="116">
        <v>221.41</v>
      </c>
      <c r="P2613" s="116">
        <v>223.75</v>
      </c>
      <c r="Q2613" s="116">
        <v>224.25</v>
      </c>
      <c r="R2613">
        <v>753086</v>
      </c>
    </row>
    <row r="2614" spans="1:18" x14ac:dyDescent="0.25">
      <c r="A2614" s="169">
        <v>45853</v>
      </c>
      <c r="B2614" s="116">
        <v>226.35</v>
      </c>
      <c r="C2614" s="116">
        <v>224.95</v>
      </c>
      <c r="D2614" s="116">
        <v>223.3</v>
      </c>
      <c r="E2614" s="116">
        <v>224.3</v>
      </c>
      <c r="F2614" s="116">
        <v>224.95</v>
      </c>
      <c r="G2614">
        <v>84017</v>
      </c>
      <c r="H2614" s="116"/>
      <c r="I2614" s="116"/>
      <c r="L2614" s="169">
        <v>45853</v>
      </c>
      <c r="M2614" s="116">
        <v>224.65</v>
      </c>
      <c r="N2614" s="116">
        <v>226.23</v>
      </c>
      <c r="O2614" s="116">
        <v>223.24</v>
      </c>
      <c r="P2614" s="116">
        <v>224.63</v>
      </c>
      <c r="Q2614" s="116">
        <v>224.65</v>
      </c>
      <c r="R2614">
        <v>1214301</v>
      </c>
    </row>
    <row r="2615" spans="1:18" x14ac:dyDescent="0.25">
      <c r="A2615" s="169">
        <v>45854</v>
      </c>
      <c r="B2615" s="116">
        <v>229.6</v>
      </c>
      <c r="C2615" s="116">
        <v>228.55</v>
      </c>
      <c r="D2615" s="116">
        <v>223.45</v>
      </c>
      <c r="E2615" s="116">
        <v>226.25</v>
      </c>
      <c r="F2615" s="116">
        <v>228.55</v>
      </c>
      <c r="G2615">
        <v>154923</v>
      </c>
      <c r="H2615" s="116"/>
      <c r="I2615" s="116"/>
      <c r="L2615" s="169">
        <v>45854</v>
      </c>
      <c r="M2615" s="116">
        <v>228.61</v>
      </c>
      <c r="N2615" s="116">
        <v>229.9</v>
      </c>
      <c r="O2615" s="116">
        <v>223.5</v>
      </c>
      <c r="P2615" s="116">
        <v>225.5</v>
      </c>
      <c r="Q2615" s="116">
        <v>228.61</v>
      </c>
      <c r="R2615">
        <v>1207474</v>
      </c>
    </row>
    <row r="2616" spans="1:18" x14ac:dyDescent="0.25">
      <c r="A2616" s="169">
        <v>45855</v>
      </c>
      <c r="B2616" s="116">
        <v>230.25</v>
      </c>
      <c r="C2616" s="116">
        <v>229</v>
      </c>
      <c r="D2616" s="116">
        <v>227.7</v>
      </c>
      <c r="E2616" s="116">
        <v>228.85</v>
      </c>
      <c r="F2616" s="116">
        <v>229</v>
      </c>
      <c r="G2616">
        <v>38433</v>
      </c>
      <c r="H2616" s="116"/>
      <c r="I2616" s="116"/>
      <c r="L2616" s="169">
        <v>45855</v>
      </c>
      <c r="M2616" s="116">
        <v>228.95</v>
      </c>
      <c r="N2616" s="116">
        <v>230.44</v>
      </c>
      <c r="O2616" s="116">
        <v>227.5</v>
      </c>
      <c r="P2616" s="116">
        <v>228.62</v>
      </c>
      <c r="Q2616" s="116">
        <v>228.95</v>
      </c>
      <c r="R2616">
        <v>761441</v>
      </c>
    </row>
    <row r="2617" spans="1:18" x14ac:dyDescent="0.25">
      <c r="A2617" s="169">
        <v>45856</v>
      </c>
      <c r="B2617" s="116">
        <v>230.55</v>
      </c>
      <c r="C2617" s="116">
        <v>228.45</v>
      </c>
      <c r="D2617" s="116">
        <v>225.7</v>
      </c>
      <c r="E2617" s="116">
        <v>230.55</v>
      </c>
      <c r="F2617" s="116">
        <v>228.45</v>
      </c>
      <c r="G2617">
        <v>68357</v>
      </c>
      <c r="H2617" s="116"/>
      <c r="I2617" s="116"/>
      <c r="L2617" s="169">
        <v>45856</v>
      </c>
      <c r="M2617" s="116">
        <v>228.49</v>
      </c>
      <c r="N2617" s="116">
        <v>230</v>
      </c>
      <c r="O2617" s="116">
        <v>225.5</v>
      </c>
      <c r="P2617" s="116">
        <v>228.89</v>
      </c>
      <c r="Q2617" s="116">
        <v>228.49</v>
      </c>
      <c r="R2617">
        <v>626627</v>
      </c>
    </row>
    <row r="2618" spans="1:18" x14ac:dyDescent="0.25">
      <c r="A2618" s="169">
        <v>45859</v>
      </c>
      <c r="B2618" s="116">
        <v>229.5</v>
      </c>
      <c r="C2618" s="116">
        <v>228.7</v>
      </c>
      <c r="D2618" s="116">
        <v>226.25</v>
      </c>
      <c r="E2618" s="116">
        <v>228</v>
      </c>
      <c r="F2618" s="116">
        <v>228.7</v>
      </c>
      <c r="G2618">
        <v>28994</v>
      </c>
      <c r="H2618" s="116"/>
      <c r="I2618" s="116"/>
      <c r="L2618" s="169">
        <v>45859</v>
      </c>
      <c r="M2618" s="116">
        <v>228.76</v>
      </c>
      <c r="N2618" s="116">
        <v>229.68</v>
      </c>
      <c r="O2618" s="116">
        <v>226.4</v>
      </c>
      <c r="P2618" s="116">
        <v>228.49</v>
      </c>
      <c r="Q2618" s="116">
        <v>228.76</v>
      </c>
      <c r="R2618">
        <v>640137</v>
      </c>
    </row>
    <row r="2619" spans="1:18" x14ac:dyDescent="0.25">
      <c r="A2619" s="169">
        <v>45860</v>
      </c>
      <c r="B2619" s="116">
        <v>230.3</v>
      </c>
      <c r="C2619" s="116">
        <v>224.8</v>
      </c>
      <c r="D2619" s="116">
        <v>224.25</v>
      </c>
      <c r="E2619" s="116">
        <v>228.75</v>
      </c>
      <c r="F2619" s="116">
        <v>224.8</v>
      </c>
      <c r="G2619">
        <v>22862</v>
      </c>
      <c r="H2619" s="116"/>
      <c r="I2619" s="116"/>
      <c r="L2619" s="169">
        <v>45860</v>
      </c>
      <c r="M2619" s="116">
        <v>224.73</v>
      </c>
      <c r="N2619" s="116">
        <v>230.18</v>
      </c>
      <c r="O2619" s="116">
        <v>224.2</v>
      </c>
      <c r="P2619" s="116">
        <v>229.44</v>
      </c>
      <c r="Q2619" s="116">
        <v>224.73</v>
      </c>
      <c r="R2619">
        <v>702814</v>
      </c>
    </row>
    <row r="2620" spans="1:18" x14ac:dyDescent="0.25">
      <c r="A2620" s="169">
        <v>45861</v>
      </c>
      <c r="B2620" s="116">
        <v>229.1</v>
      </c>
      <c r="C2620" s="116">
        <v>226.75</v>
      </c>
      <c r="D2620" s="116">
        <v>224.55</v>
      </c>
      <c r="E2620" s="116">
        <v>224.85</v>
      </c>
      <c r="F2620" s="116">
        <v>226.75</v>
      </c>
      <c r="G2620">
        <v>87351</v>
      </c>
      <c r="H2620" s="116"/>
      <c r="I2620" s="116"/>
      <c r="L2620" s="169">
        <v>45861</v>
      </c>
      <c r="M2620" s="116">
        <v>226.97</v>
      </c>
      <c r="N2620" s="116">
        <v>229.22</v>
      </c>
      <c r="O2620" s="116">
        <v>224.5</v>
      </c>
      <c r="P2620" s="116">
        <v>225.51</v>
      </c>
      <c r="Q2620" s="116">
        <v>226.97</v>
      </c>
      <c r="R2620">
        <v>882321</v>
      </c>
    </row>
    <row r="2621" spans="1:18" x14ac:dyDescent="0.25">
      <c r="A2621" s="169">
        <v>45862</v>
      </c>
      <c r="B2621" s="116">
        <v>229.95</v>
      </c>
      <c r="C2621" s="116">
        <v>229</v>
      </c>
      <c r="D2621" s="116">
        <v>226.05</v>
      </c>
      <c r="E2621" s="116">
        <v>226.05</v>
      </c>
      <c r="F2621" s="116">
        <v>229</v>
      </c>
      <c r="G2621">
        <v>58144</v>
      </c>
      <c r="H2621" s="116"/>
      <c r="I2621" s="116"/>
      <c r="L2621" s="169">
        <v>45862</v>
      </c>
      <c r="M2621" s="116">
        <v>228.88</v>
      </c>
      <c r="N2621" s="116">
        <v>230</v>
      </c>
      <c r="O2621" s="116">
        <v>226.29</v>
      </c>
      <c r="P2621" s="116">
        <v>226.97</v>
      </c>
      <c r="Q2621" s="116">
        <v>228.88</v>
      </c>
      <c r="R2621">
        <v>1152938</v>
      </c>
    </row>
    <row r="2622" spans="1:18" x14ac:dyDescent="0.25">
      <c r="A2622" s="169">
        <v>45863</v>
      </c>
      <c r="B2622" s="116">
        <v>227.8</v>
      </c>
      <c r="C2622" s="116">
        <v>222.75</v>
      </c>
      <c r="D2622" s="116">
        <v>222.2</v>
      </c>
      <c r="E2622" s="116">
        <v>227.25</v>
      </c>
      <c r="F2622" s="116">
        <v>222.75</v>
      </c>
      <c r="G2622">
        <v>97505</v>
      </c>
      <c r="H2622" s="116"/>
      <c r="I2622" s="116"/>
      <c r="L2622" s="169">
        <v>45863</v>
      </c>
      <c r="M2622" s="116">
        <v>222.84</v>
      </c>
      <c r="N2622" s="116">
        <v>227.88</v>
      </c>
      <c r="O2622" s="116">
        <v>222</v>
      </c>
      <c r="P2622" s="116">
        <v>227.51</v>
      </c>
      <c r="Q2622" s="116">
        <v>222.84</v>
      </c>
      <c r="R2622">
        <v>766164</v>
      </c>
    </row>
    <row r="2623" spans="1:18" x14ac:dyDescent="0.25">
      <c r="A2623" s="169">
        <v>45866</v>
      </c>
      <c r="B2623" s="116">
        <v>226.25</v>
      </c>
      <c r="C2623" s="116">
        <v>215.5</v>
      </c>
      <c r="D2623" s="116">
        <v>214.65</v>
      </c>
      <c r="E2623" s="116">
        <v>226.25</v>
      </c>
      <c r="F2623" s="116">
        <v>215.5</v>
      </c>
      <c r="G2623">
        <v>48313</v>
      </c>
      <c r="H2623" s="116"/>
      <c r="I2623" s="116"/>
      <c r="L2623" s="169">
        <v>45866</v>
      </c>
      <c r="M2623" s="116">
        <v>215.76</v>
      </c>
      <c r="N2623" s="116">
        <v>223.45</v>
      </c>
      <c r="O2623" s="116">
        <v>214.28</v>
      </c>
      <c r="P2623" s="116">
        <v>223</v>
      </c>
      <c r="Q2623" s="116">
        <v>215.76</v>
      </c>
      <c r="R2623">
        <v>995169</v>
      </c>
    </row>
    <row r="2624" spans="1:18" x14ac:dyDescent="0.25">
      <c r="A2624" s="169">
        <v>45867</v>
      </c>
      <c r="B2624" s="116">
        <v>219.85</v>
      </c>
      <c r="C2624" s="116">
        <v>216.75</v>
      </c>
      <c r="D2624" s="116">
        <v>211.8</v>
      </c>
      <c r="E2624" s="116">
        <v>219.85</v>
      </c>
      <c r="F2624" s="116">
        <v>216.75</v>
      </c>
      <c r="G2624">
        <v>162474</v>
      </c>
      <c r="H2624" s="116"/>
      <c r="I2624" s="116"/>
      <c r="L2624" s="169">
        <v>45867</v>
      </c>
      <c r="M2624" s="116">
        <v>216.64</v>
      </c>
      <c r="N2624" s="116">
        <v>218.61</v>
      </c>
      <c r="O2624" s="116">
        <v>213.71</v>
      </c>
      <c r="P2624" s="116">
        <v>214.1</v>
      </c>
      <c r="Q2624" s="116">
        <v>216.64</v>
      </c>
      <c r="R2624">
        <v>1009922</v>
      </c>
    </row>
    <row r="2625" spans="1:18" x14ac:dyDescent="0.25">
      <c r="A2625" s="169">
        <v>45868</v>
      </c>
      <c r="B2625" s="116">
        <v>220.95</v>
      </c>
      <c r="C2625" s="116">
        <v>213.6</v>
      </c>
      <c r="D2625" s="116">
        <v>213</v>
      </c>
      <c r="E2625" s="116">
        <v>216.8</v>
      </c>
      <c r="F2625" s="116">
        <v>213.6</v>
      </c>
      <c r="G2625">
        <v>93287</v>
      </c>
      <c r="H2625" s="116"/>
      <c r="I2625" s="116"/>
      <c r="L2625" s="169">
        <v>45868</v>
      </c>
      <c r="M2625" s="116">
        <v>213.33</v>
      </c>
      <c r="N2625" s="116">
        <v>220.89</v>
      </c>
      <c r="O2625" s="116">
        <v>212.89</v>
      </c>
      <c r="P2625" s="116">
        <v>217.6</v>
      </c>
      <c r="Q2625" s="116">
        <v>213.33</v>
      </c>
      <c r="R2625">
        <v>1729204</v>
      </c>
    </row>
    <row r="2626" spans="1:18" x14ac:dyDescent="0.25">
      <c r="A2626" s="169">
        <v>45869</v>
      </c>
      <c r="B2626" s="116">
        <v>212.7</v>
      </c>
      <c r="C2626" s="116">
        <v>210.4</v>
      </c>
      <c r="D2626" s="116">
        <v>206.2</v>
      </c>
      <c r="E2626" s="116">
        <v>206.2</v>
      </c>
      <c r="F2626" s="116">
        <v>210.4</v>
      </c>
      <c r="G2626">
        <v>76711</v>
      </c>
      <c r="H2626" s="116"/>
      <c r="I2626" s="116"/>
      <c r="L2626" s="169">
        <v>45869</v>
      </c>
      <c r="M2626" s="116">
        <v>210.43</v>
      </c>
      <c r="N2626" s="116">
        <v>212.63</v>
      </c>
      <c r="O2626" s="116">
        <v>210</v>
      </c>
      <c r="P2626" s="116">
        <v>211.74</v>
      </c>
      <c r="Q2626" s="116">
        <v>210.43</v>
      </c>
      <c r="R2626">
        <v>1125735</v>
      </c>
    </row>
    <row r="2627" spans="1:18" x14ac:dyDescent="0.25">
      <c r="A2627" s="169">
        <v>45870</v>
      </c>
      <c r="B2627" s="116">
        <v>212.2</v>
      </c>
      <c r="C2627" s="116">
        <v>205.3</v>
      </c>
      <c r="D2627" s="116">
        <v>204.65</v>
      </c>
      <c r="E2627" s="116">
        <v>210.05</v>
      </c>
      <c r="F2627" s="116">
        <v>205.3</v>
      </c>
      <c r="G2627">
        <v>60849</v>
      </c>
      <c r="H2627" s="116"/>
      <c r="I2627" s="116"/>
      <c r="L2627" s="169">
        <v>45870</v>
      </c>
      <c r="M2627" s="116">
        <v>205.4</v>
      </c>
      <c r="N2627" s="116">
        <v>212</v>
      </c>
      <c r="O2627" s="116">
        <v>204.52</v>
      </c>
      <c r="P2627" s="116">
        <v>210.75</v>
      </c>
      <c r="Q2627" s="116">
        <v>205.4</v>
      </c>
      <c r="R2627">
        <v>1431024</v>
      </c>
    </row>
    <row r="2628" spans="1:18" x14ac:dyDescent="0.25">
      <c r="A2628" s="169">
        <v>45873</v>
      </c>
      <c r="B2628" s="116">
        <v>211.15</v>
      </c>
      <c r="C2628" s="116">
        <v>210.8</v>
      </c>
      <c r="D2628" s="116">
        <v>203.6</v>
      </c>
      <c r="E2628" s="116">
        <v>208.45</v>
      </c>
      <c r="F2628" s="116">
        <v>210.8</v>
      </c>
      <c r="G2628">
        <v>47781</v>
      </c>
      <c r="H2628" s="116"/>
      <c r="I2628" s="116"/>
      <c r="L2628" s="169">
        <v>45873</v>
      </c>
      <c r="M2628" s="116">
        <v>210.52</v>
      </c>
      <c r="N2628" s="116">
        <v>211.32</v>
      </c>
      <c r="O2628" s="116">
        <v>203.59</v>
      </c>
      <c r="P2628" s="116">
        <v>206.42</v>
      </c>
      <c r="Q2628" s="116">
        <v>210.52</v>
      </c>
      <c r="R2628">
        <v>1475437</v>
      </c>
    </row>
    <row r="2629" spans="1:18" x14ac:dyDescent="0.25">
      <c r="A2629" s="169">
        <v>45874</v>
      </c>
      <c r="B2629" s="116">
        <v>215.75</v>
      </c>
      <c r="C2629" s="116">
        <v>210.75</v>
      </c>
      <c r="D2629" s="116">
        <v>207.25</v>
      </c>
      <c r="E2629" s="116">
        <v>211.5</v>
      </c>
      <c r="F2629" s="116">
        <v>210.75</v>
      </c>
      <c r="G2629">
        <v>120600</v>
      </c>
      <c r="H2629" s="116"/>
      <c r="I2629" s="116"/>
      <c r="L2629" s="169">
        <v>45874</v>
      </c>
      <c r="M2629" s="116">
        <v>211.43</v>
      </c>
      <c r="N2629" s="116">
        <v>216.29</v>
      </c>
      <c r="O2629" s="116">
        <v>207.26</v>
      </c>
      <c r="P2629" s="116">
        <v>210.52</v>
      </c>
      <c r="Q2629" s="116">
        <v>211.43</v>
      </c>
      <c r="R2629">
        <v>2815525</v>
      </c>
    </row>
    <row r="2630" spans="1:18" x14ac:dyDescent="0.25">
      <c r="A2630" s="169">
        <v>45875</v>
      </c>
      <c r="B2630" s="116">
        <v>211.2</v>
      </c>
      <c r="C2630" s="116">
        <v>205.6</v>
      </c>
      <c r="D2630" s="116">
        <v>204.1</v>
      </c>
      <c r="E2630" s="116">
        <v>210.65</v>
      </c>
      <c r="F2630" s="116">
        <v>205.6</v>
      </c>
      <c r="G2630">
        <v>80600</v>
      </c>
      <c r="H2630" s="116"/>
      <c r="I2630" s="116"/>
      <c r="L2630" s="169">
        <v>45875</v>
      </c>
      <c r="M2630" s="116">
        <v>205.64</v>
      </c>
      <c r="N2630" s="116">
        <v>211.4</v>
      </c>
      <c r="O2630" s="116">
        <v>204</v>
      </c>
      <c r="P2630" s="116">
        <v>210</v>
      </c>
      <c r="Q2630" s="116">
        <v>205.64</v>
      </c>
      <c r="R2630">
        <v>1583550</v>
      </c>
    </row>
    <row r="2631" spans="1:18" x14ac:dyDescent="0.25">
      <c r="A2631" s="169">
        <v>45876</v>
      </c>
      <c r="B2631" s="116">
        <v>210.7</v>
      </c>
      <c r="C2631" s="116">
        <v>209.75</v>
      </c>
      <c r="D2631" s="116">
        <v>201.2</v>
      </c>
      <c r="E2631" s="116">
        <v>205.5</v>
      </c>
      <c r="F2631" s="116">
        <v>209.75</v>
      </c>
      <c r="G2631">
        <v>41334</v>
      </c>
      <c r="H2631" s="116"/>
      <c r="I2631" s="116"/>
      <c r="L2631" s="169">
        <v>45876</v>
      </c>
      <c r="M2631" s="116">
        <v>209.84</v>
      </c>
      <c r="N2631" s="116">
        <v>210.65</v>
      </c>
      <c r="O2631" s="116">
        <v>199.62</v>
      </c>
      <c r="P2631" s="116">
        <v>205</v>
      </c>
      <c r="Q2631" s="116">
        <v>209.84</v>
      </c>
      <c r="R2631">
        <v>1448517</v>
      </c>
    </row>
    <row r="2632" spans="1:18" x14ac:dyDescent="0.25">
      <c r="A2632" s="169">
        <v>45877</v>
      </c>
      <c r="B2632" s="116">
        <v>209.95</v>
      </c>
      <c r="C2632" s="116">
        <v>206.45</v>
      </c>
      <c r="D2632" s="116">
        <v>205.1</v>
      </c>
      <c r="E2632" s="116">
        <v>209.95</v>
      </c>
      <c r="F2632" s="116">
        <v>206.45</v>
      </c>
      <c r="G2632">
        <v>36125</v>
      </c>
      <c r="H2632" s="116"/>
      <c r="I2632" s="116"/>
      <c r="L2632" s="169">
        <v>45877</v>
      </c>
      <c r="M2632" s="116">
        <v>206.52</v>
      </c>
      <c r="N2632" s="116">
        <v>209.8</v>
      </c>
      <c r="O2632" s="116">
        <v>204.99</v>
      </c>
      <c r="P2632" s="116">
        <v>209</v>
      </c>
      <c r="Q2632" s="116">
        <v>206.52</v>
      </c>
      <c r="R2632">
        <v>1073292</v>
      </c>
    </row>
    <row r="2633" spans="1:18" x14ac:dyDescent="0.25">
      <c r="A2633" s="169">
        <v>45880</v>
      </c>
      <c r="B2633" s="116">
        <v>207.55</v>
      </c>
      <c r="C2633" s="116">
        <v>203.4</v>
      </c>
      <c r="D2633" s="116">
        <v>202.25</v>
      </c>
      <c r="E2633" s="116">
        <v>206.4</v>
      </c>
      <c r="F2633" s="116">
        <v>203.4</v>
      </c>
      <c r="G2633">
        <v>24626</v>
      </c>
      <c r="H2633" s="116"/>
      <c r="I2633" s="116"/>
      <c r="L2633" s="169">
        <v>45880</v>
      </c>
      <c r="M2633" s="116">
        <v>203.34</v>
      </c>
      <c r="N2633" s="116">
        <v>207.83</v>
      </c>
      <c r="O2633" s="116">
        <v>202.1</v>
      </c>
      <c r="P2633" s="116">
        <v>205.1</v>
      </c>
      <c r="Q2633" s="116">
        <v>203.34</v>
      </c>
      <c r="R2633">
        <v>1181223</v>
      </c>
    </row>
    <row r="2634" spans="1:18" x14ac:dyDescent="0.25">
      <c r="A2634" s="169">
        <v>45881</v>
      </c>
      <c r="B2634" s="116">
        <v>206.85</v>
      </c>
      <c r="C2634" s="116">
        <v>199</v>
      </c>
      <c r="D2634" s="116">
        <v>198.6</v>
      </c>
      <c r="E2634" s="116">
        <v>206.85</v>
      </c>
      <c r="F2634" s="116">
        <v>199</v>
      </c>
      <c r="G2634">
        <v>128179</v>
      </c>
      <c r="H2634" s="116"/>
      <c r="I2634" s="116"/>
      <c r="L2634" s="169">
        <v>45881</v>
      </c>
      <c r="M2634" s="116">
        <v>198.99</v>
      </c>
      <c r="N2634" s="116">
        <v>204.78</v>
      </c>
      <c r="O2634" s="116">
        <v>198.5</v>
      </c>
      <c r="P2634" s="116">
        <v>203.7</v>
      </c>
      <c r="Q2634" s="116">
        <v>198.99</v>
      </c>
      <c r="R2634">
        <v>2118494</v>
      </c>
    </row>
    <row r="2635" spans="1:18" x14ac:dyDescent="0.25">
      <c r="A2635" s="169">
        <v>45882</v>
      </c>
      <c r="B2635" s="116">
        <v>204.2</v>
      </c>
      <c r="C2635" s="116">
        <v>203.15</v>
      </c>
      <c r="D2635" s="116">
        <v>199.5</v>
      </c>
      <c r="E2635" s="116">
        <v>201.15</v>
      </c>
      <c r="F2635" s="116">
        <v>203.15</v>
      </c>
      <c r="G2635">
        <v>97331</v>
      </c>
      <c r="H2635" s="116"/>
      <c r="I2635" s="116"/>
      <c r="L2635" s="169">
        <v>45882</v>
      </c>
      <c r="M2635" s="116">
        <v>203.18</v>
      </c>
      <c r="N2635" s="116">
        <v>204.3</v>
      </c>
      <c r="O2635" s="116">
        <v>199.58</v>
      </c>
      <c r="P2635" s="116">
        <v>200</v>
      </c>
      <c r="Q2635" s="116">
        <v>203.18</v>
      </c>
      <c r="R2635">
        <v>1280763</v>
      </c>
    </row>
    <row r="2636" spans="1:18" x14ac:dyDescent="0.25">
      <c r="A2636" s="169">
        <v>45883</v>
      </c>
      <c r="B2636" s="116">
        <v>203.15</v>
      </c>
      <c r="C2636" s="116">
        <v>198.6</v>
      </c>
      <c r="D2636" s="116">
        <v>198</v>
      </c>
      <c r="E2636" s="116">
        <v>203.15</v>
      </c>
      <c r="F2636" s="116">
        <v>198.6</v>
      </c>
      <c r="G2636">
        <v>79345</v>
      </c>
      <c r="H2636" s="116"/>
      <c r="I2636" s="116"/>
      <c r="L2636" s="169">
        <v>45883</v>
      </c>
      <c r="M2636" s="116">
        <v>198.89</v>
      </c>
      <c r="N2636" s="116">
        <v>202.64</v>
      </c>
      <c r="O2636" s="116">
        <v>198.31</v>
      </c>
      <c r="P2636" s="116">
        <v>202.4</v>
      </c>
      <c r="Q2636" s="116">
        <v>198.89</v>
      </c>
      <c r="R2636">
        <v>1076471</v>
      </c>
    </row>
    <row r="2637" spans="1:18" x14ac:dyDescent="0.25">
      <c r="A2637" s="169">
        <v>45887</v>
      </c>
      <c r="B2637" s="116">
        <v>202.8</v>
      </c>
      <c r="C2637" s="116">
        <v>201.45</v>
      </c>
      <c r="D2637" s="116">
        <v>199</v>
      </c>
      <c r="E2637" s="116">
        <v>202.75</v>
      </c>
      <c r="F2637" s="116">
        <v>201.45</v>
      </c>
      <c r="G2637">
        <v>64392</v>
      </c>
      <c r="H2637" s="116"/>
      <c r="I2637" s="116"/>
      <c r="L2637" s="169">
        <v>45887</v>
      </c>
      <c r="M2637" s="116">
        <v>201.41</v>
      </c>
      <c r="N2637" s="116">
        <v>202.9</v>
      </c>
      <c r="O2637" s="116">
        <v>199</v>
      </c>
      <c r="P2637" s="116">
        <v>200.72</v>
      </c>
      <c r="Q2637" s="116">
        <v>201.41</v>
      </c>
      <c r="R2637">
        <v>1323686</v>
      </c>
    </row>
    <row r="2638" spans="1:18" x14ac:dyDescent="0.25">
      <c r="A2638" s="169">
        <v>45888</v>
      </c>
      <c r="B2638" s="116">
        <v>206.95</v>
      </c>
      <c r="C2638" s="116">
        <v>206.2</v>
      </c>
      <c r="D2638" s="116">
        <v>201.6</v>
      </c>
      <c r="E2638" s="116">
        <v>202.6</v>
      </c>
      <c r="F2638" s="116">
        <v>206.2</v>
      </c>
      <c r="G2638">
        <v>118346</v>
      </c>
      <c r="H2638" s="116"/>
      <c r="I2638" s="116"/>
      <c r="L2638" s="169">
        <v>45888</v>
      </c>
      <c r="M2638" s="116">
        <v>205.83</v>
      </c>
      <c r="N2638" s="116">
        <v>206.99</v>
      </c>
      <c r="O2638" s="116">
        <v>201.7</v>
      </c>
      <c r="P2638" s="116">
        <v>202.03</v>
      </c>
      <c r="Q2638" s="116">
        <v>205.83</v>
      </c>
      <c r="R2638">
        <v>1003444</v>
      </c>
    </row>
    <row r="2639" spans="1:18" x14ac:dyDescent="0.25">
      <c r="A2639" s="169">
        <v>45889</v>
      </c>
      <c r="B2639" s="116">
        <v>207.85</v>
      </c>
      <c r="C2639" s="116">
        <v>205.7</v>
      </c>
      <c r="D2639" s="116">
        <v>204.45</v>
      </c>
      <c r="E2639" s="116">
        <v>207.85</v>
      </c>
      <c r="F2639" s="116">
        <v>205.7</v>
      </c>
      <c r="G2639">
        <v>73809</v>
      </c>
      <c r="H2639" s="116"/>
      <c r="I2639" s="116"/>
      <c r="L2639" s="169">
        <v>45889</v>
      </c>
      <c r="M2639" s="116">
        <v>205.66</v>
      </c>
      <c r="N2639" s="116">
        <v>208.24</v>
      </c>
      <c r="O2639" s="116">
        <v>204.35</v>
      </c>
      <c r="P2639" s="116">
        <v>205.85</v>
      </c>
      <c r="Q2639" s="116">
        <v>205.66</v>
      </c>
      <c r="R2639">
        <v>842651</v>
      </c>
    </row>
    <row r="2640" spans="1:18" x14ac:dyDescent="0.25">
      <c r="A2640" s="169">
        <v>45890</v>
      </c>
      <c r="B2640" s="116">
        <v>209.25</v>
      </c>
      <c r="C2640" s="116">
        <v>205.1</v>
      </c>
      <c r="D2640" s="116">
        <v>204.5</v>
      </c>
      <c r="E2640" s="116">
        <v>207</v>
      </c>
      <c r="F2640" s="116">
        <v>205.1</v>
      </c>
      <c r="G2640">
        <v>143445</v>
      </c>
      <c r="H2640" s="116"/>
      <c r="I2640" s="116"/>
      <c r="L2640" s="169">
        <v>45890</v>
      </c>
      <c r="M2640" s="116">
        <v>205.14</v>
      </c>
      <c r="N2640" s="116">
        <v>209.22</v>
      </c>
      <c r="O2640" s="116">
        <v>204</v>
      </c>
      <c r="P2640" s="116">
        <v>207</v>
      </c>
      <c r="Q2640" s="116">
        <v>205.14</v>
      </c>
      <c r="R2640">
        <v>1058008</v>
      </c>
    </row>
    <row r="2641" spans="1:18" x14ac:dyDescent="0.25">
      <c r="A2641" s="169">
        <v>45891</v>
      </c>
      <c r="B2641" s="116">
        <v>206.9</v>
      </c>
      <c r="C2641" s="116">
        <v>203.2</v>
      </c>
      <c r="D2641" s="116">
        <v>202.6</v>
      </c>
      <c r="E2641" s="116">
        <v>206.9</v>
      </c>
      <c r="F2641" s="116">
        <v>203.2</v>
      </c>
      <c r="G2641">
        <v>40289</v>
      </c>
      <c r="H2641" s="116"/>
      <c r="I2641" s="116"/>
      <c r="L2641" s="169">
        <v>45891</v>
      </c>
      <c r="M2641" s="116">
        <v>203.15</v>
      </c>
      <c r="N2641" s="116">
        <v>206.9</v>
      </c>
      <c r="O2641" s="116">
        <v>202.71</v>
      </c>
      <c r="P2641" s="116">
        <v>205.45</v>
      </c>
      <c r="Q2641" s="116">
        <v>203.15</v>
      </c>
      <c r="R2641">
        <v>743848</v>
      </c>
    </row>
    <row r="2642" spans="1:18" x14ac:dyDescent="0.25">
      <c r="A2642" s="169">
        <v>45894</v>
      </c>
      <c r="B2642" s="116">
        <v>207.5</v>
      </c>
      <c r="C2642" s="116">
        <v>205.25</v>
      </c>
      <c r="D2642" s="116">
        <v>203.25</v>
      </c>
      <c r="E2642" s="116">
        <v>205.05</v>
      </c>
      <c r="F2642" s="116">
        <v>205.25</v>
      </c>
      <c r="G2642">
        <v>68078</v>
      </c>
      <c r="H2642" s="116"/>
      <c r="I2642" s="116"/>
      <c r="L2642" s="169">
        <v>45894</v>
      </c>
      <c r="M2642" s="116">
        <v>205.3</v>
      </c>
      <c r="N2642" s="116">
        <v>207.64</v>
      </c>
      <c r="O2642" s="116">
        <v>203.5</v>
      </c>
      <c r="P2642" s="116">
        <v>204.01</v>
      </c>
      <c r="Q2642" s="116">
        <v>205.3</v>
      </c>
      <c r="R2642">
        <v>845914</v>
      </c>
    </row>
    <row r="2643" spans="1:18" x14ac:dyDescent="0.25">
      <c r="A2643" s="169">
        <v>45895</v>
      </c>
      <c r="B2643" s="116">
        <v>205</v>
      </c>
      <c r="C2643" s="116">
        <v>197.85</v>
      </c>
      <c r="D2643" s="116">
        <v>197.1</v>
      </c>
      <c r="E2643" s="116">
        <v>204.1</v>
      </c>
      <c r="F2643" s="116">
        <v>197.85</v>
      </c>
      <c r="G2643">
        <v>54917</v>
      </c>
      <c r="H2643" s="116"/>
      <c r="I2643" s="116"/>
      <c r="L2643" s="169">
        <v>45895</v>
      </c>
      <c r="M2643" s="116">
        <v>198.17</v>
      </c>
      <c r="N2643" s="116">
        <v>205.09</v>
      </c>
      <c r="O2643" s="116">
        <v>197</v>
      </c>
      <c r="P2643" s="116">
        <v>205.09</v>
      </c>
      <c r="Q2643" s="116">
        <v>198.17</v>
      </c>
      <c r="R2643">
        <v>1178389</v>
      </c>
    </row>
    <row r="2644" spans="1:18" x14ac:dyDescent="0.25">
      <c r="A2644" s="169">
        <v>45897</v>
      </c>
      <c r="B2644" s="116">
        <v>202.6</v>
      </c>
      <c r="C2644" s="116">
        <v>200.05</v>
      </c>
      <c r="D2644" s="116">
        <v>196.1</v>
      </c>
      <c r="E2644" s="116">
        <v>199.95</v>
      </c>
      <c r="F2644" s="116">
        <v>200.05</v>
      </c>
      <c r="G2644">
        <v>158195</v>
      </c>
      <c r="H2644" s="116"/>
      <c r="I2644" s="116"/>
      <c r="L2644" s="169">
        <v>45897</v>
      </c>
      <c r="M2644" s="116">
        <v>199.68</v>
      </c>
      <c r="N2644" s="116">
        <v>202.42</v>
      </c>
      <c r="O2644" s="116">
        <v>196.02</v>
      </c>
      <c r="P2644" s="116">
        <v>199</v>
      </c>
      <c r="Q2644" s="116">
        <v>199.68</v>
      </c>
      <c r="R2644">
        <v>1220444</v>
      </c>
    </row>
    <row r="2645" spans="1:18" x14ac:dyDescent="0.25">
      <c r="A2645" s="169">
        <v>45898</v>
      </c>
      <c r="B2645" s="116">
        <v>201.95</v>
      </c>
      <c r="C2645" s="116">
        <v>197.25</v>
      </c>
      <c r="D2645" s="116">
        <v>196.8</v>
      </c>
      <c r="E2645" s="116">
        <v>199.05</v>
      </c>
      <c r="F2645" s="116">
        <v>197.25</v>
      </c>
      <c r="G2645">
        <v>107505</v>
      </c>
      <c r="H2645" s="116"/>
      <c r="I2645" s="116"/>
      <c r="L2645" s="169">
        <v>45898</v>
      </c>
      <c r="M2645" s="116">
        <v>197.29</v>
      </c>
      <c r="N2645" s="116">
        <v>201.79</v>
      </c>
      <c r="O2645" s="116">
        <v>196.9</v>
      </c>
      <c r="P2645" s="116">
        <v>200</v>
      </c>
      <c r="Q2645" s="116">
        <v>197.29</v>
      </c>
      <c r="R2645">
        <v>854791</v>
      </c>
    </row>
    <row r="2646" spans="1:18" x14ac:dyDescent="0.25">
      <c r="A2646" s="169">
        <v>45901</v>
      </c>
      <c r="B2646" s="116">
        <v>200.65</v>
      </c>
      <c r="C2646" s="116">
        <v>199.8</v>
      </c>
      <c r="D2646" s="116">
        <v>197.4</v>
      </c>
      <c r="E2646" s="116">
        <v>197.4</v>
      </c>
      <c r="F2646" s="116">
        <v>199.8</v>
      </c>
      <c r="G2646">
        <v>36246</v>
      </c>
      <c r="H2646" s="116"/>
      <c r="I2646" s="116"/>
      <c r="L2646" s="169">
        <v>45901</v>
      </c>
      <c r="M2646" s="116">
        <v>199.78</v>
      </c>
      <c r="N2646" s="116">
        <v>200.83</v>
      </c>
      <c r="O2646" s="116">
        <v>197.8</v>
      </c>
      <c r="P2646" s="116">
        <v>198.2</v>
      </c>
      <c r="Q2646" s="116">
        <v>199.78</v>
      </c>
      <c r="R2646">
        <v>674019</v>
      </c>
    </row>
    <row r="2647" spans="1:18" x14ac:dyDescent="0.25">
      <c r="A2647" s="169">
        <v>45902</v>
      </c>
      <c r="B2647" s="116">
        <v>208</v>
      </c>
      <c r="C2647" s="116">
        <v>205.2</v>
      </c>
      <c r="D2647" s="116">
        <v>199.9</v>
      </c>
      <c r="E2647" s="116">
        <v>200.5</v>
      </c>
      <c r="F2647" s="116">
        <v>205.2</v>
      </c>
      <c r="G2647">
        <v>105318</v>
      </c>
      <c r="H2647" s="116"/>
      <c r="I2647" s="116"/>
      <c r="L2647" s="169">
        <v>45902</v>
      </c>
      <c r="M2647" s="116">
        <v>205.26</v>
      </c>
      <c r="N2647" s="116">
        <v>208.02</v>
      </c>
      <c r="O2647" s="116">
        <v>200.1</v>
      </c>
      <c r="P2647" s="116">
        <v>200.8</v>
      </c>
      <c r="Q2647" s="116">
        <v>205.26</v>
      </c>
      <c r="R2647">
        <v>1458512</v>
      </c>
    </row>
    <row r="2648" spans="1:18" x14ac:dyDescent="0.25">
      <c r="A2648" s="169">
        <v>45903</v>
      </c>
      <c r="B2648" s="116">
        <v>212</v>
      </c>
      <c r="C2648" s="116">
        <v>209.6</v>
      </c>
      <c r="D2648" s="116">
        <v>204.65</v>
      </c>
      <c r="E2648" s="116">
        <v>205.65</v>
      </c>
      <c r="F2648" s="116">
        <v>209.6</v>
      </c>
      <c r="G2648">
        <v>100596</v>
      </c>
      <c r="H2648" s="116"/>
      <c r="I2648" s="116"/>
      <c r="L2648" s="169">
        <v>45903</v>
      </c>
      <c r="M2648" s="116">
        <v>209.59</v>
      </c>
      <c r="N2648" s="116">
        <v>212.1</v>
      </c>
      <c r="O2648" s="116">
        <v>204.15</v>
      </c>
      <c r="P2648" s="116">
        <v>205</v>
      </c>
      <c r="Q2648" s="116">
        <v>209.59</v>
      </c>
      <c r="R2648">
        <v>1865274</v>
      </c>
    </row>
    <row r="2649" spans="1:18" x14ac:dyDescent="0.25">
      <c r="A2649" s="169">
        <v>45904</v>
      </c>
      <c r="B2649" s="116">
        <v>212.5</v>
      </c>
      <c r="C2649" s="116">
        <v>205.55</v>
      </c>
      <c r="D2649" s="116">
        <v>204.5</v>
      </c>
      <c r="E2649" s="116">
        <v>210.75</v>
      </c>
      <c r="F2649" s="116">
        <v>205.55</v>
      </c>
      <c r="G2649">
        <v>90684</v>
      </c>
      <c r="H2649" s="116"/>
      <c r="I2649" s="116"/>
      <c r="L2649" s="169">
        <v>45904</v>
      </c>
      <c r="M2649" s="116">
        <v>205.47</v>
      </c>
      <c r="N2649" s="116">
        <v>212.7</v>
      </c>
      <c r="O2649" s="116">
        <v>204.6</v>
      </c>
      <c r="P2649" s="116">
        <v>210.99</v>
      </c>
      <c r="Q2649" s="116">
        <v>205.47</v>
      </c>
      <c r="R2649">
        <v>1021418</v>
      </c>
    </row>
    <row r="2650" spans="1:18" x14ac:dyDescent="0.25">
      <c r="A2650" s="169">
        <v>45905</v>
      </c>
      <c r="B2650" s="116">
        <v>206</v>
      </c>
      <c r="C2650" s="116">
        <v>201.05</v>
      </c>
      <c r="D2650" s="116">
        <v>200.45</v>
      </c>
      <c r="E2650" s="116">
        <v>205.1</v>
      </c>
      <c r="F2650" s="116">
        <v>201.05</v>
      </c>
      <c r="G2650">
        <v>76929</v>
      </c>
      <c r="H2650" s="116"/>
      <c r="I2650" s="116"/>
      <c r="L2650" s="169">
        <v>45905</v>
      </c>
      <c r="M2650" s="116">
        <v>200.92</v>
      </c>
      <c r="N2650" s="116">
        <v>206.29</v>
      </c>
      <c r="O2650" s="116">
        <v>200.5</v>
      </c>
      <c r="P2650" s="116">
        <v>205.99</v>
      </c>
      <c r="Q2650" s="116">
        <v>200.92</v>
      </c>
      <c r="R2650">
        <v>1540024</v>
      </c>
    </row>
    <row r="2651" spans="1:18" x14ac:dyDescent="0.25">
      <c r="A2651" s="169">
        <v>45908</v>
      </c>
      <c r="B2651" s="116">
        <v>205.2</v>
      </c>
      <c r="C2651" s="116">
        <v>202.3</v>
      </c>
      <c r="D2651" s="116">
        <v>200.2</v>
      </c>
      <c r="E2651" s="116">
        <v>200.2</v>
      </c>
      <c r="F2651" s="116">
        <v>202.3</v>
      </c>
      <c r="G2651">
        <v>78053</v>
      </c>
      <c r="H2651" s="116"/>
      <c r="I2651" s="116"/>
      <c r="L2651" s="169">
        <v>45908</v>
      </c>
      <c r="M2651" s="116">
        <v>202.55</v>
      </c>
      <c r="N2651" s="116">
        <v>205.32</v>
      </c>
      <c r="O2651" s="116">
        <v>201.6</v>
      </c>
      <c r="P2651" s="116">
        <v>201.89</v>
      </c>
      <c r="Q2651" s="116">
        <v>202.55</v>
      </c>
      <c r="R2651">
        <v>616365</v>
      </c>
    </row>
    <row r="2652" spans="1:18" x14ac:dyDescent="0.25">
      <c r="A2652" s="169">
        <v>45909</v>
      </c>
      <c r="B2652" s="116">
        <v>204.4</v>
      </c>
      <c r="C2652" s="116">
        <v>201.75</v>
      </c>
      <c r="D2652" s="116">
        <v>200.65</v>
      </c>
      <c r="E2652" s="116">
        <v>201.2</v>
      </c>
      <c r="F2652" s="116">
        <v>201.75</v>
      </c>
      <c r="G2652">
        <v>30162</v>
      </c>
      <c r="H2652" s="116"/>
      <c r="I2652" s="116"/>
      <c r="L2652" s="169">
        <v>45909</v>
      </c>
      <c r="M2652" s="116">
        <v>201.86</v>
      </c>
      <c r="N2652" s="116">
        <v>204.42</v>
      </c>
      <c r="O2652" s="116">
        <v>200.71</v>
      </c>
      <c r="P2652" s="116">
        <v>203.39</v>
      </c>
      <c r="Q2652" s="116">
        <v>201.86</v>
      </c>
      <c r="R2652">
        <v>536055</v>
      </c>
    </row>
    <row r="2653" spans="1:18" x14ac:dyDescent="0.25">
      <c r="A2653" s="169">
        <v>45910</v>
      </c>
      <c r="B2653" s="116">
        <v>205.4</v>
      </c>
      <c r="C2653" s="116">
        <v>202.45</v>
      </c>
      <c r="D2653" s="116">
        <v>201.5</v>
      </c>
      <c r="E2653" s="116">
        <v>203.6</v>
      </c>
      <c r="F2653" s="116">
        <v>202.45</v>
      </c>
      <c r="G2653">
        <v>42157</v>
      </c>
      <c r="H2653" s="116"/>
      <c r="I2653" s="116"/>
      <c r="L2653" s="169">
        <v>45910</v>
      </c>
      <c r="M2653" s="116">
        <v>201.91</v>
      </c>
      <c r="N2653" s="116">
        <v>205.39</v>
      </c>
      <c r="O2653" s="116">
        <v>201.38</v>
      </c>
      <c r="P2653" s="116">
        <v>202.85</v>
      </c>
      <c r="Q2653" s="116">
        <v>201.91</v>
      </c>
      <c r="R2653">
        <v>962863</v>
      </c>
    </row>
    <row r="2654" spans="1:18" x14ac:dyDescent="0.25">
      <c r="A2654" s="169">
        <v>45911</v>
      </c>
      <c r="B2654" s="116">
        <v>203.5</v>
      </c>
      <c r="C2654" s="116">
        <v>202.5</v>
      </c>
      <c r="D2654" s="116">
        <v>201.7</v>
      </c>
      <c r="E2654" s="116">
        <v>202.4</v>
      </c>
      <c r="F2654" s="116">
        <v>202.5</v>
      </c>
      <c r="G2654">
        <v>63312</v>
      </c>
      <c r="H2654" s="116"/>
      <c r="I2654" s="116"/>
      <c r="L2654" s="169">
        <v>45911</v>
      </c>
      <c r="M2654" s="116">
        <v>202.53</v>
      </c>
      <c r="N2654" s="116">
        <v>203.7</v>
      </c>
      <c r="O2654" s="116">
        <v>201.6</v>
      </c>
      <c r="P2654" s="116">
        <v>202.78</v>
      </c>
      <c r="Q2654" s="116">
        <v>202.53</v>
      </c>
      <c r="R2654">
        <v>575326</v>
      </c>
    </row>
    <row r="2655" spans="1:18" x14ac:dyDescent="0.25">
      <c r="A2655" s="169">
        <v>45912</v>
      </c>
      <c r="B2655" s="116">
        <v>210</v>
      </c>
      <c r="C2655" s="116">
        <v>208</v>
      </c>
      <c r="D2655" s="116">
        <v>202.7</v>
      </c>
      <c r="E2655" s="116">
        <v>202.75</v>
      </c>
      <c r="F2655" s="116">
        <v>208</v>
      </c>
      <c r="G2655">
        <v>135711</v>
      </c>
      <c r="H2655" s="116"/>
      <c r="I2655" s="116"/>
      <c r="L2655" s="169">
        <v>45912</v>
      </c>
      <c r="M2655" s="116">
        <v>207.96</v>
      </c>
      <c r="N2655" s="116">
        <v>209.95</v>
      </c>
      <c r="O2655" s="116">
        <v>202.75</v>
      </c>
      <c r="P2655" s="116">
        <v>203.34</v>
      </c>
      <c r="Q2655" s="116">
        <v>207.96</v>
      </c>
      <c r="R2655">
        <v>2928471</v>
      </c>
    </row>
    <row r="2656" spans="1:18" x14ac:dyDescent="0.25">
      <c r="A2656" s="169">
        <v>45915</v>
      </c>
      <c r="B2656" s="116">
        <v>214.05</v>
      </c>
      <c r="C2656" s="116">
        <v>211.3</v>
      </c>
      <c r="D2656" s="116">
        <v>205.1</v>
      </c>
      <c r="E2656" s="116">
        <v>208.05</v>
      </c>
      <c r="F2656" s="116">
        <v>211.3</v>
      </c>
      <c r="G2656">
        <v>254463</v>
      </c>
      <c r="H2656" s="116"/>
      <c r="I2656" s="116"/>
      <c r="L2656" s="169">
        <v>45915</v>
      </c>
      <c r="M2656" s="116">
        <v>211.56</v>
      </c>
      <c r="N2656" s="116">
        <v>214</v>
      </c>
      <c r="O2656" s="116">
        <v>205.17</v>
      </c>
      <c r="P2656" s="116">
        <v>209</v>
      </c>
      <c r="Q2656" s="116">
        <v>211.56</v>
      </c>
      <c r="R2656">
        <v>3916954</v>
      </c>
    </row>
    <row r="2657" spans="1:18" x14ac:dyDescent="0.25">
      <c r="A2657" s="169">
        <v>45916</v>
      </c>
      <c r="B2657" s="116">
        <v>212.9</v>
      </c>
      <c r="C2657" s="116">
        <v>210.25</v>
      </c>
      <c r="D2657" s="116">
        <v>206.3</v>
      </c>
      <c r="E2657" s="116">
        <v>212.85</v>
      </c>
      <c r="F2657" s="116">
        <v>210.25</v>
      </c>
      <c r="G2657">
        <v>148268</v>
      </c>
      <c r="H2657" s="116"/>
      <c r="I2657" s="116"/>
      <c r="L2657" s="169">
        <v>45916</v>
      </c>
      <c r="M2657" s="116">
        <v>210.05</v>
      </c>
      <c r="N2657" s="116">
        <v>213.25</v>
      </c>
      <c r="O2657" s="116">
        <v>206.12</v>
      </c>
      <c r="P2657" s="116">
        <v>212</v>
      </c>
      <c r="Q2657" s="116">
        <v>210.05</v>
      </c>
      <c r="R2657">
        <v>3803807</v>
      </c>
    </row>
    <row r="2658" spans="1:18" x14ac:dyDescent="0.25">
      <c r="A2658" s="169">
        <v>45917</v>
      </c>
      <c r="B2658" s="116">
        <v>212.8</v>
      </c>
      <c r="C2658" s="116">
        <v>210.6</v>
      </c>
      <c r="D2658" s="116">
        <v>208.45</v>
      </c>
      <c r="E2658" s="116">
        <v>208.45</v>
      </c>
      <c r="F2658" s="116">
        <v>210.6</v>
      </c>
      <c r="G2658">
        <v>128023</v>
      </c>
      <c r="H2658" s="116"/>
      <c r="I2658" s="116"/>
      <c r="L2658" s="169">
        <v>45917</v>
      </c>
      <c r="M2658" s="116">
        <v>210.69</v>
      </c>
      <c r="N2658" s="116">
        <v>212.84</v>
      </c>
      <c r="O2658" s="116">
        <v>208.5</v>
      </c>
      <c r="P2658" s="116">
        <v>209</v>
      </c>
      <c r="Q2658" s="116">
        <v>210.69</v>
      </c>
      <c r="R2658">
        <v>1670785</v>
      </c>
    </row>
    <row r="2659" spans="1:18" x14ac:dyDescent="0.25">
      <c r="A2659" s="169">
        <v>45918</v>
      </c>
      <c r="B2659" s="116">
        <v>212.1</v>
      </c>
      <c r="C2659" s="116">
        <v>209.3</v>
      </c>
      <c r="D2659" s="116">
        <v>207.3</v>
      </c>
      <c r="E2659" s="116">
        <v>210.35</v>
      </c>
      <c r="F2659" s="116">
        <v>209.3</v>
      </c>
      <c r="G2659">
        <v>81831</v>
      </c>
      <c r="H2659" s="116"/>
      <c r="I2659" s="116"/>
      <c r="L2659" s="169">
        <v>45918</v>
      </c>
      <c r="M2659" s="116">
        <v>209.25</v>
      </c>
      <c r="N2659" s="116">
        <v>212.1</v>
      </c>
      <c r="O2659" s="116">
        <v>207.5</v>
      </c>
      <c r="P2659" s="116">
        <v>212.1</v>
      </c>
      <c r="Q2659" s="116">
        <v>209.25</v>
      </c>
      <c r="R2659">
        <v>1918419</v>
      </c>
    </row>
    <row r="2660" spans="1:18" x14ac:dyDescent="0.25">
      <c r="A2660" s="169">
        <v>45919</v>
      </c>
      <c r="B2660" s="116">
        <v>213.1</v>
      </c>
      <c r="C2660" s="116">
        <v>212.4</v>
      </c>
      <c r="D2660" s="116">
        <v>207.1</v>
      </c>
      <c r="E2660" s="116">
        <v>209.5</v>
      </c>
      <c r="F2660" s="116">
        <v>212.4</v>
      </c>
      <c r="G2660">
        <v>190273</v>
      </c>
      <c r="H2660" s="116"/>
      <c r="I2660" s="116"/>
      <c r="L2660" s="169">
        <v>45919</v>
      </c>
      <c r="M2660" s="116">
        <v>212.48</v>
      </c>
      <c r="N2660" s="116">
        <v>213.11</v>
      </c>
      <c r="O2660" s="116">
        <v>207.25</v>
      </c>
      <c r="P2660" s="116">
        <v>209.25</v>
      </c>
      <c r="Q2660" s="116">
        <v>212.48</v>
      </c>
      <c r="R2660">
        <v>4225365</v>
      </c>
    </row>
    <row r="2661" spans="1:18" x14ac:dyDescent="0.25">
      <c r="A2661" s="169">
        <v>45922</v>
      </c>
      <c r="B2661" s="116">
        <v>213.25</v>
      </c>
      <c r="C2661" s="116">
        <v>210.1</v>
      </c>
      <c r="D2661" s="116">
        <v>208.9</v>
      </c>
      <c r="E2661" s="116">
        <v>213.25</v>
      </c>
      <c r="F2661" s="116">
        <v>210.1</v>
      </c>
      <c r="G2661">
        <v>78607</v>
      </c>
      <c r="H2661" s="116"/>
      <c r="I2661" s="116"/>
      <c r="L2661" s="169">
        <v>45922</v>
      </c>
      <c r="M2661" s="116">
        <v>210.22</v>
      </c>
      <c r="N2661" s="116">
        <v>213.3</v>
      </c>
      <c r="O2661" s="116">
        <v>208.85</v>
      </c>
      <c r="P2661" s="116">
        <v>213</v>
      </c>
      <c r="Q2661" s="116">
        <v>210.22</v>
      </c>
      <c r="R2661">
        <v>1900199</v>
      </c>
    </row>
    <row r="2662" spans="1:18" x14ac:dyDescent="0.25">
      <c r="A2662" s="169">
        <v>45923</v>
      </c>
      <c r="B2662" s="116">
        <v>216.5</v>
      </c>
      <c r="C2662" s="116">
        <v>215.3</v>
      </c>
      <c r="D2662" s="116">
        <v>207.85</v>
      </c>
      <c r="E2662" s="116">
        <v>211</v>
      </c>
      <c r="F2662" s="116">
        <v>215.3</v>
      </c>
      <c r="G2662">
        <v>119284</v>
      </c>
      <c r="H2662" s="116"/>
      <c r="I2662" s="116"/>
      <c r="L2662" s="169">
        <v>45923</v>
      </c>
      <c r="M2662" s="116">
        <v>215.28</v>
      </c>
      <c r="N2662" s="116">
        <v>216.9</v>
      </c>
      <c r="O2662" s="116">
        <v>207.81</v>
      </c>
      <c r="P2662" s="116">
        <v>211.2</v>
      </c>
      <c r="Q2662" s="116">
        <v>215.28</v>
      </c>
      <c r="R2662">
        <v>4102500</v>
      </c>
    </row>
    <row r="2663" spans="1:18" x14ac:dyDescent="0.25">
      <c r="A2663" s="169">
        <v>45924</v>
      </c>
      <c r="B2663" s="116">
        <v>224.9</v>
      </c>
      <c r="C2663" s="116">
        <v>217.4</v>
      </c>
      <c r="D2663" s="116">
        <v>213.1</v>
      </c>
      <c r="E2663" s="116">
        <v>217.95</v>
      </c>
      <c r="F2663" s="116">
        <v>217.4</v>
      </c>
      <c r="G2663">
        <v>439884</v>
      </c>
      <c r="H2663" s="116"/>
      <c r="I2663" s="116"/>
      <c r="L2663" s="169">
        <v>45924</v>
      </c>
      <c r="M2663" s="116">
        <v>217.32</v>
      </c>
      <c r="N2663" s="116">
        <v>224.7</v>
      </c>
      <c r="O2663" s="116">
        <v>213.17</v>
      </c>
      <c r="P2663" s="116">
        <v>217.26</v>
      </c>
      <c r="Q2663" s="116">
        <v>217.32</v>
      </c>
      <c r="R2663">
        <v>7010464</v>
      </c>
    </row>
    <row r="2664" spans="1:18" x14ac:dyDescent="0.25">
      <c r="A2664" s="169">
        <v>45925</v>
      </c>
      <c r="B2664" s="116">
        <v>215.65</v>
      </c>
      <c r="C2664" s="116">
        <v>210.75</v>
      </c>
      <c r="D2664" s="116">
        <v>210.4</v>
      </c>
      <c r="E2664" s="116">
        <v>214.55</v>
      </c>
      <c r="F2664" s="116">
        <v>210.75</v>
      </c>
      <c r="G2664">
        <v>132964</v>
      </c>
      <c r="H2664" s="116"/>
      <c r="I2664" s="116"/>
      <c r="L2664" s="169">
        <v>45925</v>
      </c>
      <c r="M2664" s="116">
        <v>210.86</v>
      </c>
      <c r="N2664" s="116">
        <v>216.45</v>
      </c>
      <c r="O2664" s="116">
        <v>210.4</v>
      </c>
      <c r="P2664" s="116">
        <v>216.45</v>
      </c>
      <c r="Q2664" s="116">
        <v>210.86</v>
      </c>
      <c r="R2664">
        <v>1996795</v>
      </c>
    </row>
    <row r="2665" spans="1:18" x14ac:dyDescent="0.25">
      <c r="A2665" s="169">
        <v>45926</v>
      </c>
      <c r="B2665" s="116">
        <v>210.75</v>
      </c>
      <c r="C2665" s="116">
        <v>206.45</v>
      </c>
      <c r="D2665" s="116">
        <v>205.05</v>
      </c>
      <c r="E2665" s="116">
        <v>210.2</v>
      </c>
      <c r="F2665" s="116">
        <v>206.45</v>
      </c>
      <c r="G2665">
        <v>87324</v>
      </c>
      <c r="H2665" s="116"/>
      <c r="I2665" s="116"/>
      <c r="L2665" s="169">
        <v>45926</v>
      </c>
      <c r="M2665" s="116">
        <v>206.32</v>
      </c>
      <c r="N2665" s="116">
        <v>210.9</v>
      </c>
      <c r="O2665" s="116">
        <v>205.17</v>
      </c>
      <c r="P2665" s="116">
        <v>210.5</v>
      </c>
      <c r="Q2665" s="116">
        <v>206.32</v>
      </c>
      <c r="R2665">
        <v>1962280</v>
      </c>
    </row>
    <row r="2666" spans="1:18" x14ac:dyDescent="0.25">
      <c r="A2666" s="169">
        <v>45929</v>
      </c>
      <c r="B2666" s="116">
        <v>208</v>
      </c>
      <c r="C2666" s="116">
        <v>202.9</v>
      </c>
      <c r="D2666" s="116">
        <v>202.15</v>
      </c>
      <c r="E2666" s="116">
        <v>207.95</v>
      </c>
      <c r="F2666" s="116">
        <v>202.9</v>
      </c>
      <c r="G2666">
        <v>120400</v>
      </c>
      <c r="H2666" s="116"/>
      <c r="I2666" s="116"/>
      <c r="L2666" s="169">
        <v>45929</v>
      </c>
      <c r="M2666" s="116">
        <v>202.98</v>
      </c>
      <c r="N2666" s="116">
        <v>208.08</v>
      </c>
      <c r="O2666" s="116">
        <v>202.5</v>
      </c>
      <c r="P2666" s="116">
        <v>206.85</v>
      </c>
      <c r="Q2666" s="116">
        <v>202.98</v>
      </c>
      <c r="R2666">
        <v>1875057</v>
      </c>
    </row>
    <row r="2667" spans="1:18" x14ac:dyDescent="0.25">
      <c r="A2667" s="169">
        <v>45930</v>
      </c>
      <c r="B2667" s="116">
        <v>205.85</v>
      </c>
      <c r="C2667" s="116">
        <v>202.6</v>
      </c>
      <c r="D2667" s="116">
        <v>201.5</v>
      </c>
      <c r="E2667" s="116">
        <v>205.85</v>
      </c>
      <c r="F2667" s="116">
        <v>202.6</v>
      </c>
      <c r="G2667">
        <v>58685</v>
      </c>
      <c r="H2667" s="116"/>
      <c r="I2667" s="116"/>
      <c r="L2667" s="169">
        <v>45930</v>
      </c>
      <c r="M2667" s="116">
        <v>202.82</v>
      </c>
      <c r="N2667" s="116">
        <v>204.7</v>
      </c>
      <c r="O2667" s="116">
        <v>201.41</v>
      </c>
      <c r="P2667" s="116">
        <v>204.25</v>
      </c>
      <c r="Q2667" s="116">
        <v>202.82</v>
      </c>
      <c r="R2667">
        <v>1401837</v>
      </c>
    </row>
    <row r="2668" spans="1:18" x14ac:dyDescent="0.25">
      <c r="A2668" s="169">
        <v>45931</v>
      </c>
      <c r="B2668" s="116">
        <v>205</v>
      </c>
      <c r="C2668" s="116">
        <v>204.35</v>
      </c>
      <c r="D2668" s="116">
        <v>202.25</v>
      </c>
      <c r="E2668" s="116">
        <v>202.65</v>
      </c>
      <c r="F2668" s="116">
        <v>204.35</v>
      </c>
      <c r="G2668">
        <v>63279</v>
      </c>
      <c r="H2668" s="116"/>
      <c r="I2668" s="116"/>
      <c r="L2668" s="169">
        <v>45931</v>
      </c>
      <c r="M2668" s="116">
        <v>204.48</v>
      </c>
      <c r="N2668" s="116">
        <v>205.11</v>
      </c>
      <c r="O2668" s="116">
        <v>202.21</v>
      </c>
      <c r="P2668" s="116">
        <v>203</v>
      </c>
      <c r="Q2668" s="116">
        <v>204.48</v>
      </c>
      <c r="R2668">
        <v>1106117</v>
      </c>
    </row>
    <row r="2669" spans="1:18" x14ac:dyDescent="0.25">
      <c r="A2669" s="169">
        <v>45933</v>
      </c>
      <c r="B2669" s="116">
        <v>207</v>
      </c>
      <c r="C2669" s="116">
        <v>206.55</v>
      </c>
      <c r="D2669" s="116">
        <v>202.8</v>
      </c>
      <c r="E2669" s="116">
        <v>204.95</v>
      </c>
      <c r="F2669" s="116">
        <v>206.55</v>
      </c>
      <c r="G2669">
        <v>87436</v>
      </c>
      <c r="H2669" s="116"/>
      <c r="I2669" s="116"/>
      <c r="L2669" s="169">
        <v>45933</v>
      </c>
      <c r="M2669" s="116">
        <v>206.5</v>
      </c>
      <c r="N2669" s="116">
        <v>206.9</v>
      </c>
      <c r="O2669" s="116">
        <v>202.76</v>
      </c>
      <c r="P2669" s="116">
        <v>204.6</v>
      </c>
      <c r="Q2669" s="116">
        <v>206.5</v>
      </c>
      <c r="R2669">
        <v>2395806</v>
      </c>
    </row>
    <row r="2670" spans="1:18" x14ac:dyDescent="0.25">
      <c r="A2670" s="169">
        <v>45936</v>
      </c>
      <c r="B2670" s="116">
        <v>209</v>
      </c>
      <c r="C2670" s="116">
        <v>204.65</v>
      </c>
      <c r="D2670" s="116">
        <v>203.5</v>
      </c>
      <c r="E2670" s="116">
        <v>206.35</v>
      </c>
      <c r="F2670" s="116">
        <v>204.65</v>
      </c>
      <c r="G2670">
        <v>89283</v>
      </c>
      <c r="H2670" s="116"/>
      <c r="I2670" s="116"/>
      <c r="L2670" s="169">
        <v>45936</v>
      </c>
      <c r="M2670" s="116">
        <v>203.87</v>
      </c>
      <c r="N2670" s="116">
        <v>209</v>
      </c>
      <c r="O2670" s="116">
        <v>203.4</v>
      </c>
      <c r="P2670" s="116">
        <v>206.5</v>
      </c>
      <c r="Q2670" s="116">
        <v>203.87</v>
      </c>
      <c r="R2670">
        <v>1120061</v>
      </c>
    </row>
    <row r="2671" spans="1:18" x14ac:dyDescent="0.25">
      <c r="A2671" s="169">
        <v>45937</v>
      </c>
      <c r="B2671" s="116">
        <v>205.2</v>
      </c>
      <c r="C2671" s="116">
        <v>202.3</v>
      </c>
      <c r="D2671" s="116">
        <v>200.6</v>
      </c>
      <c r="E2671" s="116">
        <v>204.05</v>
      </c>
      <c r="F2671" s="116">
        <v>202.3</v>
      </c>
      <c r="G2671">
        <v>114297</v>
      </c>
      <c r="H2671" s="116"/>
      <c r="I2671" s="116"/>
      <c r="L2671" s="169">
        <v>45937</v>
      </c>
      <c r="M2671" s="116">
        <v>202.22</v>
      </c>
      <c r="N2671" s="116">
        <v>205.1</v>
      </c>
      <c r="O2671" s="116">
        <v>200.65</v>
      </c>
      <c r="P2671" s="116">
        <v>205.09</v>
      </c>
      <c r="Q2671" s="116">
        <v>202.22</v>
      </c>
      <c r="R2671">
        <v>1507442</v>
      </c>
    </row>
    <row r="2672" spans="1:18" x14ac:dyDescent="0.25">
      <c r="A2672" s="169">
        <v>45938</v>
      </c>
      <c r="B2672" s="116">
        <v>203.1</v>
      </c>
      <c r="C2672" s="116">
        <v>202.4</v>
      </c>
      <c r="D2672" s="116">
        <v>201.1</v>
      </c>
      <c r="E2672" s="116">
        <v>202.35</v>
      </c>
      <c r="F2672" s="116">
        <v>202.4</v>
      </c>
      <c r="G2672">
        <v>74905</v>
      </c>
      <c r="H2672" s="116"/>
      <c r="I2672" s="116"/>
      <c r="L2672" s="169">
        <v>45938</v>
      </c>
      <c r="M2672" s="116">
        <v>202.46</v>
      </c>
      <c r="N2672" s="116">
        <v>203.05</v>
      </c>
      <c r="O2672" s="116">
        <v>201.1</v>
      </c>
      <c r="P2672" s="116">
        <v>203</v>
      </c>
      <c r="Q2672" s="116">
        <v>202.46</v>
      </c>
      <c r="R2672">
        <v>782040</v>
      </c>
    </row>
    <row r="2673" spans="1:18" x14ac:dyDescent="0.25">
      <c r="A2673" s="169">
        <v>45939</v>
      </c>
      <c r="B2673" s="116">
        <v>213.5</v>
      </c>
      <c r="C2673" s="116">
        <v>203.35</v>
      </c>
      <c r="D2673" s="116">
        <v>202</v>
      </c>
      <c r="E2673" s="116">
        <v>203.05</v>
      </c>
      <c r="F2673" s="116">
        <v>203.35</v>
      </c>
      <c r="G2673">
        <v>336794</v>
      </c>
      <c r="H2673" s="116"/>
      <c r="I2673" s="116"/>
      <c r="L2673" s="169">
        <v>45939</v>
      </c>
      <c r="M2673" s="116">
        <v>203.36</v>
      </c>
      <c r="N2673" s="116">
        <v>213.6</v>
      </c>
      <c r="O2673" s="116">
        <v>201.9</v>
      </c>
      <c r="P2673" s="116">
        <v>204</v>
      </c>
      <c r="Q2673" s="116">
        <v>203.36</v>
      </c>
      <c r="R2673">
        <v>8825842</v>
      </c>
    </row>
    <row r="2674" spans="1:18" x14ac:dyDescent="0.25">
      <c r="A2674" s="169">
        <v>45940</v>
      </c>
      <c r="B2674" s="116">
        <v>206.95</v>
      </c>
      <c r="C2674" s="116">
        <v>206.45</v>
      </c>
      <c r="D2674" s="116">
        <v>202.15</v>
      </c>
      <c r="E2674" s="116">
        <v>205.4</v>
      </c>
      <c r="F2674" s="116">
        <v>206.45</v>
      </c>
      <c r="G2674">
        <v>56767</v>
      </c>
      <c r="H2674" s="116"/>
      <c r="I2674" s="116"/>
      <c r="L2674" s="169">
        <v>45940</v>
      </c>
      <c r="M2674" s="116">
        <v>206.31</v>
      </c>
      <c r="N2674" s="116">
        <v>206.9</v>
      </c>
      <c r="O2674" s="116">
        <v>202.2</v>
      </c>
      <c r="P2674" s="116">
        <v>204.8</v>
      </c>
      <c r="Q2674" s="116">
        <v>206.31</v>
      </c>
      <c r="R2674">
        <v>2184003</v>
      </c>
    </row>
    <row r="2675" spans="1:18" x14ac:dyDescent="0.25">
      <c r="A2675" s="169">
        <v>45943</v>
      </c>
      <c r="B2675" s="116">
        <v>205.5</v>
      </c>
      <c r="C2675" s="116">
        <v>205</v>
      </c>
      <c r="D2675" s="116">
        <v>202.5</v>
      </c>
      <c r="E2675" s="116">
        <v>204.75</v>
      </c>
      <c r="F2675" s="116">
        <v>205</v>
      </c>
      <c r="G2675">
        <v>92229</v>
      </c>
      <c r="H2675" s="116"/>
      <c r="I2675" s="116"/>
      <c r="L2675" s="169">
        <v>45943</v>
      </c>
      <c r="M2675" s="116">
        <v>204.99</v>
      </c>
      <c r="N2675" s="116">
        <v>205.5</v>
      </c>
      <c r="O2675" s="116">
        <v>202.64</v>
      </c>
      <c r="P2675" s="116">
        <v>205</v>
      </c>
      <c r="Q2675" s="116">
        <v>204.99</v>
      </c>
      <c r="R2675">
        <v>1038511</v>
      </c>
    </row>
    <row r="2676" spans="1:18" x14ac:dyDescent="0.25">
      <c r="A2676" s="169">
        <v>45944</v>
      </c>
      <c r="B2676" s="116">
        <v>205.25</v>
      </c>
      <c r="C2676" s="116">
        <v>199.15</v>
      </c>
      <c r="D2676" s="116">
        <v>197.8</v>
      </c>
      <c r="E2676" s="116">
        <v>205</v>
      </c>
      <c r="F2676" s="116">
        <v>199.15</v>
      </c>
      <c r="G2676">
        <v>171784</v>
      </c>
      <c r="H2676" s="116"/>
      <c r="I2676" s="116"/>
      <c r="L2676" s="169">
        <v>45944</v>
      </c>
      <c r="M2676" s="116">
        <v>199.24</v>
      </c>
      <c r="N2676" s="116">
        <v>205.5</v>
      </c>
      <c r="O2676" s="116">
        <v>198</v>
      </c>
      <c r="P2676" s="116">
        <v>205.49</v>
      </c>
      <c r="Q2676" s="116">
        <v>199.24</v>
      </c>
      <c r="R2676">
        <v>2312443</v>
      </c>
    </row>
    <row r="2677" spans="1:18" x14ac:dyDescent="0.25">
      <c r="A2677" s="169">
        <v>45945</v>
      </c>
      <c r="B2677" s="116">
        <v>206.25</v>
      </c>
      <c r="C2677" s="116">
        <v>202.9</v>
      </c>
      <c r="D2677" s="116">
        <v>198</v>
      </c>
      <c r="E2677" s="116">
        <v>200.05</v>
      </c>
      <c r="F2677" s="116">
        <v>202.9</v>
      </c>
      <c r="G2677">
        <v>61303</v>
      </c>
      <c r="H2677" s="116"/>
      <c r="I2677" s="116"/>
      <c r="L2677" s="169">
        <v>45945</v>
      </c>
      <c r="M2677" s="116">
        <v>202.52</v>
      </c>
      <c r="N2677" s="116">
        <v>206.4</v>
      </c>
      <c r="O2677" s="116">
        <v>198.02</v>
      </c>
      <c r="P2677" s="116">
        <v>200.5</v>
      </c>
      <c r="Q2677" s="116">
        <v>202.52</v>
      </c>
      <c r="R2677">
        <v>1691546</v>
      </c>
    </row>
    <row r="2678" spans="1:18" x14ac:dyDescent="0.25">
      <c r="A2678" s="169">
        <v>45946</v>
      </c>
      <c r="B2678" s="116">
        <v>204.95</v>
      </c>
      <c r="C2678" s="116">
        <v>201.3</v>
      </c>
      <c r="D2678" s="116">
        <v>200.95</v>
      </c>
      <c r="E2678" s="116">
        <v>202.05</v>
      </c>
      <c r="F2678" s="116">
        <v>201.3</v>
      </c>
      <c r="G2678">
        <v>73659</v>
      </c>
      <c r="H2678" s="116"/>
      <c r="I2678" s="116"/>
      <c r="L2678" s="169">
        <v>45946</v>
      </c>
      <c r="M2678" s="116">
        <v>201.28</v>
      </c>
      <c r="N2678" s="116">
        <v>204.9</v>
      </c>
      <c r="O2678" s="116">
        <v>200.8</v>
      </c>
      <c r="P2678" s="116">
        <v>202.5</v>
      </c>
      <c r="Q2678" s="116">
        <v>201.28</v>
      </c>
      <c r="R2678">
        <v>1186895</v>
      </c>
    </row>
    <row r="2679" spans="1:18" x14ac:dyDescent="0.25">
      <c r="A2679" s="169">
        <v>45947</v>
      </c>
      <c r="B2679" s="116">
        <v>202.6</v>
      </c>
      <c r="C2679" s="116">
        <v>190.5</v>
      </c>
      <c r="D2679" s="116">
        <v>189.55</v>
      </c>
      <c r="E2679" s="116">
        <v>202</v>
      </c>
      <c r="F2679" s="116">
        <v>190.5</v>
      </c>
      <c r="G2679">
        <v>423353</v>
      </c>
      <c r="H2679" s="116"/>
      <c r="I2679" s="116"/>
      <c r="L2679" s="169">
        <v>45947</v>
      </c>
      <c r="M2679" s="116">
        <v>190.64</v>
      </c>
      <c r="N2679" s="116">
        <v>202.58</v>
      </c>
      <c r="O2679" s="116">
        <v>189.51</v>
      </c>
      <c r="P2679" s="116">
        <v>202.58</v>
      </c>
      <c r="Q2679" s="116">
        <v>190.64</v>
      </c>
      <c r="R2679">
        <v>4138749</v>
      </c>
    </row>
    <row r="2680" spans="1:18" x14ac:dyDescent="0.25">
      <c r="A2680" s="169">
        <v>45950</v>
      </c>
      <c r="B2680" s="116">
        <v>190.5</v>
      </c>
      <c r="C2680" s="116">
        <v>186</v>
      </c>
      <c r="D2680" s="116">
        <v>184.7</v>
      </c>
      <c r="E2680" s="116">
        <v>190.5</v>
      </c>
      <c r="F2680" s="116">
        <v>186</v>
      </c>
      <c r="G2680">
        <v>163933</v>
      </c>
      <c r="H2680" s="116"/>
      <c r="I2680" s="116"/>
      <c r="L2680" s="169">
        <v>45950</v>
      </c>
      <c r="M2680" s="116">
        <v>186.6</v>
      </c>
      <c r="N2680" s="116">
        <v>190.25</v>
      </c>
      <c r="O2680" s="116">
        <v>184.5</v>
      </c>
      <c r="P2680" s="116">
        <v>189.94</v>
      </c>
      <c r="Q2680" s="116">
        <v>186.6</v>
      </c>
      <c r="R2680">
        <v>3125097</v>
      </c>
    </row>
    <row r="2681" spans="1:18" x14ac:dyDescent="0.25">
      <c r="A2681" s="169">
        <v>45951</v>
      </c>
      <c r="B2681" s="116">
        <v>191.85</v>
      </c>
      <c r="C2681" s="116">
        <v>190.75</v>
      </c>
      <c r="D2681" s="116">
        <v>188.65</v>
      </c>
      <c r="E2681" s="116">
        <v>189.5</v>
      </c>
      <c r="F2681" s="116">
        <v>190.75</v>
      </c>
      <c r="G2681">
        <v>55812</v>
      </c>
      <c r="H2681" s="116"/>
      <c r="I2681" s="116"/>
      <c r="L2681" s="169">
        <v>45951</v>
      </c>
      <c r="M2681" s="116">
        <v>191.04</v>
      </c>
      <c r="N2681" s="116">
        <v>191.71</v>
      </c>
      <c r="O2681" s="116">
        <v>187.99</v>
      </c>
      <c r="P2681" s="116">
        <v>188.6</v>
      </c>
      <c r="Q2681" s="116">
        <v>191.04</v>
      </c>
      <c r="R2681">
        <v>685852</v>
      </c>
    </row>
    <row r="2682" spans="1:18" x14ac:dyDescent="0.25">
      <c r="A2682" s="169">
        <v>45953</v>
      </c>
      <c r="B2682" s="116">
        <v>192</v>
      </c>
      <c r="C2682" s="116">
        <v>187.25</v>
      </c>
      <c r="D2682" s="116">
        <v>186.7</v>
      </c>
      <c r="E2682" s="116">
        <v>192</v>
      </c>
      <c r="F2682" s="116">
        <v>187.25</v>
      </c>
      <c r="G2682">
        <v>96280</v>
      </c>
      <c r="H2682" s="116"/>
      <c r="I2682" s="116"/>
      <c r="L2682" s="169">
        <v>45953</v>
      </c>
      <c r="M2682" s="116">
        <v>187.11</v>
      </c>
      <c r="N2682" s="116">
        <v>192.1</v>
      </c>
      <c r="O2682" s="116">
        <v>186.75</v>
      </c>
      <c r="P2682" s="116">
        <v>192</v>
      </c>
      <c r="Q2682" s="116">
        <v>187.11</v>
      </c>
      <c r="R2682">
        <v>1877215</v>
      </c>
    </row>
    <row r="2683" spans="1:18" x14ac:dyDescent="0.25">
      <c r="A2683" s="169">
        <v>45954</v>
      </c>
      <c r="B2683" s="116">
        <v>189.6</v>
      </c>
      <c r="C2683" s="116">
        <v>180.2</v>
      </c>
      <c r="D2683" s="116">
        <v>179</v>
      </c>
      <c r="E2683" s="116">
        <v>187.6</v>
      </c>
      <c r="F2683" s="116">
        <v>180.2</v>
      </c>
      <c r="G2683">
        <v>591561</v>
      </c>
      <c r="H2683" s="116"/>
      <c r="I2683" s="116"/>
      <c r="L2683" s="169">
        <v>45954</v>
      </c>
      <c r="M2683" s="116">
        <v>180.22</v>
      </c>
      <c r="N2683" s="116">
        <v>189.8</v>
      </c>
      <c r="O2683" s="116">
        <v>179.1</v>
      </c>
      <c r="P2683" s="116">
        <v>188.5</v>
      </c>
      <c r="Q2683" s="116">
        <v>180.22</v>
      </c>
      <c r="R2683">
        <v>6784346</v>
      </c>
    </row>
    <row r="2684" spans="1:18" x14ac:dyDescent="0.25">
      <c r="A2684" s="169">
        <v>45957</v>
      </c>
      <c r="B2684" s="116">
        <v>181.5</v>
      </c>
      <c r="C2684" s="116">
        <v>178.75</v>
      </c>
      <c r="D2684" s="116">
        <v>175</v>
      </c>
      <c r="E2684" s="116">
        <v>181.5</v>
      </c>
      <c r="F2684" s="116">
        <v>178.75</v>
      </c>
      <c r="G2684">
        <v>285759</v>
      </c>
      <c r="H2684" s="116"/>
      <c r="I2684" s="116"/>
      <c r="L2684" s="169">
        <v>45957</v>
      </c>
      <c r="M2684" s="116">
        <v>178.59</v>
      </c>
      <c r="N2684" s="116">
        <v>181.45</v>
      </c>
      <c r="O2684" s="116">
        <v>175</v>
      </c>
      <c r="P2684" s="116">
        <v>181.2</v>
      </c>
      <c r="Q2684" s="116">
        <v>178.59</v>
      </c>
      <c r="R2684">
        <v>6367497</v>
      </c>
    </row>
    <row r="2685" spans="1:18" x14ac:dyDescent="0.25">
      <c r="A2685" s="169">
        <v>45958</v>
      </c>
      <c r="B2685" s="116">
        <v>183.35</v>
      </c>
      <c r="C2685" s="116">
        <v>179.9</v>
      </c>
      <c r="D2685" s="116">
        <v>178.5</v>
      </c>
      <c r="E2685" s="116">
        <v>180</v>
      </c>
      <c r="F2685" s="116">
        <v>179.9</v>
      </c>
      <c r="G2685">
        <v>167926</v>
      </c>
      <c r="H2685" s="116"/>
      <c r="I2685" s="116"/>
      <c r="L2685" s="169">
        <v>45958</v>
      </c>
      <c r="M2685" s="116">
        <v>180.06</v>
      </c>
      <c r="N2685" s="116">
        <v>183.19</v>
      </c>
      <c r="O2685" s="116">
        <v>178.5</v>
      </c>
      <c r="P2685" s="116">
        <v>179.5</v>
      </c>
      <c r="Q2685" s="116">
        <v>180.06</v>
      </c>
      <c r="R2685">
        <v>3047296</v>
      </c>
    </row>
    <row r="2686" spans="1:18" x14ac:dyDescent="0.25">
      <c r="A2686" s="169">
        <v>45959</v>
      </c>
      <c r="B2686" s="116">
        <v>180.5</v>
      </c>
      <c r="C2686" s="116">
        <v>178</v>
      </c>
      <c r="D2686" s="116">
        <v>177.5</v>
      </c>
      <c r="E2686" s="116">
        <v>180.3</v>
      </c>
      <c r="F2686" s="116">
        <v>178</v>
      </c>
      <c r="G2686">
        <v>94645</v>
      </c>
      <c r="H2686" s="116"/>
      <c r="I2686" s="116"/>
      <c r="L2686" s="169">
        <v>45959</v>
      </c>
      <c r="M2686" s="116">
        <v>177.95</v>
      </c>
      <c r="N2686" s="116">
        <v>180.51</v>
      </c>
      <c r="O2686" s="116">
        <v>177.51</v>
      </c>
      <c r="P2686" s="116">
        <v>180.5</v>
      </c>
      <c r="Q2686" s="116">
        <v>177.95</v>
      </c>
      <c r="R2686">
        <v>2466326</v>
      </c>
    </row>
    <row r="2687" spans="1:18" x14ac:dyDescent="0.25">
      <c r="A2687" s="169">
        <v>45960</v>
      </c>
      <c r="B2687" s="116">
        <v>178.55</v>
      </c>
      <c r="C2687" s="116">
        <v>176.3</v>
      </c>
      <c r="D2687" s="116">
        <v>175.7</v>
      </c>
      <c r="E2687" s="116">
        <v>178.15</v>
      </c>
      <c r="F2687" s="116">
        <v>176.3</v>
      </c>
      <c r="G2687">
        <v>141509</v>
      </c>
      <c r="H2687" s="116"/>
      <c r="I2687" s="116"/>
      <c r="L2687" s="169">
        <v>45960</v>
      </c>
      <c r="M2687" s="116">
        <v>176.33</v>
      </c>
      <c r="N2687" s="116">
        <v>178.62</v>
      </c>
      <c r="O2687" s="116">
        <v>175.75</v>
      </c>
      <c r="P2687" s="116">
        <v>178.55</v>
      </c>
      <c r="Q2687" s="116">
        <v>176.33</v>
      </c>
      <c r="R2687">
        <v>2200296</v>
      </c>
    </row>
    <row r="2688" spans="1:18" x14ac:dyDescent="0.25">
      <c r="A2688" s="169">
        <v>45961</v>
      </c>
      <c r="B2688" s="116">
        <v>177.35</v>
      </c>
      <c r="C2688" s="116">
        <v>175.3</v>
      </c>
      <c r="D2688" s="116">
        <v>175</v>
      </c>
      <c r="E2688" s="116">
        <v>177.35</v>
      </c>
      <c r="F2688" s="116">
        <v>175.3</v>
      </c>
      <c r="G2688">
        <v>58869</v>
      </c>
      <c r="H2688" s="116"/>
      <c r="I2688" s="116"/>
      <c r="L2688" s="169">
        <v>45961</v>
      </c>
      <c r="M2688" s="116">
        <v>175.25</v>
      </c>
      <c r="N2688" s="116">
        <v>177.19</v>
      </c>
      <c r="O2688" s="116">
        <v>175</v>
      </c>
      <c r="P2688" s="116">
        <v>176.5</v>
      </c>
      <c r="Q2688" s="116">
        <v>175.25</v>
      </c>
      <c r="R2688">
        <v>1957641</v>
      </c>
    </row>
    <row r="2689" spans="1:18" x14ac:dyDescent="0.25">
      <c r="A2689" s="169">
        <v>45964</v>
      </c>
      <c r="B2689" s="116">
        <v>176</v>
      </c>
      <c r="C2689" s="116">
        <v>174.35</v>
      </c>
      <c r="D2689" s="116">
        <v>173.7</v>
      </c>
      <c r="E2689" s="116">
        <v>175.25</v>
      </c>
      <c r="F2689" s="116">
        <v>174.35</v>
      </c>
      <c r="G2689">
        <v>147083</v>
      </c>
      <c r="H2689" s="116"/>
      <c r="I2689" s="116"/>
      <c r="L2689" s="169">
        <v>45964</v>
      </c>
      <c r="M2689" s="116">
        <v>174.38</v>
      </c>
      <c r="N2689" s="116">
        <v>176.2</v>
      </c>
      <c r="O2689" s="116">
        <v>173.65</v>
      </c>
      <c r="P2689" s="116">
        <v>175.4</v>
      </c>
      <c r="Q2689" s="116">
        <v>174.38</v>
      </c>
      <c r="R2689">
        <v>2161601</v>
      </c>
    </row>
    <row r="2690" spans="1:18" x14ac:dyDescent="0.25">
      <c r="A2690" s="169">
        <v>45965</v>
      </c>
      <c r="B2690" s="116">
        <v>175.2</v>
      </c>
      <c r="C2690" s="116">
        <v>170.45</v>
      </c>
      <c r="D2690" s="116">
        <v>169.6</v>
      </c>
      <c r="E2690" s="116">
        <v>174.8</v>
      </c>
      <c r="F2690" s="116">
        <v>170.45</v>
      </c>
      <c r="G2690">
        <v>111808</v>
      </c>
      <c r="H2690" s="116"/>
      <c r="I2690" s="116"/>
      <c r="L2690" s="169">
        <v>45965</v>
      </c>
      <c r="M2690" s="116">
        <v>170.45</v>
      </c>
      <c r="N2690" s="116">
        <v>175.25</v>
      </c>
      <c r="O2690" s="116">
        <v>169.6</v>
      </c>
      <c r="P2690" s="116">
        <v>175</v>
      </c>
      <c r="Q2690" s="116">
        <v>170.45</v>
      </c>
      <c r="R2690">
        <v>2823311</v>
      </c>
    </row>
    <row r="2691" spans="1:18" x14ac:dyDescent="0.25">
      <c r="A2691" s="169">
        <v>45967</v>
      </c>
      <c r="B2691" s="116">
        <v>171.15</v>
      </c>
      <c r="C2691" s="116">
        <v>166.95</v>
      </c>
      <c r="D2691" s="116">
        <v>166.45</v>
      </c>
      <c r="E2691" s="116">
        <v>170.9</v>
      </c>
      <c r="F2691" s="116">
        <v>166.95</v>
      </c>
      <c r="G2691">
        <v>154376</v>
      </c>
      <c r="H2691" s="116"/>
      <c r="I2691" s="116"/>
      <c r="L2691" s="169">
        <v>45967</v>
      </c>
      <c r="M2691" s="116">
        <v>166.92</v>
      </c>
      <c r="N2691" s="116">
        <v>171.87</v>
      </c>
      <c r="O2691" s="116">
        <v>166.5</v>
      </c>
      <c r="P2691" s="116">
        <v>171.8</v>
      </c>
      <c r="Q2691" s="116">
        <v>166.92</v>
      </c>
      <c r="R2691">
        <v>2689235</v>
      </c>
    </row>
    <row r="2692" spans="1:18" x14ac:dyDescent="0.25">
      <c r="A2692" s="169">
        <v>45968</v>
      </c>
      <c r="B2692" s="116">
        <v>166.6</v>
      </c>
      <c r="C2692" s="116">
        <v>164.65</v>
      </c>
      <c r="D2692" s="116">
        <v>162.15</v>
      </c>
      <c r="E2692" s="116">
        <v>166.6</v>
      </c>
      <c r="F2692" s="116">
        <v>164.65</v>
      </c>
      <c r="G2692">
        <v>237458</v>
      </c>
      <c r="H2692" s="116"/>
      <c r="I2692" s="116"/>
      <c r="L2692" s="169">
        <v>45968</v>
      </c>
      <c r="M2692" s="116">
        <v>164.5</v>
      </c>
      <c r="N2692" s="116">
        <v>166.59</v>
      </c>
      <c r="O2692" s="116">
        <v>162.19999999999999</v>
      </c>
      <c r="P2692" s="116">
        <v>166.5</v>
      </c>
      <c r="Q2692" s="116">
        <v>164.5</v>
      </c>
      <c r="R2692">
        <v>6052917</v>
      </c>
    </row>
    <row r="2693" spans="1:18" x14ac:dyDescent="0.25">
      <c r="A2693" s="169">
        <v>45971</v>
      </c>
      <c r="B2693" s="116">
        <v>173.7</v>
      </c>
      <c r="C2693" s="116">
        <v>170.6</v>
      </c>
      <c r="D2693" s="116">
        <v>165.05</v>
      </c>
      <c r="E2693" s="116">
        <v>165.05</v>
      </c>
      <c r="F2693" s="116">
        <v>170.6</v>
      </c>
      <c r="G2693">
        <v>353018</v>
      </c>
      <c r="H2693" s="116"/>
      <c r="I2693" s="116"/>
      <c r="L2693" s="169">
        <v>45971</v>
      </c>
      <c r="M2693" s="116">
        <v>170.73</v>
      </c>
      <c r="N2693" s="116">
        <v>173.65</v>
      </c>
      <c r="O2693" s="116">
        <v>165.22</v>
      </c>
      <c r="P2693" s="116">
        <v>165.24</v>
      </c>
      <c r="Q2693" s="116">
        <v>170.73</v>
      </c>
      <c r="R2693">
        <v>5020260</v>
      </c>
    </row>
    <row r="2694" spans="1:18" x14ac:dyDescent="0.25">
      <c r="A2694" s="169">
        <v>45972</v>
      </c>
      <c r="B2694" s="116">
        <v>173.55</v>
      </c>
      <c r="C2694" s="116">
        <v>172.8</v>
      </c>
      <c r="D2694" s="116">
        <v>169.35</v>
      </c>
      <c r="E2694" s="116">
        <v>172.35</v>
      </c>
      <c r="F2694" s="116">
        <v>172.8</v>
      </c>
      <c r="G2694">
        <v>109608</v>
      </c>
      <c r="H2694" s="116"/>
      <c r="I2694" s="116"/>
      <c r="L2694" s="169">
        <v>45972</v>
      </c>
      <c r="M2694" s="116">
        <v>172.89</v>
      </c>
      <c r="N2694" s="116">
        <v>173.67</v>
      </c>
      <c r="O2694" s="116">
        <v>169.35</v>
      </c>
      <c r="P2694" s="116">
        <v>171.57</v>
      </c>
      <c r="Q2694" s="116">
        <v>172.89</v>
      </c>
      <c r="R2694">
        <v>2332961</v>
      </c>
    </row>
    <row r="2695" spans="1:18" x14ac:dyDescent="0.25">
      <c r="A2695" s="169">
        <v>45973</v>
      </c>
      <c r="B2695" s="116">
        <v>174.8</v>
      </c>
      <c r="C2695" s="116">
        <v>171.95</v>
      </c>
      <c r="D2695" s="116">
        <v>170.4</v>
      </c>
      <c r="E2695" s="116">
        <v>174.8</v>
      </c>
      <c r="F2695" s="116">
        <v>171.95</v>
      </c>
      <c r="G2695">
        <v>63577</v>
      </c>
      <c r="H2695" s="116"/>
      <c r="I2695" s="116"/>
      <c r="L2695" s="169">
        <v>45973</v>
      </c>
      <c r="M2695" s="116">
        <v>172.16</v>
      </c>
      <c r="N2695" s="116">
        <v>174</v>
      </c>
      <c r="O2695" s="116">
        <v>170.31</v>
      </c>
      <c r="P2695" s="116">
        <v>172.86</v>
      </c>
      <c r="Q2695" s="116">
        <v>172.16</v>
      </c>
      <c r="R2695">
        <v>1654544</v>
      </c>
    </row>
    <row r="2696" spans="1:18" x14ac:dyDescent="0.25">
      <c r="A2696" s="169">
        <v>45974</v>
      </c>
      <c r="B2696" s="116">
        <v>172.5</v>
      </c>
      <c r="C2696" s="116">
        <v>171.2</v>
      </c>
      <c r="D2696" s="116">
        <v>170.6</v>
      </c>
      <c r="E2696" s="116">
        <v>172</v>
      </c>
      <c r="F2696" s="116">
        <v>171.2</v>
      </c>
      <c r="G2696">
        <v>44027</v>
      </c>
      <c r="H2696" s="116"/>
      <c r="I2696" s="116"/>
      <c r="L2696" s="169">
        <v>45974</v>
      </c>
      <c r="M2696" s="116">
        <v>171.25</v>
      </c>
      <c r="N2696" s="116">
        <v>172.68</v>
      </c>
      <c r="O2696" s="116">
        <v>170.52</v>
      </c>
      <c r="P2696" s="116">
        <v>172.05</v>
      </c>
      <c r="Q2696" s="116">
        <v>171.25</v>
      </c>
      <c r="R2696">
        <v>1153183</v>
      </c>
    </row>
    <row r="2697" spans="1:18" x14ac:dyDescent="0.25">
      <c r="A2697" s="169">
        <v>45975</v>
      </c>
      <c r="B2697" s="116">
        <v>170.7</v>
      </c>
      <c r="C2697" s="116">
        <v>169.15</v>
      </c>
      <c r="D2697" s="116">
        <v>168.75</v>
      </c>
      <c r="E2697" s="116">
        <v>170.7</v>
      </c>
      <c r="F2697" s="116">
        <v>169.15</v>
      </c>
      <c r="G2697">
        <v>56097</v>
      </c>
      <c r="H2697" s="116"/>
      <c r="I2697" s="116"/>
      <c r="L2697" s="169">
        <v>45975</v>
      </c>
      <c r="M2697" s="116">
        <v>169.13</v>
      </c>
      <c r="N2697" s="116">
        <v>170.9</v>
      </c>
      <c r="O2697" s="116">
        <v>168.72</v>
      </c>
      <c r="P2697" s="116">
        <v>170.9</v>
      </c>
      <c r="Q2697" s="116">
        <v>169.13</v>
      </c>
      <c r="R2697">
        <v>1400209</v>
      </c>
    </row>
    <row r="2698" spans="1:18" x14ac:dyDescent="0.25">
      <c r="A2698" s="169">
        <v>45978</v>
      </c>
      <c r="B2698" s="116">
        <v>170.5</v>
      </c>
      <c r="C2698" s="116">
        <v>168.9</v>
      </c>
      <c r="D2698" s="116">
        <v>167.95</v>
      </c>
      <c r="E2698" s="116">
        <v>169.45</v>
      </c>
      <c r="F2698" s="116">
        <v>168.9</v>
      </c>
      <c r="G2698">
        <v>126115</v>
      </c>
      <c r="H2698" s="116"/>
      <c r="I2698" s="116"/>
      <c r="L2698" s="169">
        <v>45978</v>
      </c>
      <c r="M2698" s="116">
        <v>168.93</v>
      </c>
      <c r="N2698" s="116">
        <v>170.59</v>
      </c>
      <c r="O2698" s="116">
        <v>168</v>
      </c>
      <c r="P2698" s="116">
        <v>169.14</v>
      </c>
      <c r="Q2698" s="116">
        <v>168.93</v>
      </c>
      <c r="R2698">
        <v>851149</v>
      </c>
    </row>
    <row r="2699" spans="1:18" x14ac:dyDescent="0.25">
      <c r="A2699" s="169">
        <v>45979</v>
      </c>
      <c r="B2699" s="116">
        <v>168.9</v>
      </c>
      <c r="C2699" s="116">
        <v>165.45</v>
      </c>
      <c r="D2699" s="116">
        <v>165</v>
      </c>
      <c r="E2699" s="116">
        <v>168.75</v>
      </c>
      <c r="F2699" s="116">
        <v>165.45</v>
      </c>
      <c r="G2699">
        <v>54557</v>
      </c>
      <c r="H2699" s="116"/>
      <c r="I2699" s="116"/>
      <c r="L2699" s="169">
        <v>45979</v>
      </c>
      <c r="M2699" s="116">
        <v>165.4</v>
      </c>
      <c r="N2699" s="116">
        <v>169</v>
      </c>
      <c r="O2699" s="116">
        <v>164.88</v>
      </c>
      <c r="P2699" s="116">
        <v>168.93</v>
      </c>
      <c r="Q2699" s="116">
        <v>165.4</v>
      </c>
      <c r="R2699">
        <v>1330107</v>
      </c>
    </row>
    <row r="2700" spans="1:18" x14ac:dyDescent="0.25">
      <c r="A2700" s="169">
        <v>45980</v>
      </c>
      <c r="B2700" s="116">
        <v>167.2</v>
      </c>
      <c r="C2700" s="116">
        <v>166.85</v>
      </c>
      <c r="D2700" s="116">
        <v>164.5</v>
      </c>
      <c r="E2700" s="116">
        <v>166</v>
      </c>
      <c r="F2700" s="116">
        <v>166.85</v>
      </c>
      <c r="G2700">
        <v>92998</v>
      </c>
      <c r="H2700" s="116"/>
      <c r="I2700" s="116"/>
      <c r="L2700" s="169">
        <v>45980</v>
      </c>
      <c r="M2700" s="116">
        <v>166.87</v>
      </c>
      <c r="N2700" s="116">
        <v>167.2</v>
      </c>
      <c r="O2700" s="116">
        <v>164.55</v>
      </c>
      <c r="P2700" s="116">
        <v>166</v>
      </c>
      <c r="Q2700" s="116">
        <v>166.87</v>
      </c>
      <c r="R2700">
        <v>955138</v>
      </c>
    </row>
    <row r="2701" spans="1:18" x14ac:dyDescent="0.25">
      <c r="A2701" s="169">
        <v>45981</v>
      </c>
      <c r="B2701" s="116">
        <v>167.45</v>
      </c>
      <c r="C2701" s="116">
        <v>166.3</v>
      </c>
      <c r="D2701" s="116">
        <v>164.7</v>
      </c>
      <c r="E2701" s="116">
        <v>167.15</v>
      </c>
      <c r="F2701" s="116">
        <v>166.3</v>
      </c>
      <c r="G2701">
        <v>83353</v>
      </c>
      <c r="H2701" s="116"/>
      <c r="I2701" s="116"/>
      <c r="L2701" s="169">
        <v>45981</v>
      </c>
      <c r="M2701" s="116">
        <v>166.63</v>
      </c>
      <c r="N2701" s="116">
        <v>167.45</v>
      </c>
      <c r="O2701" s="116">
        <v>164.7</v>
      </c>
      <c r="P2701" s="116">
        <v>166.9</v>
      </c>
      <c r="Q2701" s="116">
        <v>166.63</v>
      </c>
      <c r="R2701">
        <v>964687</v>
      </c>
    </row>
    <row r="2702" spans="1:18" x14ac:dyDescent="0.25">
      <c r="A2702" s="169">
        <v>45982</v>
      </c>
      <c r="B2702" s="116">
        <v>167.3</v>
      </c>
      <c r="C2702" s="116">
        <v>164</v>
      </c>
      <c r="D2702" s="116">
        <v>163.15</v>
      </c>
      <c r="E2702" s="116">
        <v>167</v>
      </c>
      <c r="F2702" s="116">
        <v>164</v>
      </c>
      <c r="G2702">
        <v>37002</v>
      </c>
      <c r="H2702" s="116"/>
      <c r="I2702" s="116"/>
      <c r="L2702" s="169">
        <v>45982</v>
      </c>
      <c r="M2702" s="116">
        <v>163.80000000000001</v>
      </c>
      <c r="N2702" s="116">
        <v>167.25</v>
      </c>
      <c r="O2702" s="116">
        <v>163</v>
      </c>
      <c r="P2702" s="116">
        <v>167.25</v>
      </c>
      <c r="Q2702" s="116">
        <v>163.80000000000001</v>
      </c>
      <c r="R2702">
        <v>885823</v>
      </c>
    </row>
    <row r="2703" spans="1:18" x14ac:dyDescent="0.25">
      <c r="A2703" s="169">
        <v>45985</v>
      </c>
      <c r="B2703" s="116">
        <v>164.4</v>
      </c>
      <c r="C2703" s="116">
        <v>161.9</v>
      </c>
      <c r="D2703" s="116">
        <v>160.25</v>
      </c>
      <c r="E2703" s="116">
        <v>164.35</v>
      </c>
      <c r="F2703" s="116">
        <v>161.9</v>
      </c>
      <c r="G2703">
        <v>129619</v>
      </c>
      <c r="H2703" s="116"/>
      <c r="I2703" s="116"/>
      <c r="L2703" s="169">
        <v>45985</v>
      </c>
      <c r="M2703" s="116">
        <v>162.04</v>
      </c>
      <c r="N2703" s="116">
        <v>164.48</v>
      </c>
      <c r="O2703" s="116">
        <v>160.27000000000001</v>
      </c>
      <c r="P2703" s="116">
        <v>164.48</v>
      </c>
      <c r="Q2703" s="116">
        <v>162.04</v>
      </c>
      <c r="R2703">
        <v>1656387</v>
      </c>
    </row>
    <row r="2704" spans="1:18" x14ac:dyDescent="0.25">
      <c r="A2704" s="169">
        <v>45986</v>
      </c>
      <c r="B2704" s="116">
        <v>163.1</v>
      </c>
      <c r="C2704" s="116">
        <v>162.1</v>
      </c>
      <c r="D2704" s="116">
        <v>161.25</v>
      </c>
      <c r="E2704" s="116">
        <v>161.4</v>
      </c>
      <c r="F2704" s="116">
        <v>162.1</v>
      </c>
      <c r="G2704">
        <v>59596</v>
      </c>
      <c r="H2704" s="116"/>
      <c r="I2704" s="116"/>
      <c r="L2704" s="169">
        <v>45986</v>
      </c>
      <c r="M2704" s="116">
        <v>162.21</v>
      </c>
      <c r="N2704" s="116">
        <v>163.22999999999999</v>
      </c>
      <c r="O2704" s="116">
        <v>161.11000000000001</v>
      </c>
      <c r="P2704" s="116">
        <v>162</v>
      </c>
      <c r="Q2704" s="116">
        <v>162.21</v>
      </c>
      <c r="R2704">
        <v>819776</v>
      </c>
    </row>
    <row r="2705" spans="1:18" x14ac:dyDescent="0.25">
      <c r="A2705" s="169">
        <v>45987</v>
      </c>
      <c r="B2705" s="116">
        <v>169.55</v>
      </c>
      <c r="C2705" s="116">
        <v>167.1</v>
      </c>
      <c r="D2705" s="116">
        <v>161.85</v>
      </c>
      <c r="E2705" s="116">
        <v>163.75</v>
      </c>
      <c r="F2705" s="116">
        <v>167.1</v>
      </c>
      <c r="G2705">
        <v>160837</v>
      </c>
      <c r="H2705" s="116"/>
      <c r="I2705" s="116"/>
      <c r="L2705" s="169">
        <v>45987</v>
      </c>
      <c r="M2705" s="116">
        <v>167.02</v>
      </c>
      <c r="N2705" s="116">
        <v>169.77</v>
      </c>
      <c r="O2705" s="116">
        <v>161.84</v>
      </c>
      <c r="P2705" s="116">
        <v>163.55000000000001</v>
      </c>
      <c r="Q2705" s="116">
        <v>167.02</v>
      </c>
      <c r="R2705">
        <v>2411431</v>
      </c>
    </row>
    <row r="2706" spans="1:18" x14ac:dyDescent="0.25">
      <c r="A2706" s="169">
        <v>45988</v>
      </c>
      <c r="B2706" s="116">
        <v>169.45</v>
      </c>
      <c r="C2706" s="116">
        <v>166.7</v>
      </c>
      <c r="D2706" s="116">
        <v>166</v>
      </c>
      <c r="E2706" s="116">
        <v>167.8</v>
      </c>
      <c r="F2706" s="116">
        <v>166.7</v>
      </c>
      <c r="G2706">
        <v>107098</v>
      </c>
      <c r="H2706" s="116"/>
      <c r="I2706" s="116"/>
      <c r="L2706" s="169">
        <v>45988</v>
      </c>
      <c r="M2706" s="116">
        <v>166.72</v>
      </c>
      <c r="N2706" s="116">
        <v>169.55</v>
      </c>
      <c r="O2706" s="116">
        <v>165.91</v>
      </c>
      <c r="P2706" s="116">
        <v>168</v>
      </c>
      <c r="Q2706" s="116">
        <v>166.72</v>
      </c>
      <c r="R2706">
        <v>922190</v>
      </c>
    </row>
    <row r="2707" spans="1:18" x14ac:dyDescent="0.25">
      <c r="A2707" s="169">
        <v>45989</v>
      </c>
      <c r="B2707" s="116">
        <v>166.4</v>
      </c>
      <c r="C2707" s="116">
        <v>162.75</v>
      </c>
      <c r="D2707" s="116">
        <v>162.4</v>
      </c>
      <c r="E2707" s="116">
        <v>166.4</v>
      </c>
      <c r="F2707" s="116">
        <v>162.75</v>
      </c>
      <c r="G2707">
        <v>60126</v>
      </c>
      <c r="H2707" s="116"/>
      <c r="I2707" s="116"/>
      <c r="L2707" s="169">
        <v>45989</v>
      </c>
      <c r="M2707" s="116">
        <v>162.77000000000001</v>
      </c>
      <c r="N2707" s="116">
        <v>166.55</v>
      </c>
      <c r="O2707" s="116">
        <v>162.18</v>
      </c>
      <c r="P2707" s="116">
        <v>166.55</v>
      </c>
      <c r="Q2707" s="116">
        <v>162.77000000000001</v>
      </c>
      <c r="R2707">
        <v>1317251</v>
      </c>
    </row>
    <row r="2708" spans="1:18" x14ac:dyDescent="0.25">
      <c r="A2708" s="169">
        <v>45992</v>
      </c>
      <c r="B2708" s="116">
        <v>169.7</v>
      </c>
      <c r="C2708" s="116">
        <v>166.65</v>
      </c>
      <c r="D2708" s="116">
        <v>162.30000000000001</v>
      </c>
      <c r="E2708" s="116">
        <v>163.05000000000001</v>
      </c>
      <c r="F2708" s="116">
        <v>166.65</v>
      </c>
      <c r="G2708">
        <v>120348</v>
      </c>
      <c r="H2708" s="116"/>
      <c r="I2708" s="116"/>
      <c r="L2708" s="169">
        <v>45992</v>
      </c>
      <c r="M2708" s="116">
        <v>166.65</v>
      </c>
      <c r="N2708" s="116">
        <v>169.7</v>
      </c>
      <c r="O2708" s="116">
        <v>162.30000000000001</v>
      </c>
      <c r="P2708" s="116">
        <v>163.80000000000001</v>
      </c>
      <c r="Q2708" s="116">
        <v>166.65</v>
      </c>
      <c r="R2708">
        <v>3070663</v>
      </c>
    </row>
    <row r="2709" spans="1:18" x14ac:dyDescent="0.25">
      <c r="A2709" s="169">
        <v>45993</v>
      </c>
      <c r="B2709">
        <v>166.9</v>
      </c>
      <c r="C2709">
        <v>163.85</v>
      </c>
      <c r="D2709">
        <v>163.65</v>
      </c>
      <c r="E2709">
        <v>166.9</v>
      </c>
      <c r="F2709">
        <v>163.85</v>
      </c>
      <c r="G2709">
        <v>71225</v>
      </c>
      <c r="H2709" s="116"/>
      <c r="I2709" s="116"/>
      <c r="L2709" s="169">
        <v>45993</v>
      </c>
      <c r="M2709" s="116">
        <v>163.95</v>
      </c>
      <c r="N2709" s="116">
        <v>167.3</v>
      </c>
      <c r="O2709" s="116">
        <v>163.63</v>
      </c>
      <c r="P2709" s="116">
        <v>167.2</v>
      </c>
      <c r="Q2709" s="116">
        <v>163.95</v>
      </c>
      <c r="R2709">
        <v>904441</v>
      </c>
    </row>
    <row r="2710" spans="1:18" x14ac:dyDescent="0.25">
      <c r="A2710" s="169">
        <v>45994</v>
      </c>
      <c r="B2710">
        <v>166.4</v>
      </c>
      <c r="C2710">
        <v>164.55</v>
      </c>
      <c r="D2710">
        <v>162.5</v>
      </c>
      <c r="E2710">
        <v>164</v>
      </c>
      <c r="F2710">
        <v>164.55</v>
      </c>
      <c r="G2710">
        <v>31393</v>
      </c>
      <c r="H2710" s="116"/>
      <c r="I2710" s="116"/>
      <c r="L2710" s="169">
        <v>45994</v>
      </c>
      <c r="M2710" s="116">
        <v>165</v>
      </c>
      <c r="N2710" s="116">
        <v>166.45</v>
      </c>
      <c r="O2710" s="116">
        <v>162.5</v>
      </c>
      <c r="P2710" s="116">
        <v>163.95</v>
      </c>
      <c r="Q2710" s="116">
        <v>165</v>
      </c>
      <c r="R2710">
        <v>932038</v>
      </c>
    </row>
    <row r="2711" spans="1:18" x14ac:dyDescent="0.25">
      <c r="A2711" s="169">
        <v>45995</v>
      </c>
      <c r="B2711">
        <v>165.9</v>
      </c>
      <c r="C2711">
        <v>164.1</v>
      </c>
      <c r="D2711">
        <v>162.94999999999999</v>
      </c>
      <c r="E2711">
        <v>164.6</v>
      </c>
      <c r="F2711">
        <v>164.1</v>
      </c>
      <c r="G2711">
        <v>43483</v>
      </c>
      <c r="H2711" s="116"/>
      <c r="I2711" s="116"/>
      <c r="L2711" s="169">
        <v>45995</v>
      </c>
      <c r="M2711" s="116">
        <v>164</v>
      </c>
      <c r="N2711" s="116">
        <v>165.74</v>
      </c>
      <c r="O2711" s="116">
        <v>163</v>
      </c>
      <c r="P2711" s="116">
        <v>165</v>
      </c>
      <c r="Q2711" s="116">
        <v>164</v>
      </c>
      <c r="R2711">
        <v>757578</v>
      </c>
    </row>
    <row r="2712" spans="1:18" x14ac:dyDescent="0.25">
      <c r="A2712" s="169">
        <v>45996</v>
      </c>
      <c r="B2712">
        <v>164.1</v>
      </c>
      <c r="C2712">
        <v>161.6</v>
      </c>
      <c r="D2712">
        <v>161.19999999999999</v>
      </c>
      <c r="E2712">
        <v>163.85</v>
      </c>
      <c r="F2712">
        <v>161.6</v>
      </c>
      <c r="G2712">
        <v>73412</v>
      </c>
      <c r="H2712" s="116"/>
      <c r="I2712" s="116"/>
      <c r="L2712" s="169">
        <v>45996</v>
      </c>
      <c r="M2712" s="116">
        <v>161.6</v>
      </c>
      <c r="N2712" s="116">
        <v>164.5</v>
      </c>
      <c r="O2712" s="116">
        <v>161.22999999999999</v>
      </c>
      <c r="P2712" s="116">
        <v>163.75</v>
      </c>
      <c r="Q2712" s="116">
        <v>161.6</v>
      </c>
      <c r="R2712">
        <v>801978</v>
      </c>
    </row>
    <row r="2713" spans="1:18" x14ac:dyDescent="0.25">
      <c r="A2713" s="169">
        <v>45999</v>
      </c>
      <c r="B2713">
        <v>162.69999999999999</v>
      </c>
      <c r="C2713">
        <v>157.15</v>
      </c>
      <c r="D2713">
        <v>156.30000000000001</v>
      </c>
      <c r="E2713">
        <v>161.6</v>
      </c>
      <c r="F2713">
        <v>157.15</v>
      </c>
      <c r="G2713">
        <v>155961</v>
      </c>
      <c r="H2713" s="116"/>
      <c r="I2713" s="116"/>
      <c r="L2713" s="169">
        <v>45999</v>
      </c>
      <c r="M2713" s="116">
        <v>157.05000000000001</v>
      </c>
      <c r="N2713" s="116">
        <v>162.69</v>
      </c>
      <c r="O2713" s="116">
        <v>156.4</v>
      </c>
      <c r="P2713" s="116">
        <v>161.69999999999999</v>
      </c>
      <c r="Q2713" s="116">
        <v>157.05000000000001</v>
      </c>
      <c r="R2713">
        <v>944238</v>
      </c>
    </row>
    <row r="2714" spans="1:18" x14ac:dyDescent="0.25">
      <c r="A2714" s="169">
        <v>46000</v>
      </c>
      <c r="B2714">
        <v>159.5</v>
      </c>
      <c r="C2714">
        <v>157.69999999999999</v>
      </c>
      <c r="D2714">
        <v>153.19999999999999</v>
      </c>
      <c r="E2714">
        <v>156.05000000000001</v>
      </c>
      <c r="F2714">
        <v>157.69999999999999</v>
      </c>
      <c r="G2714">
        <v>142586</v>
      </c>
      <c r="H2714" s="116"/>
      <c r="I2714" s="116"/>
      <c r="L2714" s="169">
        <v>46000</v>
      </c>
      <c r="M2714" s="116">
        <v>158.44</v>
      </c>
      <c r="N2714" s="116">
        <v>160.80000000000001</v>
      </c>
      <c r="O2714" s="116">
        <v>153</v>
      </c>
      <c r="P2714" s="116">
        <v>156.27000000000001</v>
      </c>
      <c r="Q2714" s="116">
        <v>158.44</v>
      </c>
      <c r="R2714">
        <v>1373951</v>
      </c>
    </row>
    <row r="2715" spans="1:18" x14ac:dyDescent="0.25">
      <c r="A2715" s="169">
        <v>46001</v>
      </c>
      <c r="B2715">
        <v>163.65</v>
      </c>
      <c r="C2715">
        <v>160.35</v>
      </c>
      <c r="D2715">
        <v>159.19999999999999</v>
      </c>
      <c r="E2715">
        <v>160.69999999999999</v>
      </c>
      <c r="F2715">
        <v>160.35</v>
      </c>
      <c r="G2715">
        <v>64751</v>
      </c>
      <c r="H2715" s="116"/>
      <c r="I2715" s="116"/>
      <c r="L2715" s="169">
        <v>46001</v>
      </c>
      <c r="M2715" s="116">
        <v>160.28</v>
      </c>
      <c r="N2715" s="116">
        <v>163.75</v>
      </c>
      <c r="O2715" s="116">
        <v>159.01</v>
      </c>
      <c r="P2715" s="116">
        <v>159.01</v>
      </c>
      <c r="Q2715" s="116">
        <v>160.28</v>
      </c>
      <c r="R2715">
        <v>1327374</v>
      </c>
    </row>
    <row r="2716" spans="1:18" x14ac:dyDescent="0.25">
      <c r="A2716" s="169">
        <v>46002</v>
      </c>
      <c r="B2716">
        <v>161.1</v>
      </c>
      <c r="C2716">
        <v>159.75</v>
      </c>
      <c r="D2716">
        <v>158.1</v>
      </c>
      <c r="E2716">
        <v>160.25</v>
      </c>
      <c r="F2716">
        <v>159.75</v>
      </c>
      <c r="G2716">
        <v>75359</v>
      </c>
      <c r="H2716" s="116"/>
      <c r="I2716" s="116"/>
      <c r="L2716" s="169">
        <v>46002</v>
      </c>
      <c r="M2716" s="116">
        <v>159.71</v>
      </c>
      <c r="N2716" s="116">
        <v>161.15</v>
      </c>
      <c r="O2716" s="116">
        <v>158.05000000000001</v>
      </c>
      <c r="P2716" s="116">
        <v>159.80000000000001</v>
      </c>
      <c r="Q2716" s="116">
        <v>159.71</v>
      </c>
      <c r="R2716">
        <v>991234</v>
      </c>
    </row>
    <row r="2717" spans="1:18" x14ac:dyDescent="0.25">
      <c r="A2717" s="169">
        <v>46003</v>
      </c>
      <c r="B2717">
        <v>162.4</v>
      </c>
      <c r="C2717">
        <v>161.25</v>
      </c>
      <c r="D2717">
        <v>157.6</v>
      </c>
      <c r="E2717">
        <v>159.9</v>
      </c>
      <c r="F2717">
        <v>161.25</v>
      </c>
      <c r="G2717">
        <v>140548</v>
      </c>
      <c r="H2717" s="116"/>
      <c r="I2717" s="116"/>
      <c r="L2717" s="169">
        <v>46003</v>
      </c>
      <c r="M2717" s="116">
        <v>161.19999999999999</v>
      </c>
      <c r="N2717" s="116">
        <v>162.35</v>
      </c>
      <c r="O2717" s="116">
        <v>157.66999999999999</v>
      </c>
      <c r="P2717" s="116">
        <v>160.57</v>
      </c>
      <c r="Q2717" s="116">
        <v>161.19999999999999</v>
      </c>
      <c r="R2717">
        <v>2027109</v>
      </c>
    </row>
    <row r="2718" spans="1:18" x14ac:dyDescent="0.25">
      <c r="A2718" s="169">
        <v>46006</v>
      </c>
      <c r="B2718">
        <v>164.45</v>
      </c>
      <c r="C2718">
        <v>163.55000000000001</v>
      </c>
      <c r="D2718">
        <v>161</v>
      </c>
      <c r="E2718">
        <v>161.5</v>
      </c>
      <c r="F2718">
        <v>163.55000000000001</v>
      </c>
      <c r="G2718">
        <v>119156</v>
      </c>
      <c r="H2718" s="116"/>
      <c r="I2718" s="116"/>
      <c r="L2718" s="169">
        <v>46006</v>
      </c>
      <c r="M2718" s="116">
        <v>163.49</v>
      </c>
      <c r="N2718" s="116">
        <v>164.34</v>
      </c>
      <c r="O2718" s="116">
        <v>160.80000000000001</v>
      </c>
      <c r="P2718" s="116">
        <v>161.44999999999999</v>
      </c>
      <c r="Q2718" s="116">
        <v>163.49</v>
      </c>
      <c r="R2718">
        <v>1095808</v>
      </c>
    </row>
    <row r="2719" spans="1:18" x14ac:dyDescent="0.25">
      <c r="A2719" s="169">
        <v>46007</v>
      </c>
      <c r="B2719">
        <v>163.65</v>
      </c>
      <c r="C2719">
        <v>163</v>
      </c>
      <c r="D2719">
        <v>161</v>
      </c>
      <c r="E2719">
        <v>162.4</v>
      </c>
      <c r="F2719">
        <v>163</v>
      </c>
      <c r="G2719">
        <v>55845</v>
      </c>
      <c r="H2719" s="116"/>
      <c r="I2719" s="116"/>
      <c r="L2719" s="169">
        <v>46007</v>
      </c>
      <c r="M2719" s="116">
        <v>163.02000000000001</v>
      </c>
      <c r="N2719" s="116">
        <v>163.6</v>
      </c>
      <c r="O2719" s="116">
        <v>160.82</v>
      </c>
      <c r="P2719" s="116">
        <v>162.80000000000001</v>
      </c>
      <c r="Q2719" s="116">
        <v>163.02000000000001</v>
      </c>
      <c r="R2719">
        <v>726346</v>
      </c>
    </row>
    <row r="2720" spans="1:18" x14ac:dyDescent="0.25">
      <c r="A2720" s="169">
        <v>46008</v>
      </c>
      <c r="B2720">
        <v>164.6</v>
      </c>
      <c r="C2720">
        <v>161.30000000000001</v>
      </c>
      <c r="D2720">
        <v>161.05000000000001</v>
      </c>
      <c r="E2720">
        <v>164.6</v>
      </c>
      <c r="F2720">
        <v>161.30000000000001</v>
      </c>
      <c r="G2720">
        <v>28567</v>
      </c>
      <c r="H2720" s="116"/>
      <c r="I2720" s="116"/>
      <c r="L2720" s="169">
        <v>46008</v>
      </c>
      <c r="M2720" s="116">
        <v>161.32</v>
      </c>
      <c r="N2720" s="116">
        <v>164.59</v>
      </c>
      <c r="O2720" s="116">
        <v>161</v>
      </c>
      <c r="P2720" s="116">
        <v>163.83000000000001</v>
      </c>
      <c r="Q2720" s="116">
        <v>161.32</v>
      </c>
      <c r="R2720">
        <v>544364</v>
      </c>
    </row>
    <row r="2721" spans="1:18" x14ac:dyDescent="0.25">
      <c r="A2721" s="169">
        <v>46009</v>
      </c>
      <c r="B2721">
        <v>165.9</v>
      </c>
      <c r="C2721">
        <v>163.69999999999999</v>
      </c>
      <c r="D2721">
        <v>160.55000000000001</v>
      </c>
      <c r="E2721">
        <v>161.05000000000001</v>
      </c>
      <c r="F2721">
        <v>163.69999999999999</v>
      </c>
      <c r="G2721">
        <v>50820</v>
      </c>
      <c r="H2721" s="116"/>
      <c r="I2721" s="116"/>
      <c r="L2721" s="169">
        <v>46009</v>
      </c>
      <c r="M2721" s="116">
        <v>163.92</v>
      </c>
      <c r="N2721" s="116">
        <v>165.9</v>
      </c>
      <c r="O2721" s="116">
        <v>160.51</v>
      </c>
      <c r="P2721" s="116">
        <v>161.4</v>
      </c>
      <c r="Q2721" s="116">
        <v>163.92</v>
      </c>
      <c r="R2721">
        <v>1663408</v>
      </c>
    </row>
    <row r="2722" spans="1:18" x14ac:dyDescent="0.25">
      <c r="A2722" s="169">
        <v>46010</v>
      </c>
      <c r="B2722">
        <v>163.69999999999999</v>
      </c>
      <c r="C2722">
        <v>161.05000000000001</v>
      </c>
      <c r="D2722">
        <v>160.35</v>
      </c>
      <c r="E2722">
        <v>163.65</v>
      </c>
      <c r="F2722">
        <v>161.05000000000001</v>
      </c>
      <c r="G2722">
        <v>65533</v>
      </c>
      <c r="H2722" s="116"/>
      <c r="I2722" s="116"/>
      <c r="L2722" s="169">
        <v>46010</v>
      </c>
      <c r="M2722" s="116">
        <v>160.91999999999999</v>
      </c>
      <c r="N2722" s="116">
        <v>163.95</v>
      </c>
      <c r="O2722" s="116">
        <v>160.29</v>
      </c>
      <c r="P2722" s="116">
        <v>163.53</v>
      </c>
      <c r="Q2722" s="116">
        <v>160.91999999999999</v>
      </c>
      <c r="R2722">
        <v>1344787</v>
      </c>
    </row>
    <row r="2723" spans="1:18" x14ac:dyDescent="0.25">
      <c r="A2723" s="169">
        <v>46013</v>
      </c>
      <c r="B2723">
        <v>164.9</v>
      </c>
      <c r="C2723">
        <v>164.15</v>
      </c>
      <c r="D2723">
        <v>161.80000000000001</v>
      </c>
      <c r="E2723">
        <v>161.80000000000001</v>
      </c>
      <c r="F2723">
        <v>164.15</v>
      </c>
      <c r="G2723">
        <v>107424</v>
      </c>
      <c r="H2723" s="116"/>
      <c r="I2723" s="116"/>
      <c r="L2723" s="169">
        <v>46013</v>
      </c>
      <c r="M2723" s="116">
        <v>164.06</v>
      </c>
      <c r="N2723" s="116">
        <v>164.96</v>
      </c>
      <c r="O2723" s="116">
        <v>161.91999999999999</v>
      </c>
      <c r="P2723" s="116">
        <v>161.99</v>
      </c>
      <c r="Q2723" s="116">
        <v>164.06</v>
      </c>
      <c r="R2723">
        <v>938315</v>
      </c>
    </row>
    <row r="2724" spans="1:18" x14ac:dyDescent="0.25">
      <c r="A2724" s="169">
        <v>46014</v>
      </c>
      <c r="B2724">
        <v>171.25</v>
      </c>
      <c r="C2724">
        <v>168.7</v>
      </c>
      <c r="D2724">
        <v>164.2</v>
      </c>
      <c r="E2724">
        <v>165.05</v>
      </c>
      <c r="F2724">
        <v>168.7</v>
      </c>
      <c r="G2724">
        <v>312778</v>
      </c>
      <c r="H2724" s="116"/>
      <c r="I2724" s="116"/>
      <c r="L2724" s="169">
        <v>46014</v>
      </c>
      <c r="M2724" s="116">
        <v>168.64</v>
      </c>
      <c r="N2724" s="116">
        <v>171.27</v>
      </c>
      <c r="O2724" s="116">
        <v>164.35</v>
      </c>
      <c r="P2724" s="116">
        <v>165.37</v>
      </c>
      <c r="Q2724" s="116">
        <v>168.64</v>
      </c>
      <c r="R2724">
        <v>2265370</v>
      </c>
    </row>
    <row r="2725" spans="1:18" x14ac:dyDescent="0.25">
      <c r="A2725" s="169">
        <v>46015</v>
      </c>
      <c r="B2725">
        <v>169.4</v>
      </c>
      <c r="C2725">
        <v>166.85</v>
      </c>
      <c r="D2725">
        <v>166.5</v>
      </c>
      <c r="E2725">
        <v>169.4</v>
      </c>
      <c r="F2725">
        <v>166.85</v>
      </c>
      <c r="G2725">
        <v>88613</v>
      </c>
      <c r="H2725" s="116"/>
      <c r="I2725" s="116"/>
      <c r="L2725" s="169">
        <v>46015</v>
      </c>
      <c r="M2725" s="116">
        <v>166.78</v>
      </c>
      <c r="N2725" s="116">
        <v>169.9</v>
      </c>
      <c r="O2725" s="116">
        <v>166.51</v>
      </c>
      <c r="P2725" s="116">
        <v>169.89</v>
      </c>
      <c r="Q2725" s="116">
        <v>166.78</v>
      </c>
      <c r="R2725">
        <v>682121</v>
      </c>
    </row>
    <row r="2726" spans="1:18" x14ac:dyDescent="0.25">
      <c r="A2726" s="169">
        <v>46017</v>
      </c>
      <c r="B2726">
        <v>168.25</v>
      </c>
      <c r="C2726">
        <v>166.1</v>
      </c>
      <c r="D2726">
        <v>165.75</v>
      </c>
      <c r="E2726">
        <v>167.75</v>
      </c>
      <c r="F2726">
        <v>166.1</v>
      </c>
      <c r="G2726">
        <v>96170</v>
      </c>
      <c r="H2726" s="116"/>
      <c r="I2726" s="116"/>
      <c r="L2726" s="169">
        <v>46017</v>
      </c>
      <c r="M2726" s="116">
        <v>166.12</v>
      </c>
      <c r="N2726" s="116">
        <v>168.39</v>
      </c>
      <c r="O2726" s="116">
        <v>165.82</v>
      </c>
      <c r="P2726" s="116">
        <v>167.5</v>
      </c>
      <c r="Q2726" s="116">
        <v>166.12</v>
      </c>
      <c r="R2726">
        <v>576880</v>
      </c>
    </row>
    <row r="2727" spans="1:18" x14ac:dyDescent="0.25">
      <c r="A2727" s="169">
        <v>46020</v>
      </c>
      <c r="B2727">
        <v>167.8</v>
      </c>
      <c r="C2727">
        <v>165.25</v>
      </c>
      <c r="D2727">
        <v>163.35</v>
      </c>
      <c r="E2727">
        <v>167</v>
      </c>
      <c r="F2727">
        <v>165.25</v>
      </c>
      <c r="G2727">
        <v>74464</v>
      </c>
      <c r="H2727" s="116"/>
      <c r="I2727" s="116"/>
      <c r="L2727" s="169">
        <v>46020</v>
      </c>
      <c r="M2727" s="116">
        <v>165.21</v>
      </c>
      <c r="N2727" s="116">
        <v>167.9</v>
      </c>
      <c r="O2727" s="116">
        <v>163.12</v>
      </c>
      <c r="P2727" s="116">
        <v>167.55</v>
      </c>
      <c r="Q2727" s="116">
        <v>165.21</v>
      </c>
      <c r="R2727">
        <v>1460531</v>
      </c>
    </row>
    <row r="2728" spans="1:18" x14ac:dyDescent="0.25">
      <c r="A2728" s="169">
        <v>46021</v>
      </c>
      <c r="B2728">
        <v>166.5</v>
      </c>
      <c r="C2728">
        <v>165</v>
      </c>
      <c r="D2728">
        <v>164</v>
      </c>
      <c r="E2728">
        <v>165.4</v>
      </c>
      <c r="F2728">
        <v>165</v>
      </c>
      <c r="G2728">
        <v>84774</v>
      </c>
      <c r="H2728" s="116"/>
      <c r="I2728" s="116"/>
      <c r="L2728" s="169">
        <v>46021</v>
      </c>
      <c r="M2728" s="116">
        <v>164.77</v>
      </c>
      <c r="N2728" s="116">
        <v>166.51</v>
      </c>
      <c r="O2728" s="116">
        <v>164.1</v>
      </c>
      <c r="P2728" s="116">
        <v>165.2</v>
      </c>
      <c r="Q2728" s="116">
        <v>164.77</v>
      </c>
      <c r="R2728">
        <v>789566</v>
      </c>
    </row>
    <row r="2729" spans="1:18" x14ac:dyDescent="0.25">
      <c r="A2729" s="169">
        <v>46022</v>
      </c>
      <c r="B2729">
        <v>170</v>
      </c>
      <c r="C2729">
        <v>168</v>
      </c>
      <c r="D2729">
        <v>164.3</v>
      </c>
      <c r="E2729">
        <v>164.3</v>
      </c>
      <c r="F2729">
        <v>168</v>
      </c>
      <c r="G2729">
        <v>181185</v>
      </c>
      <c r="H2729" s="116"/>
      <c r="I2729" s="116"/>
      <c r="L2729" s="169">
        <v>46022</v>
      </c>
      <c r="M2729" s="116">
        <v>167.94</v>
      </c>
      <c r="N2729" s="116">
        <v>169.8</v>
      </c>
      <c r="O2729" s="116">
        <v>164.8</v>
      </c>
      <c r="P2729" s="116">
        <v>164.8</v>
      </c>
      <c r="Q2729" s="116">
        <v>167.94</v>
      </c>
      <c r="R2729">
        <v>1793912</v>
      </c>
    </row>
    <row r="2730" spans="1:18" x14ac:dyDescent="0.25">
      <c r="A2730" s="169">
        <v>46023</v>
      </c>
      <c r="B2730">
        <v>169.25</v>
      </c>
      <c r="C2730">
        <v>167.25</v>
      </c>
      <c r="D2730">
        <v>165.75</v>
      </c>
      <c r="E2730">
        <v>168.1</v>
      </c>
      <c r="F2730">
        <v>167.25</v>
      </c>
      <c r="G2730">
        <v>121991</v>
      </c>
      <c r="H2730" s="116"/>
      <c r="I2730" s="116"/>
      <c r="L2730" s="169">
        <v>46023</v>
      </c>
      <c r="M2730" s="116">
        <v>167.46</v>
      </c>
      <c r="N2730" s="116">
        <v>169.18</v>
      </c>
      <c r="O2730" s="116">
        <v>165.8</v>
      </c>
      <c r="P2730" s="116">
        <v>168.4</v>
      </c>
      <c r="Q2730" s="116">
        <v>167.46</v>
      </c>
      <c r="R2730">
        <v>649515</v>
      </c>
    </row>
    <row r="2731" spans="1:18" x14ac:dyDescent="0.25">
      <c r="A2731" s="169">
        <v>46024</v>
      </c>
      <c r="B2731">
        <v>170.95</v>
      </c>
      <c r="C2731">
        <v>170.65</v>
      </c>
      <c r="D2731">
        <v>167.45</v>
      </c>
      <c r="E2731">
        <v>167.5</v>
      </c>
      <c r="F2731">
        <v>170.65</v>
      </c>
      <c r="G2731">
        <v>59068</v>
      </c>
      <c r="H2731" s="116"/>
      <c r="I2731" s="116"/>
      <c r="L2731" s="169">
        <v>46024</v>
      </c>
      <c r="M2731" s="116">
        <v>170.58</v>
      </c>
      <c r="N2731" s="116">
        <v>170.99</v>
      </c>
      <c r="O2731" s="116">
        <v>167.45</v>
      </c>
      <c r="P2731" s="116">
        <v>168.24</v>
      </c>
      <c r="Q2731" s="116">
        <v>170.58</v>
      </c>
      <c r="R2731">
        <v>1204553</v>
      </c>
    </row>
    <row r="2732" spans="1:18" x14ac:dyDescent="0.25">
      <c r="A2732" s="169">
        <v>46027</v>
      </c>
      <c r="B2732">
        <v>173.85</v>
      </c>
      <c r="C2732">
        <v>172.55</v>
      </c>
      <c r="D2732">
        <v>169.3</v>
      </c>
      <c r="E2732">
        <v>172.05</v>
      </c>
      <c r="F2732">
        <v>172.55</v>
      </c>
      <c r="G2732">
        <v>216682</v>
      </c>
      <c r="H2732" s="116"/>
      <c r="I2732" s="116"/>
      <c r="L2732" s="169">
        <v>46027</v>
      </c>
      <c r="M2732" s="116">
        <v>172.69</v>
      </c>
      <c r="N2732" s="116">
        <v>173.96</v>
      </c>
      <c r="O2732" s="116">
        <v>169.39</v>
      </c>
      <c r="P2732" s="116">
        <v>172.8</v>
      </c>
      <c r="Q2732" s="116">
        <v>172.69</v>
      </c>
      <c r="R2732">
        <v>1500395</v>
      </c>
    </row>
    <row r="2733" spans="1:18" x14ac:dyDescent="0.25">
      <c r="A2733" s="169">
        <v>46028</v>
      </c>
      <c r="B2733">
        <v>175.05</v>
      </c>
      <c r="C2733">
        <v>171.55</v>
      </c>
      <c r="D2733">
        <v>170.65</v>
      </c>
      <c r="E2733">
        <v>172.9</v>
      </c>
      <c r="F2733">
        <v>171.55</v>
      </c>
      <c r="G2733">
        <v>96554</v>
      </c>
      <c r="H2733" s="116"/>
      <c r="I2733" s="116"/>
      <c r="L2733" s="169">
        <v>46028</v>
      </c>
      <c r="M2733" s="116">
        <v>171.5</v>
      </c>
      <c r="N2733" s="116">
        <v>175</v>
      </c>
      <c r="O2733" s="116">
        <v>170.51</v>
      </c>
      <c r="P2733" s="116">
        <v>173.1</v>
      </c>
      <c r="Q2733" s="116">
        <v>171.5</v>
      </c>
      <c r="R2733">
        <v>1271118</v>
      </c>
    </row>
    <row r="2734" spans="1:18" x14ac:dyDescent="0.25">
      <c r="A2734" s="169">
        <v>46029</v>
      </c>
      <c r="B2734">
        <v>171.45</v>
      </c>
      <c r="C2734">
        <v>170.45</v>
      </c>
      <c r="D2734">
        <v>168.65</v>
      </c>
      <c r="E2734">
        <v>170.75</v>
      </c>
      <c r="F2734">
        <v>170.45</v>
      </c>
      <c r="G2734">
        <v>80102</v>
      </c>
      <c r="H2734" s="116"/>
      <c r="I2734" s="116"/>
      <c r="L2734" s="169">
        <v>46029</v>
      </c>
      <c r="M2734" s="116">
        <v>170.33</v>
      </c>
      <c r="N2734" s="116">
        <v>171.35</v>
      </c>
      <c r="O2734" s="116">
        <v>168.61</v>
      </c>
      <c r="P2734" s="116">
        <v>170.41</v>
      </c>
      <c r="Q2734" s="116">
        <v>170.33</v>
      </c>
      <c r="R2734">
        <v>684299</v>
      </c>
    </row>
    <row r="2735" spans="1:18" x14ac:dyDescent="0.25">
      <c r="A2735" s="169">
        <v>46030</v>
      </c>
      <c r="B2735">
        <v>170</v>
      </c>
      <c r="C2735">
        <v>163.6</v>
      </c>
      <c r="D2735">
        <v>163</v>
      </c>
      <c r="E2735">
        <v>170</v>
      </c>
      <c r="F2735">
        <v>163.6</v>
      </c>
      <c r="G2735">
        <v>168191</v>
      </c>
      <c r="H2735" s="116"/>
      <c r="I2735" s="116"/>
      <c r="L2735" s="169">
        <v>46030</v>
      </c>
      <c r="M2735" s="116">
        <v>163.44999999999999</v>
      </c>
      <c r="N2735" s="116">
        <v>170.6</v>
      </c>
      <c r="O2735" s="116">
        <v>162.99</v>
      </c>
      <c r="P2735" s="116">
        <v>170.6</v>
      </c>
      <c r="Q2735" s="116">
        <v>163.44999999999999</v>
      </c>
      <c r="R2735">
        <v>1198967</v>
      </c>
    </row>
    <row r="2736" spans="1:18" x14ac:dyDescent="0.25">
      <c r="A2736" s="169">
        <v>46031</v>
      </c>
      <c r="B2736">
        <v>164.4</v>
      </c>
      <c r="C2736">
        <v>161.30000000000001</v>
      </c>
      <c r="D2736">
        <v>160.44999999999999</v>
      </c>
      <c r="E2736">
        <v>163.05000000000001</v>
      </c>
      <c r="F2736">
        <v>161.30000000000001</v>
      </c>
      <c r="G2736">
        <v>171043</v>
      </c>
      <c r="H2736" s="116"/>
      <c r="I2736" s="116"/>
      <c r="L2736" s="169">
        <v>46031</v>
      </c>
      <c r="M2736" s="116">
        <v>161.44</v>
      </c>
      <c r="N2736" s="116">
        <v>164.27</v>
      </c>
      <c r="O2736" s="116">
        <v>160.5</v>
      </c>
      <c r="P2736" s="116">
        <v>163.71</v>
      </c>
      <c r="Q2736" s="116">
        <v>161.44</v>
      </c>
      <c r="R2736">
        <v>1229604</v>
      </c>
    </row>
    <row r="2737" spans="1:18" x14ac:dyDescent="0.25">
      <c r="A2737" s="169">
        <v>46034</v>
      </c>
      <c r="B2737">
        <v>162.6</v>
      </c>
      <c r="C2737">
        <v>161.9</v>
      </c>
      <c r="D2737">
        <v>156.9</v>
      </c>
      <c r="E2737">
        <v>161.5</v>
      </c>
      <c r="F2737">
        <v>161.9</v>
      </c>
      <c r="G2737">
        <v>64576</v>
      </c>
      <c r="H2737" s="116"/>
      <c r="I2737" s="116"/>
      <c r="L2737" s="169">
        <v>46034</v>
      </c>
      <c r="M2737" s="116">
        <v>161.77000000000001</v>
      </c>
      <c r="N2737" s="116">
        <v>162.55000000000001</v>
      </c>
      <c r="O2737" s="116">
        <v>157.04</v>
      </c>
      <c r="P2737" s="116">
        <v>161.44</v>
      </c>
      <c r="Q2737" s="116">
        <v>161.77000000000001</v>
      </c>
      <c r="R2737">
        <v>1332447</v>
      </c>
    </row>
    <row r="2738" spans="1:18" x14ac:dyDescent="0.25">
      <c r="A2738" s="169">
        <v>46035</v>
      </c>
      <c r="B2738">
        <v>163.5</v>
      </c>
      <c r="C2738">
        <v>161.5</v>
      </c>
      <c r="D2738">
        <v>160.80000000000001</v>
      </c>
      <c r="E2738">
        <v>162.05000000000001</v>
      </c>
      <c r="F2738">
        <v>161.5</v>
      </c>
      <c r="G2738">
        <v>76139</v>
      </c>
      <c r="H2738" s="116"/>
      <c r="I2738" s="116"/>
      <c r="L2738" s="169">
        <v>46035</v>
      </c>
      <c r="M2738" s="116">
        <v>161.52000000000001</v>
      </c>
      <c r="N2738" s="116">
        <v>163.5</v>
      </c>
      <c r="O2738" s="116">
        <v>160.80000000000001</v>
      </c>
      <c r="P2738" s="116">
        <v>162.01</v>
      </c>
      <c r="Q2738" s="116">
        <v>161.52000000000001</v>
      </c>
      <c r="R2738">
        <v>644500</v>
      </c>
    </row>
    <row r="2739" spans="1:18" x14ac:dyDescent="0.25">
      <c r="A2739" s="169">
        <v>46036</v>
      </c>
      <c r="B2739">
        <v>163</v>
      </c>
      <c r="C2739">
        <v>160</v>
      </c>
      <c r="D2739">
        <v>159.6</v>
      </c>
      <c r="E2739">
        <v>161.5</v>
      </c>
      <c r="F2739">
        <v>160</v>
      </c>
      <c r="G2739">
        <v>52538</v>
      </c>
      <c r="H2739" s="116"/>
      <c r="I2739" s="116"/>
      <c r="L2739" s="169">
        <v>46036</v>
      </c>
      <c r="M2739" s="116">
        <v>159.97</v>
      </c>
      <c r="N2739" s="116">
        <v>162.9</v>
      </c>
      <c r="O2739" s="116">
        <v>159.5</v>
      </c>
      <c r="P2739" s="116">
        <v>161.6</v>
      </c>
      <c r="Q2739" s="116">
        <v>159.97</v>
      </c>
      <c r="R2739">
        <v>1444466</v>
      </c>
    </row>
    <row r="2740" spans="1:18" x14ac:dyDescent="0.25">
      <c r="A2740" s="169">
        <v>46038</v>
      </c>
      <c r="B2740">
        <v>161.30000000000001</v>
      </c>
      <c r="C2740">
        <v>154.85</v>
      </c>
      <c r="D2740">
        <v>154.1</v>
      </c>
      <c r="E2740">
        <v>160.94999999999999</v>
      </c>
      <c r="F2740">
        <v>154.85</v>
      </c>
      <c r="G2740">
        <v>204439</v>
      </c>
      <c r="H2740" s="116"/>
      <c r="I2740" s="116"/>
      <c r="L2740" s="169">
        <v>46038</v>
      </c>
      <c r="M2740" s="116">
        <v>154.63999999999999</v>
      </c>
      <c r="N2740" s="116">
        <v>162</v>
      </c>
      <c r="O2740" s="116">
        <v>154</v>
      </c>
      <c r="P2740" s="116">
        <v>161.26</v>
      </c>
      <c r="Q2740" s="116">
        <v>154.63999999999999</v>
      </c>
      <c r="R2740">
        <v>2392834</v>
      </c>
    </row>
    <row r="2741" spans="1:18" x14ac:dyDescent="0.25">
      <c r="A2741" s="169">
        <v>46041</v>
      </c>
      <c r="B2741">
        <v>183.35</v>
      </c>
      <c r="C2741">
        <v>179.3</v>
      </c>
      <c r="D2741">
        <v>154.30000000000001</v>
      </c>
      <c r="E2741">
        <v>154.30000000000001</v>
      </c>
      <c r="F2741">
        <v>179.3</v>
      </c>
      <c r="G2741">
        <v>10209801</v>
      </c>
      <c r="H2741" s="116"/>
      <c r="I2741" s="116"/>
      <c r="L2741" s="169">
        <v>46041</v>
      </c>
      <c r="M2741" s="116">
        <v>179.29</v>
      </c>
      <c r="N2741" s="116">
        <v>183.4</v>
      </c>
      <c r="O2741" s="116">
        <v>155</v>
      </c>
      <c r="P2741" s="116">
        <v>155</v>
      </c>
      <c r="Q2741" s="116">
        <v>179.29</v>
      </c>
      <c r="R2741">
        <v>122465614</v>
      </c>
    </row>
    <row r="2742" spans="1:18" x14ac:dyDescent="0.25">
      <c r="A2742" s="169">
        <v>46042</v>
      </c>
      <c r="B2742">
        <v>189.75</v>
      </c>
      <c r="C2742">
        <v>186.85</v>
      </c>
      <c r="D2742">
        <v>179.2</v>
      </c>
      <c r="E2742">
        <v>179.25</v>
      </c>
      <c r="F2742">
        <v>186.85</v>
      </c>
      <c r="G2742">
        <v>5281266</v>
      </c>
      <c r="H2742" s="116"/>
      <c r="I2742" s="116"/>
      <c r="L2742" s="169">
        <v>46042</v>
      </c>
      <c r="M2742" s="116">
        <v>186.8</v>
      </c>
      <c r="N2742" s="116">
        <v>189.95</v>
      </c>
      <c r="O2742" s="116">
        <v>179</v>
      </c>
      <c r="P2742" s="116">
        <v>179</v>
      </c>
      <c r="Q2742" s="116">
        <v>186.8</v>
      </c>
      <c r="R2742">
        <v>65747863</v>
      </c>
    </row>
    <row r="2743" spans="1:18" x14ac:dyDescent="0.25">
      <c r="A2743" s="169">
        <v>46043</v>
      </c>
      <c r="B2743">
        <v>194.9</v>
      </c>
      <c r="C2743">
        <v>193.6</v>
      </c>
      <c r="D2743">
        <v>180.6</v>
      </c>
      <c r="E2743">
        <v>182.9</v>
      </c>
      <c r="F2743">
        <v>193.6</v>
      </c>
      <c r="G2743">
        <v>3585699</v>
      </c>
      <c r="H2743" s="116"/>
      <c r="I2743" s="116"/>
      <c r="L2743" s="169">
        <v>46043</v>
      </c>
      <c r="M2743" s="116">
        <v>193.61</v>
      </c>
      <c r="N2743" s="116">
        <v>195</v>
      </c>
      <c r="O2743" s="116">
        <v>180.5</v>
      </c>
      <c r="P2743" s="116">
        <v>181</v>
      </c>
      <c r="Q2743" s="116">
        <v>193.61</v>
      </c>
      <c r="R2743">
        <v>38791924</v>
      </c>
    </row>
    <row r="2744" spans="1:18" x14ac:dyDescent="0.25">
      <c r="A2744" s="169">
        <v>46044</v>
      </c>
      <c r="B2744">
        <v>194.5</v>
      </c>
      <c r="C2744">
        <v>188.05</v>
      </c>
      <c r="D2744">
        <v>183.25</v>
      </c>
      <c r="E2744">
        <v>190.75</v>
      </c>
      <c r="F2744">
        <v>188.05</v>
      </c>
      <c r="G2744">
        <v>1412756</v>
      </c>
      <c r="H2744" s="116"/>
      <c r="I2744" s="116"/>
      <c r="L2744" s="169">
        <v>46044</v>
      </c>
      <c r="M2744" s="116">
        <v>187.98</v>
      </c>
      <c r="N2744" s="116">
        <v>194.5</v>
      </c>
      <c r="O2744" s="116">
        <v>183.3</v>
      </c>
      <c r="P2744" s="116">
        <v>191.48</v>
      </c>
      <c r="Q2744" s="116">
        <v>187.98</v>
      </c>
      <c r="R2744">
        <v>16635488</v>
      </c>
    </row>
    <row r="2745" spans="1:18" x14ac:dyDescent="0.25">
      <c r="A2745" s="169">
        <v>46045</v>
      </c>
      <c r="B2745">
        <v>188.2</v>
      </c>
      <c r="C2745">
        <v>177.7</v>
      </c>
      <c r="D2745">
        <v>175.8</v>
      </c>
      <c r="E2745">
        <v>185</v>
      </c>
      <c r="F2745">
        <v>177.7</v>
      </c>
      <c r="G2745">
        <v>530510</v>
      </c>
      <c r="H2745" s="116"/>
      <c r="I2745" s="116"/>
      <c r="L2745" s="169">
        <v>46045</v>
      </c>
      <c r="M2745" s="116">
        <v>177.72</v>
      </c>
      <c r="N2745" s="116">
        <v>188.34</v>
      </c>
      <c r="O2745" s="116">
        <v>175.5</v>
      </c>
      <c r="P2745" s="116">
        <v>185.6</v>
      </c>
      <c r="Q2745" s="116">
        <v>177.72</v>
      </c>
      <c r="R2745">
        <v>6339965</v>
      </c>
    </row>
    <row r="2746" spans="1:18" x14ac:dyDescent="0.25">
      <c r="A2746" s="169">
        <v>46049</v>
      </c>
      <c r="B2746">
        <v>179.45</v>
      </c>
      <c r="C2746">
        <v>177.9</v>
      </c>
      <c r="D2746">
        <v>174.1</v>
      </c>
      <c r="E2746">
        <v>177.8</v>
      </c>
      <c r="F2746">
        <v>177.9</v>
      </c>
      <c r="G2746">
        <v>456926</v>
      </c>
      <c r="H2746" s="116"/>
      <c r="I2746" s="116"/>
      <c r="L2746" s="169">
        <v>46049</v>
      </c>
      <c r="M2746" s="116">
        <v>178.19</v>
      </c>
      <c r="N2746" s="116">
        <v>179.62</v>
      </c>
      <c r="O2746" s="116">
        <v>174.1</v>
      </c>
      <c r="P2746" s="116">
        <v>178.26</v>
      </c>
      <c r="Q2746" s="116">
        <v>178.19</v>
      </c>
      <c r="R2746">
        <v>4487341</v>
      </c>
    </row>
    <row r="2747" spans="1:18" x14ac:dyDescent="0.25">
      <c r="A2747" s="169">
        <v>46050</v>
      </c>
      <c r="B2747">
        <v>184.5</v>
      </c>
      <c r="C2747">
        <v>181.2</v>
      </c>
      <c r="D2747">
        <v>177.55</v>
      </c>
      <c r="E2747">
        <v>179.5</v>
      </c>
      <c r="F2747">
        <v>181.2</v>
      </c>
      <c r="G2747">
        <v>213006</v>
      </c>
      <c r="H2747" s="116"/>
      <c r="I2747" s="116"/>
      <c r="L2747" s="169">
        <v>46050</v>
      </c>
      <c r="M2747" s="116">
        <v>180.91</v>
      </c>
      <c r="N2747" s="116">
        <v>184.7</v>
      </c>
      <c r="O2747" s="116">
        <v>177.4</v>
      </c>
      <c r="P2747" s="116">
        <v>179.3</v>
      </c>
      <c r="Q2747" s="116">
        <v>180.91</v>
      </c>
      <c r="R2747">
        <v>4193856</v>
      </c>
    </row>
    <row r="2748" spans="1:18" x14ac:dyDescent="0.25">
      <c r="A2748" s="169">
        <v>46051</v>
      </c>
      <c r="B2748">
        <v>180.7</v>
      </c>
      <c r="C2748">
        <v>176.8</v>
      </c>
      <c r="D2748">
        <v>175.55</v>
      </c>
      <c r="E2748">
        <v>180.65</v>
      </c>
      <c r="F2748">
        <v>176.8</v>
      </c>
      <c r="G2748">
        <v>224238</v>
      </c>
      <c r="H2748" s="116"/>
      <c r="I2748" s="116"/>
      <c r="L2748" s="169">
        <v>46051</v>
      </c>
      <c r="M2748" s="116">
        <v>176.84</v>
      </c>
      <c r="N2748" s="116">
        <v>181.67</v>
      </c>
      <c r="O2748" s="116">
        <v>175.61</v>
      </c>
      <c r="P2748" s="116">
        <v>180.91</v>
      </c>
      <c r="Q2748" s="116">
        <v>176.84</v>
      </c>
      <c r="R2748">
        <v>2059887</v>
      </c>
    </row>
    <row r="2749" spans="1:18" x14ac:dyDescent="0.25">
      <c r="A2749" s="169">
        <v>46052</v>
      </c>
      <c r="B2749">
        <v>179.3</v>
      </c>
      <c r="C2749">
        <v>175.85</v>
      </c>
      <c r="D2749">
        <v>172.75</v>
      </c>
      <c r="E2749">
        <v>176.65</v>
      </c>
      <c r="F2749">
        <v>175.85</v>
      </c>
      <c r="G2749">
        <v>183787</v>
      </c>
      <c r="H2749" s="116"/>
      <c r="I2749" s="116"/>
      <c r="L2749" s="169">
        <v>46052</v>
      </c>
      <c r="M2749" s="116">
        <v>175.77</v>
      </c>
      <c r="N2749" s="116">
        <v>179.4</v>
      </c>
      <c r="O2749" s="116">
        <v>172.6</v>
      </c>
      <c r="P2749" s="116">
        <v>176</v>
      </c>
      <c r="Q2749" s="116">
        <v>175.77</v>
      </c>
      <c r="R2749">
        <v>2262869</v>
      </c>
    </row>
    <row r="2750" spans="1:18" x14ac:dyDescent="0.25">
      <c r="A2750" s="169">
        <v>46054</v>
      </c>
      <c r="B2750">
        <v>176.55</v>
      </c>
      <c r="C2750">
        <v>172.7</v>
      </c>
      <c r="D2750">
        <v>171</v>
      </c>
      <c r="E2750">
        <v>174.25</v>
      </c>
      <c r="F2750">
        <v>172.7</v>
      </c>
      <c r="G2750">
        <v>172810</v>
      </c>
      <c r="H2750" s="116"/>
      <c r="I2750" s="116"/>
      <c r="L2750" s="169">
        <v>46054</v>
      </c>
      <c r="M2750" s="116">
        <v>172.43</v>
      </c>
      <c r="N2750" s="116">
        <v>176.9</v>
      </c>
      <c r="O2750" s="116">
        <v>171</v>
      </c>
      <c r="P2750" s="116">
        <v>176.9</v>
      </c>
      <c r="Q2750" s="116">
        <v>172.43</v>
      </c>
      <c r="R2750">
        <v>1134558</v>
      </c>
    </row>
    <row r="2751" spans="1:18" x14ac:dyDescent="0.25">
      <c r="A2751" s="169">
        <v>46055</v>
      </c>
      <c r="B2751">
        <v>177.9</v>
      </c>
      <c r="C2751">
        <v>176.4</v>
      </c>
      <c r="D2751">
        <v>169.05</v>
      </c>
      <c r="E2751">
        <v>172.05</v>
      </c>
      <c r="F2751">
        <v>176.4</v>
      </c>
      <c r="G2751">
        <v>175798</v>
      </c>
      <c r="H2751" s="116"/>
      <c r="I2751" s="116"/>
      <c r="L2751" s="169">
        <v>46055</v>
      </c>
      <c r="M2751" s="116">
        <v>176.93</v>
      </c>
      <c r="N2751" s="116">
        <v>177.98</v>
      </c>
      <c r="O2751" s="116">
        <v>169.06</v>
      </c>
      <c r="P2751" s="116">
        <v>172</v>
      </c>
      <c r="Q2751" s="116">
        <v>176.93</v>
      </c>
      <c r="R2751">
        <v>3005191</v>
      </c>
    </row>
    <row r="2752" spans="1:18" x14ac:dyDescent="0.25">
      <c r="A2752" s="169">
        <v>46056</v>
      </c>
      <c r="B2752">
        <v>189.35</v>
      </c>
      <c r="C2752">
        <v>188</v>
      </c>
      <c r="D2752">
        <v>180.9</v>
      </c>
      <c r="E2752">
        <v>188.6</v>
      </c>
      <c r="F2752">
        <v>188</v>
      </c>
      <c r="G2752">
        <v>185620</v>
      </c>
      <c r="H2752" s="116"/>
      <c r="I2752" s="116"/>
      <c r="L2752" s="169">
        <v>46056</v>
      </c>
      <c r="M2752" s="116">
        <v>188.06</v>
      </c>
      <c r="N2752" s="116">
        <v>190</v>
      </c>
      <c r="O2752" s="116">
        <v>180.78</v>
      </c>
      <c r="P2752" s="116">
        <v>188</v>
      </c>
      <c r="Q2752" s="116">
        <v>188.06</v>
      </c>
      <c r="R2752">
        <v>4547621</v>
      </c>
    </row>
    <row r="2753" spans="1:18" x14ac:dyDescent="0.25">
      <c r="A2753" s="169">
        <v>46057</v>
      </c>
      <c r="B2753">
        <v>189.8</v>
      </c>
      <c r="C2753">
        <v>188.3</v>
      </c>
      <c r="D2753">
        <v>184.85</v>
      </c>
      <c r="E2753">
        <v>187.9</v>
      </c>
      <c r="F2753">
        <v>188.3</v>
      </c>
      <c r="G2753">
        <v>82219</v>
      </c>
      <c r="H2753" s="116"/>
      <c r="I2753" s="116"/>
      <c r="L2753" s="169">
        <v>46057</v>
      </c>
      <c r="M2753" s="116">
        <v>188.21</v>
      </c>
      <c r="N2753" s="116">
        <v>189.84</v>
      </c>
      <c r="O2753" s="116">
        <v>184.54</v>
      </c>
      <c r="P2753" s="116">
        <v>187.7</v>
      </c>
      <c r="Q2753" s="116">
        <v>188.21</v>
      </c>
      <c r="R2753">
        <v>2311234</v>
      </c>
    </row>
    <row r="2754" spans="1:18" x14ac:dyDescent="0.25">
      <c r="A2754" s="169">
        <v>46058</v>
      </c>
      <c r="B2754">
        <v>188</v>
      </c>
      <c r="C2754">
        <v>184.85</v>
      </c>
      <c r="D2754">
        <v>183.35</v>
      </c>
      <c r="E2754">
        <v>187.65</v>
      </c>
      <c r="F2754">
        <v>184.85</v>
      </c>
      <c r="G2754">
        <v>95709</v>
      </c>
      <c r="H2754" s="116"/>
      <c r="I2754" s="116"/>
      <c r="L2754" s="169">
        <v>46058</v>
      </c>
      <c r="M2754" s="116">
        <v>185</v>
      </c>
      <c r="N2754" s="116">
        <v>188.21</v>
      </c>
      <c r="O2754" s="116">
        <v>183.37</v>
      </c>
      <c r="P2754" s="116">
        <v>187</v>
      </c>
      <c r="Q2754" s="116">
        <v>185</v>
      </c>
      <c r="R2754">
        <v>1166689</v>
      </c>
    </row>
    <row r="2755" spans="1:18" x14ac:dyDescent="0.25">
      <c r="A2755" s="169">
        <v>46059</v>
      </c>
      <c r="B2755">
        <v>191.1</v>
      </c>
      <c r="C2755">
        <v>187.8</v>
      </c>
      <c r="D2755">
        <v>183.9</v>
      </c>
      <c r="E2755">
        <v>184.9</v>
      </c>
      <c r="F2755">
        <v>187.8</v>
      </c>
      <c r="G2755">
        <v>193452</v>
      </c>
      <c r="H2755" s="116"/>
      <c r="I2755" s="116"/>
      <c r="L2755" s="169">
        <v>46059</v>
      </c>
      <c r="M2755" s="116">
        <v>187.78</v>
      </c>
      <c r="N2755" s="116">
        <v>190.91</v>
      </c>
      <c r="O2755" s="116">
        <v>183.54</v>
      </c>
      <c r="P2755" s="116">
        <v>184.88</v>
      </c>
      <c r="Q2755" s="116">
        <v>187.78</v>
      </c>
      <c r="R2755">
        <v>2736914</v>
      </c>
    </row>
    <row r="2756" spans="1:18" x14ac:dyDescent="0.25">
      <c r="A2756" s="169">
        <v>46062</v>
      </c>
      <c r="B2756">
        <v>190.15</v>
      </c>
      <c r="C2756">
        <v>189.5</v>
      </c>
      <c r="D2756">
        <v>186.4</v>
      </c>
      <c r="E2756">
        <v>188.2</v>
      </c>
      <c r="F2756">
        <v>189.5</v>
      </c>
      <c r="G2756">
        <v>138380</v>
      </c>
      <c r="H2756" s="116"/>
      <c r="I2756" s="116"/>
      <c r="L2756" s="169">
        <v>46062</v>
      </c>
      <c r="M2756" s="116">
        <v>189.38</v>
      </c>
      <c r="N2756" s="116">
        <v>190.32</v>
      </c>
      <c r="O2756" s="116">
        <v>186.26</v>
      </c>
      <c r="P2756" s="116">
        <v>189.5</v>
      </c>
      <c r="Q2756" s="116">
        <v>189.38</v>
      </c>
      <c r="R2756">
        <v>1401501</v>
      </c>
    </row>
    <row r="2757" spans="1:18" x14ac:dyDescent="0.25">
      <c r="A2757" s="169">
        <v>46063</v>
      </c>
      <c r="B2757">
        <v>196.2</v>
      </c>
      <c r="C2757">
        <v>194.5</v>
      </c>
      <c r="D2757">
        <v>189.2</v>
      </c>
      <c r="E2757">
        <v>189.9</v>
      </c>
      <c r="F2757">
        <v>194.5</v>
      </c>
      <c r="G2757">
        <v>279184</v>
      </c>
      <c r="H2757" s="116"/>
      <c r="I2757" s="116"/>
      <c r="L2757" s="169">
        <v>46063</v>
      </c>
      <c r="M2757" s="116">
        <v>194.55</v>
      </c>
      <c r="N2757" s="116">
        <v>196</v>
      </c>
      <c r="O2757" s="116">
        <v>189.02</v>
      </c>
      <c r="P2757" s="116">
        <v>189.51</v>
      </c>
      <c r="Q2757" s="116">
        <v>194.55</v>
      </c>
      <c r="R2757">
        <v>3835639</v>
      </c>
    </row>
    <row r="2758" spans="1:18" x14ac:dyDescent="0.25">
      <c r="A2758" s="169">
        <v>46064</v>
      </c>
      <c r="B2758">
        <v>199</v>
      </c>
      <c r="C2758">
        <v>197</v>
      </c>
      <c r="D2758">
        <v>192</v>
      </c>
      <c r="E2758">
        <v>194.75</v>
      </c>
      <c r="F2758">
        <v>197</v>
      </c>
      <c r="G2758">
        <v>193987</v>
      </c>
      <c r="H2758" s="116"/>
      <c r="I2758" s="116"/>
      <c r="L2758" s="169">
        <v>46064</v>
      </c>
      <c r="M2758" s="116">
        <v>196.79</v>
      </c>
      <c r="N2758" s="116">
        <v>198.9</v>
      </c>
      <c r="O2758" s="116">
        <v>192.1</v>
      </c>
      <c r="P2758" s="116">
        <v>194.55</v>
      </c>
      <c r="Q2758" s="116">
        <v>196.79</v>
      </c>
      <c r="R2758">
        <v>4023691</v>
      </c>
    </row>
    <row r="2759" spans="1:18" x14ac:dyDescent="0.25">
      <c r="A2759" s="169">
        <v>46065</v>
      </c>
      <c r="B2759">
        <v>198.4</v>
      </c>
      <c r="C2759">
        <v>191.75</v>
      </c>
      <c r="D2759">
        <v>191</v>
      </c>
      <c r="E2759">
        <v>197.05</v>
      </c>
      <c r="F2759">
        <v>191.75</v>
      </c>
      <c r="G2759">
        <v>215072</v>
      </c>
      <c r="H2759" s="116"/>
      <c r="I2759" s="116"/>
      <c r="L2759" s="169">
        <v>46065</v>
      </c>
      <c r="M2759" s="116">
        <v>191.89</v>
      </c>
      <c r="N2759" s="116">
        <v>198.35</v>
      </c>
      <c r="O2759" s="116">
        <v>191.01</v>
      </c>
      <c r="P2759" s="116">
        <v>197.2</v>
      </c>
      <c r="Q2759" s="116">
        <v>191.89</v>
      </c>
      <c r="R2759">
        <v>2544111</v>
      </c>
    </row>
    <row r="2760" spans="1:18" x14ac:dyDescent="0.25">
      <c r="A2760" s="169">
        <v>46066</v>
      </c>
      <c r="B2760">
        <v>191.05</v>
      </c>
      <c r="C2760">
        <v>190.05</v>
      </c>
      <c r="D2760">
        <v>186.45</v>
      </c>
      <c r="E2760">
        <v>189.2</v>
      </c>
      <c r="F2760">
        <v>190.05</v>
      </c>
      <c r="G2760">
        <v>85540</v>
      </c>
      <c r="H2760" s="116"/>
      <c r="I2760" s="116"/>
      <c r="L2760" s="169">
        <v>46066</v>
      </c>
      <c r="M2760" s="116">
        <v>190.18</v>
      </c>
      <c r="N2760" s="116">
        <v>191.57</v>
      </c>
      <c r="O2760" s="116">
        <v>186.4</v>
      </c>
      <c r="P2760" s="116">
        <v>190</v>
      </c>
      <c r="Q2760" s="116">
        <v>190.18</v>
      </c>
      <c r="R2760">
        <v>1568632</v>
      </c>
    </row>
    <row r="2761" spans="1:18" x14ac:dyDescent="0.25">
      <c r="A2761" s="169">
        <v>46069</v>
      </c>
      <c r="B2761">
        <v>189.8</v>
      </c>
      <c r="C2761">
        <v>185.1</v>
      </c>
      <c r="D2761">
        <v>184</v>
      </c>
      <c r="E2761">
        <v>189.8</v>
      </c>
      <c r="F2761">
        <v>185.1</v>
      </c>
      <c r="G2761">
        <v>42170</v>
      </c>
      <c r="H2761" s="116"/>
      <c r="I2761" s="116"/>
      <c r="L2761" s="169">
        <v>46069</v>
      </c>
      <c r="M2761" s="116">
        <v>185.19</v>
      </c>
      <c r="N2761" s="116">
        <v>189.8</v>
      </c>
      <c r="O2761" s="116">
        <v>183.55</v>
      </c>
      <c r="P2761" s="116">
        <v>189.01</v>
      </c>
      <c r="Q2761" s="116">
        <v>185.19</v>
      </c>
      <c r="R2761">
        <v>940522</v>
      </c>
    </row>
    <row r="2762" spans="1:18" x14ac:dyDescent="0.25">
      <c r="A2762" s="169">
        <v>46070</v>
      </c>
      <c r="B2762">
        <v>189.45</v>
      </c>
      <c r="C2762">
        <v>188.7</v>
      </c>
      <c r="D2762">
        <v>184.7</v>
      </c>
      <c r="E2762">
        <v>189.45</v>
      </c>
      <c r="F2762">
        <v>188.7</v>
      </c>
      <c r="G2762">
        <v>94547</v>
      </c>
      <c r="H2762" s="116"/>
      <c r="I2762" s="116"/>
      <c r="L2762" s="169">
        <v>46070</v>
      </c>
      <c r="M2762" s="116">
        <v>188.49</v>
      </c>
      <c r="N2762" s="116">
        <v>189.43</v>
      </c>
      <c r="O2762" s="116">
        <v>184.51</v>
      </c>
      <c r="P2762" s="116">
        <v>185.4</v>
      </c>
      <c r="Q2762" s="116">
        <v>188.49</v>
      </c>
      <c r="R2762">
        <v>1288892</v>
      </c>
    </row>
    <row r="2763" spans="1:18" x14ac:dyDescent="0.25">
      <c r="A2763" s="169">
        <v>46071</v>
      </c>
      <c r="B2763">
        <v>192</v>
      </c>
      <c r="C2763">
        <v>186.95</v>
      </c>
      <c r="D2763">
        <v>186.5</v>
      </c>
      <c r="E2763">
        <v>187.65</v>
      </c>
      <c r="F2763">
        <v>186.95</v>
      </c>
      <c r="G2763">
        <v>86245</v>
      </c>
      <c r="H2763" s="116"/>
      <c r="I2763" s="116"/>
      <c r="L2763" s="169">
        <v>46071</v>
      </c>
      <c r="M2763" s="116">
        <v>187.23</v>
      </c>
      <c r="N2763" s="116">
        <v>192.26</v>
      </c>
      <c r="O2763" s="116">
        <v>186.5</v>
      </c>
      <c r="P2763" s="116">
        <v>188.01</v>
      </c>
      <c r="Q2763" s="116">
        <v>187.23</v>
      </c>
      <c r="R2763">
        <v>1068389</v>
      </c>
    </row>
    <row r="2764" spans="1:18" x14ac:dyDescent="0.25">
      <c r="A2764" s="169">
        <v>46072</v>
      </c>
      <c r="B2764">
        <v>184.75</v>
      </c>
      <c r="C2764">
        <v>177.85</v>
      </c>
      <c r="D2764">
        <v>177.35</v>
      </c>
      <c r="E2764">
        <v>181.85</v>
      </c>
      <c r="F2764">
        <v>177.85</v>
      </c>
      <c r="G2764">
        <v>145440</v>
      </c>
      <c r="H2764" s="116"/>
      <c r="I2764" s="116"/>
      <c r="L2764" s="169">
        <v>46072</v>
      </c>
      <c r="M2764" s="116">
        <v>177.89</v>
      </c>
      <c r="N2764" s="116">
        <v>184.58</v>
      </c>
      <c r="O2764" s="116">
        <v>177</v>
      </c>
      <c r="P2764" s="116">
        <v>182</v>
      </c>
      <c r="Q2764" s="116">
        <v>177.89</v>
      </c>
      <c r="R2764">
        <v>3408190</v>
      </c>
    </row>
    <row r="2765" spans="1:18" x14ac:dyDescent="0.25">
      <c r="A2765" s="169">
        <v>46073</v>
      </c>
      <c r="B2765">
        <v>181.95</v>
      </c>
      <c r="C2765">
        <v>181.15</v>
      </c>
      <c r="D2765">
        <v>175.8</v>
      </c>
      <c r="E2765">
        <v>177.15</v>
      </c>
      <c r="F2765">
        <v>181.15</v>
      </c>
      <c r="G2765">
        <v>69820</v>
      </c>
      <c r="H2765" s="116"/>
      <c r="I2765" s="116"/>
      <c r="L2765" s="169">
        <v>46073</v>
      </c>
      <c r="M2765" s="116">
        <v>181.28</v>
      </c>
      <c r="N2765" s="116">
        <v>181.85</v>
      </c>
      <c r="O2765" s="116">
        <v>175.68</v>
      </c>
      <c r="P2765" s="116">
        <v>178</v>
      </c>
      <c r="Q2765" s="116">
        <v>181.28</v>
      </c>
      <c r="R2765">
        <v>1987047</v>
      </c>
    </row>
    <row r="2766" spans="1:18" x14ac:dyDescent="0.25">
      <c r="A2766" s="169">
        <v>46076</v>
      </c>
      <c r="B2766">
        <v>184.25</v>
      </c>
      <c r="C2766">
        <v>179.3</v>
      </c>
      <c r="D2766">
        <v>178</v>
      </c>
      <c r="E2766">
        <v>183</v>
      </c>
      <c r="F2766">
        <v>179.3</v>
      </c>
      <c r="G2766">
        <v>70988</v>
      </c>
      <c r="H2766" s="116"/>
      <c r="I2766" s="116"/>
      <c r="L2766" s="169">
        <v>46076</v>
      </c>
      <c r="M2766" s="116">
        <v>179.3</v>
      </c>
      <c r="N2766" s="116">
        <v>184.33</v>
      </c>
      <c r="O2766" s="116">
        <v>178</v>
      </c>
      <c r="P2766" s="116">
        <v>182.77</v>
      </c>
      <c r="Q2766" s="116">
        <v>179.3</v>
      </c>
      <c r="R2766">
        <v>1051069</v>
      </c>
    </row>
    <row r="2767" spans="1:18" x14ac:dyDescent="0.25">
      <c r="A2767" s="169">
        <v>46077</v>
      </c>
      <c r="B2767">
        <v>178.7</v>
      </c>
      <c r="C2767">
        <v>175.75</v>
      </c>
      <c r="D2767">
        <v>173.9</v>
      </c>
      <c r="E2767">
        <v>176.6</v>
      </c>
      <c r="F2767">
        <v>175.75</v>
      </c>
      <c r="G2767">
        <v>69594</v>
      </c>
      <c r="H2767" s="116"/>
      <c r="I2767" s="116"/>
      <c r="L2767" s="169">
        <v>46077</v>
      </c>
      <c r="M2767" s="116">
        <v>175.69</v>
      </c>
      <c r="N2767" s="116">
        <v>178.72</v>
      </c>
      <c r="O2767" s="116">
        <v>173.97</v>
      </c>
      <c r="P2767" s="116">
        <v>178.5</v>
      </c>
      <c r="Q2767" s="116">
        <v>175.69</v>
      </c>
      <c r="R2767">
        <v>1074736</v>
      </c>
    </row>
    <row r="2768" spans="1:18" x14ac:dyDescent="0.25">
      <c r="A2768" s="169">
        <v>46078</v>
      </c>
      <c r="B2768">
        <v>189.7</v>
      </c>
      <c r="C2768">
        <v>188.3</v>
      </c>
      <c r="D2768">
        <v>175.9</v>
      </c>
      <c r="E2768">
        <v>175.9</v>
      </c>
      <c r="F2768">
        <v>188.3</v>
      </c>
      <c r="G2768">
        <v>451287</v>
      </c>
      <c r="H2768" s="116"/>
      <c r="I2768" s="116"/>
      <c r="L2768" s="169">
        <v>46078</v>
      </c>
      <c r="M2768" s="116">
        <v>188.21</v>
      </c>
      <c r="N2768" s="116">
        <v>189.85</v>
      </c>
      <c r="O2768" s="116">
        <v>176.79</v>
      </c>
      <c r="P2768" s="116">
        <v>176.79</v>
      </c>
      <c r="Q2768" s="116">
        <v>188.21</v>
      </c>
      <c r="R2768">
        <v>15628369</v>
      </c>
    </row>
    <row r="2769" spans="1:18" x14ac:dyDescent="0.25">
      <c r="A2769" s="169">
        <v>46079</v>
      </c>
      <c r="B2769">
        <v>190.95</v>
      </c>
      <c r="C2769">
        <v>187.95</v>
      </c>
      <c r="D2769">
        <v>184.35</v>
      </c>
      <c r="E2769">
        <v>190</v>
      </c>
      <c r="F2769">
        <v>187.95</v>
      </c>
      <c r="G2769">
        <v>218940</v>
      </c>
      <c r="H2769" s="116"/>
      <c r="I2769" s="116"/>
      <c r="L2769" s="169">
        <v>46079</v>
      </c>
      <c r="M2769" s="116">
        <v>188.03</v>
      </c>
      <c r="N2769" s="116">
        <v>191</v>
      </c>
      <c r="O2769" s="116">
        <v>184.42</v>
      </c>
      <c r="P2769" s="116">
        <v>189.65</v>
      </c>
      <c r="Q2769" s="116">
        <v>188.03</v>
      </c>
      <c r="R2769">
        <v>3715342</v>
      </c>
    </row>
    <row r="2770" spans="1:18" x14ac:dyDescent="0.25">
      <c r="A2770" s="169">
        <v>46080</v>
      </c>
      <c r="B2770">
        <v>187.4</v>
      </c>
      <c r="C2770">
        <v>184.95</v>
      </c>
      <c r="D2770">
        <v>183.05</v>
      </c>
      <c r="E2770">
        <v>186.65</v>
      </c>
      <c r="F2770">
        <v>184.95</v>
      </c>
      <c r="G2770">
        <v>89198</v>
      </c>
      <c r="H2770" s="116"/>
      <c r="I2770" s="116"/>
      <c r="L2770" s="169">
        <v>46080</v>
      </c>
      <c r="M2770" s="116">
        <v>185.37</v>
      </c>
      <c r="N2770" s="116">
        <v>187.39</v>
      </c>
      <c r="O2770" s="116">
        <v>182.78</v>
      </c>
      <c r="P2770" s="116">
        <v>186</v>
      </c>
      <c r="Q2770" s="116">
        <v>185.37</v>
      </c>
      <c r="R2770">
        <v>1817643</v>
      </c>
    </row>
    <row r="2771" spans="1:18" x14ac:dyDescent="0.25">
      <c r="A2771" s="169">
        <v>46083</v>
      </c>
      <c r="B2771">
        <v>183.65</v>
      </c>
      <c r="C2771">
        <v>178.5</v>
      </c>
      <c r="D2771">
        <v>170.8</v>
      </c>
      <c r="E2771">
        <v>170.8</v>
      </c>
      <c r="F2771">
        <v>178.5</v>
      </c>
      <c r="G2771">
        <v>87648</v>
      </c>
      <c r="H2771" s="116"/>
      <c r="I2771" s="116"/>
      <c r="L2771" s="169">
        <v>46083</v>
      </c>
      <c r="M2771" s="116">
        <v>178.4</v>
      </c>
      <c r="N2771" s="116">
        <v>183.85</v>
      </c>
      <c r="O2771" s="116">
        <v>173.75</v>
      </c>
      <c r="P2771" s="116">
        <v>173.75</v>
      </c>
      <c r="Q2771" s="116">
        <v>178.4</v>
      </c>
      <c r="R2771">
        <v>2067962</v>
      </c>
    </row>
    <row r="2772" spans="1:18" x14ac:dyDescent="0.25">
      <c r="A2772" s="169">
        <v>46085</v>
      </c>
      <c r="B2772">
        <v>176.35</v>
      </c>
      <c r="C2772">
        <v>169.1</v>
      </c>
      <c r="D2772">
        <v>168.55</v>
      </c>
      <c r="E2772">
        <v>176.35</v>
      </c>
      <c r="F2772">
        <v>169.1</v>
      </c>
      <c r="G2772">
        <v>187141</v>
      </c>
      <c r="H2772" s="116"/>
      <c r="I2772" s="116"/>
      <c r="L2772" s="169">
        <v>46085</v>
      </c>
      <c r="M2772" s="116">
        <v>169.14</v>
      </c>
      <c r="N2772" s="116">
        <v>176.24</v>
      </c>
      <c r="O2772" s="116">
        <v>168.5</v>
      </c>
      <c r="P2772" s="116">
        <v>175.2</v>
      </c>
      <c r="Q2772" s="116">
        <v>169.14</v>
      </c>
      <c r="R2772">
        <v>2208731</v>
      </c>
    </row>
    <row r="2773" spans="1:18" x14ac:dyDescent="0.25">
      <c r="A2773" s="169">
        <v>46086</v>
      </c>
      <c r="B2773">
        <v>170.6</v>
      </c>
      <c r="C2773">
        <v>168.65</v>
      </c>
      <c r="D2773">
        <v>165.75</v>
      </c>
      <c r="E2773">
        <v>169.75</v>
      </c>
      <c r="F2773">
        <v>168.65</v>
      </c>
      <c r="G2773">
        <v>120628</v>
      </c>
      <c r="H2773" s="116"/>
      <c r="I2773" s="116"/>
      <c r="L2773" s="169">
        <v>46086</v>
      </c>
      <c r="M2773" s="116">
        <v>168.8</v>
      </c>
      <c r="N2773" s="116">
        <v>171.5</v>
      </c>
      <c r="O2773" s="116">
        <v>165.88</v>
      </c>
      <c r="P2773" s="116">
        <v>171.49</v>
      </c>
      <c r="Q2773" s="116">
        <v>168.8</v>
      </c>
      <c r="R2773">
        <v>1857766</v>
      </c>
    </row>
    <row r="2774" spans="1:18" x14ac:dyDescent="0.25">
      <c r="A2774" s="169">
        <v>46087</v>
      </c>
      <c r="B2774">
        <v>172</v>
      </c>
      <c r="C2774">
        <v>166.65</v>
      </c>
      <c r="D2774">
        <v>166</v>
      </c>
      <c r="E2774">
        <v>167.3</v>
      </c>
      <c r="F2774">
        <v>166.65</v>
      </c>
      <c r="G2774">
        <v>63209</v>
      </c>
      <c r="H2774" s="116"/>
      <c r="I2774" s="116"/>
      <c r="L2774" s="169">
        <v>46087</v>
      </c>
      <c r="M2774" s="116">
        <v>166.74</v>
      </c>
      <c r="N2774" s="116">
        <v>172.4</v>
      </c>
      <c r="O2774" s="116">
        <v>165</v>
      </c>
      <c r="P2774" s="116">
        <v>168</v>
      </c>
      <c r="Q2774" s="116">
        <v>166.74</v>
      </c>
      <c r="R2774">
        <v>1252263</v>
      </c>
    </row>
    <row r="2775" spans="1:18" x14ac:dyDescent="0.25">
      <c r="A2775" s="169">
        <v>46090</v>
      </c>
      <c r="B2775">
        <v>165.05</v>
      </c>
      <c r="C2775">
        <v>162.85</v>
      </c>
      <c r="D2775">
        <v>159.05000000000001</v>
      </c>
      <c r="E2775">
        <v>164</v>
      </c>
      <c r="F2775">
        <v>162.85</v>
      </c>
      <c r="G2775">
        <v>99905</v>
      </c>
      <c r="H2775" s="116"/>
      <c r="I2775" s="116"/>
      <c r="L2775" s="169">
        <v>46090</v>
      </c>
      <c r="M2775" s="116">
        <v>162.58000000000001</v>
      </c>
      <c r="N2775" s="116">
        <v>165.59</v>
      </c>
      <c r="O2775" s="116">
        <v>159.06</v>
      </c>
      <c r="P2775" s="116">
        <v>165</v>
      </c>
      <c r="Q2775" s="116">
        <v>162.58000000000001</v>
      </c>
      <c r="R2775">
        <v>1425770</v>
      </c>
    </row>
    <row r="2776" spans="1:18" x14ac:dyDescent="0.25">
      <c r="A2776" s="169">
        <v>46091</v>
      </c>
      <c r="B2776">
        <v>168</v>
      </c>
      <c r="C2776">
        <v>166.2</v>
      </c>
      <c r="D2776">
        <v>163</v>
      </c>
      <c r="E2776">
        <v>164</v>
      </c>
      <c r="F2776">
        <v>166.2</v>
      </c>
      <c r="G2776">
        <v>124195</v>
      </c>
      <c r="H2776" s="116"/>
      <c r="I2776" s="116"/>
      <c r="L2776" s="169">
        <v>46091</v>
      </c>
      <c r="M2776" s="116">
        <v>165.85</v>
      </c>
      <c r="N2776" s="116">
        <v>167.95</v>
      </c>
      <c r="O2776" s="116">
        <v>163</v>
      </c>
      <c r="P2776" s="116">
        <v>164.1</v>
      </c>
      <c r="Q2776" s="116">
        <v>165.85</v>
      </c>
      <c r="R2776">
        <v>1354343</v>
      </c>
    </row>
    <row r="2777" spans="1:18" x14ac:dyDescent="0.25">
      <c r="A2777" s="169">
        <v>46092</v>
      </c>
      <c r="B2777">
        <v>199.4</v>
      </c>
      <c r="C2777">
        <v>198.4</v>
      </c>
      <c r="D2777">
        <v>165.25</v>
      </c>
      <c r="E2777">
        <v>165.25</v>
      </c>
      <c r="F2777">
        <v>198.4</v>
      </c>
      <c r="G2777">
        <v>3930624</v>
      </c>
      <c r="H2777" s="116"/>
      <c r="I2777" s="116"/>
      <c r="L2777" s="169">
        <v>46092</v>
      </c>
      <c r="M2777" s="116">
        <v>198.04</v>
      </c>
      <c r="N2777" s="116">
        <v>199.02</v>
      </c>
      <c r="O2777" s="116">
        <v>171</v>
      </c>
      <c r="P2777" s="116">
        <v>171</v>
      </c>
      <c r="Q2777" s="116">
        <v>198.04</v>
      </c>
      <c r="R2777">
        <v>93842831</v>
      </c>
    </row>
    <row r="2778" spans="1:18" x14ac:dyDescent="0.25">
      <c r="A2778" s="169">
        <v>46093</v>
      </c>
      <c r="B2778">
        <v>211.15</v>
      </c>
      <c r="C2778">
        <v>199.25</v>
      </c>
      <c r="D2778">
        <v>191.1</v>
      </c>
      <c r="E2778">
        <v>202.3</v>
      </c>
      <c r="F2778">
        <v>199.25</v>
      </c>
      <c r="G2778">
        <v>4471722</v>
      </c>
      <c r="H2778" s="116"/>
      <c r="I2778" s="116"/>
      <c r="L2778" s="169">
        <v>46093</v>
      </c>
      <c r="M2778" s="116">
        <v>198.8</v>
      </c>
      <c r="N2778" s="116">
        <v>211</v>
      </c>
      <c r="O2778" s="116">
        <v>191.02</v>
      </c>
      <c r="P2778" s="116">
        <v>202</v>
      </c>
      <c r="Q2778" s="116">
        <v>198.8</v>
      </c>
      <c r="R2778">
        <v>102836636</v>
      </c>
    </row>
    <row r="2779" spans="1:18" x14ac:dyDescent="0.25">
      <c r="A2779" s="169">
        <v>46094</v>
      </c>
      <c r="B2779">
        <v>197.55</v>
      </c>
      <c r="C2779">
        <v>191.3</v>
      </c>
      <c r="D2779">
        <v>189</v>
      </c>
      <c r="E2779">
        <v>197.5</v>
      </c>
      <c r="F2779">
        <v>191.3</v>
      </c>
      <c r="G2779">
        <v>846779</v>
      </c>
      <c r="H2779" s="116"/>
      <c r="I2779" s="116"/>
      <c r="L2779" s="169">
        <v>46094</v>
      </c>
      <c r="M2779" s="116">
        <v>191.33</v>
      </c>
      <c r="N2779" s="116">
        <v>196.85</v>
      </c>
      <c r="O2779" s="116">
        <v>189</v>
      </c>
      <c r="P2779" s="116">
        <v>196</v>
      </c>
      <c r="Q2779" s="116">
        <v>191.33</v>
      </c>
      <c r="R2779">
        <v>13107150</v>
      </c>
    </row>
    <row r="2780" spans="1:18" x14ac:dyDescent="0.25">
      <c r="A2780" s="169">
        <v>46097</v>
      </c>
      <c r="B2780">
        <v>203.7</v>
      </c>
      <c r="C2780">
        <v>197</v>
      </c>
      <c r="D2780">
        <v>186.9</v>
      </c>
      <c r="E2780">
        <v>191.2</v>
      </c>
      <c r="F2780">
        <v>197</v>
      </c>
      <c r="G2780">
        <v>664108</v>
      </c>
      <c r="H2780" s="116"/>
      <c r="I2780" s="116"/>
      <c r="L2780" s="169">
        <v>46097</v>
      </c>
      <c r="M2780" s="116">
        <v>196.67</v>
      </c>
      <c r="N2780" s="116">
        <v>203.79</v>
      </c>
      <c r="O2780" s="116">
        <v>187</v>
      </c>
      <c r="P2780" s="116">
        <v>190.88</v>
      </c>
      <c r="Q2780" s="116">
        <v>196.67</v>
      </c>
      <c r="R2780">
        <v>25191394</v>
      </c>
    </row>
    <row r="2781" spans="1:18" x14ac:dyDescent="0.25">
      <c r="A2781" s="169">
        <v>46098</v>
      </c>
      <c r="B2781">
        <v>202.65</v>
      </c>
      <c r="C2781">
        <v>200.5</v>
      </c>
      <c r="D2781">
        <v>195.9</v>
      </c>
      <c r="E2781">
        <v>197.05</v>
      </c>
      <c r="F2781">
        <v>200.5</v>
      </c>
      <c r="G2781">
        <v>417658</v>
      </c>
      <c r="H2781" s="116"/>
      <c r="I2781" s="116"/>
      <c r="L2781" s="169">
        <v>46098</v>
      </c>
      <c r="M2781" s="116">
        <v>200.16</v>
      </c>
      <c r="N2781" s="116">
        <v>202.53</v>
      </c>
      <c r="O2781" s="116">
        <v>196.01</v>
      </c>
      <c r="P2781" s="116">
        <v>199.4</v>
      </c>
      <c r="Q2781" s="116">
        <v>200.16</v>
      </c>
      <c r="R2781">
        <v>5420460</v>
      </c>
    </row>
    <row r="2782" spans="1:18" x14ac:dyDescent="0.25">
      <c r="A2782" s="169">
        <v>46099</v>
      </c>
      <c r="B2782">
        <v>200.85</v>
      </c>
      <c r="C2782">
        <v>198.5</v>
      </c>
      <c r="D2782">
        <v>196.2</v>
      </c>
      <c r="E2782">
        <v>199.55</v>
      </c>
      <c r="F2782">
        <v>198.5</v>
      </c>
      <c r="G2782">
        <v>205096</v>
      </c>
      <c r="H2782" s="116"/>
      <c r="I2782" s="116"/>
      <c r="L2782" s="169">
        <v>46099</v>
      </c>
      <c r="M2782" s="116">
        <v>198.05</v>
      </c>
      <c r="N2782" s="116">
        <v>200.8</v>
      </c>
      <c r="O2782" s="116">
        <v>196.25</v>
      </c>
      <c r="P2782" s="116">
        <v>200.16</v>
      </c>
      <c r="Q2782" s="116">
        <v>198.05</v>
      </c>
      <c r="R2782">
        <v>3111682</v>
      </c>
    </row>
    <row r="2783" spans="1:18" x14ac:dyDescent="0.25">
      <c r="A2783" s="169">
        <v>46100</v>
      </c>
      <c r="B2783">
        <v>197.55</v>
      </c>
      <c r="C2783">
        <v>189.45</v>
      </c>
      <c r="D2783">
        <v>188.4</v>
      </c>
      <c r="E2783">
        <v>191.9</v>
      </c>
      <c r="F2783">
        <v>189.45</v>
      </c>
      <c r="G2783">
        <v>203182</v>
      </c>
      <c r="H2783" s="116"/>
      <c r="I2783" s="116"/>
      <c r="L2783" s="169">
        <v>46100</v>
      </c>
      <c r="M2783" s="116">
        <v>189.35</v>
      </c>
      <c r="N2783" s="116">
        <v>197.64</v>
      </c>
      <c r="O2783" s="116">
        <v>188.2</v>
      </c>
      <c r="P2783" s="116">
        <v>191.85</v>
      </c>
      <c r="Q2783" s="116">
        <v>189.35</v>
      </c>
      <c r="R2783">
        <v>2488014</v>
      </c>
    </row>
    <row r="2784" spans="1:18" x14ac:dyDescent="0.25">
      <c r="A2784" s="169">
        <v>46101</v>
      </c>
      <c r="B2784">
        <v>196.15</v>
      </c>
      <c r="C2784">
        <v>193.9</v>
      </c>
      <c r="D2784">
        <v>190.85</v>
      </c>
      <c r="E2784">
        <v>190.85</v>
      </c>
      <c r="F2784">
        <v>193.9</v>
      </c>
      <c r="G2784">
        <v>181895</v>
      </c>
      <c r="H2784" s="116"/>
      <c r="I2784" s="116"/>
      <c r="L2784" s="169">
        <v>46101</v>
      </c>
      <c r="M2784" s="116">
        <v>194.13</v>
      </c>
      <c r="N2784" s="116">
        <v>197.87</v>
      </c>
      <c r="O2784" s="116">
        <v>190.5</v>
      </c>
      <c r="P2784" s="116">
        <v>191.2</v>
      </c>
      <c r="Q2784" s="116">
        <v>194.13</v>
      </c>
      <c r="R2784">
        <v>3392548</v>
      </c>
    </row>
    <row r="2785" spans="1:18" x14ac:dyDescent="0.25">
      <c r="A2785" s="169">
        <v>46104</v>
      </c>
      <c r="B2785">
        <v>191.65</v>
      </c>
      <c r="C2785">
        <v>179.2</v>
      </c>
      <c r="D2785">
        <v>177.7</v>
      </c>
      <c r="E2785">
        <v>191.65</v>
      </c>
      <c r="F2785">
        <v>179.2</v>
      </c>
      <c r="G2785">
        <v>234214</v>
      </c>
      <c r="H2785" s="116"/>
      <c r="I2785" s="116"/>
      <c r="L2785" s="169">
        <v>46104</v>
      </c>
      <c r="M2785" s="116">
        <v>179.11</v>
      </c>
      <c r="N2785" s="116">
        <v>192.01</v>
      </c>
      <c r="O2785" s="116">
        <v>177.72</v>
      </c>
      <c r="P2785" s="116">
        <v>192.01</v>
      </c>
      <c r="Q2785" s="116">
        <v>179.11</v>
      </c>
      <c r="R2785">
        <v>4015756</v>
      </c>
    </row>
    <row r="2786" spans="1:18" x14ac:dyDescent="0.25">
      <c r="A2786" s="169">
        <v>46105</v>
      </c>
      <c r="B2786">
        <v>186</v>
      </c>
      <c r="C2786">
        <v>182.05</v>
      </c>
      <c r="D2786">
        <v>178.5</v>
      </c>
      <c r="E2786">
        <v>184.15</v>
      </c>
      <c r="F2786">
        <v>182.05</v>
      </c>
      <c r="G2786">
        <v>283001</v>
      </c>
      <c r="H2786" s="116"/>
      <c r="I2786" s="116"/>
      <c r="L2786" s="169">
        <v>46105</v>
      </c>
      <c r="M2786" s="116">
        <v>181.97</v>
      </c>
      <c r="N2786" s="116">
        <v>186.15</v>
      </c>
      <c r="O2786" s="116">
        <v>178.37</v>
      </c>
      <c r="P2786" s="116">
        <v>184.46</v>
      </c>
      <c r="Q2786" s="116">
        <v>181.97</v>
      </c>
      <c r="R2786">
        <v>2986563</v>
      </c>
    </row>
    <row r="2787" spans="1:18" x14ac:dyDescent="0.25">
      <c r="A2787" s="169">
        <v>46106</v>
      </c>
      <c r="B2787">
        <v>189.8</v>
      </c>
      <c r="C2787">
        <v>188.5</v>
      </c>
      <c r="D2787">
        <v>180.75</v>
      </c>
      <c r="E2787">
        <v>180.75</v>
      </c>
      <c r="F2787">
        <v>188.5</v>
      </c>
      <c r="G2787">
        <v>197782</v>
      </c>
      <c r="H2787" s="116"/>
      <c r="I2787" s="116"/>
      <c r="L2787" s="169">
        <v>46106</v>
      </c>
      <c r="M2787" s="116">
        <v>188.54</v>
      </c>
      <c r="N2787" s="116">
        <v>190</v>
      </c>
      <c r="O2787" s="116">
        <v>182.71</v>
      </c>
      <c r="P2787" s="116">
        <v>182.81</v>
      </c>
      <c r="Q2787" s="116">
        <v>188.54</v>
      </c>
      <c r="R2787">
        <v>2235034</v>
      </c>
    </row>
    <row r="2788" spans="1:18" x14ac:dyDescent="0.25">
      <c r="A2788" s="169">
        <v>46108</v>
      </c>
      <c r="B2788">
        <v>189.5</v>
      </c>
      <c r="C2788">
        <v>185.85</v>
      </c>
      <c r="D2788">
        <v>183.45</v>
      </c>
      <c r="E2788">
        <v>188.45</v>
      </c>
      <c r="F2788">
        <v>185.85</v>
      </c>
      <c r="G2788">
        <v>140309</v>
      </c>
      <c r="H2788" s="116"/>
      <c r="I2788" s="116"/>
      <c r="L2788" s="169">
        <v>46108</v>
      </c>
      <c r="M2788" s="116">
        <v>186.01</v>
      </c>
      <c r="N2788" s="116">
        <v>189.78</v>
      </c>
      <c r="O2788" s="116">
        <v>183.16</v>
      </c>
      <c r="P2788" s="116">
        <v>187.21</v>
      </c>
      <c r="Q2788" s="116">
        <v>186.01</v>
      </c>
      <c r="R2788">
        <v>2972025</v>
      </c>
    </row>
    <row r="2789" spans="1:18" x14ac:dyDescent="0.25">
      <c r="A2789" s="169">
        <v>46111</v>
      </c>
      <c r="B2789">
        <v>195.2</v>
      </c>
      <c r="C2789">
        <v>183.25</v>
      </c>
      <c r="D2789">
        <v>174.05</v>
      </c>
      <c r="E2789">
        <v>174.05</v>
      </c>
      <c r="F2789">
        <v>183.25</v>
      </c>
      <c r="G2789">
        <v>215453</v>
      </c>
      <c r="H2789" s="116"/>
      <c r="I2789" s="116"/>
      <c r="L2789" s="169">
        <v>46111</v>
      </c>
      <c r="M2789" s="116">
        <v>183.12</v>
      </c>
      <c r="N2789" s="116">
        <v>195.43</v>
      </c>
      <c r="O2789" s="116">
        <v>180.39</v>
      </c>
      <c r="P2789" s="116">
        <v>183</v>
      </c>
      <c r="Q2789" s="116">
        <v>183.12</v>
      </c>
      <c r="R2789">
        <v>5062625</v>
      </c>
    </row>
    <row r="2790" spans="1:18" x14ac:dyDescent="0.25">
      <c r="A2790" s="169">
        <v>46113</v>
      </c>
      <c r="B2790">
        <v>192.35</v>
      </c>
      <c r="C2790">
        <v>191.4</v>
      </c>
      <c r="D2790">
        <v>185.6</v>
      </c>
      <c r="E2790">
        <v>185.95</v>
      </c>
      <c r="F2790">
        <v>191.4</v>
      </c>
      <c r="G2790">
        <v>180128</v>
      </c>
      <c r="H2790" s="116"/>
      <c r="I2790" s="116"/>
      <c r="L2790" s="169">
        <v>46113</v>
      </c>
      <c r="M2790" s="116">
        <v>191.34</v>
      </c>
      <c r="N2790" s="116">
        <v>192.54</v>
      </c>
      <c r="O2790" s="116">
        <v>185.51</v>
      </c>
      <c r="P2790" s="116">
        <v>187.51</v>
      </c>
      <c r="Q2790" s="116">
        <v>191.34</v>
      </c>
      <c r="R2790">
        <v>2364950</v>
      </c>
    </row>
    <row r="2791" spans="1:18" x14ac:dyDescent="0.25">
      <c r="A2791" s="169">
        <v>46114</v>
      </c>
      <c r="B2791">
        <v>192.7</v>
      </c>
      <c r="C2791">
        <v>191.85</v>
      </c>
      <c r="D2791">
        <v>184.4</v>
      </c>
      <c r="E2791">
        <v>189</v>
      </c>
      <c r="F2791">
        <v>191.85</v>
      </c>
      <c r="G2791">
        <v>163069</v>
      </c>
      <c r="H2791" s="116"/>
      <c r="I2791" s="116"/>
      <c r="L2791" s="169">
        <v>46114</v>
      </c>
      <c r="M2791" s="116">
        <v>191.79</v>
      </c>
      <c r="N2791" s="116">
        <v>192.8</v>
      </c>
      <c r="O2791" s="116">
        <v>184.45</v>
      </c>
      <c r="P2791" s="116">
        <v>189.31</v>
      </c>
      <c r="Q2791" s="116">
        <v>191.79</v>
      </c>
      <c r="R2791">
        <v>2825281</v>
      </c>
    </row>
    <row r="2792" spans="1:18" x14ac:dyDescent="0.25">
      <c r="A2792" s="169">
        <v>46118</v>
      </c>
      <c r="B2792">
        <v>195.9</v>
      </c>
      <c r="C2792">
        <v>195.15</v>
      </c>
      <c r="D2792">
        <v>189.25</v>
      </c>
      <c r="E2792">
        <v>191.5</v>
      </c>
      <c r="F2792">
        <v>195.15</v>
      </c>
      <c r="G2792">
        <v>119071</v>
      </c>
      <c r="H2792" s="116"/>
      <c r="I2792" s="116"/>
      <c r="L2792" s="169">
        <v>46118</v>
      </c>
      <c r="M2792" s="116">
        <v>195.3</v>
      </c>
      <c r="N2792" s="116">
        <v>195.98</v>
      </c>
      <c r="O2792" s="116">
        <v>189.35</v>
      </c>
      <c r="P2792" s="116">
        <v>191.78</v>
      </c>
      <c r="Q2792" s="116">
        <v>195.3</v>
      </c>
      <c r="R2792">
        <v>2034643</v>
      </c>
    </row>
    <row r="2793" spans="1:18" x14ac:dyDescent="0.25">
      <c r="A2793" s="169">
        <v>46119</v>
      </c>
      <c r="B2793">
        <v>197</v>
      </c>
      <c r="C2793">
        <v>190.85</v>
      </c>
      <c r="D2793">
        <v>188.6</v>
      </c>
      <c r="E2793">
        <v>194.7</v>
      </c>
      <c r="F2793">
        <v>190.85</v>
      </c>
      <c r="G2793">
        <v>66763</v>
      </c>
      <c r="H2793" s="116"/>
      <c r="I2793" s="116"/>
      <c r="L2793" s="169">
        <v>46119</v>
      </c>
      <c r="M2793" s="116">
        <v>190.9</v>
      </c>
      <c r="N2793" s="116">
        <v>197.14</v>
      </c>
      <c r="O2793" s="116">
        <v>188.35</v>
      </c>
      <c r="P2793" s="116">
        <v>194.31</v>
      </c>
      <c r="Q2793" s="116">
        <v>190.9</v>
      </c>
      <c r="R2793">
        <v>2108353</v>
      </c>
    </row>
    <row r="2794" spans="1:18" x14ac:dyDescent="0.25">
      <c r="A2794" s="169">
        <v>46120</v>
      </c>
      <c r="B2794">
        <v>200.8</v>
      </c>
      <c r="C2794">
        <v>200.1</v>
      </c>
      <c r="D2794">
        <v>195</v>
      </c>
      <c r="E2794">
        <v>199.35</v>
      </c>
      <c r="F2794">
        <v>200.1</v>
      </c>
      <c r="G2794">
        <v>172097</v>
      </c>
      <c r="H2794" s="116"/>
      <c r="I2794" s="116"/>
      <c r="L2794" s="169">
        <v>46120</v>
      </c>
      <c r="M2794" s="116">
        <v>200.04</v>
      </c>
      <c r="N2794" s="116">
        <v>200.7</v>
      </c>
      <c r="O2794" s="116">
        <v>194.97</v>
      </c>
      <c r="P2794" s="116">
        <v>198.99</v>
      </c>
      <c r="Q2794" s="116">
        <v>200.04</v>
      </c>
      <c r="R2794">
        <v>3033365</v>
      </c>
    </row>
    <row r="2795" spans="1:18" x14ac:dyDescent="0.25">
      <c r="A2795" s="169">
        <v>46121</v>
      </c>
      <c r="B2795">
        <v>205.9</v>
      </c>
      <c r="C2795">
        <v>202.1</v>
      </c>
      <c r="D2795">
        <v>198.35</v>
      </c>
      <c r="E2795">
        <v>200.15</v>
      </c>
      <c r="F2795">
        <v>202.1</v>
      </c>
      <c r="G2795">
        <v>229232</v>
      </c>
      <c r="H2795" s="116"/>
      <c r="I2795" s="116"/>
      <c r="L2795" s="169">
        <v>46121</v>
      </c>
      <c r="M2795" s="116">
        <v>202.31</v>
      </c>
      <c r="N2795" s="116">
        <v>205.98</v>
      </c>
      <c r="O2795" s="116">
        <v>198.25</v>
      </c>
      <c r="P2795" s="116">
        <v>201</v>
      </c>
      <c r="Q2795" s="116">
        <v>202.31</v>
      </c>
      <c r="R2795">
        <v>3222511</v>
      </c>
    </row>
    <row r="2796" spans="1:18" x14ac:dyDescent="0.25">
      <c r="A2796" s="169">
        <v>46122</v>
      </c>
      <c r="B2796">
        <v>206.35</v>
      </c>
      <c r="C2796">
        <v>204.9</v>
      </c>
      <c r="D2796">
        <v>201.8</v>
      </c>
      <c r="E2796">
        <v>203.35</v>
      </c>
      <c r="F2796">
        <v>204.9</v>
      </c>
      <c r="G2796">
        <v>69274</v>
      </c>
      <c r="H2796" s="116"/>
      <c r="I2796" s="116"/>
      <c r="L2796" s="169">
        <v>46122</v>
      </c>
      <c r="M2796" s="116">
        <v>204.87</v>
      </c>
      <c r="N2796" s="116">
        <v>206.44</v>
      </c>
      <c r="O2796" s="116">
        <v>201.25</v>
      </c>
      <c r="P2796" s="116">
        <v>202.35</v>
      </c>
      <c r="Q2796" s="116">
        <v>204.87</v>
      </c>
      <c r="R2796">
        <v>2065246</v>
      </c>
    </row>
    <row r="2797" spans="1:18" x14ac:dyDescent="0.25">
      <c r="A2797" s="169">
        <v>46125</v>
      </c>
      <c r="B2797">
        <v>207.25</v>
      </c>
      <c r="C2797">
        <v>205.15</v>
      </c>
      <c r="D2797">
        <v>197.3</v>
      </c>
      <c r="E2797">
        <v>199.75</v>
      </c>
      <c r="F2797">
        <v>205.15</v>
      </c>
      <c r="G2797">
        <v>213374</v>
      </c>
      <c r="H2797" s="116"/>
      <c r="I2797" s="116"/>
      <c r="L2797" s="169">
        <v>46125</v>
      </c>
      <c r="M2797" s="116">
        <v>204.97</v>
      </c>
      <c r="N2797" s="116">
        <v>207.38</v>
      </c>
      <c r="O2797" s="116">
        <v>197.55</v>
      </c>
      <c r="P2797" s="116">
        <v>200</v>
      </c>
      <c r="Q2797" s="116">
        <v>204.97</v>
      </c>
      <c r="R2797">
        <v>2636502</v>
      </c>
    </row>
    <row r="2798" spans="1:18" x14ac:dyDescent="0.25">
      <c r="A2798" s="169">
        <v>46127</v>
      </c>
      <c r="B2798">
        <v>220.2</v>
      </c>
      <c r="C2798">
        <v>219.3</v>
      </c>
      <c r="D2798">
        <v>208.15</v>
      </c>
      <c r="E2798">
        <v>208.15</v>
      </c>
      <c r="F2798">
        <v>219.3</v>
      </c>
      <c r="G2798">
        <v>634235</v>
      </c>
      <c r="H2798" s="116"/>
      <c r="I2798" s="116"/>
      <c r="L2798" s="169">
        <v>46127</v>
      </c>
      <c r="M2798" s="116">
        <v>219.24</v>
      </c>
      <c r="N2798" s="116">
        <v>220.4</v>
      </c>
      <c r="O2798" s="116">
        <v>208.25</v>
      </c>
      <c r="P2798" s="116">
        <v>208.7</v>
      </c>
      <c r="Q2798" s="116">
        <v>219.24</v>
      </c>
      <c r="R2798">
        <v>6291533</v>
      </c>
    </row>
    <row r="2799" spans="1:18" x14ac:dyDescent="0.25">
      <c r="A2799" s="169">
        <v>46128</v>
      </c>
      <c r="B2799">
        <v>222.4</v>
      </c>
      <c r="C2799">
        <v>221.3</v>
      </c>
      <c r="D2799">
        <v>215</v>
      </c>
      <c r="E2799">
        <v>220.5</v>
      </c>
      <c r="F2799">
        <v>221.3</v>
      </c>
      <c r="G2799">
        <v>299741</v>
      </c>
      <c r="H2799" s="116"/>
      <c r="I2799" s="116"/>
      <c r="L2799" s="169">
        <v>46128</v>
      </c>
      <c r="M2799" s="116">
        <v>221.42</v>
      </c>
      <c r="N2799" s="116">
        <v>222.14</v>
      </c>
      <c r="O2799" s="116">
        <v>215.1</v>
      </c>
      <c r="P2799" s="116">
        <v>221.99</v>
      </c>
      <c r="Q2799" s="116">
        <v>221.42</v>
      </c>
      <c r="R2799">
        <v>3303926</v>
      </c>
    </row>
    <row r="2800" spans="1:18" x14ac:dyDescent="0.25">
      <c r="A2800" s="169">
        <v>46129</v>
      </c>
      <c r="B2800">
        <v>238.85</v>
      </c>
      <c r="C2800">
        <v>236.85</v>
      </c>
      <c r="D2800">
        <v>218.75</v>
      </c>
      <c r="E2800">
        <v>222.35</v>
      </c>
      <c r="F2800">
        <v>236.85</v>
      </c>
      <c r="G2800">
        <v>444472</v>
      </c>
      <c r="H2800" s="116"/>
      <c r="I2800" s="116"/>
      <c r="L2800" s="169">
        <v>46129</v>
      </c>
      <c r="M2800" s="116">
        <v>236.28</v>
      </c>
      <c r="N2800" s="116">
        <v>239</v>
      </c>
      <c r="O2800" s="116">
        <v>218.69</v>
      </c>
      <c r="P2800" s="116">
        <v>222.99</v>
      </c>
      <c r="Q2800" s="116">
        <v>236.28</v>
      </c>
      <c r="R2800">
        <v>8544658</v>
      </c>
    </row>
    <row r="2801" spans="1:18" x14ac:dyDescent="0.25">
      <c r="A2801" s="169">
        <v>46132</v>
      </c>
      <c r="B2801">
        <v>244.15</v>
      </c>
      <c r="C2801">
        <v>240</v>
      </c>
      <c r="D2801">
        <v>230.95</v>
      </c>
      <c r="E2801">
        <v>235.7</v>
      </c>
      <c r="F2801">
        <v>240</v>
      </c>
      <c r="G2801">
        <v>538103</v>
      </c>
      <c r="H2801" s="116"/>
      <c r="I2801" s="116"/>
      <c r="L2801" s="169">
        <v>46132</v>
      </c>
      <c r="M2801" s="116">
        <v>240.18</v>
      </c>
      <c r="N2801" s="116">
        <v>244.45</v>
      </c>
      <c r="O2801" s="116">
        <v>231.23</v>
      </c>
      <c r="P2801" s="116">
        <v>236.28</v>
      </c>
      <c r="Q2801" s="116">
        <v>240.18</v>
      </c>
      <c r="R2801">
        <v>6867744</v>
      </c>
    </row>
    <row r="2802" spans="1:18" x14ac:dyDescent="0.25">
      <c r="A2802" s="169">
        <v>46133</v>
      </c>
      <c r="B2802">
        <v>245.3</v>
      </c>
      <c r="C2802">
        <v>235.7</v>
      </c>
      <c r="D2802">
        <v>235.35</v>
      </c>
      <c r="E2802">
        <v>240.25</v>
      </c>
      <c r="F2802">
        <v>235.7</v>
      </c>
      <c r="G2802">
        <v>131090</v>
      </c>
      <c r="H2802" s="116"/>
      <c r="I2802" s="116"/>
      <c r="L2802" s="169">
        <v>46133</v>
      </c>
      <c r="M2802" s="116">
        <v>235.83</v>
      </c>
      <c r="N2802" s="116">
        <v>245.5</v>
      </c>
      <c r="O2802" s="116">
        <v>235.1</v>
      </c>
      <c r="P2802" s="116">
        <v>240.1</v>
      </c>
      <c r="Q2802" s="116">
        <v>235.83</v>
      </c>
      <c r="R2802">
        <v>2352440</v>
      </c>
    </row>
    <row r="2803" spans="1:18" x14ac:dyDescent="0.25">
      <c r="A2803" s="169">
        <v>46134</v>
      </c>
      <c r="B2803">
        <v>246.9</v>
      </c>
      <c r="C2803">
        <v>244.95</v>
      </c>
      <c r="D2803">
        <v>235.05</v>
      </c>
      <c r="E2803">
        <v>235.7</v>
      </c>
      <c r="F2803">
        <v>244.95</v>
      </c>
      <c r="G2803">
        <v>180837</v>
      </c>
      <c r="H2803" s="116"/>
      <c r="I2803" s="116"/>
      <c r="L2803" s="169">
        <v>46134</v>
      </c>
      <c r="M2803" s="116">
        <v>244.97</v>
      </c>
      <c r="N2803" s="116">
        <v>246.99</v>
      </c>
      <c r="O2803" s="116">
        <v>234.4</v>
      </c>
      <c r="P2803" s="116">
        <v>235.5</v>
      </c>
      <c r="Q2803" s="116">
        <v>244.97</v>
      </c>
      <c r="R2803">
        <v>4049069</v>
      </c>
    </row>
    <row r="2804" spans="1:18" x14ac:dyDescent="0.25">
      <c r="A2804" s="169">
        <v>46135</v>
      </c>
      <c r="B2804">
        <v>249.6</v>
      </c>
      <c r="C2804">
        <v>245.1</v>
      </c>
      <c r="D2804">
        <v>241.65</v>
      </c>
      <c r="E2804">
        <v>242.85</v>
      </c>
      <c r="F2804">
        <v>245.1</v>
      </c>
      <c r="G2804">
        <v>113193</v>
      </c>
      <c r="H2804" s="116"/>
      <c r="I2804" s="116"/>
      <c r="L2804" s="169">
        <v>46135</v>
      </c>
      <c r="M2804" s="116">
        <v>245.28</v>
      </c>
      <c r="N2804" s="116">
        <v>249.79</v>
      </c>
      <c r="O2804" s="116">
        <v>241.41</v>
      </c>
      <c r="P2804" s="116">
        <v>242.73</v>
      </c>
      <c r="Q2804" s="116">
        <v>245.28</v>
      </c>
      <c r="R2804">
        <v>2650190</v>
      </c>
    </row>
    <row r="2805" spans="1:18" x14ac:dyDescent="0.25">
      <c r="A2805" s="169">
        <v>46136</v>
      </c>
      <c r="B2805">
        <v>246</v>
      </c>
      <c r="C2805">
        <v>239.6</v>
      </c>
      <c r="D2805">
        <v>235.9</v>
      </c>
      <c r="E2805">
        <v>244.85</v>
      </c>
      <c r="F2805">
        <v>239.6</v>
      </c>
      <c r="G2805">
        <v>184854</v>
      </c>
      <c r="H2805" s="116"/>
      <c r="I2805" s="116"/>
      <c r="L2805" s="169">
        <v>46136</v>
      </c>
      <c r="M2805" s="116">
        <v>239.73</v>
      </c>
      <c r="N2805" s="116">
        <v>246.36</v>
      </c>
      <c r="O2805" s="116">
        <v>235.67</v>
      </c>
      <c r="P2805" s="116">
        <v>245.02</v>
      </c>
      <c r="Q2805" s="116">
        <v>239.73</v>
      </c>
      <c r="R2805">
        <v>4030666</v>
      </c>
    </row>
    <row r="2806" spans="1:18" x14ac:dyDescent="0.25">
      <c r="A2806" s="169">
        <v>46139</v>
      </c>
      <c r="B2806">
        <v>248.8</v>
      </c>
      <c r="C2806">
        <v>245.05</v>
      </c>
      <c r="D2806">
        <v>242</v>
      </c>
      <c r="E2806">
        <v>243.15</v>
      </c>
      <c r="F2806">
        <v>245.05</v>
      </c>
      <c r="G2806">
        <v>90796</v>
      </c>
      <c r="H2806" s="116"/>
      <c r="I2806" s="116"/>
      <c r="L2806" s="169">
        <v>46139</v>
      </c>
      <c r="M2806" s="116">
        <v>245.17</v>
      </c>
      <c r="N2806" s="116">
        <v>248.9</v>
      </c>
      <c r="O2806" s="116">
        <v>241.2</v>
      </c>
      <c r="P2806" s="116">
        <v>241.6</v>
      </c>
      <c r="Q2806" s="116">
        <v>245.17</v>
      </c>
      <c r="R2806">
        <v>2487009</v>
      </c>
    </row>
    <row r="2807" spans="1:18" x14ac:dyDescent="0.25">
      <c r="A2807" s="169">
        <v>46140</v>
      </c>
      <c r="B2807">
        <v>244.7</v>
      </c>
      <c r="C2807">
        <v>240.55</v>
      </c>
      <c r="D2807">
        <v>224.55</v>
      </c>
      <c r="E2807">
        <v>229.05</v>
      </c>
      <c r="F2807">
        <v>240.55</v>
      </c>
      <c r="G2807">
        <v>576816</v>
      </c>
      <c r="H2807" s="116"/>
      <c r="I2807" s="116"/>
      <c r="L2807" s="169">
        <v>46140</v>
      </c>
      <c r="M2807" s="116">
        <v>240.28</v>
      </c>
      <c r="N2807" s="116">
        <v>244.9</v>
      </c>
      <c r="O2807" s="116">
        <v>224.61</v>
      </c>
      <c r="P2807" s="116">
        <v>231</v>
      </c>
      <c r="Q2807" s="116">
        <v>240.28</v>
      </c>
      <c r="R2807">
        <v>12162234</v>
      </c>
    </row>
    <row r="2808" spans="1:18" x14ac:dyDescent="0.25">
      <c r="A2808" s="169">
        <v>46141</v>
      </c>
      <c r="B2808">
        <v>242.75</v>
      </c>
      <c r="C2808">
        <v>229.75</v>
      </c>
      <c r="D2808">
        <v>228.6</v>
      </c>
      <c r="E2808">
        <v>240.5</v>
      </c>
      <c r="F2808">
        <v>229.75</v>
      </c>
      <c r="G2808">
        <v>344574</v>
      </c>
      <c r="H2808" s="116"/>
      <c r="I2808" s="116"/>
      <c r="L2808" s="169">
        <v>46141</v>
      </c>
      <c r="M2808" s="116">
        <v>229.8</v>
      </c>
      <c r="N2808" s="116">
        <v>242.75</v>
      </c>
      <c r="O2808" s="116">
        <v>228.1</v>
      </c>
      <c r="P2808" s="116">
        <v>240</v>
      </c>
      <c r="Q2808" s="116">
        <v>229.8</v>
      </c>
      <c r="R2808">
        <v>4192468</v>
      </c>
    </row>
    <row r="2809" spans="1:18" x14ac:dyDescent="0.25">
      <c r="A2809" s="169">
        <v>46142</v>
      </c>
      <c r="B2809">
        <v>229.1</v>
      </c>
      <c r="C2809">
        <v>222.7</v>
      </c>
      <c r="D2809">
        <v>219</v>
      </c>
      <c r="E2809">
        <v>228.5</v>
      </c>
      <c r="F2809">
        <v>222.7</v>
      </c>
      <c r="G2809">
        <v>160818</v>
      </c>
      <c r="H2809" s="116"/>
      <c r="I2809" s="116"/>
      <c r="L2809" s="169">
        <v>46142</v>
      </c>
      <c r="M2809" s="116">
        <v>222.75</v>
      </c>
      <c r="N2809" s="116">
        <v>228.99</v>
      </c>
      <c r="O2809" s="116">
        <v>218.95</v>
      </c>
      <c r="P2809" s="116">
        <v>228</v>
      </c>
      <c r="Q2809" s="116">
        <v>222.75</v>
      </c>
      <c r="R2809">
        <v>3856358</v>
      </c>
    </row>
    <row r="2810" spans="1:18" x14ac:dyDescent="0.25">
      <c r="A2810" s="169">
        <v>46146</v>
      </c>
      <c r="B2810">
        <v>233.95</v>
      </c>
      <c r="C2810">
        <v>230.6</v>
      </c>
      <c r="D2810">
        <v>224.45</v>
      </c>
      <c r="E2810">
        <v>224.65</v>
      </c>
      <c r="F2810">
        <v>230.6</v>
      </c>
      <c r="G2810">
        <v>153534</v>
      </c>
      <c r="H2810" s="116"/>
      <c r="I2810" s="116"/>
      <c r="L2810" s="169">
        <v>46146</v>
      </c>
      <c r="M2810" s="116">
        <v>230.92</v>
      </c>
      <c r="N2810" s="116">
        <v>234</v>
      </c>
      <c r="O2810" s="116">
        <v>223.86</v>
      </c>
      <c r="P2810" s="116">
        <v>223.86</v>
      </c>
      <c r="Q2810" s="116">
        <v>230.92</v>
      </c>
      <c r="R2810">
        <v>3093526</v>
      </c>
    </row>
    <row r="2811" spans="1:18" x14ac:dyDescent="0.25">
      <c r="A2811" s="169">
        <v>46147</v>
      </c>
      <c r="B2811">
        <v>235.6</v>
      </c>
      <c r="C2811">
        <v>232.95</v>
      </c>
      <c r="D2811">
        <v>229</v>
      </c>
      <c r="E2811">
        <v>229.75</v>
      </c>
      <c r="F2811">
        <v>232.95</v>
      </c>
      <c r="G2811">
        <v>130909</v>
      </c>
      <c r="H2811" s="116"/>
      <c r="I2811" s="116"/>
      <c r="L2811" s="169">
        <v>46147</v>
      </c>
      <c r="M2811" s="116">
        <v>232.98</v>
      </c>
      <c r="N2811" s="116">
        <v>235.55</v>
      </c>
      <c r="O2811" s="116">
        <v>229</v>
      </c>
      <c r="P2811" s="116">
        <v>230</v>
      </c>
      <c r="Q2811" s="116">
        <v>232.98</v>
      </c>
      <c r="R2811">
        <v>1721048</v>
      </c>
    </row>
    <row r="2812" spans="1:18" x14ac:dyDescent="0.25">
      <c r="A2812" s="169">
        <v>46148</v>
      </c>
      <c r="B2812">
        <v>243.05</v>
      </c>
      <c r="C2812">
        <v>242.25</v>
      </c>
      <c r="D2812">
        <v>234.05</v>
      </c>
      <c r="E2812">
        <v>235.75</v>
      </c>
      <c r="F2812">
        <v>242.25</v>
      </c>
      <c r="G2812">
        <v>142101</v>
      </c>
      <c r="H2812" s="116"/>
      <c r="I2812" s="116"/>
      <c r="L2812" s="169">
        <v>46148</v>
      </c>
      <c r="M2812" s="116">
        <v>242.24</v>
      </c>
      <c r="N2812" s="116">
        <v>242.9</v>
      </c>
      <c r="O2812" s="116">
        <v>234.01</v>
      </c>
      <c r="P2812" s="116">
        <v>234.3</v>
      </c>
      <c r="Q2812" s="116">
        <v>242.24</v>
      </c>
      <c r="R2812">
        <v>3184921</v>
      </c>
    </row>
    <row r="2813" spans="1:18" x14ac:dyDescent="0.25">
      <c r="A2813" s="169">
        <v>46149</v>
      </c>
      <c r="B2813">
        <v>244.4</v>
      </c>
      <c r="C2813">
        <v>242.55</v>
      </c>
      <c r="D2813">
        <v>239.05</v>
      </c>
      <c r="E2813">
        <v>244.3</v>
      </c>
      <c r="F2813">
        <v>242.55</v>
      </c>
      <c r="G2813">
        <v>137019</v>
      </c>
      <c r="H2813" s="116"/>
      <c r="I2813" s="116"/>
      <c r="L2813" s="169">
        <v>46149</v>
      </c>
      <c r="M2813" s="116">
        <v>242.46</v>
      </c>
      <c r="N2813" s="116">
        <v>244.42</v>
      </c>
      <c r="O2813" s="116">
        <v>239.29</v>
      </c>
      <c r="P2813" s="116">
        <v>244</v>
      </c>
      <c r="Q2813" s="116">
        <v>242.46</v>
      </c>
      <c r="R2813">
        <v>1696042</v>
      </c>
    </row>
    <row r="2814" spans="1:18" x14ac:dyDescent="0.25">
      <c r="A2814" s="169">
        <v>46150</v>
      </c>
      <c r="B2814">
        <v>249.5</v>
      </c>
      <c r="C2814">
        <v>244.05</v>
      </c>
      <c r="D2814">
        <v>239.8</v>
      </c>
      <c r="E2814">
        <v>242.15</v>
      </c>
      <c r="F2814">
        <v>244.05</v>
      </c>
      <c r="G2814">
        <v>184110</v>
      </c>
      <c r="H2814" s="116"/>
      <c r="I2814" s="116"/>
      <c r="L2814" s="169">
        <v>46150</v>
      </c>
      <c r="M2814" s="116">
        <v>243.96</v>
      </c>
      <c r="N2814" s="116">
        <v>249.45</v>
      </c>
      <c r="O2814" s="116">
        <v>239.9</v>
      </c>
      <c r="P2814" s="116">
        <v>242</v>
      </c>
      <c r="Q2814" s="116">
        <v>243.96</v>
      </c>
      <c r="R2814">
        <v>2306043</v>
      </c>
    </row>
    <row r="2815" spans="1:18" x14ac:dyDescent="0.25">
      <c r="A2815" s="169">
        <v>46153</v>
      </c>
      <c r="B2815">
        <v>245.65</v>
      </c>
      <c r="C2815">
        <v>237.85</v>
      </c>
      <c r="D2815">
        <v>236.9</v>
      </c>
      <c r="E2815">
        <v>242</v>
      </c>
      <c r="F2815">
        <v>237.85</v>
      </c>
      <c r="G2815">
        <v>179110</v>
      </c>
      <c r="H2815" s="116"/>
      <c r="I2815" s="116"/>
      <c r="L2815" s="169">
        <v>46153</v>
      </c>
      <c r="M2815" s="116">
        <v>238.08</v>
      </c>
      <c r="N2815" s="116">
        <v>245.99</v>
      </c>
      <c r="O2815" s="116">
        <v>236.66</v>
      </c>
      <c r="P2815" s="116">
        <v>241.9</v>
      </c>
      <c r="Q2815" s="116">
        <v>238.08</v>
      </c>
      <c r="R2815">
        <v>1636319</v>
      </c>
    </row>
    <row r="2816" spans="1:18" x14ac:dyDescent="0.25">
      <c r="A2816" s="169">
        <v>46154</v>
      </c>
      <c r="B2816">
        <v>239.4</v>
      </c>
      <c r="C2816">
        <v>229.65</v>
      </c>
      <c r="D2816">
        <v>228.45</v>
      </c>
      <c r="E2816">
        <v>231.1</v>
      </c>
      <c r="F2816">
        <v>229.65</v>
      </c>
      <c r="G2816">
        <v>79782</v>
      </c>
      <c r="H2816" s="116"/>
      <c r="I2816" s="116"/>
      <c r="L2816" s="169">
        <v>46154</v>
      </c>
      <c r="M2816" s="116">
        <v>229.63</v>
      </c>
      <c r="N2816" s="116">
        <v>239.5</v>
      </c>
      <c r="O2816" s="116">
        <v>228.43</v>
      </c>
      <c r="P2816" s="116">
        <v>237.5</v>
      </c>
      <c r="Q2816" s="116">
        <v>229.63</v>
      </c>
      <c r="R2816">
        <v>1568160</v>
      </c>
    </row>
    <row r="2817" spans="1:18" x14ac:dyDescent="0.25">
      <c r="A2817" s="169">
        <v>46155</v>
      </c>
      <c r="B2817">
        <v>239.7</v>
      </c>
      <c r="C2817">
        <v>233.65</v>
      </c>
      <c r="D2817">
        <v>229.5</v>
      </c>
      <c r="E2817">
        <v>229.5</v>
      </c>
      <c r="F2817">
        <v>233.65</v>
      </c>
      <c r="G2817">
        <v>132663</v>
      </c>
      <c r="H2817" s="116"/>
      <c r="I2817" s="116"/>
      <c r="L2817" s="169">
        <v>46155</v>
      </c>
      <c r="M2817" s="116">
        <v>233.84</v>
      </c>
      <c r="N2817" s="116">
        <v>239.66</v>
      </c>
      <c r="O2817" s="116">
        <v>230</v>
      </c>
      <c r="P2817" s="116">
        <v>230</v>
      </c>
      <c r="Q2817" s="116">
        <v>233.84</v>
      </c>
      <c r="R2817">
        <v>1378751</v>
      </c>
    </row>
    <row r="2818" spans="1:18" x14ac:dyDescent="0.25">
      <c r="A2818" s="169">
        <v>46156</v>
      </c>
      <c r="B2818">
        <v>238.5</v>
      </c>
      <c r="C2818">
        <v>233.5</v>
      </c>
      <c r="D2818">
        <v>229.95</v>
      </c>
      <c r="E2818">
        <v>233.25</v>
      </c>
      <c r="F2818">
        <v>233.5</v>
      </c>
      <c r="G2818">
        <v>70461</v>
      </c>
      <c r="H2818" s="116"/>
      <c r="I2818" s="116"/>
      <c r="L2818" s="169">
        <v>46156</v>
      </c>
      <c r="M2818" s="116">
        <v>233.67</v>
      </c>
      <c r="N2818" s="116">
        <v>238.6</v>
      </c>
      <c r="O2818" s="116">
        <v>229.54</v>
      </c>
      <c r="P2818" s="116">
        <v>234.8</v>
      </c>
      <c r="Q2818" s="116">
        <v>233.67</v>
      </c>
      <c r="R2818">
        <v>1464221</v>
      </c>
    </row>
    <row r="2819" spans="1:18" x14ac:dyDescent="0.25">
      <c r="A2819" s="169">
        <v>46157</v>
      </c>
      <c r="B2819">
        <v>236.8</v>
      </c>
      <c r="C2819">
        <v>229.45</v>
      </c>
      <c r="D2819">
        <v>226.05</v>
      </c>
      <c r="E2819">
        <v>233.05</v>
      </c>
      <c r="F2819">
        <v>229.45</v>
      </c>
      <c r="G2819">
        <v>102639</v>
      </c>
      <c r="H2819" s="116"/>
      <c r="I2819" s="116"/>
      <c r="L2819" s="169">
        <v>46157</v>
      </c>
      <c r="M2819" s="116">
        <v>229.09</v>
      </c>
      <c r="N2819" s="116">
        <v>236.8</v>
      </c>
      <c r="O2819" s="116">
        <v>226</v>
      </c>
      <c r="P2819" s="116">
        <v>233.67</v>
      </c>
      <c r="Q2819" s="116">
        <v>229.09</v>
      </c>
      <c r="R2819">
        <v>1222988</v>
      </c>
    </row>
    <row r="2820" spans="1:18" x14ac:dyDescent="0.25">
      <c r="A2820" s="169">
        <v>46160</v>
      </c>
      <c r="B2820">
        <v>227.15</v>
      </c>
      <c r="C2820">
        <v>220.7</v>
      </c>
      <c r="D2820">
        <v>219.5</v>
      </c>
      <c r="E2820">
        <v>226.8</v>
      </c>
      <c r="F2820">
        <v>220.7</v>
      </c>
      <c r="G2820">
        <v>176753</v>
      </c>
      <c r="H2820" s="116"/>
      <c r="I2820" s="116"/>
      <c r="L2820" s="169">
        <v>46160</v>
      </c>
      <c r="M2820" s="116">
        <v>220.75</v>
      </c>
      <c r="N2820" s="116">
        <v>227.55</v>
      </c>
      <c r="O2820" s="116">
        <v>219.5</v>
      </c>
      <c r="P2820" s="116">
        <v>227.55</v>
      </c>
      <c r="Q2820" s="116">
        <v>220.75</v>
      </c>
      <c r="R2820">
        <v>1495535</v>
      </c>
    </row>
    <row r="2821" spans="1:18" x14ac:dyDescent="0.25">
      <c r="A2821" s="169">
        <v>46161</v>
      </c>
      <c r="B2821">
        <v>226.05</v>
      </c>
      <c r="C2821">
        <v>223.8</v>
      </c>
      <c r="D2821">
        <v>218.15</v>
      </c>
      <c r="E2821">
        <v>221</v>
      </c>
      <c r="F2821">
        <v>223.8</v>
      </c>
      <c r="G2821">
        <v>73683</v>
      </c>
      <c r="H2821" s="116"/>
      <c r="I2821" s="116"/>
      <c r="L2821" s="169">
        <v>46161</v>
      </c>
      <c r="M2821" s="116">
        <v>223.67</v>
      </c>
      <c r="N2821" s="116">
        <v>226.4</v>
      </c>
      <c r="O2821" s="116">
        <v>218.23</v>
      </c>
      <c r="P2821" s="116">
        <v>221.1</v>
      </c>
      <c r="Q2821" s="116">
        <v>223.67</v>
      </c>
      <c r="R2821">
        <v>2145855</v>
      </c>
    </row>
    <row r="2822" spans="1:18" x14ac:dyDescent="0.25">
      <c r="A2822" s="169">
        <v>46162</v>
      </c>
      <c r="B2822">
        <v>223.75</v>
      </c>
      <c r="C2822">
        <v>219.4</v>
      </c>
      <c r="D2822">
        <v>216.25</v>
      </c>
      <c r="E2822">
        <v>222.8</v>
      </c>
      <c r="F2822">
        <v>219.4</v>
      </c>
      <c r="G2822">
        <v>170872</v>
      </c>
      <c r="H2822" s="116"/>
      <c r="I2822" s="116"/>
      <c r="L2822" s="169">
        <v>46162</v>
      </c>
      <c r="M2822" s="116">
        <v>219.54</v>
      </c>
      <c r="N2822" s="116">
        <v>224.99</v>
      </c>
      <c r="O2822" s="116">
        <v>216.32</v>
      </c>
      <c r="P2822" s="116">
        <v>224</v>
      </c>
      <c r="Q2822" s="116">
        <v>219.54</v>
      </c>
      <c r="R2822">
        <v>1562925</v>
      </c>
    </row>
    <row r="2823" spans="1:18" x14ac:dyDescent="0.25">
      <c r="A2823" s="169">
        <v>46163</v>
      </c>
      <c r="B2823">
        <v>224.95</v>
      </c>
      <c r="C2823">
        <v>219.05</v>
      </c>
      <c r="D2823">
        <v>218.15</v>
      </c>
      <c r="E2823">
        <v>223.65</v>
      </c>
      <c r="F2823">
        <v>219.05</v>
      </c>
      <c r="G2823">
        <v>48740</v>
      </c>
      <c r="H2823" s="116"/>
      <c r="I2823" s="116"/>
      <c r="L2823" s="169">
        <v>46163</v>
      </c>
      <c r="M2823" s="116">
        <v>219.08</v>
      </c>
      <c r="N2823" s="116">
        <v>224.99</v>
      </c>
      <c r="O2823" s="116">
        <v>218.13</v>
      </c>
      <c r="P2823" s="116">
        <v>222</v>
      </c>
      <c r="Q2823" s="116">
        <v>219.08</v>
      </c>
      <c r="R2823">
        <v>967043</v>
      </c>
    </row>
    <row r="2824" spans="1:18" x14ac:dyDescent="0.25">
      <c r="A2824" s="169">
        <v>46164</v>
      </c>
      <c r="B2824">
        <v>221.55</v>
      </c>
      <c r="C2824">
        <v>220.05</v>
      </c>
      <c r="D2824">
        <v>214.1</v>
      </c>
      <c r="E2824">
        <v>219</v>
      </c>
      <c r="F2824">
        <v>220.05</v>
      </c>
      <c r="G2824">
        <v>53704</v>
      </c>
      <c r="H2824" s="116"/>
      <c r="I2824" s="116"/>
      <c r="L2824" s="169">
        <v>46164</v>
      </c>
      <c r="M2824" s="116">
        <v>220</v>
      </c>
      <c r="N2824" s="116">
        <v>222</v>
      </c>
      <c r="O2824" s="116">
        <v>214.01</v>
      </c>
      <c r="P2824" s="116">
        <v>218.7</v>
      </c>
      <c r="Q2824" s="116">
        <v>220</v>
      </c>
      <c r="R2824">
        <v>1429610</v>
      </c>
    </row>
    <row r="2825" spans="1:18" x14ac:dyDescent="0.25">
      <c r="A2825" s="169">
        <v>46167</v>
      </c>
      <c r="B2825">
        <v>231.3</v>
      </c>
      <c r="C2825">
        <v>225.85</v>
      </c>
      <c r="D2825">
        <v>222</v>
      </c>
      <c r="E2825">
        <v>222</v>
      </c>
      <c r="F2825">
        <v>225.85</v>
      </c>
      <c r="G2825">
        <v>149010</v>
      </c>
      <c r="H2825" s="116"/>
      <c r="I2825" s="116"/>
      <c r="L2825" s="169">
        <v>46167</v>
      </c>
      <c r="M2825" s="116">
        <v>225.94</v>
      </c>
      <c r="N2825" s="116">
        <v>231.3</v>
      </c>
      <c r="O2825" s="116">
        <v>222.3</v>
      </c>
      <c r="P2825" s="116">
        <v>222.3</v>
      </c>
      <c r="Q2825" s="116">
        <v>225.94</v>
      </c>
      <c r="R2825">
        <v>1683198</v>
      </c>
    </row>
    <row r="2826" spans="1:18" x14ac:dyDescent="0.25">
      <c r="A2826" s="169">
        <v>46168</v>
      </c>
      <c r="B2826">
        <v>232.55</v>
      </c>
      <c r="C2826">
        <v>229</v>
      </c>
      <c r="D2826">
        <v>225.65</v>
      </c>
      <c r="E2826">
        <v>228.35</v>
      </c>
      <c r="F2826">
        <v>229</v>
      </c>
      <c r="G2826">
        <v>89395</v>
      </c>
      <c r="H2826" s="116"/>
      <c r="I2826" s="116"/>
      <c r="L2826" s="169">
        <v>46168</v>
      </c>
      <c r="M2826" s="116">
        <v>228.87</v>
      </c>
      <c r="N2826" s="116">
        <v>232.01</v>
      </c>
      <c r="O2826" s="116">
        <v>225.55</v>
      </c>
      <c r="P2826" s="116">
        <v>226</v>
      </c>
      <c r="Q2826" s="116">
        <v>228.87</v>
      </c>
      <c r="R2826">
        <v>1510517</v>
      </c>
    </row>
    <row r="2827" spans="1:18" x14ac:dyDescent="0.25">
      <c r="A2827" s="169">
        <v>46169</v>
      </c>
      <c r="B2827">
        <v>246.95</v>
      </c>
      <c r="C2827">
        <v>245.9</v>
      </c>
      <c r="D2827">
        <v>227.95</v>
      </c>
      <c r="E2827">
        <v>227.95</v>
      </c>
      <c r="F2827">
        <v>245.9</v>
      </c>
      <c r="G2827">
        <v>420494</v>
      </c>
      <c r="H2827" s="116"/>
      <c r="I2827" s="116"/>
      <c r="L2827" s="169">
        <v>46169</v>
      </c>
      <c r="M2827" s="116">
        <v>246.07</v>
      </c>
      <c r="N2827" s="116">
        <v>247</v>
      </c>
      <c r="O2827" s="116">
        <v>228.2</v>
      </c>
      <c r="P2827" s="116">
        <v>228.2</v>
      </c>
      <c r="Q2827" s="116">
        <v>246.07</v>
      </c>
      <c r="R2827">
        <v>5836424</v>
      </c>
    </row>
    <row r="2828" spans="1:18" x14ac:dyDescent="0.25">
      <c r="A2828" s="169">
        <v>46171</v>
      </c>
      <c r="B2828">
        <v>251.45</v>
      </c>
      <c r="C2828">
        <v>246.95</v>
      </c>
      <c r="D2828">
        <v>240.4</v>
      </c>
      <c r="E2828">
        <v>249.25</v>
      </c>
      <c r="F2828">
        <v>246.95</v>
      </c>
      <c r="G2828">
        <v>127825</v>
      </c>
      <c r="H2828" s="116"/>
      <c r="I2828" s="116"/>
      <c r="L2828" s="169">
        <v>46171</v>
      </c>
      <c r="M2828" s="116">
        <v>247.09</v>
      </c>
      <c r="N2828" s="116">
        <v>251.7</v>
      </c>
      <c r="O2828" s="116">
        <v>240.18</v>
      </c>
      <c r="P2828" s="116">
        <v>248</v>
      </c>
      <c r="Q2828" s="116">
        <v>247.09</v>
      </c>
      <c r="R2828">
        <v>4042280</v>
      </c>
    </row>
    <row r="2829" spans="1:18" x14ac:dyDescent="0.25">
      <c r="A2829" s="169">
        <v>46174</v>
      </c>
      <c r="B2829">
        <v>248</v>
      </c>
      <c r="C2829">
        <v>240.95</v>
      </c>
      <c r="D2829">
        <v>240.05</v>
      </c>
      <c r="E2829">
        <v>247.65</v>
      </c>
      <c r="F2829">
        <v>240.95</v>
      </c>
      <c r="G2829">
        <v>82779</v>
      </c>
      <c r="H2829" s="116"/>
      <c r="I2829" s="116"/>
      <c r="L2829" s="169">
        <v>46174</v>
      </c>
      <c r="M2829" s="116">
        <v>240.88</v>
      </c>
      <c r="N2829" s="116">
        <v>247.57</v>
      </c>
      <c r="O2829" s="116">
        <v>240.01</v>
      </c>
      <c r="P2829" s="116">
        <v>247.1</v>
      </c>
      <c r="Q2829" s="116">
        <v>240.88</v>
      </c>
      <c r="R2829">
        <v>1628064</v>
      </c>
    </row>
    <row r="2830" spans="1:18" x14ac:dyDescent="0.25">
      <c r="A2830" s="169">
        <v>46175</v>
      </c>
      <c r="B2830">
        <v>242.8</v>
      </c>
      <c r="C2830">
        <v>241.1</v>
      </c>
      <c r="D2830">
        <v>235</v>
      </c>
      <c r="E2830">
        <v>240.5</v>
      </c>
      <c r="F2830">
        <v>241.1</v>
      </c>
      <c r="G2830">
        <v>123210</v>
      </c>
      <c r="H2830" s="116"/>
      <c r="I2830" s="116"/>
      <c r="L2830" s="169">
        <v>46175</v>
      </c>
      <c r="M2830" s="116">
        <v>241.12</v>
      </c>
      <c r="N2830" s="116">
        <v>242.99</v>
      </c>
      <c r="O2830" s="116">
        <v>235.01</v>
      </c>
      <c r="P2830" s="116">
        <v>240.88</v>
      </c>
      <c r="Q2830" s="116">
        <v>241.12</v>
      </c>
      <c r="R2830">
        <v>1169758</v>
      </c>
    </row>
    <row r="2831" spans="1:18" x14ac:dyDescent="0.25">
      <c r="A2831" s="169">
        <v>46176</v>
      </c>
      <c r="B2831">
        <v>252.45</v>
      </c>
      <c r="C2831">
        <v>250.8</v>
      </c>
      <c r="D2831">
        <v>237</v>
      </c>
      <c r="E2831">
        <v>243.65</v>
      </c>
      <c r="F2831">
        <v>250.8</v>
      </c>
      <c r="G2831">
        <v>200375</v>
      </c>
      <c r="H2831" s="116"/>
      <c r="I2831" s="116"/>
      <c r="L2831" s="169">
        <v>46176</v>
      </c>
      <c r="M2831" s="116">
        <v>250.87</v>
      </c>
      <c r="N2831" s="116">
        <v>252.7</v>
      </c>
      <c r="O2831" s="116">
        <v>237</v>
      </c>
      <c r="P2831" s="116">
        <v>243</v>
      </c>
      <c r="Q2831" s="116">
        <v>250.87</v>
      </c>
      <c r="R2831">
        <v>4135336</v>
      </c>
    </row>
    <row r="2832" spans="1:18" x14ac:dyDescent="0.25">
      <c r="A2832" s="169">
        <v>46177</v>
      </c>
      <c r="B2832">
        <v>267.5</v>
      </c>
      <c r="C2832">
        <v>259.7</v>
      </c>
      <c r="D2832">
        <v>252.3</v>
      </c>
      <c r="E2832">
        <v>252.3</v>
      </c>
      <c r="F2832">
        <v>259.7</v>
      </c>
      <c r="G2832">
        <v>531672</v>
      </c>
      <c r="H2832" s="116"/>
      <c r="I2832" s="116"/>
      <c r="L2832" s="169">
        <v>46177</v>
      </c>
      <c r="M2832" s="116">
        <v>260</v>
      </c>
      <c r="N2832" s="116">
        <v>267.5</v>
      </c>
      <c r="O2832" s="116">
        <v>252</v>
      </c>
      <c r="P2832" s="116">
        <v>252</v>
      </c>
      <c r="Q2832" s="116">
        <v>260</v>
      </c>
      <c r="R2832">
        <v>10769366</v>
      </c>
    </row>
    <row r="2833" spans="1:18" x14ac:dyDescent="0.25">
      <c r="A2833" s="169">
        <v>46178</v>
      </c>
      <c r="B2833">
        <v>261.95</v>
      </c>
      <c r="C2833">
        <v>250.55</v>
      </c>
      <c r="D2833">
        <v>248.75</v>
      </c>
      <c r="E2833">
        <v>261.95</v>
      </c>
      <c r="F2833">
        <v>250.55</v>
      </c>
      <c r="G2833">
        <v>120893</v>
      </c>
      <c r="H2833" s="116"/>
      <c r="I2833" s="116"/>
      <c r="L2833" s="169">
        <v>46178</v>
      </c>
      <c r="M2833" s="116">
        <v>250.57</v>
      </c>
      <c r="N2833" s="116">
        <v>261.95</v>
      </c>
      <c r="O2833" s="116">
        <v>248.4</v>
      </c>
      <c r="P2833" s="116">
        <v>261.41000000000003</v>
      </c>
      <c r="Q2833" s="116">
        <v>250.57</v>
      </c>
      <c r="R2833">
        <v>2553060</v>
      </c>
    </row>
    <row r="2834" spans="1:18" x14ac:dyDescent="0.25">
      <c r="A2834" s="169">
        <v>46181</v>
      </c>
      <c r="B2834">
        <v>248.3</v>
      </c>
      <c r="C2834">
        <v>236.05</v>
      </c>
      <c r="D2834">
        <v>234.2</v>
      </c>
      <c r="E2834">
        <v>248.3</v>
      </c>
      <c r="F2834">
        <v>236.05</v>
      </c>
      <c r="G2834">
        <v>78986</v>
      </c>
      <c r="H2834" s="116"/>
      <c r="I2834" s="116"/>
      <c r="L2834" s="169">
        <v>46181</v>
      </c>
      <c r="M2834" s="116">
        <v>236.1</v>
      </c>
      <c r="N2834" s="116">
        <v>248</v>
      </c>
      <c r="O2834" s="116">
        <v>234.15</v>
      </c>
      <c r="P2834" s="116">
        <v>248</v>
      </c>
      <c r="Q2834" s="116">
        <v>236.1</v>
      </c>
      <c r="R2834">
        <v>1808546</v>
      </c>
    </row>
    <row r="2835" spans="1:18" x14ac:dyDescent="0.25">
      <c r="A2835" s="169">
        <v>46182</v>
      </c>
      <c r="B2835">
        <v>241.85</v>
      </c>
      <c r="C2835">
        <v>239.8</v>
      </c>
      <c r="D2835">
        <v>236.05</v>
      </c>
      <c r="E2835">
        <v>236.1</v>
      </c>
      <c r="F2835">
        <v>239.8</v>
      </c>
      <c r="G2835">
        <v>44368</v>
      </c>
      <c r="H2835" s="116"/>
      <c r="I2835" s="116"/>
      <c r="L2835" s="169">
        <v>46182</v>
      </c>
      <c r="M2835" s="116">
        <v>239.81</v>
      </c>
      <c r="N2835" s="116">
        <v>242</v>
      </c>
      <c r="O2835" s="116">
        <v>236.1</v>
      </c>
      <c r="P2835" s="116">
        <v>236.1</v>
      </c>
      <c r="Q2835" s="116">
        <v>239.81</v>
      </c>
      <c r="R2835">
        <v>1095617</v>
      </c>
    </row>
    <row r="2836" spans="1:18" x14ac:dyDescent="0.25">
      <c r="A2836" s="169">
        <v>46183</v>
      </c>
      <c r="B2836">
        <v>242.85</v>
      </c>
      <c r="C2836">
        <v>224.9</v>
      </c>
      <c r="D2836">
        <v>224.1</v>
      </c>
      <c r="E2836">
        <v>240.75</v>
      </c>
      <c r="F2836">
        <v>224.9</v>
      </c>
      <c r="G2836">
        <v>148355</v>
      </c>
      <c r="H2836" s="116"/>
      <c r="I2836" s="116"/>
      <c r="L2836" s="169">
        <v>46183</v>
      </c>
      <c r="M2836" s="116">
        <v>225.16</v>
      </c>
      <c r="N2836" s="116">
        <v>242.85</v>
      </c>
      <c r="O2836" s="116">
        <v>224.1</v>
      </c>
      <c r="P2836" s="116">
        <v>241</v>
      </c>
      <c r="Q2836" s="116">
        <v>225.16</v>
      </c>
      <c r="R2836">
        <v>2607834</v>
      </c>
    </row>
    <row r="2837" spans="1:18" x14ac:dyDescent="0.25">
      <c r="A2837" s="169">
        <v>46184</v>
      </c>
      <c r="B2837">
        <v>229.7</v>
      </c>
      <c r="C2837">
        <v>223.85</v>
      </c>
      <c r="D2837">
        <v>221.6</v>
      </c>
      <c r="E2837">
        <v>225.4</v>
      </c>
      <c r="F2837">
        <v>223.85</v>
      </c>
      <c r="G2837">
        <v>77930</v>
      </c>
      <c r="H2837" s="116"/>
      <c r="I2837" s="116"/>
      <c r="L2837" s="169">
        <v>46184</v>
      </c>
      <c r="M2837" s="116">
        <v>223.49</v>
      </c>
      <c r="N2837" s="116">
        <v>229.7</v>
      </c>
      <c r="O2837" s="116">
        <v>221.7</v>
      </c>
      <c r="P2837" s="116">
        <v>226.28</v>
      </c>
      <c r="Q2837" s="116">
        <v>223.49</v>
      </c>
      <c r="R2837">
        <v>1246811</v>
      </c>
    </row>
    <row r="2838" spans="1:18" x14ac:dyDescent="0.25">
      <c r="A2838" s="169">
        <v>46185</v>
      </c>
      <c r="B2838">
        <v>240</v>
      </c>
      <c r="C2838">
        <v>238.3</v>
      </c>
      <c r="D2838">
        <v>226.95</v>
      </c>
      <c r="E2838">
        <v>229.9</v>
      </c>
      <c r="F2838">
        <v>238.3</v>
      </c>
      <c r="G2838">
        <v>162073</v>
      </c>
      <c r="H2838" s="116"/>
      <c r="I2838" s="116"/>
      <c r="L2838" s="169">
        <v>46185</v>
      </c>
      <c r="M2838" s="116">
        <v>238.5</v>
      </c>
      <c r="N2838" s="116">
        <v>240.14</v>
      </c>
      <c r="O2838" s="116">
        <v>226.99</v>
      </c>
      <c r="P2838" s="116">
        <v>229.04</v>
      </c>
      <c r="Q2838" s="116">
        <v>238.5</v>
      </c>
      <c r="R2838">
        <v>1960070</v>
      </c>
    </row>
    <row r="2839" spans="1:18" x14ac:dyDescent="0.25">
      <c r="A2839" s="169">
        <v>46188</v>
      </c>
      <c r="B2839">
        <v>251.25</v>
      </c>
      <c r="C2839">
        <v>246.6</v>
      </c>
      <c r="D2839">
        <v>244.15</v>
      </c>
      <c r="E2839">
        <v>244.75</v>
      </c>
      <c r="F2839">
        <v>246.6</v>
      </c>
      <c r="G2839">
        <v>125459</v>
      </c>
      <c r="H2839" s="116"/>
      <c r="I2839" s="116"/>
      <c r="L2839" s="169">
        <v>46188</v>
      </c>
      <c r="M2839" s="116">
        <v>246.31</v>
      </c>
      <c r="N2839" s="116">
        <v>251.55</v>
      </c>
      <c r="O2839" s="116">
        <v>244</v>
      </c>
      <c r="P2839" s="116">
        <v>244</v>
      </c>
      <c r="Q2839" s="116">
        <v>246.31</v>
      </c>
      <c r="R2839">
        <v>2767217</v>
      </c>
    </row>
    <row r="2840" spans="1:18" x14ac:dyDescent="0.25">
      <c r="A2840" s="169">
        <v>46189</v>
      </c>
      <c r="B2840">
        <v>255.85</v>
      </c>
      <c r="C2840">
        <v>247.8</v>
      </c>
      <c r="D2840">
        <v>242.4</v>
      </c>
      <c r="E2840">
        <v>247.3</v>
      </c>
      <c r="F2840">
        <v>247.8</v>
      </c>
      <c r="G2840">
        <v>211144</v>
      </c>
      <c r="H2840" s="116"/>
      <c r="I2840" s="116"/>
      <c r="L2840" s="169">
        <v>46189</v>
      </c>
      <c r="M2840" s="116">
        <v>247.91</v>
      </c>
      <c r="N2840" s="116">
        <v>255.95</v>
      </c>
      <c r="O2840" s="116">
        <v>242.5</v>
      </c>
      <c r="P2840" s="116">
        <v>247.25</v>
      </c>
      <c r="Q2840" s="116">
        <v>247.91</v>
      </c>
      <c r="R2840">
        <v>2822994</v>
      </c>
    </row>
    <row r="2841" spans="1:18" x14ac:dyDescent="0.25">
      <c r="A2841" s="169">
        <v>46190</v>
      </c>
      <c r="B2841">
        <v>259.2</v>
      </c>
      <c r="C2841">
        <v>258.14999999999998</v>
      </c>
      <c r="D2841">
        <v>244.65</v>
      </c>
      <c r="E2841">
        <v>248.8</v>
      </c>
      <c r="F2841">
        <v>258.14999999999998</v>
      </c>
      <c r="G2841">
        <v>139681</v>
      </c>
      <c r="H2841" s="116"/>
      <c r="I2841" s="116"/>
      <c r="L2841" s="169">
        <v>46190</v>
      </c>
      <c r="M2841" s="116">
        <v>258.48</v>
      </c>
      <c r="N2841" s="116">
        <v>259.45</v>
      </c>
      <c r="O2841" s="116">
        <v>244.51</v>
      </c>
      <c r="P2841" s="116">
        <v>249.45</v>
      </c>
      <c r="Q2841" s="116">
        <v>258.48</v>
      </c>
      <c r="R2841">
        <v>2835731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Notes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2026-06-17T14:18:04Z</dcterms:modified>
  <cp:category/>
  <cp:contentStatus/>
</cp:coreProperties>
</file>